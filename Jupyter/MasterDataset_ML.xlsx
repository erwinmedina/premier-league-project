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erwinmedina/code/finalproject/Jupyter/"/>
    </mc:Choice>
  </mc:AlternateContent>
  <xr:revisionPtr revIDLastSave="0" documentId="13_ncr:1_{2C555023-0D86-FD48-AC9C-78A9A5B187A4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Sheet1!$A$1:$Z$6081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G4" i="3" s="1"/>
  <c r="F3" i="3"/>
  <c r="G3" i="3" s="1"/>
  <c r="F2" i="3"/>
  <c r="G2" i="3" s="1"/>
</calcChain>
</file>

<file path=xl/sharedStrings.xml><?xml version="1.0" encoding="utf-8"?>
<sst xmlns="http://schemas.openxmlformats.org/spreadsheetml/2006/main" count="42641" uniqueCount="6219">
  <si>
    <t>Home</t>
  </si>
  <si>
    <t>Away</t>
  </si>
  <si>
    <t>Referee</t>
  </si>
  <si>
    <t>H_Score</t>
  </si>
  <si>
    <t>A_Score</t>
  </si>
  <si>
    <t>WIN</t>
  </si>
  <si>
    <t>H_Ball_Possession</t>
  </si>
  <si>
    <t>A_Ball_Possession</t>
  </si>
  <si>
    <t>H_Free_Kicks</t>
  </si>
  <si>
    <t>A_Free_Kicks</t>
  </si>
  <si>
    <t>H_Corner_Kicks</t>
  </si>
  <si>
    <t>A_Corner_Kicks</t>
  </si>
  <si>
    <t>H_Fouls</t>
  </si>
  <si>
    <t>A_Fouls</t>
  </si>
  <si>
    <t>H_Yellow_Cards</t>
  </si>
  <si>
    <t>A_Yellow_Cards</t>
  </si>
  <si>
    <t>H_Red_Cards</t>
  </si>
  <si>
    <t>A_Red_Cards</t>
  </si>
  <si>
    <t>Chelsea</t>
  </si>
  <si>
    <t>Hull</t>
  </si>
  <si>
    <t>London</t>
  </si>
  <si>
    <t>Wiley A.</t>
  </si>
  <si>
    <t>Wolves</t>
  </si>
  <si>
    <t>West Ham</t>
  </si>
  <si>
    <t>Wolverhampton</t>
  </si>
  <si>
    <t>Foy C.</t>
  </si>
  <si>
    <t>Liverpool</t>
  </si>
  <si>
    <t>Stoke</t>
  </si>
  <si>
    <t>Burnley</t>
  </si>
  <si>
    <t>Bennett S.</t>
  </si>
  <si>
    <t>Portsmouth</t>
  </si>
  <si>
    <t>Fulham</t>
  </si>
  <si>
    <t>Atkinson M.</t>
  </si>
  <si>
    <t>Leeds</t>
  </si>
  <si>
    <t>Bolton</t>
  </si>
  <si>
    <t>Sunderland</t>
  </si>
  <si>
    <t>Horwich</t>
  </si>
  <si>
    <t>Marriner A.</t>
  </si>
  <si>
    <t>Birmingham</t>
  </si>
  <si>
    <t>Blackburn</t>
  </si>
  <si>
    <t>Manchester City</t>
  </si>
  <si>
    <t>Dean M.</t>
  </si>
  <si>
    <t>Aston Villa</t>
  </si>
  <si>
    <t>Wigan</t>
  </si>
  <si>
    <t>Clattenburg M.</t>
  </si>
  <si>
    <t>Everton</t>
  </si>
  <si>
    <t>Arsenal</t>
  </si>
  <si>
    <t>Halsey M.</t>
  </si>
  <si>
    <t>Manchester Utd</t>
  </si>
  <si>
    <t>Manchester</t>
  </si>
  <si>
    <t>Mason L.</t>
  </si>
  <si>
    <t>Tottenham</t>
  </si>
  <si>
    <t>Dowd P.</t>
  </si>
  <si>
    <t>Jones M.</t>
  </si>
  <si>
    <t>Probert L.</t>
  </si>
  <si>
    <t>Walton P.</t>
  </si>
  <si>
    <t>Webb H.</t>
  </si>
  <si>
    <t>Sheffield</t>
  </si>
  <si>
    <t>Draw</t>
  </si>
  <si>
    <t>Attwell S.</t>
  </si>
  <si>
    <t>Friend K.</t>
  </si>
  <si>
    <t>Taylor A.</t>
  </si>
  <si>
    <t>Blackpool</t>
  </si>
  <si>
    <t>West Brom</t>
  </si>
  <si>
    <t>Newcastle</t>
  </si>
  <si>
    <t>West Bromwich</t>
  </si>
  <si>
    <t>Oliver M.</t>
  </si>
  <si>
    <t>Swarbrick N.</t>
  </si>
  <si>
    <t>Moss J.</t>
  </si>
  <si>
    <t>Norwich</t>
  </si>
  <si>
    <t>QPR</t>
  </si>
  <si>
    <t>Swansea</t>
  </si>
  <si>
    <t>Reading</t>
  </si>
  <si>
    <t>Southampton</t>
  </si>
  <si>
    <t>East R.</t>
  </si>
  <si>
    <t>Webb D.</t>
  </si>
  <si>
    <t>Pawson C.</t>
  </si>
  <si>
    <t>Madley R.</t>
  </si>
  <si>
    <t>Cardiff</t>
  </si>
  <si>
    <t>Crystal Palace</t>
  </si>
  <si>
    <t>Leicester</t>
  </si>
  <si>
    <t>Tierney P.</t>
  </si>
  <si>
    <t>Stroud K.</t>
  </si>
  <si>
    <t>Scott G.</t>
  </si>
  <si>
    <t>Hooper S.</t>
  </si>
  <si>
    <t>Watford</t>
  </si>
  <si>
    <t>Bournemouth</t>
  </si>
  <si>
    <t>Middlesbrough</t>
  </si>
  <si>
    <t>Kavanagh C.</t>
  </si>
  <si>
    <t>Huddersfield</t>
  </si>
  <si>
    <t>Brighton</t>
  </si>
  <si>
    <t>Brighton and Hove</t>
  </si>
  <si>
    <t>Madley A.</t>
  </si>
  <si>
    <t>Coote D.</t>
  </si>
  <si>
    <t>Nottingham</t>
  </si>
  <si>
    <t>Sheffield Utd</t>
  </si>
  <si>
    <t>Langford O.</t>
  </si>
  <si>
    <t>Bankes P.</t>
  </si>
  <si>
    <t>Robinson T.</t>
  </si>
  <si>
    <t>Jones R.</t>
  </si>
  <si>
    <t>England D.</t>
  </si>
  <si>
    <t>Brentford</t>
  </si>
  <si>
    <t>Gillett J.</t>
  </si>
  <si>
    <t>Salisbury M.</t>
  </si>
  <si>
    <t>Brooks J.</t>
  </si>
  <si>
    <t>Harrington T.</t>
  </si>
  <si>
    <t>West Bridgford</t>
  </si>
  <si>
    <t>Bramall T.</t>
  </si>
  <si>
    <t>Bond D.</t>
  </si>
  <si>
    <t>Smith J.</t>
  </si>
  <si>
    <t>Luton</t>
  </si>
  <si>
    <t>Barrott S.</t>
  </si>
  <si>
    <t>Allison S.</t>
  </si>
  <si>
    <t>Welch R.</t>
  </si>
  <si>
    <t>Smith L.</t>
  </si>
  <si>
    <t>Gill S.</t>
  </si>
  <si>
    <t>Donohue M.</t>
  </si>
  <si>
    <t>Ipswich</t>
  </si>
  <si>
    <t>Kitchen A.</t>
  </si>
  <si>
    <t>MatchId</t>
  </si>
  <si>
    <t>2009-PL-001</t>
  </si>
  <si>
    <t>2009-PL-002</t>
  </si>
  <si>
    <t>2009-PL-003</t>
  </si>
  <si>
    <t>2009-PL-004</t>
  </si>
  <si>
    <t>2009-PL-005</t>
  </si>
  <si>
    <t>2009-PL-006</t>
  </si>
  <si>
    <t>2009-PL-007</t>
  </si>
  <si>
    <t>2009-PL-008</t>
  </si>
  <si>
    <t>2009-PL-009</t>
  </si>
  <si>
    <t>2009-PL-010</t>
  </si>
  <si>
    <t>2009-PL-011</t>
  </si>
  <si>
    <t>2009-PL-012</t>
  </si>
  <si>
    <t>2009-PL-013</t>
  </si>
  <si>
    <t>2009-PL-014</t>
  </si>
  <si>
    <t>2009-PL-015</t>
  </si>
  <si>
    <t>2009-PL-016</t>
  </si>
  <si>
    <t>2009-PL-017</t>
  </si>
  <si>
    <t>2009-PL-018</t>
  </si>
  <si>
    <t>2009-PL-019</t>
  </si>
  <si>
    <t>2009-PL-020</t>
  </si>
  <si>
    <t>2009-PL-021</t>
  </si>
  <si>
    <t>2009-PL-022</t>
  </si>
  <si>
    <t>2009-PL-023</t>
  </si>
  <si>
    <t>2009-PL-024</t>
  </si>
  <si>
    <t>2009-PL-025</t>
  </si>
  <si>
    <t>2009-PL-026</t>
  </si>
  <si>
    <t>2009-PL-027</t>
  </si>
  <si>
    <t>2009-PL-028</t>
  </si>
  <si>
    <t>2009-PL-029</t>
  </si>
  <si>
    <t>2009-PL-030</t>
  </si>
  <si>
    <t>2009-PL-031</t>
  </si>
  <si>
    <t>2009-PL-032</t>
  </si>
  <si>
    <t>2009-PL-033</t>
  </si>
  <si>
    <t>2009-PL-034</t>
  </si>
  <si>
    <t>2009-PL-035</t>
  </si>
  <si>
    <t>2009-PL-036</t>
  </si>
  <si>
    <t>2009-PL-037</t>
  </si>
  <si>
    <t>2009-PL-038</t>
  </si>
  <si>
    <t>2009-PL-039</t>
  </si>
  <si>
    <t>2009-PL-040</t>
  </si>
  <si>
    <t>2009-PL-041</t>
  </si>
  <si>
    <t>2009-PL-042</t>
  </si>
  <si>
    <t>2009-PL-043</t>
  </si>
  <si>
    <t>2009-PL-044</t>
  </si>
  <si>
    <t>2009-PL-045</t>
  </si>
  <si>
    <t>2009-PL-046</t>
  </si>
  <si>
    <t>2009-PL-047</t>
  </si>
  <si>
    <t>2009-PL-048</t>
  </si>
  <si>
    <t>2009-PL-049</t>
  </si>
  <si>
    <t>2009-PL-050</t>
  </si>
  <si>
    <t>2009-PL-051</t>
  </si>
  <si>
    <t>2009-PL-052</t>
  </si>
  <si>
    <t>2009-PL-053</t>
  </si>
  <si>
    <t>2009-PL-054</t>
  </si>
  <si>
    <t>2009-PL-055</t>
  </si>
  <si>
    <t>2009-PL-056</t>
  </si>
  <si>
    <t>2009-PL-057</t>
  </si>
  <si>
    <t>2009-PL-058</t>
  </si>
  <si>
    <t>2009-PL-059</t>
  </si>
  <si>
    <t>2009-PL-060</t>
  </si>
  <si>
    <t>2009-PL-061</t>
  </si>
  <si>
    <t>2009-PL-062</t>
  </si>
  <si>
    <t>2009-PL-063</t>
  </si>
  <si>
    <t>2009-PL-064</t>
  </si>
  <si>
    <t>2009-PL-065</t>
  </si>
  <si>
    <t>2009-PL-066</t>
  </si>
  <si>
    <t>2009-PL-067</t>
  </si>
  <si>
    <t>2009-PL-068</t>
  </si>
  <si>
    <t>2009-PL-069</t>
  </si>
  <si>
    <t>2009-PL-070</t>
  </si>
  <si>
    <t>2009-PL-071</t>
  </si>
  <si>
    <t>2009-PL-072</t>
  </si>
  <si>
    <t>2009-PL-073</t>
  </si>
  <si>
    <t>2009-PL-074</t>
  </si>
  <si>
    <t>2009-PL-075</t>
  </si>
  <si>
    <t>2009-PL-076</t>
  </si>
  <si>
    <t>2009-PL-077</t>
  </si>
  <si>
    <t>2009-PL-078</t>
  </si>
  <si>
    <t>2009-PL-079</t>
  </si>
  <si>
    <t>2009-PL-080</t>
  </si>
  <si>
    <t>2009-PL-081</t>
  </si>
  <si>
    <t>2009-PL-082</t>
  </si>
  <si>
    <t>2009-PL-083</t>
  </si>
  <si>
    <t>2009-PL-084</t>
  </si>
  <si>
    <t>2009-PL-085</t>
  </si>
  <si>
    <t>2009-PL-086</t>
  </si>
  <si>
    <t>2009-PL-087</t>
  </si>
  <si>
    <t>2009-PL-088</t>
  </si>
  <si>
    <t>2009-PL-089</t>
  </si>
  <si>
    <t>2009-PL-090</t>
  </si>
  <si>
    <t>2009-PL-091</t>
  </si>
  <si>
    <t>2009-PL-092</t>
  </si>
  <si>
    <t>2009-PL-093</t>
  </si>
  <si>
    <t>2009-PL-094</t>
  </si>
  <si>
    <t>2009-PL-095</t>
  </si>
  <si>
    <t>2009-PL-096</t>
  </si>
  <si>
    <t>2009-PL-097</t>
  </si>
  <si>
    <t>2009-PL-098</t>
  </si>
  <si>
    <t>2009-PL-099</t>
  </si>
  <si>
    <t>2009-PL-100</t>
  </si>
  <si>
    <t>2009-PL-101</t>
  </si>
  <si>
    <t>2009-PL-102</t>
  </si>
  <si>
    <t>2009-PL-103</t>
  </si>
  <si>
    <t>2009-PL-104</t>
  </si>
  <si>
    <t>2009-PL-105</t>
  </si>
  <si>
    <t>2009-PL-106</t>
  </si>
  <si>
    <t>2009-PL-107</t>
  </si>
  <si>
    <t>2009-PL-108</t>
  </si>
  <si>
    <t>2009-PL-109</t>
  </si>
  <si>
    <t>2009-PL-110</t>
  </si>
  <si>
    <t>2009-PL-111</t>
  </si>
  <si>
    <t>2009-PL-112</t>
  </si>
  <si>
    <t>2009-PL-113</t>
  </si>
  <si>
    <t>2009-PL-114</t>
  </si>
  <si>
    <t>2009-PL-115</t>
  </si>
  <si>
    <t>2009-PL-116</t>
  </si>
  <si>
    <t>2009-PL-117</t>
  </si>
  <si>
    <t>2009-PL-118</t>
  </si>
  <si>
    <t>2009-PL-119</t>
  </si>
  <si>
    <t>2009-PL-120</t>
  </si>
  <si>
    <t>2009-PL-121</t>
  </si>
  <si>
    <t>2009-PL-122</t>
  </si>
  <si>
    <t>2009-PL-123</t>
  </si>
  <si>
    <t>2009-PL-124</t>
  </si>
  <si>
    <t>2009-PL-125</t>
  </si>
  <si>
    <t>2009-PL-126</t>
  </si>
  <si>
    <t>2009-PL-127</t>
  </si>
  <si>
    <t>2009-PL-128</t>
  </si>
  <si>
    <t>2009-PL-129</t>
  </si>
  <si>
    <t>2009-PL-130</t>
  </si>
  <si>
    <t>2009-PL-131</t>
  </si>
  <si>
    <t>2009-PL-132</t>
  </si>
  <si>
    <t>2009-PL-133</t>
  </si>
  <si>
    <t>2009-PL-134</t>
  </si>
  <si>
    <t>2009-PL-135</t>
  </si>
  <si>
    <t>2009-PL-136</t>
  </si>
  <si>
    <t>2009-PL-137</t>
  </si>
  <si>
    <t>2009-PL-138</t>
  </si>
  <si>
    <t>2009-PL-139</t>
  </si>
  <si>
    <t>2009-PL-140</t>
  </si>
  <si>
    <t>2009-PL-141</t>
  </si>
  <si>
    <t>2009-PL-142</t>
  </si>
  <si>
    <t>2009-PL-143</t>
  </si>
  <si>
    <t>2009-PL-144</t>
  </si>
  <si>
    <t>2009-PL-145</t>
  </si>
  <si>
    <t>2009-PL-146</t>
  </si>
  <si>
    <t>2009-PL-147</t>
  </si>
  <si>
    <t>2009-PL-148</t>
  </si>
  <si>
    <t>2009-PL-149</t>
  </si>
  <si>
    <t>2009-PL-150</t>
  </si>
  <si>
    <t>2009-PL-151</t>
  </si>
  <si>
    <t>2009-PL-152</t>
  </si>
  <si>
    <t>2009-PL-153</t>
  </si>
  <si>
    <t>2009-PL-154</t>
  </si>
  <si>
    <t>2009-PL-155</t>
  </si>
  <si>
    <t>2009-PL-156</t>
  </si>
  <si>
    <t>2009-PL-157</t>
  </si>
  <si>
    <t>2009-PL-158</t>
  </si>
  <si>
    <t>2009-PL-159</t>
  </si>
  <si>
    <t>2009-PL-160</t>
  </si>
  <si>
    <t>2009-PL-161</t>
  </si>
  <si>
    <t>2009-PL-162</t>
  </si>
  <si>
    <t>2009-PL-163</t>
  </si>
  <si>
    <t>2009-PL-164</t>
  </si>
  <si>
    <t>2009-PL-165</t>
  </si>
  <si>
    <t>2009-PL-166</t>
  </si>
  <si>
    <t>2009-PL-167</t>
  </si>
  <si>
    <t>2009-PL-168</t>
  </si>
  <si>
    <t>2009-PL-169</t>
  </si>
  <si>
    <t>2009-PL-170</t>
  </si>
  <si>
    <t>2009-PL-171</t>
  </si>
  <si>
    <t>2009-PL-172</t>
  </si>
  <si>
    <t>2009-PL-173</t>
  </si>
  <si>
    <t>2009-PL-174</t>
  </si>
  <si>
    <t>2009-PL-175</t>
  </si>
  <si>
    <t>2009-PL-176</t>
  </si>
  <si>
    <t>2009-PL-177</t>
  </si>
  <si>
    <t>2009-PL-178</t>
  </si>
  <si>
    <t>2009-PL-179</t>
  </si>
  <si>
    <t>2009-PL-180</t>
  </si>
  <si>
    <t>2009-PL-181</t>
  </si>
  <si>
    <t>2009-PL-182</t>
  </si>
  <si>
    <t>2009-PL-183</t>
  </si>
  <si>
    <t>2009-PL-184</t>
  </si>
  <si>
    <t>2009-PL-185</t>
  </si>
  <si>
    <t>2009-PL-186</t>
  </si>
  <si>
    <t>2009-PL-187</t>
  </si>
  <si>
    <t>2009-PL-188</t>
  </si>
  <si>
    <t>2009-PL-189</t>
  </si>
  <si>
    <t>2009-PL-190</t>
  </si>
  <si>
    <t>2009-PL-191</t>
  </si>
  <si>
    <t>2009-PL-192</t>
  </si>
  <si>
    <t>2009-PL-193</t>
  </si>
  <si>
    <t>2009-PL-194</t>
  </si>
  <si>
    <t>2009-PL-195</t>
  </si>
  <si>
    <t>2009-PL-196</t>
  </si>
  <si>
    <t>2009-PL-197</t>
  </si>
  <si>
    <t>2009-PL-198</t>
  </si>
  <si>
    <t>2009-PL-199</t>
  </si>
  <si>
    <t>2009-PL-200</t>
  </si>
  <si>
    <t>2009-PL-201</t>
  </si>
  <si>
    <t>2009-PL-202</t>
  </si>
  <si>
    <t>2009-PL-203</t>
  </si>
  <si>
    <t>2009-PL-204</t>
  </si>
  <si>
    <t>2009-PL-205</t>
  </si>
  <si>
    <t>2009-PL-206</t>
  </si>
  <si>
    <t>2009-PL-207</t>
  </si>
  <si>
    <t>2009-PL-208</t>
  </si>
  <si>
    <t>2009-PL-209</t>
  </si>
  <si>
    <t>2009-PL-210</t>
  </si>
  <si>
    <t>2009-PL-211</t>
  </si>
  <si>
    <t>2009-PL-212</t>
  </si>
  <si>
    <t>2009-PL-213</t>
  </si>
  <si>
    <t>2009-PL-214</t>
  </si>
  <si>
    <t>2009-PL-215</t>
  </si>
  <si>
    <t>2009-PL-216</t>
  </si>
  <si>
    <t>2009-PL-217</t>
  </si>
  <si>
    <t>2009-PL-218</t>
  </si>
  <si>
    <t>2009-PL-219</t>
  </si>
  <si>
    <t>2009-PL-220</t>
  </si>
  <si>
    <t>2009-PL-221</t>
  </si>
  <si>
    <t>2009-PL-222</t>
  </si>
  <si>
    <t>2009-PL-223</t>
  </si>
  <si>
    <t>2009-PL-224</t>
  </si>
  <si>
    <t>2009-PL-225</t>
  </si>
  <si>
    <t>2009-PL-226</t>
  </si>
  <si>
    <t>2009-PL-227</t>
  </si>
  <si>
    <t>2009-PL-228</t>
  </si>
  <si>
    <t>2009-PL-229</t>
  </si>
  <si>
    <t>2009-PL-230</t>
  </si>
  <si>
    <t>2009-PL-231</t>
  </si>
  <si>
    <t>2009-PL-232</t>
  </si>
  <si>
    <t>2009-PL-233</t>
  </si>
  <si>
    <t>2009-PL-234</t>
  </si>
  <si>
    <t>2009-PL-235</t>
  </si>
  <si>
    <t>2009-PL-236</t>
  </si>
  <si>
    <t>2009-PL-237</t>
  </si>
  <si>
    <t>2009-PL-238</t>
  </si>
  <si>
    <t>2009-PL-239</t>
  </si>
  <si>
    <t>2009-PL-240</t>
  </si>
  <si>
    <t>2009-PL-241</t>
  </si>
  <si>
    <t>2009-PL-242</t>
  </si>
  <si>
    <t>2009-PL-243</t>
  </si>
  <si>
    <t>2009-PL-244</t>
  </si>
  <si>
    <t>2009-PL-245</t>
  </si>
  <si>
    <t>2009-PL-246</t>
  </si>
  <si>
    <t>2009-PL-247</t>
  </si>
  <si>
    <t>2009-PL-248</t>
  </si>
  <si>
    <t>2009-PL-249</t>
  </si>
  <si>
    <t>2009-PL-250</t>
  </si>
  <si>
    <t>2009-PL-251</t>
  </si>
  <si>
    <t>2009-PL-252</t>
  </si>
  <si>
    <t>2009-PL-253</t>
  </si>
  <si>
    <t>2009-PL-254</t>
  </si>
  <si>
    <t>2009-PL-255</t>
  </si>
  <si>
    <t>2009-PL-256</t>
  </si>
  <si>
    <t>2009-PL-257</t>
  </si>
  <si>
    <t>2009-PL-258</t>
  </si>
  <si>
    <t>2009-PL-259</t>
  </si>
  <si>
    <t>2009-PL-260</t>
  </si>
  <si>
    <t>2009-PL-261</t>
  </si>
  <si>
    <t>2009-PL-262</t>
  </si>
  <si>
    <t>2009-PL-263</t>
  </si>
  <si>
    <t>2009-PL-264</t>
  </si>
  <si>
    <t>2009-PL-265</t>
  </si>
  <si>
    <t>2009-PL-266</t>
  </si>
  <si>
    <t>2009-PL-267</t>
  </si>
  <si>
    <t>2009-PL-268</t>
  </si>
  <si>
    <t>2009-PL-269</t>
  </si>
  <si>
    <t>2009-PL-270</t>
  </si>
  <si>
    <t>2009-PL-271</t>
  </si>
  <si>
    <t>2009-PL-272</t>
  </si>
  <si>
    <t>2009-PL-273</t>
  </si>
  <si>
    <t>2009-PL-274</t>
  </si>
  <si>
    <t>2009-PL-275</t>
  </si>
  <si>
    <t>2009-PL-276</t>
  </si>
  <si>
    <t>2009-PL-277</t>
  </si>
  <si>
    <t>2009-PL-278</t>
  </si>
  <si>
    <t>2009-PL-279</t>
  </si>
  <si>
    <t>2009-PL-280</t>
  </si>
  <si>
    <t>2009-PL-281</t>
  </si>
  <si>
    <t>2009-PL-282</t>
  </si>
  <si>
    <t>2009-PL-283</t>
  </si>
  <si>
    <t>2009-PL-284</t>
  </si>
  <si>
    <t>2009-PL-285</t>
  </si>
  <si>
    <t>2009-PL-286</t>
  </si>
  <si>
    <t>2009-PL-287</t>
  </si>
  <si>
    <t>2009-PL-288</t>
  </si>
  <si>
    <t>2009-PL-289</t>
  </si>
  <si>
    <t>2009-PL-290</t>
  </si>
  <si>
    <t>2009-PL-291</t>
  </si>
  <si>
    <t>2009-PL-292</t>
  </si>
  <si>
    <t>2009-PL-293</t>
  </si>
  <si>
    <t>2009-PL-294</t>
  </si>
  <si>
    <t>2009-PL-295</t>
  </si>
  <si>
    <t>2009-PL-296</t>
  </si>
  <si>
    <t>2009-PL-297</t>
  </si>
  <si>
    <t>2009-PL-298</t>
  </si>
  <si>
    <t>2009-PL-299</t>
  </si>
  <si>
    <t>2009-PL-300</t>
  </si>
  <si>
    <t>2009-PL-301</t>
  </si>
  <si>
    <t>2009-PL-302</t>
  </si>
  <si>
    <t>2009-PL-303</t>
  </si>
  <si>
    <t>2009-PL-304</t>
  </si>
  <si>
    <t>2009-PL-305</t>
  </si>
  <si>
    <t>2009-PL-306</t>
  </si>
  <si>
    <t>2009-PL-307</t>
  </si>
  <si>
    <t>2009-PL-308</t>
  </si>
  <si>
    <t>2009-PL-309</t>
  </si>
  <si>
    <t>2009-PL-310</t>
  </si>
  <si>
    <t>2009-PL-311</t>
  </si>
  <si>
    <t>2009-PL-312</t>
  </si>
  <si>
    <t>2009-PL-313</t>
  </si>
  <si>
    <t>2009-PL-314</t>
  </si>
  <si>
    <t>2009-PL-315</t>
  </si>
  <si>
    <t>2009-PL-316</t>
  </si>
  <si>
    <t>2009-PL-317</t>
  </si>
  <si>
    <t>2009-PL-318</t>
  </si>
  <si>
    <t>2009-PL-319</t>
  </si>
  <si>
    <t>2009-PL-320</t>
  </si>
  <si>
    <t>2009-PL-321</t>
  </si>
  <si>
    <t>2009-PL-322</t>
  </si>
  <si>
    <t>2009-PL-323</t>
  </si>
  <si>
    <t>2009-PL-324</t>
  </si>
  <si>
    <t>2009-PL-325</t>
  </si>
  <si>
    <t>2009-PL-326</t>
  </si>
  <si>
    <t>2009-PL-327</t>
  </si>
  <si>
    <t>2009-PL-328</t>
  </si>
  <si>
    <t>2009-PL-329</t>
  </si>
  <si>
    <t>2009-PL-330</t>
  </si>
  <si>
    <t>2009-PL-331</t>
  </si>
  <si>
    <t>2009-PL-332</t>
  </si>
  <si>
    <t>2009-PL-333</t>
  </si>
  <si>
    <t>2009-PL-334</t>
  </si>
  <si>
    <t>2009-PL-335</t>
  </si>
  <si>
    <t>2009-PL-336</t>
  </si>
  <si>
    <t>2009-PL-337</t>
  </si>
  <si>
    <t>2009-PL-338</t>
  </si>
  <si>
    <t>2009-PL-339</t>
  </si>
  <si>
    <t>2009-PL-340</t>
  </si>
  <si>
    <t>2009-PL-341</t>
  </si>
  <si>
    <t>2009-PL-342</t>
  </si>
  <si>
    <t>2009-PL-343</t>
  </si>
  <si>
    <t>2009-PL-344</t>
  </si>
  <si>
    <t>2009-PL-345</t>
  </si>
  <si>
    <t>2009-PL-346</t>
  </si>
  <si>
    <t>2009-PL-347</t>
  </si>
  <si>
    <t>2009-PL-348</t>
  </si>
  <si>
    <t>2009-PL-349</t>
  </si>
  <si>
    <t>2009-PL-350</t>
  </si>
  <si>
    <t>2009-PL-351</t>
  </si>
  <si>
    <t>2009-PL-352</t>
  </si>
  <si>
    <t>2009-PL-353</t>
  </si>
  <si>
    <t>2009-PL-354</t>
  </si>
  <si>
    <t>2009-PL-355</t>
  </si>
  <si>
    <t>2009-PL-356</t>
  </si>
  <si>
    <t>2009-PL-357</t>
  </si>
  <si>
    <t>2009-PL-358</t>
  </si>
  <si>
    <t>2009-PL-359</t>
  </si>
  <si>
    <t>2009-PL-360</t>
  </si>
  <si>
    <t>2009-PL-361</t>
  </si>
  <si>
    <t>2009-PL-362</t>
  </si>
  <si>
    <t>2009-PL-363</t>
  </si>
  <si>
    <t>2009-PL-364</t>
  </si>
  <si>
    <t>2009-PL-365</t>
  </si>
  <si>
    <t>2009-PL-366</t>
  </si>
  <si>
    <t>2009-PL-367</t>
  </si>
  <si>
    <t>2009-PL-368</t>
  </si>
  <si>
    <t>2009-PL-369</t>
  </si>
  <si>
    <t>2009-PL-370</t>
  </si>
  <si>
    <t>2009-PL-371</t>
  </si>
  <si>
    <t>2009-PL-372</t>
  </si>
  <si>
    <t>2009-PL-373</t>
  </si>
  <si>
    <t>2009-PL-374</t>
  </si>
  <si>
    <t>2009-PL-375</t>
  </si>
  <si>
    <t>2009-PL-376</t>
  </si>
  <si>
    <t>2009-PL-377</t>
  </si>
  <si>
    <t>2009-PL-378</t>
  </si>
  <si>
    <t>2009-PL-379</t>
  </si>
  <si>
    <t>2009-PL-380</t>
  </si>
  <si>
    <t>2010-PL-001</t>
  </si>
  <si>
    <t>2010-PL-002</t>
  </si>
  <si>
    <t>2010-PL-003</t>
  </si>
  <si>
    <t>2010-PL-004</t>
  </si>
  <si>
    <t>2010-PL-005</t>
  </si>
  <si>
    <t>2010-PL-006</t>
  </si>
  <si>
    <t>2010-PL-007</t>
  </si>
  <si>
    <t>2010-PL-008</t>
  </si>
  <si>
    <t>2010-PL-009</t>
  </si>
  <si>
    <t>2010-PL-010</t>
  </si>
  <si>
    <t>2010-PL-011</t>
  </si>
  <si>
    <t>2010-PL-012</t>
  </si>
  <si>
    <t>2010-PL-013</t>
  </si>
  <si>
    <t>2010-PL-014</t>
  </si>
  <si>
    <t>2010-PL-015</t>
  </si>
  <si>
    <t>2010-PL-016</t>
  </si>
  <si>
    <t>2010-PL-017</t>
  </si>
  <si>
    <t>2010-PL-018</t>
  </si>
  <si>
    <t>2010-PL-019</t>
  </si>
  <si>
    <t>2010-PL-020</t>
  </si>
  <si>
    <t>2010-PL-021</t>
  </si>
  <si>
    <t>2010-PL-022</t>
  </si>
  <si>
    <t>2010-PL-023</t>
  </si>
  <si>
    <t>2010-PL-024</t>
  </si>
  <si>
    <t>2010-PL-025</t>
  </si>
  <si>
    <t>2010-PL-026</t>
  </si>
  <si>
    <t>2010-PL-027</t>
  </si>
  <si>
    <t>2010-PL-028</t>
  </si>
  <si>
    <t>2010-PL-029</t>
  </si>
  <si>
    <t>2010-PL-030</t>
  </si>
  <si>
    <t>2010-PL-031</t>
  </si>
  <si>
    <t>2010-PL-032</t>
  </si>
  <si>
    <t>2010-PL-033</t>
  </si>
  <si>
    <t>2010-PL-034</t>
  </si>
  <si>
    <t>2010-PL-035</t>
  </si>
  <si>
    <t>2010-PL-036</t>
  </si>
  <si>
    <t>2010-PL-037</t>
  </si>
  <si>
    <t>2010-PL-038</t>
  </si>
  <si>
    <t>2010-PL-039</t>
  </si>
  <si>
    <t>2010-PL-040</t>
  </si>
  <si>
    <t>2010-PL-041</t>
  </si>
  <si>
    <t>2010-PL-042</t>
  </si>
  <si>
    <t>2010-PL-043</t>
  </si>
  <si>
    <t>2010-PL-044</t>
  </si>
  <si>
    <t>2010-PL-045</t>
  </si>
  <si>
    <t>2010-PL-046</t>
  </si>
  <si>
    <t>2010-PL-047</t>
  </si>
  <si>
    <t>2010-PL-048</t>
  </si>
  <si>
    <t>2010-PL-049</t>
  </si>
  <si>
    <t>2010-PL-050</t>
  </si>
  <si>
    <t>2010-PL-051</t>
  </si>
  <si>
    <t>2010-PL-052</t>
  </si>
  <si>
    <t>2010-PL-053</t>
  </si>
  <si>
    <t>2010-PL-054</t>
  </si>
  <si>
    <t>2010-PL-055</t>
  </si>
  <si>
    <t>2010-PL-056</t>
  </si>
  <si>
    <t>2010-PL-057</t>
  </si>
  <si>
    <t>2010-PL-058</t>
  </si>
  <si>
    <t>2010-PL-059</t>
  </si>
  <si>
    <t>2010-PL-060</t>
  </si>
  <si>
    <t>2010-PL-061</t>
  </si>
  <si>
    <t>2010-PL-062</t>
  </si>
  <si>
    <t>2010-PL-063</t>
  </si>
  <si>
    <t>2010-PL-064</t>
  </si>
  <si>
    <t>2010-PL-065</t>
  </si>
  <si>
    <t>2010-PL-066</t>
  </si>
  <si>
    <t>2010-PL-067</t>
  </si>
  <si>
    <t>2010-PL-068</t>
  </si>
  <si>
    <t>2010-PL-069</t>
  </si>
  <si>
    <t>2010-PL-070</t>
  </si>
  <si>
    <t>2010-PL-071</t>
  </si>
  <si>
    <t>2010-PL-072</t>
  </si>
  <si>
    <t>2010-PL-073</t>
  </si>
  <si>
    <t>2010-PL-074</t>
  </si>
  <si>
    <t>2010-PL-075</t>
  </si>
  <si>
    <t>2010-PL-076</t>
  </si>
  <si>
    <t>2010-PL-077</t>
  </si>
  <si>
    <t>2010-PL-078</t>
  </si>
  <si>
    <t>2010-PL-079</t>
  </si>
  <si>
    <t>2010-PL-080</t>
  </si>
  <si>
    <t>2010-PL-081</t>
  </si>
  <si>
    <t>2010-PL-082</t>
  </si>
  <si>
    <t>2010-PL-083</t>
  </si>
  <si>
    <t>2010-PL-084</t>
  </si>
  <si>
    <t>2010-PL-085</t>
  </si>
  <si>
    <t>2010-PL-086</t>
  </si>
  <si>
    <t>2010-PL-087</t>
  </si>
  <si>
    <t>2010-PL-088</t>
  </si>
  <si>
    <t>2010-PL-089</t>
  </si>
  <si>
    <t>2010-PL-090</t>
  </si>
  <si>
    <t>2010-PL-091</t>
  </si>
  <si>
    <t>2010-PL-092</t>
  </si>
  <si>
    <t>2010-PL-093</t>
  </si>
  <si>
    <t>2010-PL-094</t>
  </si>
  <si>
    <t>2010-PL-095</t>
  </si>
  <si>
    <t>2010-PL-096</t>
  </si>
  <si>
    <t>2010-PL-097</t>
  </si>
  <si>
    <t>2010-PL-098</t>
  </si>
  <si>
    <t>2010-PL-099</t>
  </si>
  <si>
    <t>2010-PL-100</t>
  </si>
  <si>
    <t>2010-PL-101</t>
  </si>
  <si>
    <t>2010-PL-102</t>
  </si>
  <si>
    <t>2010-PL-103</t>
  </si>
  <si>
    <t>2010-PL-104</t>
  </si>
  <si>
    <t>2010-PL-105</t>
  </si>
  <si>
    <t>2010-PL-106</t>
  </si>
  <si>
    <t>2010-PL-107</t>
  </si>
  <si>
    <t>2010-PL-108</t>
  </si>
  <si>
    <t>2010-PL-109</t>
  </si>
  <si>
    <t>2010-PL-110</t>
  </si>
  <si>
    <t>2010-PL-111</t>
  </si>
  <si>
    <t>2010-PL-112</t>
  </si>
  <si>
    <t>2010-PL-113</t>
  </si>
  <si>
    <t>2010-PL-114</t>
  </si>
  <si>
    <t>2010-PL-115</t>
  </si>
  <si>
    <t>2010-PL-116</t>
  </si>
  <si>
    <t>2010-PL-117</t>
  </si>
  <si>
    <t>2010-PL-118</t>
  </si>
  <si>
    <t>2010-PL-119</t>
  </si>
  <si>
    <t>2010-PL-120</t>
  </si>
  <si>
    <t>2010-PL-121</t>
  </si>
  <si>
    <t>2010-PL-122</t>
  </si>
  <si>
    <t>2010-PL-123</t>
  </si>
  <si>
    <t>2010-PL-124</t>
  </si>
  <si>
    <t>2010-PL-125</t>
  </si>
  <si>
    <t>2010-PL-126</t>
  </si>
  <si>
    <t>2010-PL-127</t>
  </si>
  <si>
    <t>2010-PL-128</t>
  </si>
  <si>
    <t>2010-PL-129</t>
  </si>
  <si>
    <t>2010-PL-130</t>
  </si>
  <si>
    <t>2010-PL-131</t>
  </si>
  <si>
    <t>2010-PL-132</t>
  </si>
  <si>
    <t>2010-PL-133</t>
  </si>
  <si>
    <t>2010-PL-134</t>
  </si>
  <si>
    <t>2010-PL-135</t>
  </si>
  <si>
    <t>2010-PL-136</t>
  </si>
  <si>
    <t>2010-PL-137</t>
  </si>
  <si>
    <t>2010-PL-138</t>
  </si>
  <si>
    <t>2010-PL-139</t>
  </si>
  <si>
    <t>2010-PL-140</t>
  </si>
  <si>
    <t>2010-PL-141</t>
  </si>
  <si>
    <t>2010-PL-142</t>
  </si>
  <si>
    <t>2010-PL-143</t>
  </si>
  <si>
    <t>2010-PL-144</t>
  </si>
  <si>
    <t>2010-PL-145</t>
  </si>
  <si>
    <t>2010-PL-146</t>
  </si>
  <si>
    <t>2010-PL-147</t>
  </si>
  <si>
    <t>2010-PL-148</t>
  </si>
  <si>
    <t>2010-PL-149</t>
  </si>
  <si>
    <t>2010-PL-150</t>
  </si>
  <si>
    <t>2010-PL-151</t>
  </si>
  <si>
    <t>2010-PL-152</t>
  </si>
  <si>
    <t>2010-PL-153</t>
  </si>
  <si>
    <t>2010-PL-154</t>
  </si>
  <si>
    <t>2010-PL-155</t>
  </si>
  <si>
    <t>2010-PL-156</t>
  </si>
  <si>
    <t>2010-PL-157</t>
  </si>
  <si>
    <t>2010-PL-158</t>
  </si>
  <si>
    <t>2010-PL-159</t>
  </si>
  <si>
    <t>2010-PL-160</t>
  </si>
  <si>
    <t>2010-PL-161</t>
  </si>
  <si>
    <t>2010-PL-162</t>
  </si>
  <si>
    <t>2010-PL-163</t>
  </si>
  <si>
    <t>2010-PL-164</t>
  </si>
  <si>
    <t>2010-PL-165</t>
  </si>
  <si>
    <t>2010-PL-166</t>
  </si>
  <si>
    <t>2010-PL-167</t>
  </si>
  <si>
    <t>2010-PL-168</t>
  </si>
  <si>
    <t>2010-PL-169</t>
  </si>
  <si>
    <t>2010-PL-170</t>
  </si>
  <si>
    <t>2010-PL-171</t>
  </si>
  <si>
    <t>2010-PL-172</t>
  </si>
  <si>
    <t>2010-PL-173</t>
  </si>
  <si>
    <t>2010-PL-174</t>
  </si>
  <si>
    <t>2010-PL-175</t>
  </si>
  <si>
    <t>2010-PL-176</t>
  </si>
  <si>
    <t>2010-PL-177</t>
  </si>
  <si>
    <t>2010-PL-178</t>
  </si>
  <si>
    <t>2010-PL-179</t>
  </si>
  <si>
    <t>2010-PL-180</t>
  </si>
  <si>
    <t>2010-PL-181</t>
  </si>
  <si>
    <t>2010-PL-182</t>
  </si>
  <si>
    <t>2010-PL-183</t>
  </si>
  <si>
    <t>2010-PL-184</t>
  </si>
  <si>
    <t>2010-PL-185</t>
  </si>
  <si>
    <t>2010-PL-186</t>
  </si>
  <si>
    <t>2010-PL-187</t>
  </si>
  <si>
    <t>2010-PL-188</t>
  </si>
  <si>
    <t>2010-PL-189</t>
  </si>
  <si>
    <t>2010-PL-190</t>
  </si>
  <si>
    <t>2010-PL-191</t>
  </si>
  <si>
    <t>2010-PL-192</t>
  </si>
  <si>
    <t>2010-PL-193</t>
  </si>
  <si>
    <t>2010-PL-194</t>
  </si>
  <si>
    <t>2010-PL-195</t>
  </si>
  <si>
    <t>2010-PL-196</t>
  </si>
  <si>
    <t>2010-PL-197</t>
  </si>
  <si>
    <t>2010-PL-198</t>
  </si>
  <si>
    <t>2010-PL-199</t>
  </si>
  <si>
    <t>2010-PL-200</t>
  </si>
  <si>
    <t>2010-PL-201</t>
  </si>
  <si>
    <t>2010-PL-202</t>
  </si>
  <si>
    <t>2010-PL-203</t>
  </si>
  <si>
    <t>2010-PL-204</t>
  </si>
  <si>
    <t>2010-PL-205</t>
  </si>
  <si>
    <t>2010-PL-206</t>
  </si>
  <si>
    <t>2010-PL-207</t>
  </si>
  <si>
    <t>2010-PL-208</t>
  </si>
  <si>
    <t>2010-PL-209</t>
  </si>
  <si>
    <t>2010-PL-210</t>
  </si>
  <si>
    <t>2010-PL-211</t>
  </si>
  <si>
    <t>2010-PL-212</t>
  </si>
  <si>
    <t>2010-PL-213</t>
  </si>
  <si>
    <t>2010-PL-214</t>
  </si>
  <si>
    <t>2010-PL-215</t>
  </si>
  <si>
    <t>2010-PL-216</t>
  </si>
  <si>
    <t>2010-PL-217</t>
  </si>
  <si>
    <t>2010-PL-218</t>
  </si>
  <si>
    <t>2010-PL-219</t>
  </si>
  <si>
    <t>2010-PL-220</t>
  </si>
  <si>
    <t>2010-PL-221</t>
  </si>
  <si>
    <t>2010-PL-222</t>
  </si>
  <si>
    <t>2010-PL-223</t>
  </si>
  <si>
    <t>2010-PL-224</t>
  </si>
  <si>
    <t>2010-PL-225</t>
  </si>
  <si>
    <t>2010-PL-226</t>
  </si>
  <si>
    <t>2010-PL-227</t>
  </si>
  <si>
    <t>2010-PL-228</t>
  </si>
  <si>
    <t>2010-PL-229</t>
  </si>
  <si>
    <t>2010-PL-230</t>
  </si>
  <si>
    <t>2010-PL-231</t>
  </si>
  <si>
    <t>2010-PL-232</t>
  </si>
  <si>
    <t>2010-PL-233</t>
  </si>
  <si>
    <t>2010-PL-234</t>
  </si>
  <si>
    <t>2010-PL-235</t>
  </si>
  <si>
    <t>2010-PL-236</t>
  </si>
  <si>
    <t>2010-PL-237</t>
  </si>
  <si>
    <t>2010-PL-238</t>
  </si>
  <si>
    <t>2010-PL-239</t>
  </si>
  <si>
    <t>2010-PL-240</t>
  </si>
  <si>
    <t>2010-PL-241</t>
  </si>
  <si>
    <t>2010-PL-242</t>
  </si>
  <si>
    <t>2010-PL-243</t>
  </si>
  <si>
    <t>2010-PL-244</t>
  </si>
  <si>
    <t>2010-PL-245</t>
  </si>
  <si>
    <t>2010-PL-246</t>
  </si>
  <si>
    <t>2010-PL-247</t>
  </si>
  <si>
    <t>2010-PL-248</t>
  </si>
  <si>
    <t>2010-PL-249</t>
  </si>
  <si>
    <t>2010-PL-250</t>
  </si>
  <si>
    <t>2010-PL-251</t>
  </si>
  <si>
    <t>2010-PL-252</t>
  </si>
  <si>
    <t>2010-PL-253</t>
  </si>
  <si>
    <t>2010-PL-254</t>
  </si>
  <si>
    <t>2010-PL-255</t>
  </si>
  <si>
    <t>2010-PL-256</t>
  </si>
  <si>
    <t>2010-PL-257</t>
  </si>
  <si>
    <t>2010-PL-258</t>
  </si>
  <si>
    <t>2010-PL-259</t>
  </si>
  <si>
    <t>2010-PL-260</t>
  </si>
  <si>
    <t>2010-PL-261</t>
  </si>
  <si>
    <t>2010-PL-262</t>
  </si>
  <si>
    <t>2010-PL-263</t>
  </si>
  <si>
    <t>2010-PL-264</t>
  </si>
  <si>
    <t>2010-PL-265</t>
  </si>
  <si>
    <t>2010-PL-266</t>
  </si>
  <si>
    <t>2010-PL-267</t>
  </si>
  <si>
    <t>2010-PL-268</t>
  </si>
  <si>
    <t>2010-PL-269</t>
  </si>
  <si>
    <t>2010-PL-270</t>
  </si>
  <si>
    <t>2010-PL-271</t>
  </si>
  <si>
    <t>2010-PL-272</t>
  </si>
  <si>
    <t>2010-PL-273</t>
  </si>
  <si>
    <t>2010-PL-274</t>
  </si>
  <si>
    <t>2010-PL-275</t>
  </si>
  <si>
    <t>2010-PL-276</t>
  </si>
  <si>
    <t>2010-PL-277</t>
  </si>
  <si>
    <t>2010-PL-278</t>
  </si>
  <si>
    <t>2010-PL-279</t>
  </si>
  <si>
    <t>2010-PL-280</t>
  </si>
  <si>
    <t>2010-PL-281</t>
  </si>
  <si>
    <t>2010-PL-282</t>
  </si>
  <si>
    <t>2010-PL-283</t>
  </si>
  <si>
    <t>2010-PL-284</t>
  </si>
  <si>
    <t>2010-PL-285</t>
  </si>
  <si>
    <t>2010-PL-286</t>
  </si>
  <si>
    <t>2010-PL-287</t>
  </si>
  <si>
    <t>2010-PL-288</t>
  </si>
  <si>
    <t>2010-PL-289</t>
  </si>
  <si>
    <t>2010-PL-290</t>
  </si>
  <si>
    <t>2010-PL-291</t>
  </si>
  <si>
    <t>2010-PL-292</t>
  </si>
  <si>
    <t>2010-PL-293</t>
  </si>
  <si>
    <t>2010-PL-294</t>
  </si>
  <si>
    <t>2010-PL-295</t>
  </si>
  <si>
    <t>2010-PL-296</t>
  </si>
  <si>
    <t>2010-PL-297</t>
  </si>
  <si>
    <t>2010-PL-298</t>
  </si>
  <si>
    <t>2010-PL-299</t>
  </si>
  <si>
    <t>2010-PL-300</t>
  </si>
  <si>
    <t>2010-PL-301</t>
  </si>
  <si>
    <t>2010-PL-302</t>
  </si>
  <si>
    <t>2010-PL-303</t>
  </si>
  <si>
    <t>2010-PL-304</t>
  </si>
  <si>
    <t>2010-PL-305</t>
  </si>
  <si>
    <t>2010-PL-306</t>
  </si>
  <si>
    <t>2010-PL-307</t>
  </si>
  <si>
    <t>2010-PL-308</t>
  </si>
  <si>
    <t>2010-PL-309</t>
  </si>
  <si>
    <t>2010-PL-310</t>
  </si>
  <si>
    <t>2010-PL-311</t>
  </si>
  <si>
    <t>2010-PL-312</t>
  </si>
  <si>
    <t>2010-PL-313</t>
  </si>
  <si>
    <t>2010-PL-314</t>
  </si>
  <si>
    <t>2010-PL-315</t>
  </si>
  <si>
    <t>2010-PL-316</t>
  </si>
  <si>
    <t>2010-PL-317</t>
  </si>
  <si>
    <t>2010-PL-318</t>
  </si>
  <si>
    <t>2010-PL-319</t>
  </si>
  <si>
    <t>2010-PL-320</t>
  </si>
  <si>
    <t>2010-PL-321</t>
  </si>
  <si>
    <t>2010-PL-322</t>
  </si>
  <si>
    <t>2010-PL-323</t>
  </si>
  <si>
    <t>2010-PL-324</t>
  </si>
  <si>
    <t>2010-PL-325</t>
  </si>
  <si>
    <t>2010-PL-326</t>
  </si>
  <si>
    <t>2010-PL-327</t>
  </si>
  <si>
    <t>2010-PL-328</t>
  </si>
  <si>
    <t>2010-PL-329</t>
  </si>
  <si>
    <t>2010-PL-330</t>
  </si>
  <si>
    <t>2010-PL-331</t>
  </si>
  <si>
    <t>2010-PL-332</t>
  </si>
  <si>
    <t>2010-PL-333</t>
  </si>
  <si>
    <t>2010-PL-334</t>
  </si>
  <si>
    <t>2010-PL-335</t>
  </si>
  <si>
    <t>2010-PL-336</t>
  </si>
  <si>
    <t>2010-PL-337</t>
  </si>
  <si>
    <t>2010-PL-338</t>
  </si>
  <si>
    <t>2010-PL-339</t>
  </si>
  <si>
    <t>2010-PL-340</t>
  </si>
  <si>
    <t>2010-PL-341</t>
  </si>
  <si>
    <t>2010-PL-342</t>
  </si>
  <si>
    <t>2010-PL-343</t>
  </si>
  <si>
    <t>2010-PL-344</t>
  </si>
  <si>
    <t>2010-PL-345</t>
  </si>
  <si>
    <t>2010-PL-346</t>
  </si>
  <si>
    <t>2010-PL-347</t>
  </si>
  <si>
    <t>2010-PL-348</t>
  </si>
  <si>
    <t>2010-PL-349</t>
  </si>
  <si>
    <t>2010-PL-350</t>
  </si>
  <si>
    <t>2010-PL-351</t>
  </si>
  <si>
    <t>2010-PL-352</t>
  </si>
  <si>
    <t>2010-PL-353</t>
  </si>
  <si>
    <t>2010-PL-354</t>
  </si>
  <si>
    <t>2010-PL-355</t>
  </si>
  <si>
    <t>2010-PL-356</t>
  </si>
  <si>
    <t>2010-PL-357</t>
  </si>
  <si>
    <t>2010-PL-358</t>
  </si>
  <si>
    <t>2010-PL-359</t>
  </si>
  <si>
    <t>2010-PL-360</t>
  </si>
  <si>
    <t>2010-PL-361</t>
  </si>
  <si>
    <t>2010-PL-362</t>
  </si>
  <si>
    <t>2010-PL-363</t>
  </si>
  <si>
    <t>2010-PL-364</t>
  </si>
  <si>
    <t>2010-PL-365</t>
  </si>
  <si>
    <t>2010-PL-366</t>
  </si>
  <si>
    <t>2010-PL-367</t>
  </si>
  <si>
    <t>2010-PL-368</t>
  </si>
  <si>
    <t>2010-PL-369</t>
  </si>
  <si>
    <t>2010-PL-370</t>
  </si>
  <si>
    <t>2010-PL-371</t>
  </si>
  <si>
    <t>2010-PL-372</t>
  </si>
  <si>
    <t>2010-PL-373</t>
  </si>
  <si>
    <t>2010-PL-374</t>
  </si>
  <si>
    <t>2010-PL-375</t>
  </si>
  <si>
    <t>2010-PL-376</t>
  </si>
  <si>
    <t>2010-PL-377</t>
  </si>
  <si>
    <t>2010-PL-378</t>
  </si>
  <si>
    <t>2010-PL-379</t>
  </si>
  <si>
    <t>2010-PL-380</t>
  </si>
  <si>
    <t>2011-PL-001</t>
  </si>
  <si>
    <t>2011-PL-002</t>
  </si>
  <si>
    <t>2011-PL-003</t>
  </si>
  <si>
    <t>2011-PL-004</t>
  </si>
  <si>
    <t>2011-PL-005</t>
  </si>
  <si>
    <t>2011-PL-006</t>
  </si>
  <si>
    <t>2011-PL-007</t>
  </si>
  <si>
    <t>2011-PL-008</t>
  </si>
  <si>
    <t>2011-PL-009</t>
  </si>
  <si>
    <t>2011-PL-010</t>
  </si>
  <si>
    <t>2011-PL-011</t>
  </si>
  <si>
    <t>2011-PL-012</t>
  </si>
  <si>
    <t>2011-PL-013</t>
  </si>
  <si>
    <t>2011-PL-014</t>
  </si>
  <si>
    <t>2011-PL-015</t>
  </si>
  <si>
    <t>2011-PL-016</t>
  </si>
  <si>
    <t>2011-PL-017</t>
  </si>
  <si>
    <t>2011-PL-018</t>
  </si>
  <si>
    <t>2011-PL-019</t>
  </si>
  <si>
    <t>2011-PL-020</t>
  </si>
  <si>
    <t>2011-PL-021</t>
  </si>
  <si>
    <t>2011-PL-022</t>
  </si>
  <si>
    <t>2011-PL-023</t>
  </si>
  <si>
    <t>2011-PL-024</t>
  </si>
  <si>
    <t>2011-PL-025</t>
  </si>
  <si>
    <t>2011-PL-026</t>
  </si>
  <si>
    <t>2011-PL-027</t>
  </si>
  <si>
    <t>2011-PL-028</t>
  </si>
  <si>
    <t>2011-PL-029</t>
  </si>
  <si>
    <t>2011-PL-030</t>
  </si>
  <si>
    <t>2011-PL-031</t>
  </si>
  <si>
    <t>2011-PL-032</t>
  </si>
  <si>
    <t>2011-PL-033</t>
  </si>
  <si>
    <t>2011-PL-034</t>
  </si>
  <si>
    <t>2011-PL-035</t>
  </si>
  <si>
    <t>2011-PL-036</t>
  </si>
  <si>
    <t>2011-PL-037</t>
  </si>
  <si>
    <t>2011-PL-038</t>
  </si>
  <si>
    <t>2011-PL-039</t>
  </si>
  <si>
    <t>2011-PL-040</t>
  </si>
  <si>
    <t>2011-PL-041</t>
  </si>
  <si>
    <t>2011-PL-042</t>
  </si>
  <si>
    <t>2011-PL-043</t>
  </si>
  <si>
    <t>2011-PL-044</t>
  </si>
  <si>
    <t>2011-PL-045</t>
  </si>
  <si>
    <t>2011-PL-046</t>
  </si>
  <si>
    <t>2011-PL-047</t>
  </si>
  <si>
    <t>2011-PL-048</t>
  </si>
  <si>
    <t>2011-PL-049</t>
  </si>
  <si>
    <t>2011-PL-050</t>
  </si>
  <si>
    <t>2011-PL-051</t>
  </si>
  <si>
    <t>2011-PL-052</t>
  </si>
  <si>
    <t>2011-PL-053</t>
  </si>
  <si>
    <t>2011-PL-054</t>
  </si>
  <si>
    <t>2011-PL-055</t>
  </si>
  <si>
    <t>2011-PL-056</t>
  </si>
  <si>
    <t>2011-PL-057</t>
  </si>
  <si>
    <t>2011-PL-058</t>
  </si>
  <si>
    <t>2011-PL-059</t>
  </si>
  <si>
    <t>2011-PL-060</t>
  </si>
  <si>
    <t>2011-PL-061</t>
  </si>
  <si>
    <t>2011-PL-062</t>
  </si>
  <si>
    <t>2011-PL-063</t>
  </si>
  <si>
    <t>2011-PL-064</t>
  </si>
  <si>
    <t>2011-PL-065</t>
  </si>
  <si>
    <t>2011-PL-066</t>
  </si>
  <si>
    <t>2011-PL-067</t>
  </si>
  <si>
    <t>2011-PL-068</t>
  </si>
  <si>
    <t>2011-PL-069</t>
  </si>
  <si>
    <t>2011-PL-070</t>
  </si>
  <si>
    <t>2011-PL-071</t>
  </si>
  <si>
    <t>2011-PL-072</t>
  </si>
  <si>
    <t>2011-PL-073</t>
  </si>
  <si>
    <t>2011-PL-074</t>
  </si>
  <si>
    <t>2011-PL-075</t>
  </si>
  <si>
    <t>2011-PL-076</t>
  </si>
  <si>
    <t>2011-PL-077</t>
  </si>
  <si>
    <t>2011-PL-078</t>
  </si>
  <si>
    <t>2011-PL-079</t>
  </si>
  <si>
    <t>2011-PL-080</t>
  </si>
  <si>
    <t>2011-PL-081</t>
  </si>
  <si>
    <t>2011-PL-082</t>
  </si>
  <si>
    <t>2011-PL-083</t>
  </si>
  <si>
    <t>2011-PL-084</t>
  </si>
  <si>
    <t>2011-PL-085</t>
  </si>
  <si>
    <t>2011-PL-086</t>
  </si>
  <si>
    <t>2011-PL-087</t>
  </si>
  <si>
    <t>2011-PL-088</t>
  </si>
  <si>
    <t>2011-PL-089</t>
  </si>
  <si>
    <t>2011-PL-090</t>
  </si>
  <si>
    <t>2011-PL-091</t>
  </si>
  <si>
    <t>2011-PL-092</t>
  </si>
  <si>
    <t>2011-PL-093</t>
  </si>
  <si>
    <t>2011-PL-094</t>
  </si>
  <si>
    <t>2011-PL-095</t>
  </si>
  <si>
    <t>2011-PL-096</t>
  </si>
  <si>
    <t>2011-PL-097</t>
  </si>
  <si>
    <t>2011-PL-098</t>
  </si>
  <si>
    <t>2011-PL-099</t>
  </si>
  <si>
    <t>2011-PL-100</t>
  </si>
  <si>
    <t>2011-PL-101</t>
  </si>
  <si>
    <t>2011-PL-102</t>
  </si>
  <si>
    <t>2011-PL-103</t>
  </si>
  <si>
    <t>2011-PL-104</t>
  </si>
  <si>
    <t>2011-PL-105</t>
  </si>
  <si>
    <t>2011-PL-106</t>
  </si>
  <si>
    <t>2011-PL-107</t>
  </si>
  <si>
    <t>2011-PL-108</t>
  </si>
  <si>
    <t>2011-PL-109</t>
  </si>
  <si>
    <t>2011-PL-110</t>
  </si>
  <si>
    <t>2011-PL-111</t>
  </si>
  <si>
    <t>2011-PL-112</t>
  </si>
  <si>
    <t>2011-PL-113</t>
  </si>
  <si>
    <t>2011-PL-114</t>
  </si>
  <si>
    <t>2011-PL-115</t>
  </si>
  <si>
    <t>2011-PL-116</t>
  </si>
  <si>
    <t>2011-PL-117</t>
  </si>
  <si>
    <t>2011-PL-118</t>
  </si>
  <si>
    <t>2011-PL-119</t>
  </si>
  <si>
    <t>2011-PL-120</t>
  </si>
  <si>
    <t>2011-PL-121</t>
  </si>
  <si>
    <t>2011-PL-122</t>
  </si>
  <si>
    <t>2011-PL-123</t>
  </si>
  <si>
    <t>2011-PL-124</t>
  </si>
  <si>
    <t>2011-PL-125</t>
  </si>
  <si>
    <t>2011-PL-126</t>
  </si>
  <si>
    <t>2011-PL-127</t>
  </si>
  <si>
    <t>2011-PL-128</t>
  </si>
  <si>
    <t>2011-PL-129</t>
  </si>
  <si>
    <t>2011-PL-130</t>
  </si>
  <si>
    <t>2011-PL-131</t>
  </si>
  <si>
    <t>2011-PL-132</t>
  </si>
  <si>
    <t>2011-PL-133</t>
  </si>
  <si>
    <t>2011-PL-134</t>
  </si>
  <si>
    <t>2011-PL-135</t>
  </si>
  <si>
    <t>2011-PL-136</t>
  </si>
  <si>
    <t>2011-PL-137</t>
  </si>
  <si>
    <t>2011-PL-138</t>
  </si>
  <si>
    <t>2011-PL-139</t>
  </si>
  <si>
    <t>2011-PL-140</t>
  </si>
  <si>
    <t>2011-PL-141</t>
  </si>
  <si>
    <t>2011-PL-142</t>
  </si>
  <si>
    <t>2011-PL-143</t>
  </si>
  <si>
    <t>2011-PL-144</t>
  </si>
  <si>
    <t>2011-PL-145</t>
  </si>
  <si>
    <t>2011-PL-146</t>
  </si>
  <si>
    <t>2011-PL-147</t>
  </si>
  <si>
    <t>2011-PL-148</t>
  </si>
  <si>
    <t>2011-PL-149</t>
  </si>
  <si>
    <t>2011-PL-150</t>
  </si>
  <si>
    <t>2011-PL-151</t>
  </si>
  <si>
    <t>2011-PL-152</t>
  </si>
  <si>
    <t>2011-PL-153</t>
  </si>
  <si>
    <t>2011-PL-154</t>
  </si>
  <si>
    <t>2011-PL-155</t>
  </si>
  <si>
    <t>2011-PL-156</t>
  </si>
  <si>
    <t>2011-PL-157</t>
  </si>
  <si>
    <t>2011-PL-158</t>
  </si>
  <si>
    <t>2011-PL-159</t>
  </si>
  <si>
    <t>2011-PL-160</t>
  </si>
  <si>
    <t>2011-PL-161</t>
  </si>
  <si>
    <t>2011-PL-162</t>
  </si>
  <si>
    <t>2011-PL-163</t>
  </si>
  <si>
    <t>2011-PL-164</t>
  </si>
  <si>
    <t>2011-PL-165</t>
  </si>
  <si>
    <t>2011-PL-166</t>
  </si>
  <si>
    <t>2011-PL-167</t>
  </si>
  <si>
    <t>2011-PL-168</t>
  </si>
  <si>
    <t>2011-PL-169</t>
  </si>
  <si>
    <t>2011-PL-170</t>
  </si>
  <si>
    <t>2011-PL-171</t>
  </si>
  <si>
    <t>2011-PL-172</t>
  </si>
  <si>
    <t>2011-PL-173</t>
  </si>
  <si>
    <t>2011-PL-174</t>
  </si>
  <si>
    <t>2011-PL-175</t>
  </si>
  <si>
    <t>2011-PL-176</t>
  </si>
  <si>
    <t>2011-PL-177</t>
  </si>
  <si>
    <t>2011-PL-178</t>
  </si>
  <si>
    <t>2011-PL-179</t>
  </si>
  <si>
    <t>2011-PL-180</t>
  </si>
  <si>
    <t>2011-PL-181</t>
  </si>
  <si>
    <t>2011-PL-182</t>
  </si>
  <si>
    <t>2011-PL-183</t>
  </si>
  <si>
    <t>2011-PL-184</t>
  </si>
  <si>
    <t>2011-PL-185</t>
  </si>
  <si>
    <t>2011-PL-186</t>
  </si>
  <si>
    <t>2011-PL-187</t>
  </si>
  <si>
    <t>2011-PL-188</t>
  </si>
  <si>
    <t>2011-PL-189</t>
  </si>
  <si>
    <t>2011-PL-190</t>
  </si>
  <si>
    <t>2011-PL-191</t>
  </si>
  <si>
    <t>2011-PL-192</t>
  </si>
  <si>
    <t>2011-PL-193</t>
  </si>
  <si>
    <t>2011-PL-194</t>
  </si>
  <si>
    <t>2011-PL-195</t>
  </si>
  <si>
    <t>2011-PL-196</t>
  </si>
  <si>
    <t>2011-PL-197</t>
  </si>
  <si>
    <t>2011-PL-198</t>
  </si>
  <si>
    <t>2011-PL-199</t>
  </si>
  <si>
    <t>2011-PL-200</t>
  </si>
  <si>
    <t>2011-PL-201</t>
  </si>
  <si>
    <t>2011-PL-202</t>
  </si>
  <si>
    <t>2011-PL-203</t>
  </si>
  <si>
    <t>2011-PL-204</t>
  </si>
  <si>
    <t>2011-PL-205</t>
  </si>
  <si>
    <t>2011-PL-206</t>
  </si>
  <si>
    <t>2011-PL-207</t>
  </si>
  <si>
    <t>2011-PL-208</t>
  </si>
  <si>
    <t>2011-PL-209</t>
  </si>
  <si>
    <t>2011-PL-210</t>
  </si>
  <si>
    <t>2011-PL-211</t>
  </si>
  <si>
    <t>2011-PL-212</t>
  </si>
  <si>
    <t>2011-PL-213</t>
  </si>
  <si>
    <t>2011-PL-214</t>
  </si>
  <si>
    <t>2011-PL-215</t>
  </si>
  <si>
    <t>2011-PL-216</t>
  </si>
  <si>
    <t>2011-PL-217</t>
  </si>
  <si>
    <t>2011-PL-218</t>
  </si>
  <si>
    <t>2011-PL-219</t>
  </si>
  <si>
    <t>2011-PL-220</t>
  </si>
  <si>
    <t>2011-PL-221</t>
  </si>
  <si>
    <t>2011-PL-222</t>
  </si>
  <si>
    <t>2011-PL-223</t>
  </si>
  <si>
    <t>2011-PL-224</t>
  </si>
  <si>
    <t>2011-PL-225</t>
  </si>
  <si>
    <t>2011-PL-226</t>
  </si>
  <si>
    <t>2011-PL-227</t>
  </si>
  <si>
    <t>2011-PL-228</t>
  </si>
  <si>
    <t>2011-PL-229</t>
  </si>
  <si>
    <t>2011-PL-230</t>
  </si>
  <si>
    <t>2011-PL-231</t>
  </si>
  <si>
    <t>2011-PL-232</t>
  </si>
  <si>
    <t>2011-PL-233</t>
  </si>
  <si>
    <t>2011-PL-234</t>
  </si>
  <si>
    <t>2011-PL-235</t>
  </si>
  <si>
    <t>2011-PL-236</t>
  </si>
  <si>
    <t>2011-PL-237</t>
  </si>
  <si>
    <t>2011-PL-238</t>
  </si>
  <si>
    <t>2011-PL-239</t>
  </si>
  <si>
    <t>2011-PL-240</t>
  </si>
  <si>
    <t>2011-PL-241</t>
  </si>
  <si>
    <t>2011-PL-242</t>
  </si>
  <si>
    <t>2011-PL-243</t>
  </si>
  <si>
    <t>2011-PL-244</t>
  </si>
  <si>
    <t>2011-PL-245</t>
  </si>
  <si>
    <t>2011-PL-246</t>
  </si>
  <si>
    <t>2011-PL-247</t>
  </si>
  <si>
    <t>2011-PL-248</t>
  </si>
  <si>
    <t>2011-PL-249</t>
  </si>
  <si>
    <t>2011-PL-250</t>
  </si>
  <si>
    <t>2011-PL-251</t>
  </si>
  <si>
    <t>2011-PL-252</t>
  </si>
  <si>
    <t>2011-PL-253</t>
  </si>
  <si>
    <t>2011-PL-254</t>
  </si>
  <si>
    <t>2011-PL-255</t>
  </si>
  <si>
    <t>2011-PL-256</t>
  </si>
  <si>
    <t>2011-PL-257</t>
  </si>
  <si>
    <t>2011-PL-258</t>
  </si>
  <si>
    <t>2011-PL-259</t>
  </si>
  <si>
    <t>2011-PL-260</t>
  </si>
  <si>
    <t>2011-PL-261</t>
  </si>
  <si>
    <t>2011-PL-262</t>
  </si>
  <si>
    <t>2011-PL-263</t>
  </si>
  <si>
    <t>2011-PL-264</t>
  </si>
  <si>
    <t>2011-PL-265</t>
  </si>
  <si>
    <t>2011-PL-266</t>
  </si>
  <si>
    <t>2011-PL-267</t>
  </si>
  <si>
    <t>2011-PL-268</t>
  </si>
  <si>
    <t>2011-PL-269</t>
  </si>
  <si>
    <t>2011-PL-270</t>
  </si>
  <si>
    <t>2011-PL-271</t>
  </si>
  <si>
    <t>2011-PL-272</t>
  </si>
  <si>
    <t>2011-PL-273</t>
  </si>
  <si>
    <t>2011-PL-274</t>
  </si>
  <si>
    <t>2011-PL-275</t>
  </si>
  <si>
    <t>2011-PL-276</t>
  </si>
  <si>
    <t>2011-PL-277</t>
  </si>
  <si>
    <t>2011-PL-278</t>
  </si>
  <si>
    <t>2011-PL-279</t>
  </si>
  <si>
    <t>2011-PL-280</t>
  </si>
  <si>
    <t>2011-PL-281</t>
  </si>
  <si>
    <t>2011-PL-282</t>
  </si>
  <si>
    <t>2011-PL-283</t>
  </si>
  <si>
    <t>2011-PL-284</t>
  </si>
  <si>
    <t>2011-PL-285</t>
  </si>
  <si>
    <t>2011-PL-286</t>
  </si>
  <si>
    <t>2011-PL-287</t>
  </si>
  <si>
    <t>2011-PL-288</t>
  </si>
  <si>
    <t>2011-PL-289</t>
  </si>
  <si>
    <t>2011-PL-290</t>
  </si>
  <si>
    <t>2011-PL-291</t>
  </si>
  <si>
    <t>2011-PL-292</t>
  </si>
  <si>
    <t>2011-PL-293</t>
  </si>
  <si>
    <t>2011-PL-294</t>
  </si>
  <si>
    <t>2011-PL-295</t>
  </si>
  <si>
    <t>2011-PL-296</t>
  </si>
  <si>
    <t>2011-PL-297</t>
  </si>
  <si>
    <t>2011-PL-298</t>
  </si>
  <si>
    <t>2011-PL-299</t>
  </si>
  <si>
    <t>2011-PL-300</t>
  </si>
  <si>
    <t>2011-PL-301</t>
  </si>
  <si>
    <t>2011-PL-302</t>
  </si>
  <si>
    <t>2011-PL-303</t>
  </si>
  <si>
    <t>2011-PL-304</t>
  </si>
  <si>
    <t>2011-PL-305</t>
  </si>
  <si>
    <t>2011-PL-306</t>
  </si>
  <si>
    <t>2011-PL-307</t>
  </si>
  <si>
    <t>2011-PL-308</t>
  </si>
  <si>
    <t>2011-PL-309</t>
  </si>
  <si>
    <t>2011-PL-310</t>
  </si>
  <si>
    <t>2011-PL-311</t>
  </si>
  <si>
    <t>2011-PL-312</t>
  </si>
  <si>
    <t>2011-PL-313</t>
  </si>
  <si>
    <t>2011-PL-314</t>
  </si>
  <si>
    <t>2011-PL-315</t>
  </si>
  <si>
    <t>2011-PL-316</t>
  </si>
  <si>
    <t>2011-PL-317</t>
  </si>
  <si>
    <t>2011-PL-318</t>
  </si>
  <si>
    <t>2011-PL-319</t>
  </si>
  <si>
    <t>2011-PL-320</t>
  </si>
  <si>
    <t>2011-PL-321</t>
  </si>
  <si>
    <t>2011-PL-322</t>
  </si>
  <si>
    <t>2011-PL-323</t>
  </si>
  <si>
    <t>2011-PL-324</t>
  </si>
  <si>
    <t>2011-PL-325</t>
  </si>
  <si>
    <t>2011-PL-326</t>
  </si>
  <si>
    <t>2011-PL-327</t>
  </si>
  <si>
    <t>2011-PL-328</t>
  </si>
  <si>
    <t>2011-PL-329</t>
  </si>
  <si>
    <t>2011-PL-330</t>
  </si>
  <si>
    <t>2011-PL-331</t>
  </si>
  <si>
    <t>2011-PL-332</t>
  </si>
  <si>
    <t>2011-PL-333</t>
  </si>
  <si>
    <t>2011-PL-334</t>
  </si>
  <si>
    <t>2011-PL-335</t>
  </si>
  <si>
    <t>2011-PL-336</t>
  </si>
  <si>
    <t>2011-PL-337</t>
  </si>
  <si>
    <t>2011-PL-338</t>
  </si>
  <si>
    <t>2011-PL-339</t>
  </si>
  <si>
    <t>2011-PL-340</t>
  </si>
  <si>
    <t>2011-PL-341</t>
  </si>
  <si>
    <t>2011-PL-342</t>
  </si>
  <si>
    <t>2011-PL-343</t>
  </si>
  <si>
    <t>2011-PL-344</t>
  </si>
  <si>
    <t>2011-PL-345</t>
  </si>
  <si>
    <t>2011-PL-346</t>
  </si>
  <si>
    <t>2011-PL-347</t>
  </si>
  <si>
    <t>2011-PL-348</t>
  </si>
  <si>
    <t>2011-PL-349</t>
  </si>
  <si>
    <t>2011-PL-350</t>
  </si>
  <si>
    <t>2011-PL-351</t>
  </si>
  <si>
    <t>2011-PL-352</t>
  </si>
  <si>
    <t>2011-PL-353</t>
  </si>
  <si>
    <t>2011-PL-354</t>
  </si>
  <si>
    <t>2011-PL-355</t>
  </si>
  <si>
    <t>2011-PL-356</t>
  </si>
  <si>
    <t>2011-PL-357</t>
  </si>
  <si>
    <t>2011-PL-358</t>
  </si>
  <si>
    <t>2011-PL-359</t>
  </si>
  <si>
    <t>2011-PL-360</t>
  </si>
  <si>
    <t>2011-PL-361</t>
  </si>
  <si>
    <t>2011-PL-362</t>
  </si>
  <si>
    <t>2011-PL-363</t>
  </si>
  <si>
    <t>2011-PL-364</t>
  </si>
  <si>
    <t>2011-PL-365</t>
  </si>
  <si>
    <t>2011-PL-366</t>
  </si>
  <si>
    <t>2011-PL-367</t>
  </si>
  <si>
    <t>2011-PL-368</t>
  </si>
  <si>
    <t>2011-PL-369</t>
  </si>
  <si>
    <t>2011-PL-370</t>
  </si>
  <si>
    <t>2011-PL-371</t>
  </si>
  <si>
    <t>2011-PL-372</t>
  </si>
  <si>
    <t>2011-PL-373</t>
  </si>
  <si>
    <t>2011-PL-374</t>
  </si>
  <si>
    <t>2011-PL-375</t>
  </si>
  <si>
    <t>2011-PL-376</t>
  </si>
  <si>
    <t>2011-PL-377</t>
  </si>
  <si>
    <t>2011-PL-378</t>
  </si>
  <si>
    <t>2011-PL-379</t>
  </si>
  <si>
    <t>2011-PL-380</t>
  </si>
  <si>
    <t>2012-PL-001</t>
  </si>
  <si>
    <t>2012-PL-002</t>
  </si>
  <si>
    <t>2012-PL-003</t>
  </si>
  <si>
    <t>2012-PL-004</t>
  </si>
  <si>
    <t>2012-PL-005</t>
  </si>
  <si>
    <t>2012-PL-006</t>
  </si>
  <si>
    <t>2012-PL-007</t>
  </si>
  <si>
    <t>2012-PL-008</t>
  </si>
  <si>
    <t>2012-PL-009</t>
  </si>
  <si>
    <t>2012-PL-010</t>
  </si>
  <si>
    <t>2012-PL-011</t>
  </si>
  <si>
    <t>2012-PL-012</t>
  </si>
  <si>
    <t>2012-PL-013</t>
  </si>
  <si>
    <t>2012-PL-014</t>
  </si>
  <si>
    <t>2012-PL-015</t>
  </si>
  <si>
    <t>2012-PL-016</t>
  </si>
  <si>
    <t>2012-PL-017</t>
  </si>
  <si>
    <t>2012-PL-018</t>
  </si>
  <si>
    <t>2012-PL-019</t>
  </si>
  <si>
    <t>2012-PL-020</t>
  </si>
  <si>
    <t>2012-PL-021</t>
  </si>
  <si>
    <t>2012-PL-022</t>
  </si>
  <si>
    <t>2012-PL-023</t>
  </si>
  <si>
    <t>2012-PL-024</t>
  </si>
  <si>
    <t>2012-PL-025</t>
  </si>
  <si>
    <t>2012-PL-026</t>
  </si>
  <si>
    <t>2012-PL-027</t>
  </si>
  <si>
    <t>2012-PL-028</t>
  </si>
  <si>
    <t>2012-PL-029</t>
  </si>
  <si>
    <t>2012-PL-030</t>
  </si>
  <si>
    <t>2012-PL-031</t>
  </si>
  <si>
    <t>2012-PL-032</t>
  </si>
  <si>
    <t>2012-PL-033</t>
  </si>
  <si>
    <t>2012-PL-034</t>
  </si>
  <si>
    <t>2012-PL-035</t>
  </si>
  <si>
    <t>2012-PL-036</t>
  </si>
  <si>
    <t>2012-PL-037</t>
  </si>
  <si>
    <t>2012-PL-038</t>
  </si>
  <si>
    <t>2012-PL-039</t>
  </si>
  <si>
    <t>2012-PL-040</t>
  </si>
  <si>
    <t>2012-PL-041</t>
  </si>
  <si>
    <t>2012-PL-042</t>
  </si>
  <si>
    <t>2012-PL-043</t>
  </si>
  <si>
    <t>2012-PL-044</t>
  </si>
  <si>
    <t>2012-PL-045</t>
  </si>
  <si>
    <t>2012-PL-046</t>
  </si>
  <si>
    <t>2012-PL-047</t>
  </si>
  <si>
    <t>2012-PL-048</t>
  </si>
  <si>
    <t>2012-PL-049</t>
  </si>
  <si>
    <t>2012-PL-050</t>
  </si>
  <si>
    <t>2012-PL-051</t>
  </si>
  <si>
    <t>2012-PL-052</t>
  </si>
  <si>
    <t>2012-PL-053</t>
  </si>
  <si>
    <t>2012-PL-054</t>
  </si>
  <si>
    <t>2012-PL-055</t>
  </si>
  <si>
    <t>2012-PL-056</t>
  </si>
  <si>
    <t>2012-PL-057</t>
  </si>
  <si>
    <t>2012-PL-058</t>
  </si>
  <si>
    <t>2012-PL-059</t>
  </si>
  <si>
    <t>2012-PL-060</t>
  </si>
  <si>
    <t>2012-PL-061</t>
  </si>
  <si>
    <t>2012-PL-062</t>
  </si>
  <si>
    <t>2012-PL-063</t>
  </si>
  <si>
    <t>2012-PL-064</t>
  </si>
  <si>
    <t>2012-PL-065</t>
  </si>
  <si>
    <t>2012-PL-066</t>
  </si>
  <si>
    <t>2012-PL-067</t>
  </si>
  <si>
    <t>2012-PL-068</t>
  </si>
  <si>
    <t>2012-PL-069</t>
  </si>
  <si>
    <t>2012-PL-070</t>
  </si>
  <si>
    <t>2012-PL-071</t>
  </si>
  <si>
    <t>2012-PL-072</t>
  </si>
  <si>
    <t>2012-PL-073</t>
  </si>
  <si>
    <t>2012-PL-074</t>
  </si>
  <si>
    <t>2012-PL-075</t>
  </si>
  <si>
    <t>2012-PL-076</t>
  </si>
  <si>
    <t>2012-PL-077</t>
  </si>
  <si>
    <t>2012-PL-078</t>
  </si>
  <si>
    <t>2012-PL-079</t>
  </si>
  <si>
    <t>2012-PL-080</t>
  </si>
  <si>
    <t>2012-PL-081</t>
  </si>
  <si>
    <t>2012-PL-082</t>
  </si>
  <si>
    <t>2012-PL-083</t>
  </si>
  <si>
    <t>2012-PL-084</t>
  </si>
  <si>
    <t>2012-PL-085</t>
  </si>
  <si>
    <t>2012-PL-086</t>
  </si>
  <si>
    <t>2012-PL-087</t>
  </si>
  <si>
    <t>2012-PL-088</t>
  </si>
  <si>
    <t>2012-PL-089</t>
  </si>
  <si>
    <t>2012-PL-090</t>
  </si>
  <si>
    <t>2012-PL-091</t>
  </si>
  <si>
    <t>2012-PL-092</t>
  </si>
  <si>
    <t>2012-PL-093</t>
  </si>
  <si>
    <t>2012-PL-094</t>
  </si>
  <si>
    <t>2012-PL-095</t>
  </si>
  <si>
    <t>2012-PL-096</t>
  </si>
  <si>
    <t>2012-PL-097</t>
  </si>
  <si>
    <t>2012-PL-098</t>
  </si>
  <si>
    <t>2012-PL-099</t>
  </si>
  <si>
    <t>2012-PL-100</t>
  </si>
  <si>
    <t>2012-PL-101</t>
  </si>
  <si>
    <t>2012-PL-102</t>
  </si>
  <si>
    <t>2012-PL-103</t>
  </si>
  <si>
    <t>2012-PL-104</t>
  </si>
  <si>
    <t>2012-PL-105</t>
  </si>
  <si>
    <t>2012-PL-106</t>
  </si>
  <si>
    <t>2012-PL-107</t>
  </si>
  <si>
    <t>2012-PL-108</t>
  </si>
  <si>
    <t>2012-PL-109</t>
  </si>
  <si>
    <t>2012-PL-110</t>
  </si>
  <si>
    <t>2012-PL-111</t>
  </si>
  <si>
    <t>2012-PL-112</t>
  </si>
  <si>
    <t>2012-PL-113</t>
  </si>
  <si>
    <t>2012-PL-114</t>
  </si>
  <si>
    <t>2012-PL-115</t>
  </si>
  <si>
    <t>2012-PL-116</t>
  </si>
  <si>
    <t>2012-PL-117</t>
  </si>
  <si>
    <t>2012-PL-118</t>
  </si>
  <si>
    <t>2012-PL-119</t>
  </si>
  <si>
    <t>2012-PL-120</t>
  </si>
  <si>
    <t>2012-PL-121</t>
  </si>
  <si>
    <t>2012-PL-122</t>
  </si>
  <si>
    <t>2012-PL-123</t>
  </si>
  <si>
    <t>2012-PL-124</t>
  </si>
  <si>
    <t>2012-PL-125</t>
  </si>
  <si>
    <t>2012-PL-126</t>
  </si>
  <si>
    <t>2012-PL-127</t>
  </si>
  <si>
    <t>2012-PL-128</t>
  </si>
  <si>
    <t>2012-PL-129</t>
  </si>
  <si>
    <t>2012-PL-130</t>
  </si>
  <si>
    <t>2012-PL-131</t>
  </si>
  <si>
    <t>2012-PL-132</t>
  </si>
  <si>
    <t>2012-PL-133</t>
  </si>
  <si>
    <t>2012-PL-134</t>
  </si>
  <si>
    <t>2012-PL-135</t>
  </si>
  <si>
    <t>2012-PL-136</t>
  </si>
  <si>
    <t>2012-PL-137</t>
  </si>
  <si>
    <t>2012-PL-138</t>
  </si>
  <si>
    <t>2012-PL-139</t>
  </si>
  <si>
    <t>2012-PL-140</t>
  </si>
  <si>
    <t>2012-PL-141</t>
  </si>
  <si>
    <t>2012-PL-142</t>
  </si>
  <si>
    <t>2012-PL-143</t>
  </si>
  <si>
    <t>2012-PL-144</t>
  </si>
  <si>
    <t>2012-PL-145</t>
  </si>
  <si>
    <t>2012-PL-146</t>
  </si>
  <si>
    <t>2012-PL-147</t>
  </si>
  <si>
    <t>2012-PL-148</t>
  </si>
  <si>
    <t>2012-PL-149</t>
  </si>
  <si>
    <t>2012-PL-150</t>
  </si>
  <si>
    <t>2012-PL-151</t>
  </si>
  <si>
    <t>2012-PL-152</t>
  </si>
  <si>
    <t>2012-PL-153</t>
  </si>
  <si>
    <t>2012-PL-154</t>
  </si>
  <si>
    <t>2012-PL-155</t>
  </si>
  <si>
    <t>2012-PL-156</t>
  </si>
  <si>
    <t>2012-PL-157</t>
  </si>
  <si>
    <t>2012-PL-158</t>
  </si>
  <si>
    <t>2012-PL-159</t>
  </si>
  <si>
    <t>2012-PL-160</t>
  </si>
  <si>
    <t>2012-PL-161</t>
  </si>
  <si>
    <t>2012-PL-162</t>
  </si>
  <si>
    <t>2012-PL-163</t>
  </si>
  <si>
    <t>2012-PL-164</t>
  </si>
  <si>
    <t>2012-PL-165</t>
  </si>
  <si>
    <t>2012-PL-166</t>
  </si>
  <si>
    <t>2012-PL-167</t>
  </si>
  <si>
    <t>2012-PL-168</t>
  </si>
  <si>
    <t>2012-PL-169</t>
  </si>
  <si>
    <t>2012-PL-170</t>
  </si>
  <si>
    <t>2012-PL-171</t>
  </si>
  <si>
    <t>2012-PL-172</t>
  </si>
  <si>
    <t>2012-PL-173</t>
  </si>
  <si>
    <t>2012-PL-174</t>
  </si>
  <si>
    <t>2012-PL-175</t>
  </si>
  <si>
    <t>2012-PL-176</t>
  </si>
  <si>
    <t>2012-PL-177</t>
  </si>
  <si>
    <t>2012-PL-178</t>
  </si>
  <si>
    <t>2012-PL-179</t>
  </si>
  <si>
    <t>2012-PL-180</t>
  </si>
  <si>
    <t>2012-PL-181</t>
  </si>
  <si>
    <t>2012-PL-182</t>
  </si>
  <si>
    <t>2012-PL-183</t>
  </si>
  <si>
    <t>2012-PL-184</t>
  </si>
  <si>
    <t>2012-PL-185</t>
  </si>
  <si>
    <t>2012-PL-186</t>
  </si>
  <si>
    <t>2012-PL-187</t>
  </si>
  <si>
    <t>2012-PL-188</t>
  </si>
  <si>
    <t>2012-PL-189</t>
  </si>
  <si>
    <t>2012-PL-190</t>
  </si>
  <si>
    <t>2012-PL-191</t>
  </si>
  <si>
    <t>2012-PL-192</t>
  </si>
  <si>
    <t>2012-PL-193</t>
  </si>
  <si>
    <t>2012-PL-194</t>
  </si>
  <si>
    <t>2012-PL-195</t>
  </si>
  <si>
    <t>2012-PL-196</t>
  </si>
  <si>
    <t>2012-PL-197</t>
  </si>
  <si>
    <t>2012-PL-198</t>
  </si>
  <si>
    <t>2012-PL-199</t>
  </si>
  <si>
    <t>2012-PL-200</t>
  </si>
  <si>
    <t>2012-PL-201</t>
  </si>
  <si>
    <t>2012-PL-202</t>
  </si>
  <si>
    <t>2012-PL-203</t>
  </si>
  <si>
    <t>2012-PL-204</t>
  </si>
  <si>
    <t>2012-PL-205</t>
  </si>
  <si>
    <t>2012-PL-206</t>
  </si>
  <si>
    <t>2012-PL-207</t>
  </si>
  <si>
    <t>2012-PL-208</t>
  </si>
  <si>
    <t>2012-PL-209</t>
  </si>
  <si>
    <t>2012-PL-210</t>
  </si>
  <si>
    <t>2012-PL-211</t>
  </si>
  <si>
    <t>2012-PL-212</t>
  </si>
  <si>
    <t>2012-PL-213</t>
  </si>
  <si>
    <t>2012-PL-214</t>
  </si>
  <si>
    <t>2012-PL-215</t>
  </si>
  <si>
    <t>2012-PL-216</t>
  </si>
  <si>
    <t>2012-PL-217</t>
  </si>
  <si>
    <t>2012-PL-218</t>
  </si>
  <si>
    <t>2012-PL-219</t>
  </si>
  <si>
    <t>2012-PL-220</t>
  </si>
  <si>
    <t>2012-PL-221</t>
  </si>
  <si>
    <t>2012-PL-222</t>
  </si>
  <si>
    <t>2012-PL-223</t>
  </si>
  <si>
    <t>2012-PL-224</t>
  </si>
  <si>
    <t>2012-PL-225</t>
  </si>
  <si>
    <t>2012-PL-226</t>
  </si>
  <si>
    <t>2012-PL-227</t>
  </si>
  <si>
    <t>2012-PL-228</t>
  </si>
  <si>
    <t>2012-PL-229</t>
  </si>
  <si>
    <t>2012-PL-230</t>
  </si>
  <si>
    <t>2012-PL-231</t>
  </si>
  <si>
    <t>2012-PL-232</t>
  </si>
  <si>
    <t>2012-PL-233</t>
  </si>
  <si>
    <t>2012-PL-234</t>
  </si>
  <si>
    <t>2012-PL-235</t>
  </si>
  <si>
    <t>2012-PL-236</t>
  </si>
  <si>
    <t>2012-PL-237</t>
  </si>
  <si>
    <t>2012-PL-238</t>
  </si>
  <si>
    <t>2012-PL-239</t>
  </si>
  <si>
    <t>2012-PL-240</t>
  </si>
  <si>
    <t>2012-PL-241</t>
  </si>
  <si>
    <t>2012-PL-242</t>
  </si>
  <si>
    <t>2012-PL-243</t>
  </si>
  <si>
    <t>2012-PL-244</t>
  </si>
  <si>
    <t>2012-PL-245</t>
  </si>
  <si>
    <t>2012-PL-246</t>
  </si>
  <si>
    <t>2012-PL-247</t>
  </si>
  <si>
    <t>2012-PL-248</t>
  </si>
  <si>
    <t>2012-PL-249</t>
  </si>
  <si>
    <t>2012-PL-250</t>
  </si>
  <si>
    <t>2012-PL-251</t>
  </si>
  <si>
    <t>2012-PL-252</t>
  </si>
  <si>
    <t>2012-PL-253</t>
  </si>
  <si>
    <t>2012-PL-254</t>
  </si>
  <si>
    <t>2012-PL-255</t>
  </si>
  <si>
    <t>2012-PL-256</t>
  </si>
  <si>
    <t>2012-PL-257</t>
  </si>
  <si>
    <t>2012-PL-258</t>
  </si>
  <si>
    <t>2012-PL-259</t>
  </si>
  <si>
    <t>2012-PL-260</t>
  </si>
  <si>
    <t>2012-PL-261</t>
  </si>
  <si>
    <t>2012-PL-262</t>
  </si>
  <si>
    <t>2012-PL-263</t>
  </si>
  <si>
    <t>2012-PL-264</t>
  </si>
  <si>
    <t>2012-PL-265</t>
  </si>
  <si>
    <t>2012-PL-266</t>
  </si>
  <si>
    <t>2012-PL-267</t>
  </si>
  <si>
    <t>2012-PL-268</t>
  </si>
  <si>
    <t>2012-PL-269</t>
  </si>
  <si>
    <t>2012-PL-270</t>
  </si>
  <si>
    <t>2012-PL-271</t>
  </si>
  <si>
    <t>2012-PL-272</t>
  </si>
  <si>
    <t>2012-PL-273</t>
  </si>
  <si>
    <t>2012-PL-274</t>
  </si>
  <si>
    <t>2012-PL-275</t>
  </si>
  <si>
    <t>2012-PL-276</t>
  </si>
  <si>
    <t>2012-PL-277</t>
  </si>
  <si>
    <t>2012-PL-278</t>
  </si>
  <si>
    <t>2012-PL-279</t>
  </si>
  <si>
    <t>2012-PL-280</t>
  </si>
  <si>
    <t>2012-PL-281</t>
  </si>
  <si>
    <t>2012-PL-282</t>
  </si>
  <si>
    <t>2012-PL-283</t>
  </si>
  <si>
    <t>2012-PL-284</t>
  </si>
  <si>
    <t>2012-PL-285</t>
  </si>
  <si>
    <t>2012-PL-286</t>
  </si>
  <si>
    <t>2012-PL-287</t>
  </si>
  <si>
    <t>2012-PL-288</t>
  </si>
  <si>
    <t>2012-PL-289</t>
  </si>
  <si>
    <t>2012-PL-290</t>
  </si>
  <si>
    <t>2012-PL-291</t>
  </si>
  <si>
    <t>2012-PL-292</t>
  </si>
  <si>
    <t>2012-PL-293</t>
  </si>
  <si>
    <t>2012-PL-294</t>
  </si>
  <si>
    <t>2012-PL-295</t>
  </si>
  <si>
    <t>2012-PL-296</t>
  </si>
  <si>
    <t>2012-PL-297</t>
  </si>
  <si>
    <t>2012-PL-298</t>
  </si>
  <si>
    <t>2012-PL-299</t>
  </si>
  <si>
    <t>2012-PL-300</t>
  </si>
  <si>
    <t>2012-PL-301</t>
  </si>
  <si>
    <t>2012-PL-302</t>
  </si>
  <si>
    <t>2012-PL-303</t>
  </si>
  <si>
    <t>2012-PL-304</t>
  </si>
  <si>
    <t>2012-PL-305</t>
  </si>
  <si>
    <t>2012-PL-306</t>
  </si>
  <si>
    <t>2012-PL-307</t>
  </si>
  <si>
    <t>2012-PL-308</t>
  </si>
  <si>
    <t>2012-PL-309</t>
  </si>
  <si>
    <t>2012-PL-310</t>
  </si>
  <si>
    <t>2012-PL-311</t>
  </si>
  <si>
    <t>2012-PL-312</t>
  </si>
  <si>
    <t>2012-PL-313</t>
  </si>
  <si>
    <t>2012-PL-314</t>
  </si>
  <si>
    <t>2012-PL-315</t>
  </si>
  <si>
    <t>2012-PL-316</t>
  </si>
  <si>
    <t>2012-PL-317</t>
  </si>
  <si>
    <t>2012-PL-318</t>
  </si>
  <si>
    <t>2012-PL-319</t>
  </si>
  <si>
    <t>2012-PL-320</t>
  </si>
  <si>
    <t>2012-PL-321</t>
  </si>
  <si>
    <t>2012-PL-322</t>
  </si>
  <si>
    <t>2012-PL-323</t>
  </si>
  <si>
    <t>2012-PL-324</t>
  </si>
  <si>
    <t>2012-PL-325</t>
  </si>
  <si>
    <t>2012-PL-326</t>
  </si>
  <si>
    <t>2012-PL-327</t>
  </si>
  <si>
    <t>2012-PL-328</t>
  </si>
  <si>
    <t>2012-PL-329</t>
  </si>
  <si>
    <t>2012-PL-330</t>
  </si>
  <si>
    <t>2012-PL-331</t>
  </si>
  <si>
    <t>2012-PL-332</t>
  </si>
  <si>
    <t>2012-PL-333</t>
  </si>
  <si>
    <t>2012-PL-334</t>
  </si>
  <si>
    <t>2012-PL-335</t>
  </si>
  <si>
    <t>2012-PL-336</t>
  </si>
  <si>
    <t>2012-PL-337</t>
  </si>
  <si>
    <t>2012-PL-338</t>
  </si>
  <si>
    <t>2012-PL-339</t>
  </si>
  <si>
    <t>2012-PL-340</t>
  </si>
  <si>
    <t>2012-PL-341</t>
  </si>
  <si>
    <t>2012-PL-342</t>
  </si>
  <si>
    <t>2012-PL-343</t>
  </si>
  <si>
    <t>2012-PL-344</t>
  </si>
  <si>
    <t>2012-PL-345</t>
  </si>
  <si>
    <t>2012-PL-346</t>
  </si>
  <si>
    <t>2012-PL-347</t>
  </si>
  <si>
    <t>2012-PL-348</t>
  </si>
  <si>
    <t>2012-PL-349</t>
  </si>
  <si>
    <t>2012-PL-350</t>
  </si>
  <si>
    <t>2012-PL-351</t>
  </si>
  <si>
    <t>2012-PL-352</t>
  </si>
  <si>
    <t>2012-PL-353</t>
  </si>
  <si>
    <t>2012-PL-354</t>
  </si>
  <si>
    <t>2012-PL-355</t>
  </si>
  <si>
    <t>2012-PL-356</t>
  </si>
  <si>
    <t>2012-PL-357</t>
  </si>
  <si>
    <t>2012-PL-358</t>
  </si>
  <si>
    <t>2012-PL-359</t>
  </si>
  <si>
    <t>2012-PL-360</t>
  </si>
  <si>
    <t>2012-PL-361</t>
  </si>
  <si>
    <t>2012-PL-362</t>
  </si>
  <si>
    <t>2012-PL-363</t>
  </si>
  <si>
    <t>2012-PL-364</t>
  </si>
  <si>
    <t>2012-PL-365</t>
  </si>
  <si>
    <t>2012-PL-366</t>
  </si>
  <si>
    <t>2012-PL-367</t>
  </si>
  <si>
    <t>2012-PL-368</t>
  </si>
  <si>
    <t>2012-PL-369</t>
  </si>
  <si>
    <t>2012-PL-370</t>
  </si>
  <si>
    <t>2012-PL-371</t>
  </si>
  <si>
    <t>2012-PL-372</t>
  </si>
  <si>
    <t>2012-PL-373</t>
  </si>
  <si>
    <t>2012-PL-374</t>
  </si>
  <si>
    <t>2012-PL-375</t>
  </si>
  <si>
    <t>2012-PL-376</t>
  </si>
  <si>
    <t>2012-PL-377</t>
  </si>
  <si>
    <t>2012-PL-378</t>
  </si>
  <si>
    <t>2012-PL-379</t>
  </si>
  <si>
    <t>2012-PL-380</t>
  </si>
  <si>
    <t>2013-PL-001</t>
  </si>
  <si>
    <t>2013-PL-002</t>
  </si>
  <si>
    <t>2013-PL-003</t>
  </si>
  <si>
    <t>2013-PL-004</t>
  </si>
  <si>
    <t>2013-PL-005</t>
  </si>
  <si>
    <t>2013-PL-006</t>
  </si>
  <si>
    <t>2013-PL-007</t>
  </si>
  <si>
    <t>2013-PL-008</t>
  </si>
  <si>
    <t>2013-PL-009</t>
  </si>
  <si>
    <t>2013-PL-010</t>
  </si>
  <si>
    <t>2013-PL-011</t>
  </si>
  <si>
    <t>2013-PL-012</t>
  </si>
  <si>
    <t>2013-PL-013</t>
  </si>
  <si>
    <t>2013-PL-014</t>
  </si>
  <si>
    <t>2013-PL-015</t>
  </si>
  <si>
    <t>2013-PL-016</t>
  </si>
  <si>
    <t>2013-PL-017</t>
  </si>
  <si>
    <t>2013-PL-018</t>
  </si>
  <si>
    <t>2013-PL-019</t>
  </si>
  <si>
    <t>2013-PL-020</t>
  </si>
  <si>
    <t>2013-PL-021</t>
  </si>
  <si>
    <t>2013-PL-022</t>
  </si>
  <si>
    <t>2013-PL-023</t>
  </si>
  <si>
    <t>2013-PL-024</t>
  </si>
  <si>
    <t>2013-PL-025</t>
  </si>
  <si>
    <t>2013-PL-026</t>
  </si>
  <si>
    <t>2013-PL-027</t>
  </si>
  <si>
    <t>2013-PL-028</t>
  </si>
  <si>
    <t>2013-PL-029</t>
  </si>
  <si>
    <t>2013-PL-030</t>
  </si>
  <si>
    <t>2013-PL-031</t>
  </si>
  <si>
    <t>2013-PL-032</t>
  </si>
  <si>
    <t>2013-PL-033</t>
  </si>
  <si>
    <t>2013-PL-034</t>
  </si>
  <si>
    <t>2013-PL-035</t>
  </si>
  <si>
    <t>2013-PL-036</t>
  </si>
  <si>
    <t>2013-PL-037</t>
  </si>
  <si>
    <t>2013-PL-038</t>
  </si>
  <si>
    <t>2013-PL-039</t>
  </si>
  <si>
    <t>2013-PL-040</t>
  </si>
  <si>
    <t>2013-PL-041</t>
  </si>
  <si>
    <t>2013-PL-042</t>
  </si>
  <si>
    <t>2013-PL-043</t>
  </si>
  <si>
    <t>2013-PL-044</t>
  </si>
  <si>
    <t>2013-PL-045</t>
  </si>
  <si>
    <t>2013-PL-046</t>
  </si>
  <si>
    <t>2013-PL-047</t>
  </si>
  <si>
    <t>2013-PL-048</t>
  </si>
  <si>
    <t>2013-PL-049</t>
  </si>
  <si>
    <t>2013-PL-050</t>
  </si>
  <si>
    <t>2013-PL-051</t>
  </si>
  <si>
    <t>2013-PL-052</t>
  </si>
  <si>
    <t>2013-PL-053</t>
  </si>
  <si>
    <t>2013-PL-054</t>
  </si>
  <si>
    <t>2013-PL-055</t>
  </si>
  <si>
    <t>2013-PL-056</t>
  </si>
  <si>
    <t>2013-PL-057</t>
  </si>
  <si>
    <t>2013-PL-058</t>
  </si>
  <si>
    <t>2013-PL-059</t>
  </si>
  <si>
    <t>2013-PL-060</t>
  </si>
  <si>
    <t>2013-PL-061</t>
  </si>
  <si>
    <t>2013-PL-062</t>
  </si>
  <si>
    <t>2013-PL-063</t>
  </si>
  <si>
    <t>2013-PL-064</t>
  </si>
  <si>
    <t>2013-PL-065</t>
  </si>
  <si>
    <t>2013-PL-066</t>
  </si>
  <si>
    <t>2013-PL-067</t>
  </si>
  <si>
    <t>2013-PL-068</t>
  </si>
  <si>
    <t>2013-PL-069</t>
  </si>
  <si>
    <t>2013-PL-070</t>
  </si>
  <si>
    <t>2013-PL-071</t>
  </si>
  <si>
    <t>2013-PL-072</t>
  </si>
  <si>
    <t>2013-PL-073</t>
  </si>
  <si>
    <t>2013-PL-074</t>
  </si>
  <si>
    <t>2013-PL-075</t>
  </si>
  <si>
    <t>2013-PL-076</t>
  </si>
  <si>
    <t>2013-PL-077</t>
  </si>
  <si>
    <t>2013-PL-078</t>
  </si>
  <si>
    <t>2013-PL-079</t>
  </si>
  <si>
    <t>2013-PL-080</t>
  </si>
  <si>
    <t>2013-PL-081</t>
  </si>
  <si>
    <t>2013-PL-082</t>
  </si>
  <si>
    <t>2013-PL-083</t>
  </si>
  <si>
    <t>2013-PL-084</t>
  </si>
  <si>
    <t>2013-PL-085</t>
  </si>
  <si>
    <t>2013-PL-086</t>
  </si>
  <si>
    <t>2013-PL-087</t>
  </si>
  <si>
    <t>2013-PL-088</t>
  </si>
  <si>
    <t>2013-PL-089</t>
  </si>
  <si>
    <t>2013-PL-090</t>
  </si>
  <si>
    <t>2013-PL-091</t>
  </si>
  <si>
    <t>2013-PL-092</t>
  </si>
  <si>
    <t>2013-PL-093</t>
  </si>
  <si>
    <t>2013-PL-094</t>
  </si>
  <si>
    <t>2013-PL-095</t>
  </si>
  <si>
    <t>2013-PL-096</t>
  </si>
  <si>
    <t>2013-PL-097</t>
  </si>
  <si>
    <t>2013-PL-098</t>
  </si>
  <si>
    <t>2013-PL-099</t>
  </si>
  <si>
    <t>2013-PL-100</t>
  </si>
  <si>
    <t>2013-PL-101</t>
  </si>
  <si>
    <t>2013-PL-102</t>
  </si>
  <si>
    <t>2013-PL-103</t>
  </si>
  <si>
    <t>2013-PL-104</t>
  </si>
  <si>
    <t>2013-PL-105</t>
  </si>
  <si>
    <t>2013-PL-106</t>
  </si>
  <si>
    <t>2013-PL-107</t>
  </si>
  <si>
    <t>2013-PL-108</t>
  </si>
  <si>
    <t>2013-PL-109</t>
  </si>
  <si>
    <t>2013-PL-110</t>
  </si>
  <si>
    <t>2013-PL-111</t>
  </si>
  <si>
    <t>2013-PL-112</t>
  </si>
  <si>
    <t>2013-PL-113</t>
  </si>
  <si>
    <t>2013-PL-114</t>
  </si>
  <si>
    <t>2013-PL-115</t>
  </si>
  <si>
    <t>2013-PL-116</t>
  </si>
  <si>
    <t>2013-PL-117</t>
  </si>
  <si>
    <t>2013-PL-118</t>
  </si>
  <si>
    <t>2013-PL-119</t>
  </si>
  <si>
    <t>2013-PL-120</t>
  </si>
  <si>
    <t>2013-PL-121</t>
  </si>
  <si>
    <t>2013-PL-122</t>
  </si>
  <si>
    <t>2013-PL-123</t>
  </si>
  <si>
    <t>2013-PL-124</t>
  </si>
  <si>
    <t>2013-PL-125</t>
  </si>
  <si>
    <t>2013-PL-126</t>
  </si>
  <si>
    <t>2013-PL-127</t>
  </si>
  <si>
    <t>2013-PL-128</t>
  </si>
  <si>
    <t>2013-PL-129</t>
  </si>
  <si>
    <t>2013-PL-130</t>
  </si>
  <si>
    <t>2013-PL-131</t>
  </si>
  <si>
    <t>2013-PL-132</t>
  </si>
  <si>
    <t>2013-PL-133</t>
  </si>
  <si>
    <t>2013-PL-134</t>
  </si>
  <si>
    <t>2013-PL-135</t>
  </si>
  <si>
    <t>2013-PL-136</t>
  </si>
  <si>
    <t>2013-PL-137</t>
  </si>
  <si>
    <t>2013-PL-138</t>
  </si>
  <si>
    <t>2013-PL-139</t>
  </si>
  <si>
    <t>2013-PL-140</t>
  </si>
  <si>
    <t>2013-PL-141</t>
  </si>
  <si>
    <t>2013-PL-142</t>
  </si>
  <si>
    <t>2013-PL-143</t>
  </si>
  <si>
    <t>2013-PL-144</t>
  </si>
  <si>
    <t>2013-PL-145</t>
  </si>
  <si>
    <t>2013-PL-146</t>
  </si>
  <si>
    <t>2013-PL-147</t>
  </si>
  <si>
    <t>2013-PL-148</t>
  </si>
  <si>
    <t>2013-PL-149</t>
  </si>
  <si>
    <t>2013-PL-150</t>
  </si>
  <si>
    <t>2013-PL-151</t>
  </si>
  <si>
    <t>2013-PL-152</t>
  </si>
  <si>
    <t>2013-PL-153</t>
  </si>
  <si>
    <t>2013-PL-154</t>
  </si>
  <si>
    <t>2013-PL-155</t>
  </si>
  <si>
    <t>2013-PL-156</t>
  </si>
  <si>
    <t>2013-PL-157</t>
  </si>
  <si>
    <t>2013-PL-158</t>
  </si>
  <si>
    <t>2013-PL-159</t>
  </si>
  <si>
    <t>2013-PL-160</t>
  </si>
  <si>
    <t>2013-PL-161</t>
  </si>
  <si>
    <t>2013-PL-162</t>
  </si>
  <si>
    <t>2013-PL-163</t>
  </si>
  <si>
    <t>2013-PL-164</t>
  </si>
  <si>
    <t>2013-PL-165</t>
  </si>
  <si>
    <t>2013-PL-166</t>
  </si>
  <si>
    <t>2013-PL-167</t>
  </si>
  <si>
    <t>2013-PL-168</t>
  </si>
  <si>
    <t>2013-PL-169</t>
  </si>
  <si>
    <t>2013-PL-170</t>
  </si>
  <si>
    <t>2013-PL-171</t>
  </si>
  <si>
    <t>2013-PL-172</t>
  </si>
  <si>
    <t>2013-PL-173</t>
  </si>
  <si>
    <t>2013-PL-174</t>
  </si>
  <si>
    <t>2013-PL-175</t>
  </si>
  <si>
    <t>2013-PL-176</t>
  </si>
  <si>
    <t>2013-PL-177</t>
  </si>
  <si>
    <t>2013-PL-178</t>
  </si>
  <si>
    <t>2013-PL-179</t>
  </si>
  <si>
    <t>2013-PL-180</t>
  </si>
  <si>
    <t>2013-PL-181</t>
  </si>
  <si>
    <t>2013-PL-182</t>
  </si>
  <si>
    <t>2013-PL-183</t>
  </si>
  <si>
    <t>2013-PL-184</t>
  </si>
  <si>
    <t>2013-PL-185</t>
  </si>
  <si>
    <t>2013-PL-186</t>
  </si>
  <si>
    <t>2013-PL-187</t>
  </si>
  <si>
    <t>2013-PL-188</t>
  </si>
  <si>
    <t>2013-PL-189</t>
  </si>
  <si>
    <t>2013-PL-190</t>
  </si>
  <si>
    <t>2013-PL-191</t>
  </si>
  <si>
    <t>2013-PL-192</t>
  </si>
  <si>
    <t>2013-PL-193</t>
  </si>
  <si>
    <t>2013-PL-194</t>
  </si>
  <si>
    <t>2013-PL-195</t>
  </si>
  <si>
    <t>2013-PL-196</t>
  </si>
  <si>
    <t>2013-PL-197</t>
  </si>
  <si>
    <t>2013-PL-198</t>
  </si>
  <si>
    <t>2013-PL-199</t>
  </si>
  <si>
    <t>2013-PL-200</t>
  </si>
  <si>
    <t>2013-PL-201</t>
  </si>
  <si>
    <t>2013-PL-202</t>
  </si>
  <si>
    <t>2013-PL-203</t>
  </si>
  <si>
    <t>2013-PL-204</t>
  </si>
  <si>
    <t>2013-PL-205</t>
  </si>
  <si>
    <t>2013-PL-206</t>
  </si>
  <si>
    <t>2013-PL-207</t>
  </si>
  <si>
    <t>2013-PL-208</t>
  </si>
  <si>
    <t>2013-PL-209</t>
  </si>
  <si>
    <t>2013-PL-210</t>
  </si>
  <si>
    <t>2013-PL-211</t>
  </si>
  <si>
    <t>2013-PL-212</t>
  </si>
  <si>
    <t>2013-PL-213</t>
  </si>
  <si>
    <t>2013-PL-214</t>
  </si>
  <si>
    <t>2013-PL-215</t>
  </si>
  <si>
    <t>2013-PL-216</t>
  </si>
  <si>
    <t>2013-PL-217</t>
  </si>
  <si>
    <t>2013-PL-218</t>
  </si>
  <si>
    <t>2013-PL-219</t>
  </si>
  <si>
    <t>2013-PL-220</t>
  </si>
  <si>
    <t>2013-PL-221</t>
  </si>
  <si>
    <t>2013-PL-222</t>
  </si>
  <si>
    <t>2013-PL-223</t>
  </si>
  <si>
    <t>2013-PL-224</t>
  </si>
  <si>
    <t>2013-PL-225</t>
  </si>
  <si>
    <t>2013-PL-226</t>
  </si>
  <si>
    <t>2013-PL-227</t>
  </si>
  <si>
    <t>2013-PL-228</t>
  </si>
  <si>
    <t>2013-PL-229</t>
  </si>
  <si>
    <t>2013-PL-230</t>
  </si>
  <si>
    <t>2013-PL-231</t>
  </si>
  <si>
    <t>2013-PL-232</t>
  </si>
  <si>
    <t>2013-PL-233</t>
  </si>
  <si>
    <t>2013-PL-234</t>
  </si>
  <si>
    <t>2013-PL-235</t>
  </si>
  <si>
    <t>2013-PL-236</t>
  </si>
  <si>
    <t>2013-PL-237</t>
  </si>
  <si>
    <t>2013-PL-238</t>
  </si>
  <si>
    <t>2013-PL-239</t>
  </si>
  <si>
    <t>2013-PL-240</t>
  </si>
  <si>
    <t>2013-PL-241</t>
  </si>
  <si>
    <t>2013-PL-242</t>
  </si>
  <si>
    <t>2013-PL-243</t>
  </si>
  <si>
    <t>2013-PL-244</t>
  </si>
  <si>
    <t>2013-PL-245</t>
  </si>
  <si>
    <t>2013-PL-246</t>
  </si>
  <si>
    <t>2013-PL-247</t>
  </si>
  <si>
    <t>2013-PL-248</t>
  </si>
  <si>
    <t>2013-PL-249</t>
  </si>
  <si>
    <t>2013-PL-250</t>
  </si>
  <si>
    <t>2013-PL-251</t>
  </si>
  <si>
    <t>2013-PL-252</t>
  </si>
  <si>
    <t>2013-PL-253</t>
  </si>
  <si>
    <t>2013-PL-254</t>
  </si>
  <si>
    <t>2013-PL-255</t>
  </si>
  <si>
    <t>2013-PL-256</t>
  </si>
  <si>
    <t>2013-PL-257</t>
  </si>
  <si>
    <t>2013-PL-258</t>
  </si>
  <si>
    <t>2013-PL-259</t>
  </si>
  <si>
    <t>2013-PL-260</t>
  </si>
  <si>
    <t>2013-PL-261</t>
  </si>
  <si>
    <t>2013-PL-262</t>
  </si>
  <si>
    <t>2013-PL-263</t>
  </si>
  <si>
    <t>2013-PL-264</t>
  </si>
  <si>
    <t>2013-PL-265</t>
  </si>
  <si>
    <t>2013-PL-266</t>
  </si>
  <si>
    <t>2013-PL-267</t>
  </si>
  <si>
    <t>2013-PL-268</t>
  </si>
  <si>
    <t>2013-PL-269</t>
  </si>
  <si>
    <t>2013-PL-270</t>
  </si>
  <si>
    <t>2013-PL-271</t>
  </si>
  <si>
    <t>2013-PL-272</t>
  </si>
  <si>
    <t>2013-PL-273</t>
  </si>
  <si>
    <t>2013-PL-274</t>
  </si>
  <si>
    <t>2013-PL-275</t>
  </si>
  <si>
    <t>2013-PL-276</t>
  </si>
  <si>
    <t>2013-PL-277</t>
  </si>
  <si>
    <t>2013-PL-278</t>
  </si>
  <si>
    <t>2013-PL-279</t>
  </si>
  <si>
    <t>2013-PL-280</t>
  </si>
  <si>
    <t>2013-PL-281</t>
  </si>
  <si>
    <t>2013-PL-282</t>
  </si>
  <si>
    <t>2013-PL-283</t>
  </si>
  <si>
    <t>2013-PL-284</t>
  </si>
  <si>
    <t>2013-PL-285</t>
  </si>
  <si>
    <t>2013-PL-286</t>
  </si>
  <si>
    <t>2013-PL-287</t>
  </si>
  <si>
    <t>2013-PL-288</t>
  </si>
  <si>
    <t>2013-PL-289</t>
  </si>
  <si>
    <t>2013-PL-290</t>
  </si>
  <si>
    <t>2013-PL-291</t>
  </si>
  <si>
    <t>2013-PL-292</t>
  </si>
  <si>
    <t>2013-PL-293</t>
  </si>
  <si>
    <t>2013-PL-294</t>
  </si>
  <si>
    <t>2013-PL-295</t>
  </si>
  <si>
    <t>2013-PL-296</t>
  </si>
  <si>
    <t>2013-PL-297</t>
  </si>
  <si>
    <t>2013-PL-298</t>
  </si>
  <si>
    <t>2013-PL-299</t>
  </si>
  <si>
    <t>2013-PL-300</t>
  </si>
  <si>
    <t>2013-PL-301</t>
  </si>
  <si>
    <t>2013-PL-302</t>
  </si>
  <si>
    <t>2013-PL-303</t>
  </si>
  <si>
    <t>2013-PL-304</t>
  </si>
  <si>
    <t>2013-PL-305</t>
  </si>
  <si>
    <t>2013-PL-306</t>
  </si>
  <si>
    <t>2013-PL-307</t>
  </si>
  <si>
    <t>2013-PL-308</t>
  </si>
  <si>
    <t>2013-PL-309</t>
  </si>
  <si>
    <t>2013-PL-310</t>
  </si>
  <si>
    <t>2013-PL-311</t>
  </si>
  <si>
    <t>2013-PL-312</t>
  </si>
  <si>
    <t>2013-PL-313</t>
  </si>
  <si>
    <t>2013-PL-314</t>
  </si>
  <si>
    <t>2013-PL-315</t>
  </si>
  <si>
    <t>2013-PL-316</t>
  </si>
  <si>
    <t>2013-PL-317</t>
  </si>
  <si>
    <t>2013-PL-318</t>
  </si>
  <si>
    <t>2013-PL-319</t>
  </si>
  <si>
    <t>2013-PL-320</t>
  </si>
  <si>
    <t>2013-PL-321</t>
  </si>
  <si>
    <t>2013-PL-322</t>
  </si>
  <si>
    <t>2013-PL-323</t>
  </si>
  <si>
    <t>2013-PL-324</t>
  </si>
  <si>
    <t>2013-PL-325</t>
  </si>
  <si>
    <t>2013-PL-326</t>
  </si>
  <si>
    <t>2013-PL-327</t>
  </si>
  <si>
    <t>2013-PL-328</t>
  </si>
  <si>
    <t>2013-PL-329</t>
  </si>
  <si>
    <t>2013-PL-330</t>
  </si>
  <si>
    <t>2013-PL-331</t>
  </si>
  <si>
    <t>2013-PL-332</t>
  </si>
  <si>
    <t>2013-PL-333</t>
  </si>
  <si>
    <t>2013-PL-334</t>
  </si>
  <si>
    <t>2013-PL-335</t>
  </si>
  <si>
    <t>2013-PL-336</t>
  </si>
  <si>
    <t>2013-PL-337</t>
  </si>
  <si>
    <t>2013-PL-338</t>
  </si>
  <si>
    <t>2013-PL-339</t>
  </si>
  <si>
    <t>2013-PL-340</t>
  </si>
  <si>
    <t>2013-PL-341</t>
  </si>
  <si>
    <t>2013-PL-342</t>
  </si>
  <si>
    <t>2013-PL-343</t>
  </si>
  <si>
    <t>2013-PL-344</t>
  </si>
  <si>
    <t>2013-PL-345</t>
  </si>
  <si>
    <t>2013-PL-346</t>
  </si>
  <si>
    <t>2013-PL-347</t>
  </si>
  <si>
    <t>2013-PL-348</t>
  </si>
  <si>
    <t>2013-PL-349</t>
  </si>
  <si>
    <t>2013-PL-350</t>
  </si>
  <si>
    <t>2013-PL-351</t>
  </si>
  <si>
    <t>2013-PL-352</t>
  </si>
  <si>
    <t>2013-PL-353</t>
  </si>
  <si>
    <t>2013-PL-354</t>
  </si>
  <si>
    <t>2013-PL-355</t>
  </si>
  <si>
    <t>2013-PL-356</t>
  </si>
  <si>
    <t>2013-PL-357</t>
  </si>
  <si>
    <t>2013-PL-358</t>
  </si>
  <si>
    <t>2013-PL-359</t>
  </si>
  <si>
    <t>2013-PL-360</t>
  </si>
  <si>
    <t>2013-PL-361</t>
  </si>
  <si>
    <t>2013-PL-362</t>
  </si>
  <si>
    <t>2013-PL-363</t>
  </si>
  <si>
    <t>2013-PL-364</t>
  </si>
  <si>
    <t>2013-PL-365</t>
  </si>
  <si>
    <t>2013-PL-366</t>
  </si>
  <si>
    <t>2013-PL-367</t>
  </si>
  <si>
    <t>2013-PL-368</t>
  </si>
  <si>
    <t>2013-PL-369</t>
  </si>
  <si>
    <t>2013-PL-370</t>
  </si>
  <si>
    <t>2013-PL-371</t>
  </si>
  <si>
    <t>2013-PL-372</t>
  </si>
  <si>
    <t>2013-PL-373</t>
  </si>
  <si>
    <t>2013-PL-374</t>
  </si>
  <si>
    <t>2013-PL-375</t>
  </si>
  <si>
    <t>2013-PL-376</t>
  </si>
  <si>
    <t>2013-PL-377</t>
  </si>
  <si>
    <t>2013-PL-378</t>
  </si>
  <si>
    <t>2013-PL-379</t>
  </si>
  <si>
    <t>2013-PL-380</t>
  </si>
  <si>
    <t>2014-PL-001</t>
  </si>
  <si>
    <t>2014-PL-002</t>
  </si>
  <si>
    <t>2014-PL-003</t>
  </si>
  <si>
    <t>2014-PL-004</t>
  </si>
  <si>
    <t>2014-PL-005</t>
  </si>
  <si>
    <t>2014-PL-006</t>
  </si>
  <si>
    <t>2014-PL-007</t>
  </si>
  <si>
    <t>2014-PL-008</t>
  </si>
  <si>
    <t>2014-PL-009</t>
  </si>
  <si>
    <t>2014-PL-010</t>
  </si>
  <si>
    <t>2014-PL-011</t>
  </si>
  <si>
    <t>2014-PL-012</t>
  </si>
  <si>
    <t>2014-PL-013</t>
  </si>
  <si>
    <t>2014-PL-014</t>
  </si>
  <si>
    <t>2014-PL-015</t>
  </si>
  <si>
    <t>2014-PL-016</t>
  </si>
  <si>
    <t>2014-PL-017</t>
  </si>
  <si>
    <t>2014-PL-018</t>
  </si>
  <si>
    <t>2014-PL-019</t>
  </si>
  <si>
    <t>2014-PL-020</t>
  </si>
  <si>
    <t>2014-PL-021</t>
  </si>
  <si>
    <t>2014-PL-022</t>
  </si>
  <si>
    <t>2014-PL-023</t>
  </si>
  <si>
    <t>2014-PL-024</t>
  </si>
  <si>
    <t>2014-PL-025</t>
  </si>
  <si>
    <t>2014-PL-026</t>
  </si>
  <si>
    <t>2014-PL-027</t>
  </si>
  <si>
    <t>2014-PL-028</t>
  </si>
  <si>
    <t>2014-PL-029</t>
  </si>
  <si>
    <t>2014-PL-030</t>
  </si>
  <si>
    <t>2014-PL-031</t>
  </si>
  <si>
    <t>2014-PL-032</t>
  </si>
  <si>
    <t>2014-PL-033</t>
  </si>
  <si>
    <t>2014-PL-034</t>
  </si>
  <si>
    <t>2014-PL-035</t>
  </si>
  <si>
    <t>2014-PL-036</t>
  </si>
  <si>
    <t>2014-PL-037</t>
  </si>
  <si>
    <t>2014-PL-038</t>
  </si>
  <si>
    <t>2014-PL-039</t>
  </si>
  <si>
    <t>2014-PL-040</t>
  </si>
  <si>
    <t>2014-PL-041</t>
  </si>
  <si>
    <t>2014-PL-042</t>
  </si>
  <si>
    <t>2014-PL-043</t>
  </si>
  <si>
    <t>2014-PL-044</t>
  </si>
  <si>
    <t>2014-PL-045</t>
  </si>
  <si>
    <t>2014-PL-046</t>
  </si>
  <si>
    <t>2014-PL-047</t>
  </si>
  <si>
    <t>2014-PL-048</t>
  </si>
  <si>
    <t>2014-PL-049</t>
  </si>
  <si>
    <t>2014-PL-050</t>
  </si>
  <si>
    <t>2014-PL-051</t>
  </si>
  <si>
    <t>2014-PL-052</t>
  </si>
  <si>
    <t>2014-PL-053</t>
  </si>
  <si>
    <t>2014-PL-054</t>
  </si>
  <si>
    <t>2014-PL-055</t>
  </si>
  <si>
    <t>2014-PL-056</t>
  </si>
  <si>
    <t>2014-PL-057</t>
  </si>
  <si>
    <t>2014-PL-058</t>
  </si>
  <si>
    <t>2014-PL-059</t>
  </si>
  <si>
    <t>2014-PL-060</t>
  </si>
  <si>
    <t>2014-PL-061</t>
  </si>
  <si>
    <t>2014-PL-062</t>
  </si>
  <si>
    <t>2014-PL-063</t>
  </si>
  <si>
    <t>2014-PL-064</t>
  </si>
  <si>
    <t>2014-PL-065</t>
  </si>
  <si>
    <t>2014-PL-066</t>
  </si>
  <si>
    <t>2014-PL-067</t>
  </si>
  <si>
    <t>2014-PL-068</t>
  </si>
  <si>
    <t>2014-PL-069</t>
  </si>
  <si>
    <t>2014-PL-070</t>
  </si>
  <si>
    <t>2014-PL-071</t>
  </si>
  <si>
    <t>2014-PL-072</t>
  </si>
  <si>
    <t>2014-PL-073</t>
  </si>
  <si>
    <t>2014-PL-074</t>
  </si>
  <si>
    <t>2014-PL-075</t>
  </si>
  <si>
    <t>2014-PL-076</t>
  </si>
  <si>
    <t>2014-PL-077</t>
  </si>
  <si>
    <t>2014-PL-078</t>
  </si>
  <si>
    <t>2014-PL-079</t>
  </si>
  <si>
    <t>2014-PL-080</t>
  </si>
  <si>
    <t>2014-PL-081</t>
  </si>
  <si>
    <t>2014-PL-082</t>
  </si>
  <si>
    <t>2014-PL-083</t>
  </si>
  <si>
    <t>2014-PL-084</t>
  </si>
  <si>
    <t>2014-PL-085</t>
  </si>
  <si>
    <t>2014-PL-086</t>
  </si>
  <si>
    <t>2014-PL-087</t>
  </si>
  <si>
    <t>2014-PL-088</t>
  </si>
  <si>
    <t>2014-PL-089</t>
  </si>
  <si>
    <t>2014-PL-090</t>
  </si>
  <si>
    <t>2014-PL-091</t>
  </si>
  <si>
    <t>2014-PL-092</t>
  </si>
  <si>
    <t>2014-PL-093</t>
  </si>
  <si>
    <t>2014-PL-094</t>
  </si>
  <si>
    <t>2014-PL-095</t>
  </si>
  <si>
    <t>2014-PL-096</t>
  </si>
  <si>
    <t>2014-PL-097</t>
  </si>
  <si>
    <t>2014-PL-098</t>
  </si>
  <si>
    <t>2014-PL-099</t>
  </si>
  <si>
    <t>2014-PL-100</t>
  </si>
  <si>
    <t>2014-PL-101</t>
  </si>
  <si>
    <t>2014-PL-102</t>
  </si>
  <si>
    <t>2014-PL-103</t>
  </si>
  <si>
    <t>2014-PL-104</t>
  </si>
  <si>
    <t>2014-PL-105</t>
  </si>
  <si>
    <t>2014-PL-106</t>
  </si>
  <si>
    <t>2014-PL-107</t>
  </si>
  <si>
    <t>2014-PL-108</t>
  </si>
  <si>
    <t>2014-PL-109</t>
  </si>
  <si>
    <t>2014-PL-110</t>
  </si>
  <si>
    <t>2014-PL-111</t>
  </si>
  <si>
    <t>2014-PL-112</t>
  </si>
  <si>
    <t>2014-PL-113</t>
  </si>
  <si>
    <t>2014-PL-114</t>
  </si>
  <si>
    <t>2014-PL-115</t>
  </si>
  <si>
    <t>2014-PL-116</t>
  </si>
  <si>
    <t>2014-PL-117</t>
  </si>
  <si>
    <t>2014-PL-118</t>
  </si>
  <si>
    <t>2014-PL-119</t>
  </si>
  <si>
    <t>2014-PL-120</t>
  </si>
  <si>
    <t>2014-PL-121</t>
  </si>
  <si>
    <t>2014-PL-122</t>
  </si>
  <si>
    <t>2014-PL-123</t>
  </si>
  <si>
    <t>2014-PL-124</t>
  </si>
  <si>
    <t>2014-PL-125</t>
  </si>
  <si>
    <t>2014-PL-126</t>
  </si>
  <si>
    <t>2014-PL-127</t>
  </si>
  <si>
    <t>2014-PL-128</t>
  </si>
  <si>
    <t>2014-PL-129</t>
  </si>
  <si>
    <t>2014-PL-130</t>
  </si>
  <si>
    <t>2014-PL-131</t>
  </si>
  <si>
    <t>2014-PL-132</t>
  </si>
  <si>
    <t>2014-PL-133</t>
  </si>
  <si>
    <t>2014-PL-134</t>
  </si>
  <si>
    <t>2014-PL-135</t>
  </si>
  <si>
    <t>2014-PL-136</t>
  </si>
  <si>
    <t>2014-PL-137</t>
  </si>
  <si>
    <t>2014-PL-138</t>
  </si>
  <si>
    <t>2014-PL-139</t>
  </si>
  <si>
    <t>2014-PL-140</t>
  </si>
  <si>
    <t>2014-PL-141</t>
  </si>
  <si>
    <t>2014-PL-142</t>
  </si>
  <si>
    <t>2014-PL-143</t>
  </si>
  <si>
    <t>2014-PL-144</t>
  </si>
  <si>
    <t>2014-PL-145</t>
  </si>
  <si>
    <t>2014-PL-146</t>
  </si>
  <si>
    <t>2014-PL-147</t>
  </si>
  <si>
    <t>2014-PL-148</t>
  </si>
  <si>
    <t>2014-PL-149</t>
  </si>
  <si>
    <t>2014-PL-150</t>
  </si>
  <si>
    <t>2014-PL-151</t>
  </si>
  <si>
    <t>2014-PL-152</t>
  </si>
  <si>
    <t>2014-PL-153</t>
  </si>
  <si>
    <t>2014-PL-154</t>
  </si>
  <si>
    <t>2014-PL-155</t>
  </si>
  <si>
    <t>2014-PL-156</t>
  </si>
  <si>
    <t>2014-PL-157</t>
  </si>
  <si>
    <t>2014-PL-158</t>
  </si>
  <si>
    <t>2014-PL-159</t>
  </si>
  <si>
    <t>2014-PL-160</t>
  </si>
  <si>
    <t>2014-PL-161</t>
  </si>
  <si>
    <t>2014-PL-162</t>
  </si>
  <si>
    <t>2014-PL-163</t>
  </si>
  <si>
    <t>2014-PL-164</t>
  </si>
  <si>
    <t>2014-PL-165</t>
  </si>
  <si>
    <t>2014-PL-166</t>
  </si>
  <si>
    <t>2014-PL-167</t>
  </si>
  <si>
    <t>2014-PL-168</t>
  </si>
  <si>
    <t>2014-PL-169</t>
  </si>
  <si>
    <t>2014-PL-170</t>
  </si>
  <si>
    <t>2014-PL-171</t>
  </si>
  <si>
    <t>2014-PL-172</t>
  </si>
  <si>
    <t>2014-PL-173</t>
  </si>
  <si>
    <t>2014-PL-174</t>
  </si>
  <si>
    <t>2014-PL-175</t>
  </si>
  <si>
    <t>2014-PL-176</t>
  </si>
  <si>
    <t>2014-PL-177</t>
  </si>
  <si>
    <t>2014-PL-178</t>
  </si>
  <si>
    <t>2014-PL-179</t>
  </si>
  <si>
    <t>2014-PL-180</t>
  </si>
  <si>
    <t>2014-PL-181</t>
  </si>
  <si>
    <t>2014-PL-182</t>
  </si>
  <si>
    <t>2014-PL-183</t>
  </si>
  <si>
    <t>2014-PL-184</t>
  </si>
  <si>
    <t>2014-PL-185</t>
  </si>
  <si>
    <t>2014-PL-186</t>
  </si>
  <si>
    <t>2014-PL-187</t>
  </si>
  <si>
    <t>2014-PL-188</t>
  </si>
  <si>
    <t>2014-PL-189</t>
  </si>
  <si>
    <t>2014-PL-190</t>
  </si>
  <si>
    <t>2014-PL-191</t>
  </si>
  <si>
    <t>2014-PL-192</t>
  </si>
  <si>
    <t>2014-PL-193</t>
  </si>
  <si>
    <t>2014-PL-194</t>
  </si>
  <si>
    <t>2014-PL-195</t>
  </si>
  <si>
    <t>2014-PL-196</t>
  </si>
  <si>
    <t>2014-PL-197</t>
  </si>
  <si>
    <t>2014-PL-198</t>
  </si>
  <si>
    <t>2014-PL-199</t>
  </si>
  <si>
    <t>2014-PL-200</t>
  </si>
  <si>
    <t>2014-PL-201</t>
  </si>
  <si>
    <t>2014-PL-202</t>
  </si>
  <si>
    <t>2014-PL-203</t>
  </si>
  <si>
    <t>2014-PL-204</t>
  </si>
  <si>
    <t>2014-PL-205</t>
  </si>
  <si>
    <t>2014-PL-206</t>
  </si>
  <si>
    <t>2014-PL-207</t>
  </si>
  <si>
    <t>2014-PL-208</t>
  </si>
  <si>
    <t>2014-PL-209</t>
  </si>
  <si>
    <t>2014-PL-210</t>
  </si>
  <si>
    <t>2014-PL-211</t>
  </si>
  <si>
    <t>2014-PL-212</t>
  </si>
  <si>
    <t>2014-PL-213</t>
  </si>
  <si>
    <t>2014-PL-214</t>
  </si>
  <si>
    <t>2014-PL-215</t>
  </si>
  <si>
    <t>2014-PL-216</t>
  </si>
  <si>
    <t>2014-PL-217</t>
  </si>
  <si>
    <t>2014-PL-218</t>
  </si>
  <si>
    <t>2014-PL-219</t>
  </si>
  <si>
    <t>2014-PL-220</t>
  </si>
  <si>
    <t>2014-PL-221</t>
  </si>
  <si>
    <t>2014-PL-222</t>
  </si>
  <si>
    <t>2014-PL-223</t>
  </si>
  <si>
    <t>2014-PL-224</t>
  </si>
  <si>
    <t>2014-PL-225</t>
  </si>
  <si>
    <t>2014-PL-226</t>
  </si>
  <si>
    <t>2014-PL-227</t>
  </si>
  <si>
    <t>2014-PL-228</t>
  </si>
  <si>
    <t>2014-PL-229</t>
  </si>
  <si>
    <t>2014-PL-230</t>
  </si>
  <si>
    <t>2014-PL-231</t>
  </si>
  <si>
    <t>2014-PL-232</t>
  </si>
  <si>
    <t>2014-PL-233</t>
  </si>
  <si>
    <t>2014-PL-234</t>
  </si>
  <si>
    <t>2014-PL-235</t>
  </si>
  <si>
    <t>2014-PL-236</t>
  </si>
  <si>
    <t>2014-PL-237</t>
  </si>
  <si>
    <t>2014-PL-238</t>
  </si>
  <si>
    <t>2014-PL-239</t>
  </si>
  <si>
    <t>2014-PL-240</t>
  </si>
  <si>
    <t>2014-PL-241</t>
  </si>
  <si>
    <t>2014-PL-242</t>
  </si>
  <si>
    <t>2014-PL-243</t>
  </si>
  <si>
    <t>2014-PL-244</t>
  </si>
  <si>
    <t>2014-PL-245</t>
  </si>
  <si>
    <t>2014-PL-246</t>
  </si>
  <si>
    <t>2014-PL-247</t>
  </si>
  <si>
    <t>2014-PL-248</t>
  </si>
  <si>
    <t>2014-PL-249</t>
  </si>
  <si>
    <t>2014-PL-250</t>
  </si>
  <si>
    <t>2014-PL-251</t>
  </si>
  <si>
    <t>2014-PL-252</t>
  </si>
  <si>
    <t>2014-PL-253</t>
  </si>
  <si>
    <t>2014-PL-254</t>
  </si>
  <si>
    <t>2014-PL-255</t>
  </si>
  <si>
    <t>2014-PL-256</t>
  </si>
  <si>
    <t>2014-PL-257</t>
  </si>
  <si>
    <t>2014-PL-258</t>
  </si>
  <si>
    <t>2014-PL-259</t>
  </si>
  <si>
    <t>2014-PL-260</t>
  </si>
  <si>
    <t>2014-PL-261</t>
  </si>
  <si>
    <t>2014-PL-262</t>
  </si>
  <si>
    <t>2014-PL-263</t>
  </si>
  <si>
    <t>2014-PL-264</t>
  </si>
  <si>
    <t>2014-PL-265</t>
  </si>
  <si>
    <t>2014-PL-266</t>
  </si>
  <si>
    <t>2014-PL-267</t>
  </si>
  <si>
    <t>2014-PL-268</t>
  </si>
  <si>
    <t>2014-PL-269</t>
  </si>
  <si>
    <t>2014-PL-270</t>
  </si>
  <si>
    <t>2014-PL-271</t>
  </si>
  <si>
    <t>2014-PL-272</t>
  </si>
  <si>
    <t>2014-PL-273</t>
  </si>
  <si>
    <t>2014-PL-274</t>
  </si>
  <si>
    <t>2014-PL-275</t>
  </si>
  <si>
    <t>2014-PL-276</t>
  </si>
  <si>
    <t>2014-PL-277</t>
  </si>
  <si>
    <t>2014-PL-278</t>
  </si>
  <si>
    <t>2014-PL-279</t>
  </si>
  <si>
    <t>2014-PL-280</t>
  </si>
  <si>
    <t>2014-PL-281</t>
  </si>
  <si>
    <t>2014-PL-282</t>
  </si>
  <si>
    <t>2014-PL-283</t>
  </si>
  <si>
    <t>2014-PL-284</t>
  </si>
  <si>
    <t>2014-PL-285</t>
  </si>
  <si>
    <t>2014-PL-286</t>
  </si>
  <si>
    <t>2014-PL-287</t>
  </si>
  <si>
    <t>2014-PL-288</t>
  </si>
  <si>
    <t>2014-PL-289</t>
  </si>
  <si>
    <t>2014-PL-290</t>
  </si>
  <si>
    <t>2014-PL-291</t>
  </si>
  <si>
    <t>2014-PL-292</t>
  </si>
  <si>
    <t>2014-PL-293</t>
  </si>
  <si>
    <t>2014-PL-294</t>
  </si>
  <si>
    <t>2014-PL-295</t>
  </si>
  <si>
    <t>2014-PL-296</t>
  </si>
  <si>
    <t>2014-PL-297</t>
  </si>
  <si>
    <t>2014-PL-298</t>
  </si>
  <si>
    <t>2014-PL-299</t>
  </si>
  <si>
    <t>2014-PL-300</t>
  </si>
  <si>
    <t>2014-PL-301</t>
  </si>
  <si>
    <t>2014-PL-302</t>
  </si>
  <si>
    <t>2014-PL-303</t>
  </si>
  <si>
    <t>2014-PL-304</t>
  </si>
  <si>
    <t>2014-PL-305</t>
  </si>
  <si>
    <t>2014-PL-306</t>
  </si>
  <si>
    <t>2014-PL-307</t>
  </si>
  <si>
    <t>2014-PL-308</t>
  </si>
  <si>
    <t>2014-PL-309</t>
  </si>
  <si>
    <t>2014-PL-310</t>
  </si>
  <si>
    <t>2014-PL-311</t>
  </si>
  <si>
    <t>2014-PL-312</t>
  </si>
  <si>
    <t>2014-PL-313</t>
  </si>
  <si>
    <t>2014-PL-314</t>
  </si>
  <si>
    <t>2014-PL-315</t>
  </si>
  <si>
    <t>2014-PL-316</t>
  </si>
  <si>
    <t>2014-PL-317</t>
  </si>
  <si>
    <t>2014-PL-318</t>
  </si>
  <si>
    <t>2014-PL-319</t>
  </si>
  <si>
    <t>2014-PL-320</t>
  </si>
  <si>
    <t>2014-PL-321</t>
  </si>
  <si>
    <t>2014-PL-322</t>
  </si>
  <si>
    <t>2014-PL-323</t>
  </si>
  <si>
    <t>2014-PL-324</t>
  </si>
  <si>
    <t>2014-PL-325</t>
  </si>
  <si>
    <t>2014-PL-326</t>
  </si>
  <si>
    <t>2014-PL-327</t>
  </si>
  <si>
    <t>2014-PL-328</t>
  </si>
  <si>
    <t>2014-PL-329</t>
  </si>
  <si>
    <t>2014-PL-330</t>
  </si>
  <si>
    <t>2014-PL-331</t>
  </si>
  <si>
    <t>2014-PL-332</t>
  </si>
  <si>
    <t>2014-PL-333</t>
  </si>
  <si>
    <t>2014-PL-334</t>
  </si>
  <si>
    <t>2014-PL-335</t>
  </si>
  <si>
    <t>2014-PL-336</t>
  </si>
  <si>
    <t>2014-PL-337</t>
  </si>
  <si>
    <t>2014-PL-338</t>
  </si>
  <si>
    <t>2014-PL-339</t>
  </si>
  <si>
    <t>2014-PL-340</t>
  </si>
  <si>
    <t>2014-PL-341</t>
  </si>
  <si>
    <t>2014-PL-342</t>
  </si>
  <si>
    <t>2014-PL-343</t>
  </si>
  <si>
    <t>2014-PL-344</t>
  </si>
  <si>
    <t>2014-PL-345</t>
  </si>
  <si>
    <t>2014-PL-346</t>
  </si>
  <si>
    <t>2014-PL-347</t>
  </si>
  <si>
    <t>2014-PL-348</t>
  </si>
  <si>
    <t>2014-PL-349</t>
  </si>
  <si>
    <t>2014-PL-350</t>
  </si>
  <si>
    <t>2014-PL-351</t>
  </si>
  <si>
    <t>2014-PL-352</t>
  </si>
  <si>
    <t>2014-PL-353</t>
  </si>
  <si>
    <t>2014-PL-354</t>
  </si>
  <si>
    <t>2014-PL-355</t>
  </si>
  <si>
    <t>2014-PL-356</t>
  </si>
  <si>
    <t>2014-PL-357</t>
  </si>
  <si>
    <t>2014-PL-358</t>
  </si>
  <si>
    <t>2014-PL-359</t>
  </si>
  <si>
    <t>2014-PL-360</t>
  </si>
  <si>
    <t>2014-PL-361</t>
  </si>
  <si>
    <t>2014-PL-362</t>
  </si>
  <si>
    <t>2014-PL-363</t>
  </si>
  <si>
    <t>2014-PL-364</t>
  </si>
  <si>
    <t>2014-PL-365</t>
  </si>
  <si>
    <t>2014-PL-366</t>
  </si>
  <si>
    <t>2014-PL-367</t>
  </si>
  <si>
    <t>2014-PL-368</t>
  </si>
  <si>
    <t>2014-PL-369</t>
  </si>
  <si>
    <t>2014-PL-370</t>
  </si>
  <si>
    <t>2014-PL-371</t>
  </si>
  <si>
    <t>2014-PL-372</t>
  </si>
  <si>
    <t>2014-PL-373</t>
  </si>
  <si>
    <t>2014-PL-374</t>
  </si>
  <si>
    <t>2014-PL-375</t>
  </si>
  <si>
    <t>2014-PL-376</t>
  </si>
  <si>
    <t>2014-PL-377</t>
  </si>
  <si>
    <t>2014-PL-378</t>
  </si>
  <si>
    <t>2014-PL-379</t>
  </si>
  <si>
    <t>2014-PL-380</t>
  </si>
  <si>
    <t>2015-PL-001</t>
  </si>
  <si>
    <t>2015-PL-002</t>
  </si>
  <si>
    <t>2015-PL-003</t>
  </si>
  <si>
    <t>2015-PL-004</t>
  </si>
  <si>
    <t>2015-PL-005</t>
  </si>
  <si>
    <t>2015-PL-006</t>
  </si>
  <si>
    <t>2015-PL-007</t>
  </si>
  <si>
    <t>2015-PL-008</t>
  </si>
  <si>
    <t>2015-PL-009</t>
  </si>
  <si>
    <t>2015-PL-010</t>
  </si>
  <si>
    <t>2015-PL-011</t>
  </si>
  <si>
    <t>2015-PL-012</t>
  </si>
  <si>
    <t>2015-PL-013</t>
  </si>
  <si>
    <t>2015-PL-014</t>
  </si>
  <si>
    <t>2015-PL-015</t>
  </si>
  <si>
    <t>2015-PL-016</t>
  </si>
  <si>
    <t>2015-PL-017</t>
  </si>
  <si>
    <t>2015-PL-018</t>
  </si>
  <si>
    <t>2015-PL-019</t>
  </si>
  <si>
    <t>2015-PL-020</t>
  </si>
  <si>
    <t>2015-PL-021</t>
  </si>
  <si>
    <t>2015-PL-022</t>
  </si>
  <si>
    <t>2015-PL-023</t>
  </si>
  <si>
    <t>2015-PL-024</t>
  </si>
  <si>
    <t>2015-PL-025</t>
  </si>
  <si>
    <t>2015-PL-026</t>
  </si>
  <si>
    <t>2015-PL-027</t>
  </si>
  <si>
    <t>2015-PL-028</t>
  </si>
  <si>
    <t>2015-PL-029</t>
  </si>
  <si>
    <t>2015-PL-030</t>
  </si>
  <si>
    <t>2015-PL-031</t>
  </si>
  <si>
    <t>2015-PL-032</t>
  </si>
  <si>
    <t>2015-PL-033</t>
  </si>
  <si>
    <t>2015-PL-034</t>
  </si>
  <si>
    <t>2015-PL-035</t>
  </si>
  <si>
    <t>2015-PL-036</t>
  </si>
  <si>
    <t>2015-PL-037</t>
  </si>
  <si>
    <t>2015-PL-038</t>
  </si>
  <si>
    <t>2015-PL-039</t>
  </si>
  <si>
    <t>2015-PL-040</t>
  </si>
  <si>
    <t>2015-PL-041</t>
  </si>
  <si>
    <t>2015-PL-042</t>
  </si>
  <si>
    <t>2015-PL-043</t>
  </si>
  <si>
    <t>2015-PL-044</t>
  </si>
  <si>
    <t>2015-PL-045</t>
  </si>
  <si>
    <t>2015-PL-046</t>
  </si>
  <si>
    <t>2015-PL-047</t>
  </si>
  <si>
    <t>2015-PL-048</t>
  </si>
  <si>
    <t>2015-PL-049</t>
  </si>
  <si>
    <t>2015-PL-050</t>
  </si>
  <si>
    <t>2015-PL-051</t>
  </si>
  <si>
    <t>2015-PL-052</t>
  </si>
  <si>
    <t>2015-PL-053</t>
  </si>
  <si>
    <t>2015-PL-054</t>
  </si>
  <si>
    <t>2015-PL-055</t>
  </si>
  <si>
    <t>2015-PL-056</t>
  </si>
  <si>
    <t>2015-PL-057</t>
  </si>
  <si>
    <t>2015-PL-058</t>
  </si>
  <si>
    <t>2015-PL-059</t>
  </si>
  <si>
    <t>2015-PL-060</t>
  </si>
  <si>
    <t>2015-PL-061</t>
  </si>
  <si>
    <t>2015-PL-062</t>
  </si>
  <si>
    <t>2015-PL-063</t>
  </si>
  <si>
    <t>2015-PL-064</t>
  </si>
  <si>
    <t>2015-PL-065</t>
  </si>
  <si>
    <t>2015-PL-066</t>
  </si>
  <si>
    <t>2015-PL-067</t>
  </si>
  <si>
    <t>2015-PL-068</t>
  </si>
  <si>
    <t>2015-PL-069</t>
  </si>
  <si>
    <t>2015-PL-070</t>
  </si>
  <si>
    <t>2015-PL-071</t>
  </si>
  <si>
    <t>2015-PL-072</t>
  </si>
  <si>
    <t>2015-PL-073</t>
  </si>
  <si>
    <t>2015-PL-074</t>
  </si>
  <si>
    <t>2015-PL-075</t>
  </si>
  <si>
    <t>2015-PL-076</t>
  </si>
  <si>
    <t>2015-PL-077</t>
  </si>
  <si>
    <t>2015-PL-078</t>
  </si>
  <si>
    <t>2015-PL-079</t>
  </si>
  <si>
    <t>2015-PL-080</t>
  </si>
  <si>
    <t>2015-PL-081</t>
  </si>
  <si>
    <t>2015-PL-082</t>
  </si>
  <si>
    <t>2015-PL-083</t>
  </si>
  <si>
    <t>2015-PL-084</t>
  </si>
  <si>
    <t>2015-PL-085</t>
  </si>
  <si>
    <t>2015-PL-086</t>
  </si>
  <si>
    <t>2015-PL-087</t>
  </si>
  <si>
    <t>2015-PL-088</t>
  </si>
  <si>
    <t>2015-PL-089</t>
  </si>
  <si>
    <t>2015-PL-090</t>
  </si>
  <si>
    <t>2015-PL-091</t>
  </si>
  <si>
    <t>2015-PL-092</t>
  </si>
  <si>
    <t>2015-PL-093</t>
  </si>
  <si>
    <t>2015-PL-094</t>
  </si>
  <si>
    <t>2015-PL-095</t>
  </si>
  <si>
    <t>2015-PL-096</t>
  </si>
  <si>
    <t>2015-PL-097</t>
  </si>
  <si>
    <t>2015-PL-098</t>
  </si>
  <si>
    <t>2015-PL-099</t>
  </si>
  <si>
    <t>2015-PL-100</t>
  </si>
  <si>
    <t>2015-PL-101</t>
  </si>
  <si>
    <t>2015-PL-102</t>
  </si>
  <si>
    <t>2015-PL-103</t>
  </si>
  <si>
    <t>2015-PL-104</t>
  </si>
  <si>
    <t>2015-PL-105</t>
  </si>
  <si>
    <t>2015-PL-106</t>
  </si>
  <si>
    <t>2015-PL-107</t>
  </si>
  <si>
    <t>2015-PL-108</t>
  </si>
  <si>
    <t>2015-PL-109</t>
  </si>
  <si>
    <t>2015-PL-110</t>
  </si>
  <si>
    <t>2015-PL-111</t>
  </si>
  <si>
    <t>2015-PL-112</t>
  </si>
  <si>
    <t>2015-PL-113</t>
  </si>
  <si>
    <t>2015-PL-114</t>
  </si>
  <si>
    <t>2015-PL-115</t>
  </si>
  <si>
    <t>2015-PL-116</t>
  </si>
  <si>
    <t>2015-PL-117</t>
  </si>
  <si>
    <t>2015-PL-118</t>
  </si>
  <si>
    <t>2015-PL-119</t>
  </si>
  <si>
    <t>2015-PL-120</t>
  </si>
  <si>
    <t>2015-PL-121</t>
  </si>
  <si>
    <t>2015-PL-122</t>
  </si>
  <si>
    <t>2015-PL-123</t>
  </si>
  <si>
    <t>2015-PL-124</t>
  </si>
  <si>
    <t>2015-PL-125</t>
  </si>
  <si>
    <t>2015-PL-126</t>
  </si>
  <si>
    <t>2015-PL-127</t>
  </si>
  <si>
    <t>2015-PL-128</t>
  </si>
  <si>
    <t>2015-PL-129</t>
  </si>
  <si>
    <t>2015-PL-130</t>
  </si>
  <si>
    <t>2015-PL-131</t>
  </si>
  <si>
    <t>2015-PL-132</t>
  </si>
  <si>
    <t>2015-PL-133</t>
  </si>
  <si>
    <t>2015-PL-134</t>
  </si>
  <si>
    <t>2015-PL-135</t>
  </si>
  <si>
    <t>2015-PL-136</t>
  </si>
  <si>
    <t>2015-PL-137</t>
  </si>
  <si>
    <t>2015-PL-138</t>
  </si>
  <si>
    <t>2015-PL-139</t>
  </si>
  <si>
    <t>2015-PL-140</t>
  </si>
  <si>
    <t>2015-PL-141</t>
  </si>
  <si>
    <t>2015-PL-142</t>
  </si>
  <si>
    <t>2015-PL-143</t>
  </si>
  <si>
    <t>2015-PL-144</t>
  </si>
  <si>
    <t>2015-PL-145</t>
  </si>
  <si>
    <t>2015-PL-146</t>
  </si>
  <si>
    <t>2015-PL-147</t>
  </si>
  <si>
    <t>2015-PL-148</t>
  </si>
  <si>
    <t>2015-PL-149</t>
  </si>
  <si>
    <t>2015-PL-150</t>
  </si>
  <si>
    <t>2015-PL-151</t>
  </si>
  <si>
    <t>2015-PL-152</t>
  </si>
  <si>
    <t>2015-PL-153</t>
  </si>
  <si>
    <t>2015-PL-154</t>
  </si>
  <si>
    <t>2015-PL-155</t>
  </si>
  <si>
    <t>2015-PL-156</t>
  </si>
  <si>
    <t>2015-PL-157</t>
  </si>
  <si>
    <t>2015-PL-158</t>
  </si>
  <si>
    <t>2015-PL-159</t>
  </si>
  <si>
    <t>2015-PL-160</t>
  </si>
  <si>
    <t>2015-PL-161</t>
  </si>
  <si>
    <t>2015-PL-162</t>
  </si>
  <si>
    <t>2015-PL-163</t>
  </si>
  <si>
    <t>2015-PL-164</t>
  </si>
  <si>
    <t>2015-PL-165</t>
  </si>
  <si>
    <t>2015-PL-166</t>
  </si>
  <si>
    <t>2015-PL-167</t>
  </si>
  <si>
    <t>2015-PL-168</t>
  </si>
  <si>
    <t>2015-PL-169</t>
  </si>
  <si>
    <t>2015-PL-170</t>
  </si>
  <si>
    <t>2015-PL-171</t>
  </si>
  <si>
    <t>2015-PL-172</t>
  </si>
  <si>
    <t>2015-PL-173</t>
  </si>
  <si>
    <t>2015-PL-174</t>
  </si>
  <si>
    <t>2015-PL-175</t>
  </si>
  <si>
    <t>2015-PL-176</t>
  </si>
  <si>
    <t>2015-PL-177</t>
  </si>
  <si>
    <t>2015-PL-178</t>
  </si>
  <si>
    <t>2015-PL-179</t>
  </si>
  <si>
    <t>2015-PL-180</t>
  </si>
  <si>
    <t>2015-PL-181</t>
  </si>
  <si>
    <t>2015-PL-182</t>
  </si>
  <si>
    <t>2015-PL-183</t>
  </si>
  <si>
    <t>2015-PL-184</t>
  </si>
  <si>
    <t>2015-PL-185</t>
  </si>
  <si>
    <t>2015-PL-186</t>
  </si>
  <si>
    <t>2015-PL-187</t>
  </si>
  <si>
    <t>2015-PL-188</t>
  </si>
  <si>
    <t>2015-PL-189</t>
  </si>
  <si>
    <t>2015-PL-190</t>
  </si>
  <si>
    <t>2015-PL-191</t>
  </si>
  <si>
    <t>2015-PL-192</t>
  </si>
  <si>
    <t>2015-PL-193</t>
  </si>
  <si>
    <t>2015-PL-194</t>
  </si>
  <si>
    <t>2015-PL-195</t>
  </si>
  <si>
    <t>2015-PL-196</t>
  </si>
  <si>
    <t>2015-PL-197</t>
  </si>
  <si>
    <t>2015-PL-198</t>
  </si>
  <si>
    <t>2015-PL-199</t>
  </si>
  <si>
    <t>2015-PL-200</t>
  </si>
  <si>
    <t>2015-PL-201</t>
  </si>
  <si>
    <t>2015-PL-202</t>
  </si>
  <si>
    <t>2015-PL-203</t>
  </si>
  <si>
    <t>2015-PL-204</t>
  </si>
  <si>
    <t>2015-PL-205</t>
  </si>
  <si>
    <t>2015-PL-206</t>
  </si>
  <si>
    <t>2015-PL-207</t>
  </si>
  <si>
    <t>2015-PL-208</t>
  </si>
  <si>
    <t>2015-PL-209</t>
  </si>
  <si>
    <t>2015-PL-210</t>
  </si>
  <si>
    <t>2015-PL-211</t>
  </si>
  <si>
    <t>2015-PL-212</t>
  </si>
  <si>
    <t>2015-PL-213</t>
  </si>
  <si>
    <t>2015-PL-214</t>
  </si>
  <si>
    <t>2015-PL-215</t>
  </si>
  <si>
    <t>2015-PL-216</t>
  </si>
  <si>
    <t>2015-PL-217</t>
  </si>
  <si>
    <t>2015-PL-218</t>
  </si>
  <si>
    <t>2015-PL-219</t>
  </si>
  <si>
    <t>2015-PL-220</t>
  </si>
  <si>
    <t>2015-PL-221</t>
  </si>
  <si>
    <t>2015-PL-222</t>
  </si>
  <si>
    <t>2015-PL-223</t>
  </si>
  <si>
    <t>2015-PL-224</t>
  </si>
  <si>
    <t>2015-PL-225</t>
  </si>
  <si>
    <t>2015-PL-226</t>
  </si>
  <si>
    <t>2015-PL-227</t>
  </si>
  <si>
    <t>2015-PL-228</t>
  </si>
  <si>
    <t>2015-PL-229</t>
  </si>
  <si>
    <t>2015-PL-230</t>
  </si>
  <si>
    <t>2015-PL-231</t>
  </si>
  <si>
    <t>2015-PL-232</t>
  </si>
  <si>
    <t>2015-PL-233</t>
  </si>
  <si>
    <t>2015-PL-234</t>
  </si>
  <si>
    <t>2015-PL-235</t>
  </si>
  <si>
    <t>2015-PL-236</t>
  </si>
  <si>
    <t>2015-PL-237</t>
  </si>
  <si>
    <t>2015-PL-238</t>
  </si>
  <si>
    <t>2015-PL-239</t>
  </si>
  <si>
    <t>2015-PL-240</t>
  </si>
  <si>
    <t>2015-PL-241</t>
  </si>
  <si>
    <t>2015-PL-242</t>
  </si>
  <si>
    <t>2015-PL-243</t>
  </si>
  <si>
    <t>2015-PL-244</t>
  </si>
  <si>
    <t>2015-PL-245</t>
  </si>
  <si>
    <t>2015-PL-246</t>
  </si>
  <si>
    <t>2015-PL-247</t>
  </si>
  <si>
    <t>2015-PL-248</t>
  </si>
  <si>
    <t>2015-PL-249</t>
  </si>
  <si>
    <t>2015-PL-250</t>
  </si>
  <si>
    <t>2015-PL-251</t>
  </si>
  <si>
    <t>2015-PL-252</t>
  </si>
  <si>
    <t>2015-PL-253</t>
  </si>
  <si>
    <t>2015-PL-254</t>
  </si>
  <si>
    <t>2015-PL-255</t>
  </si>
  <si>
    <t>2015-PL-256</t>
  </si>
  <si>
    <t>2015-PL-257</t>
  </si>
  <si>
    <t>2015-PL-258</t>
  </si>
  <si>
    <t>2015-PL-259</t>
  </si>
  <si>
    <t>2015-PL-260</t>
  </si>
  <si>
    <t>2015-PL-261</t>
  </si>
  <si>
    <t>2015-PL-262</t>
  </si>
  <si>
    <t>2015-PL-263</t>
  </si>
  <si>
    <t>2015-PL-264</t>
  </si>
  <si>
    <t>2015-PL-265</t>
  </si>
  <si>
    <t>2015-PL-266</t>
  </si>
  <si>
    <t>2015-PL-267</t>
  </si>
  <si>
    <t>2015-PL-268</t>
  </si>
  <si>
    <t>2015-PL-269</t>
  </si>
  <si>
    <t>2015-PL-270</t>
  </si>
  <si>
    <t>2015-PL-271</t>
  </si>
  <si>
    <t>2015-PL-272</t>
  </si>
  <si>
    <t>2015-PL-273</t>
  </si>
  <si>
    <t>2015-PL-274</t>
  </si>
  <si>
    <t>2015-PL-275</t>
  </si>
  <si>
    <t>2015-PL-276</t>
  </si>
  <si>
    <t>2015-PL-277</t>
  </si>
  <si>
    <t>2015-PL-278</t>
  </si>
  <si>
    <t>2015-PL-279</t>
  </si>
  <si>
    <t>2015-PL-280</t>
  </si>
  <si>
    <t>2015-PL-281</t>
  </si>
  <si>
    <t>2015-PL-282</t>
  </si>
  <si>
    <t>2015-PL-283</t>
  </si>
  <si>
    <t>2015-PL-284</t>
  </si>
  <si>
    <t>2015-PL-285</t>
  </si>
  <si>
    <t>2015-PL-286</t>
  </si>
  <si>
    <t>2015-PL-287</t>
  </si>
  <si>
    <t>2015-PL-288</t>
  </si>
  <si>
    <t>2015-PL-289</t>
  </si>
  <si>
    <t>2015-PL-290</t>
  </si>
  <si>
    <t>2015-PL-291</t>
  </si>
  <si>
    <t>2015-PL-292</t>
  </si>
  <si>
    <t>2015-PL-293</t>
  </si>
  <si>
    <t>2015-PL-294</t>
  </si>
  <si>
    <t>2015-PL-295</t>
  </si>
  <si>
    <t>2015-PL-296</t>
  </si>
  <si>
    <t>2015-PL-297</t>
  </si>
  <si>
    <t>2015-PL-298</t>
  </si>
  <si>
    <t>2015-PL-299</t>
  </si>
  <si>
    <t>2015-PL-300</t>
  </si>
  <si>
    <t>2015-PL-301</t>
  </si>
  <si>
    <t>2015-PL-302</t>
  </si>
  <si>
    <t>2015-PL-303</t>
  </si>
  <si>
    <t>2015-PL-304</t>
  </si>
  <si>
    <t>2015-PL-305</t>
  </si>
  <si>
    <t>2015-PL-306</t>
  </si>
  <si>
    <t>2015-PL-307</t>
  </si>
  <si>
    <t>2015-PL-308</t>
  </si>
  <si>
    <t>2015-PL-309</t>
  </si>
  <si>
    <t>2015-PL-310</t>
  </si>
  <si>
    <t>2015-PL-311</t>
  </si>
  <si>
    <t>2015-PL-312</t>
  </si>
  <si>
    <t>2015-PL-313</t>
  </si>
  <si>
    <t>2015-PL-314</t>
  </si>
  <si>
    <t>2015-PL-315</t>
  </si>
  <si>
    <t>2015-PL-316</t>
  </si>
  <si>
    <t>2015-PL-317</t>
  </si>
  <si>
    <t>2015-PL-318</t>
  </si>
  <si>
    <t>2015-PL-319</t>
  </si>
  <si>
    <t>2015-PL-320</t>
  </si>
  <si>
    <t>2015-PL-321</t>
  </si>
  <si>
    <t>2015-PL-322</t>
  </si>
  <si>
    <t>2015-PL-323</t>
  </si>
  <si>
    <t>2015-PL-324</t>
  </si>
  <si>
    <t>2015-PL-325</t>
  </si>
  <si>
    <t>2015-PL-326</t>
  </si>
  <si>
    <t>2015-PL-327</t>
  </si>
  <si>
    <t>2015-PL-328</t>
  </si>
  <si>
    <t>2015-PL-329</t>
  </si>
  <si>
    <t>2015-PL-330</t>
  </si>
  <si>
    <t>2015-PL-331</t>
  </si>
  <si>
    <t>2015-PL-332</t>
  </si>
  <si>
    <t>2015-PL-333</t>
  </si>
  <si>
    <t>2015-PL-334</t>
  </si>
  <si>
    <t>2015-PL-335</t>
  </si>
  <si>
    <t>2015-PL-336</t>
  </si>
  <si>
    <t>2015-PL-337</t>
  </si>
  <si>
    <t>2015-PL-338</t>
  </si>
  <si>
    <t>2015-PL-339</t>
  </si>
  <si>
    <t>2015-PL-340</t>
  </si>
  <si>
    <t>2015-PL-341</t>
  </si>
  <si>
    <t>2015-PL-342</t>
  </si>
  <si>
    <t>2015-PL-343</t>
  </si>
  <si>
    <t>2015-PL-344</t>
  </si>
  <si>
    <t>2015-PL-345</t>
  </si>
  <si>
    <t>2015-PL-346</t>
  </si>
  <si>
    <t>2015-PL-347</t>
  </si>
  <si>
    <t>2015-PL-348</t>
  </si>
  <si>
    <t>2015-PL-349</t>
  </si>
  <si>
    <t>2015-PL-350</t>
  </si>
  <si>
    <t>2015-PL-351</t>
  </si>
  <si>
    <t>2015-PL-352</t>
  </si>
  <si>
    <t>2015-PL-353</t>
  </si>
  <si>
    <t>2015-PL-354</t>
  </si>
  <si>
    <t>2015-PL-355</t>
  </si>
  <si>
    <t>2015-PL-356</t>
  </si>
  <si>
    <t>2015-PL-357</t>
  </si>
  <si>
    <t>2015-PL-358</t>
  </si>
  <si>
    <t>2015-PL-359</t>
  </si>
  <si>
    <t>2015-PL-360</t>
  </si>
  <si>
    <t>2015-PL-361</t>
  </si>
  <si>
    <t>2015-PL-362</t>
  </si>
  <si>
    <t>2015-PL-363</t>
  </si>
  <si>
    <t>2015-PL-364</t>
  </si>
  <si>
    <t>2015-PL-365</t>
  </si>
  <si>
    <t>2015-PL-366</t>
  </si>
  <si>
    <t>2015-PL-367</t>
  </si>
  <si>
    <t>2015-PL-368</t>
  </si>
  <si>
    <t>2015-PL-369</t>
  </si>
  <si>
    <t>2015-PL-370</t>
  </si>
  <si>
    <t>2015-PL-371</t>
  </si>
  <si>
    <t>2015-PL-372</t>
  </si>
  <si>
    <t>2015-PL-373</t>
  </si>
  <si>
    <t>2015-PL-374</t>
  </si>
  <si>
    <t>2015-PL-375</t>
  </si>
  <si>
    <t>2015-PL-376</t>
  </si>
  <si>
    <t>2015-PL-377</t>
  </si>
  <si>
    <t>2015-PL-378</t>
  </si>
  <si>
    <t>2015-PL-379</t>
  </si>
  <si>
    <t>2015-PL-380</t>
  </si>
  <si>
    <t>2016-PL-001</t>
  </si>
  <si>
    <t>2016-PL-002</t>
  </si>
  <si>
    <t>2016-PL-003</t>
  </si>
  <si>
    <t>2016-PL-004</t>
  </si>
  <si>
    <t>2016-PL-005</t>
  </si>
  <si>
    <t>2016-PL-006</t>
  </si>
  <si>
    <t>2016-PL-007</t>
  </si>
  <si>
    <t>2016-PL-008</t>
  </si>
  <si>
    <t>2016-PL-009</t>
  </si>
  <si>
    <t>2016-PL-010</t>
  </si>
  <si>
    <t>2016-PL-011</t>
  </si>
  <si>
    <t>2016-PL-012</t>
  </si>
  <si>
    <t>2016-PL-013</t>
  </si>
  <si>
    <t>2016-PL-014</t>
  </si>
  <si>
    <t>2016-PL-015</t>
  </si>
  <si>
    <t>2016-PL-016</t>
  </si>
  <si>
    <t>2016-PL-017</t>
  </si>
  <si>
    <t>2016-PL-018</t>
  </si>
  <si>
    <t>2016-PL-019</t>
  </si>
  <si>
    <t>2016-PL-020</t>
  </si>
  <si>
    <t>2016-PL-021</t>
  </si>
  <si>
    <t>2016-PL-022</t>
  </si>
  <si>
    <t>2016-PL-023</t>
  </si>
  <si>
    <t>2016-PL-024</t>
  </si>
  <si>
    <t>2016-PL-025</t>
  </si>
  <si>
    <t>2016-PL-026</t>
  </si>
  <si>
    <t>2016-PL-027</t>
  </si>
  <si>
    <t>2016-PL-028</t>
  </si>
  <si>
    <t>2016-PL-029</t>
  </si>
  <si>
    <t>2016-PL-030</t>
  </si>
  <si>
    <t>2016-PL-031</t>
  </si>
  <si>
    <t>2016-PL-032</t>
  </si>
  <si>
    <t>2016-PL-033</t>
  </si>
  <si>
    <t>2016-PL-034</t>
  </si>
  <si>
    <t>2016-PL-035</t>
  </si>
  <si>
    <t>2016-PL-036</t>
  </si>
  <si>
    <t>2016-PL-037</t>
  </si>
  <si>
    <t>2016-PL-038</t>
  </si>
  <si>
    <t>2016-PL-039</t>
  </si>
  <si>
    <t>2016-PL-040</t>
  </si>
  <si>
    <t>2016-PL-041</t>
  </si>
  <si>
    <t>2016-PL-042</t>
  </si>
  <si>
    <t>2016-PL-043</t>
  </si>
  <si>
    <t>2016-PL-044</t>
  </si>
  <si>
    <t>2016-PL-045</t>
  </si>
  <si>
    <t>2016-PL-046</t>
  </si>
  <si>
    <t>2016-PL-047</t>
  </si>
  <si>
    <t>2016-PL-048</t>
  </si>
  <si>
    <t>2016-PL-049</t>
  </si>
  <si>
    <t>2016-PL-050</t>
  </si>
  <si>
    <t>2016-PL-051</t>
  </si>
  <si>
    <t>2016-PL-052</t>
  </si>
  <si>
    <t>2016-PL-053</t>
  </si>
  <si>
    <t>2016-PL-054</t>
  </si>
  <si>
    <t>2016-PL-055</t>
  </si>
  <si>
    <t>2016-PL-056</t>
  </si>
  <si>
    <t>2016-PL-057</t>
  </si>
  <si>
    <t>2016-PL-058</t>
  </si>
  <si>
    <t>2016-PL-059</t>
  </si>
  <si>
    <t>2016-PL-060</t>
  </si>
  <si>
    <t>2016-PL-061</t>
  </si>
  <si>
    <t>2016-PL-062</t>
  </si>
  <si>
    <t>2016-PL-063</t>
  </si>
  <si>
    <t>2016-PL-064</t>
  </si>
  <si>
    <t>2016-PL-065</t>
  </si>
  <si>
    <t>2016-PL-066</t>
  </si>
  <si>
    <t>2016-PL-067</t>
  </si>
  <si>
    <t>2016-PL-068</t>
  </si>
  <si>
    <t>2016-PL-069</t>
  </si>
  <si>
    <t>2016-PL-070</t>
  </si>
  <si>
    <t>2016-PL-071</t>
  </si>
  <si>
    <t>2016-PL-072</t>
  </si>
  <si>
    <t>2016-PL-073</t>
  </si>
  <si>
    <t>2016-PL-074</t>
  </si>
  <si>
    <t>2016-PL-075</t>
  </si>
  <si>
    <t>2016-PL-076</t>
  </si>
  <si>
    <t>2016-PL-077</t>
  </si>
  <si>
    <t>2016-PL-078</t>
  </si>
  <si>
    <t>2016-PL-079</t>
  </si>
  <si>
    <t>2016-PL-080</t>
  </si>
  <si>
    <t>2016-PL-081</t>
  </si>
  <si>
    <t>2016-PL-082</t>
  </si>
  <si>
    <t>2016-PL-083</t>
  </si>
  <si>
    <t>2016-PL-084</t>
  </si>
  <si>
    <t>2016-PL-085</t>
  </si>
  <si>
    <t>2016-PL-086</t>
  </si>
  <si>
    <t>2016-PL-087</t>
  </si>
  <si>
    <t>2016-PL-088</t>
  </si>
  <si>
    <t>2016-PL-089</t>
  </si>
  <si>
    <t>2016-PL-090</t>
  </si>
  <si>
    <t>2016-PL-091</t>
  </si>
  <si>
    <t>2016-PL-092</t>
  </si>
  <si>
    <t>2016-PL-093</t>
  </si>
  <si>
    <t>2016-PL-094</t>
  </si>
  <si>
    <t>2016-PL-095</t>
  </si>
  <si>
    <t>2016-PL-096</t>
  </si>
  <si>
    <t>2016-PL-097</t>
  </si>
  <si>
    <t>2016-PL-098</t>
  </si>
  <si>
    <t>2016-PL-099</t>
  </si>
  <si>
    <t>2016-PL-100</t>
  </si>
  <si>
    <t>2016-PL-101</t>
  </si>
  <si>
    <t>2016-PL-102</t>
  </si>
  <si>
    <t>2016-PL-103</t>
  </si>
  <si>
    <t>2016-PL-104</t>
  </si>
  <si>
    <t>2016-PL-105</t>
  </si>
  <si>
    <t>2016-PL-106</t>
  </si>
  <si>
    <t>2016-PL-107</t>
  </si>
  <si>
    <t>2016-PL-108</t>
  </si>
  <si>
    <t>2016-PL-109</t>
  </si>
  <si>
    <t>2016-PL-110</t>
  </si>
  <si>
    <t>2016-PL-111</t>
  </si>
  <si>
    <t>2016-PL-112</t>
  </si>
  <si>
    <t>2016-PL-113</t>
  </si>
  <si>
    <t>2016-PL-114</t>
  </si>
  <si>
    <t>2016-PL-115</t>
  </si>
  <si>
    <t>2016-PL-116</t>
  </si>
  <si>
    <t>2016-PL-117</t>
  </si>
  <si>
    <t>2016-PL-118</t>
  </si>
  <si>
    <t>2016-PL-119</t>
  </si>
  <si>
    <t>2016-PL-120</t>
  </si>
  <si>
    <t>2016-PL-121</t>
  </si>
  <si>
    <t>2016-PL-122</t>
  </si>
  <si>
    <t>2016-PL-123</t>
  </si>
  <si>
    <t>2016-PL-124</t>
  </si>
  <si>
    <t>2016-PL-125</t>
  </si>
  <si>
    <t>2016-PL-126</t>
  </si>
  <si>
    <t>2016-PL-127</t>
  </si>
  <si>
    <t>2016-PL-128</t>
  </si>
  <si>
    <t>2016-PL-129</t>
  </si>
  <si>
    <t>2016-PL-130</t>
  </si>
  <si>
    <t>2016-PL-131</t>
  </si>
  <si>
    <t>2016-PL-132</t>
  </si>
  <si>
    <t>2016-PL-133</t>
  </si>
  <si>
    <t>2016-PL-134</t>
  </si>
  <si>
    <t>2016-PL-135</t>
  </si>
  <si>
    <t>2016-PL-136</t>
  </si>
  <si>
    <t>2016-PL-137</t>
  </si>
  <si>
    <t>2016-PL-138</t>
  </si>
  <si>
    <t>2016-PL-139</t>
  </si>
  <si>
    <t>2016-PL-140</t>
  </si>
  <si>
    <t>2016-PL-141</t>
  </si>
  <si>
    <t>2016-PL-142</t>
  </si>
  <si>
    <t>2016-PL-143</t>
  </si>
  <si>
    <t>2016-PL-144</t>
  </si>
  <si>
    <t>2016-PL-145</t>
  </si>
  <si>
    <t>2016-PL-146</t>
  </si>
  <si>
    <t>2016-PL-147</t>
  </si>
  <si>
    <t>2016-PL-148</t>
  </si>
  <si>
    <t>2016-PL-149</t>
  </si>
  <si>
    <t>2016-PL-150</t>
  </si>
  <si>
    <t>2016-PL-151</t>
  </si>
  <si>
    <t>2016-PL-152</t>
  </si>
  <si>
    <t>2016-PL-153</t>
  </si>
  <si>
    <t>2016-PL-154</t>
  </si>
  <si>
    <t>2016-PL-155</t>
  </si>
  <si>
    <t>2016-PL-156</t>
  </si>
  <si>
    <t>2016-PL-157</t>
  </si>
  <si>
    <t>2016-PL-158</t>
  </si>
  <si>
    <t>2016-PL-159</t>
  </si>
  <si>
    <t>2016-PL-160</t>
  </si>
  <si>
    <t>2016-PL-161</t>
  </si>
  <si>
    <t>2016-PL-162</t>
  </si>
  <si>
    <t>2016-PL-163</t>
  </si>
  <si>
    <t>2016-PL-164</t>
  </si>
  <si>
    <t>2016-PL-165</t>
  </si>
  <si>
    <t>2016-PL-166</t>
  </si>
  <si>
    <t>2016-PL-167</t>
  </si>
  <si>
    <t>2016-PL-168</t>
  </si>
  <si>
    <t>2016-PL-169</t>
  </si>
  <si>
    <t>2016-PL-170</t>
  </si>
  <si>
    <t>2016-PL-171</t>
  </si>
  <si>
    <t>2016-PL-172</t>
  </si>
  <si>
    <t>2016-PL-173</t>
  </si>
  <si>
    <t>2016-PL-174</t>
  </si>
  <si>
    <t>2016-PL-175</t>
  </si>
  <si>
    <t>2016-PL-176</t>
  </si>
  <si>
    <t>2016-PL-177</t>
  </si>
  <si>
    <t>2016-PL-178</t>
  </si>
  <si>
    <t>2016-PL-179</t>
  </si>
  <si>
    <t>2016-PL-180</t>
  </si>
  <si>
    <t>2016-PL-181</t>
  </si>
  <si>
    <t>2016-PL-182</t>
  </si>
  <si>
    <t>2016-PL-183</t>
  </si>
  <si>
    <t>2016-PL-184</t>
  </si>
  <si>
    <t>2016-PL-185</t>
  </si>
  <si>
    <t>2016-PL-186</t>
  </si>
  <si>
    <t>2016-PL-187</t>
  </si>
  <si>
    <t>2016-PL-188</t>
  </si>
  <si>
    <t>2016-PL-189</t>
  </si>
  <si>
    <t>2016-PL-190</t>
  </si>
  <si>
    <t>2016-PL-191</t>
  </si>
  <si>
    <t>2016-PL-192</t>
  </si>
  <si>
    <t>2016-PL-193</t>
  </si>
  <si>
    <t>2016-PL-194</t>
  </si>
  <si>
    <t>2016-PL-195</t>
  </si>
  <si>
    <t>2016-PL-196</t>
  </si>
  <si>
    <t>2016-PL-197</t>
  </si>
  <si>
    <t>2016-PL-198</t>
  </si>
  <si>
    <t>2016-PL-199</t>
  </si>
  <si>
    <t>2016-PL-200</t>
  </si>
  <si>
    <t>2016-PL-201</t>
  </si>
  <si>
    <t>2016-PL-202</t>
  </si>
  <si>
    <t>2016-PL-203</t>
  </si>
  <si>
    <t>2016-PL-204</t>
  </si>
  <si>
    <t>2016-PL-205</t>
  </si>
  <si>
    <t>2016-PL-206</t>
  </si>
  <si>
    <t>2016-PL-207</t>
  </si>
  <si>
    <t>2016-PL-208</t>
  </si>
  <si>
    <t>2016-PL-209</t>
  </si>
  <si>
    <t>2016-PL-210</t>
  </si>
  <si>
    <t>2016-PL-211</t>
  </si>
  <si>
    <t>2016-PL-212</t>
  </si>
  <si>
    <t>2016-PL-213</t>
  </si>
  <si>
    <t>2016-PL-214</t>
  </si>
  <si>
    <t>2016-PL-215</t>
  </si>
  <si>
    <t>2016-PL-216</t>
  </si>
  <si>
    <t>2016-PL-217</t>
  </si>
  <si>
    <t>2016-PL-218</t>
  </si>
  <si>
    <t>2016-PL-219</t>
  </si>
  <si>
    <t>2016-PL-220</t>
  </si>
  <si>
    <t>2016-PL-221</t>
  </si>
  <si>
    <t>2016-PL-222</t>
  </si>
  <si>
    <t>2016-PL-223</t>
  </si>
  <si>
    <t>2016-PL-224</t>
  </si>
  <si>
    <t>2016-PL-225</t>
  </si>
  <si>
    <t>2016-PL-226</t>
  </si>
  <si>
    <t>2016-PL-227</t>
  </si>
  <si>
    <t>2016-PL-228</t>
  </si>
  <si>
    <t>2016-PL-229</t>
  </si>
  <si>
    <t>2016-PL-230</t>
  </si>
  <si>
    <t>2016-PL-231</t>
  </si>
  <si>
    <t>2016-PL-232</t>
  </si>
  <si>
    <t>2016-PL-233</t>
  </si>
  <si>
    <t>2016-PL-234</t>
  </si>
  <si>
    <t>2016-PL-235</t>
  </si>
  <si>
    <t>2016-PL-236</t>
  </si>
  <si>
    <t>2016-PL-237</t>
  </si>
  <si>
    <t>2016-PL-238</t>
  </si>
  <si>
    <t>2016-PL-239</t>
  </si>
  <si>
    <t>2016-PL-240</t>
  </si>
  <si>
    <t>2016-PL-241</t>
  </si>
  <si>
    <t>2016-PL-242</t>
  </si>
  <si>
    <t>2016-PL-243</t>
  </si>
  <si>
    <t>2016-PL-244</t>
  </si>
  <si>
    <t>2016-PL-245</t>
  </si>
  <si>
    <t>2016-PL-246</t>
  </si>
  <si>
    <t>2016-PL-247</t>
  </si>
  <si>
    <t>2016-PL-248</t>
  </si>
  <si>
    <t>2016-PL-249</t>
  </si>
  <si>
    <t>2016-PL-250</t>
  </si>
  <si>
    <t>2016-PL-251</t>
  </si>
  <si>
    <t>2016-PL-252</t>
  </si>
  <si>
    <t>2016-PL-253</t>
  </si>
  <si>
    <t>2016-PL-254</t>
  </si>
  <si>
    <t>2016-PL-255</t>
  </si>
  <si>
    <t>2016-PL-256</t>
  </si>
  <si>
    <t>2016-PL-257</t>
  </si>
  <si>
    <t>2016-PL-258</t>
  </si>
  <si>
    <t>2016-PL-259</t>
  </si>
  <si>
    <t>2016-PL-260</t>
  </si>
  <si>
    <t>2016-PL-261</t>
  </si>
  <si>
    <t>2016-PL-262</t>
  </si>
  <si>
    <t>2016-PL-263</t>
  </si>
  <si>
    <t>2016-PL-264</t>
  </si>
  <si>
    <t>2016-PL-265</t>
  </si>
  <si>
    <t>2016-PL-266</t>
  </si>
  <si>
    <t>2016-PL-267</t>
  </si>
  <si>
    <t>2016-PL-268</t>
  </si>
  <si>
    <t>2016-PL-269</t>
  </si>
  <si>
    <t>2016-PL-270</t>
  </si>
  <si>
    <t>2016-PL-271</t>
  </si>
  <si>
    <t>2016-PL-272</t>
  </si>
  <si>
    <t>2016-PL-273</t>
  </si>
  <si>
    <t>2016-PL-274</t>
  </si>
  <si>
    <t>2016-PL-275</t>
  </si>
  <si>
    <t>2016-PL-276</t>
  </si>
  <si>
    <t>2016-PL-277</t>
  </si>
  <si>
    <t>2016-PL-278</t>
  </si>
  <si>
    <t>2016-PL-279</t>
  </si>
  <si>
    <t>2016-PL-280</t>
  </si>
  <si>
    <t>2016-PL-281</t>
  </si>
  <si>
    <t>2016-PL-282</t>
  </si>
  <si>
    <t>2016-PL-283</t>
  </si>
  <si>
    <t>2016-PL-284</t>
  </si>
  <si>
    <t>2016-PL-285</t>
  </si>
  <si>
    <t>2016-PL-286</t>
  </si>
  <si>
    <t>2016-PL-287</t>
  </si>
  <si>
    <t>2016-PL-288</t>
  </si>
  <si>
    <t>2016-PL-289</t>
  </si>
  <si>
    <t>2016-PL-290</t>
  </si>
  <si>
    <t>2016-PL-291</t>
  </si>
  <si>
    <t>2016-PL-292</t>
  </si>
  <si>
    <t>2016-PL-293</t>
  </si>
  <si>
    <t>2016-PL-294</t>
  </si>
  <si>
    <t>2016-PL-295</t>
  </si>
  <si>
    <t>2016-PL-296</t>
  </si>
  <si>
    <t>2016-PL-297</t>
  </si>
  <si>
    <t>2016-PL-298</t>
  </si>
  <si>
    <t>2016-PL-299</t>
  </si>
  <si>
    <t>2016-PL-300</t>
  </si>
  <si>
    <t>2016-PL-301</t>
  </si>
  <si>
    <t>2016-PL-302</t>
  </si>
  <si>
    <t>2016-PL-303</t>
  </si>
  <si>
    <t>2016-PL-304</t>
  </si>
  <si>
    <t>2016-PL-305</t>
  </si>
  <si>
    <t>2016-PL-306</t>
  </si>
  <si>
    <t>2016-PL-307</t>
  </si>
  <si>
    <t>2016-PL-308</t>
  </si>
  <si>
    <t>2016-PL-309</t>
  </si>
  <si>
    <t>2016-PL-310</t>
  </si>
  <si>
    <t>2016-PL-311</t>
  </si>
  <si>
    <t>2016-PL-312</t>
  </si>
  <si>
    <t>2016-PL-313</t>
  </si>
  <si>
    <t>2016-PL-314</t>
  </si>
  <si>
    <t>2016-PL-315</t>
  </si>
  <si>
    <t>2016-PL-316</t>
  </si>
  <si>
    <t>2016-PL-317</t>
  </si>
  <si>
    <t>2016-PL-318</t>
  </si>
  <si>
    <t>2016-PL-319</t>
  </si>
  <si>
    <t>2016-PL-320</t>
  </si>
  <si>
    <t>2016-PL-321</t>
  </si>
  <si>
    <t>2016-PL-322</t>
  </si>
  <si>
    <t>2016-PL-323</t>
  </si>
  <si>
    <t>2016-PL-324</t>
  </si>
  <si>
    <t>2016-PL-325</t>
  </si>
  <si>
    <t>2016-PL-326</t>
  </si>
  <si>
    <t>2016-PL-327</t>
  </si>
  <si>
    <t>2016-PL-328</t>
  </si>
  <si>
    <t>2016-PL-329</t>
  </si>
  <si>
    <t>2016-PL-330</t>
  </si>
  <si>
    <t>2016-PL-331</t>
  </si>
  <si>
    <t>2016-PL-332</t>
  </si>
  <si>
    <t>2016-PL-333</t>
  </si>
  <si>
    <t>2016-PL-334</t>
  </si>
  <si>
    <t>2016-PL-335</t>
  </si>
  <si>
    <t>2016-PL-336</t>
  </si>
  <si>
    <t>2016-PL-337</t>
  </si>
  <si>
    <t>2016-PL-338</t>
  </si>
  <si>
    <t>2016-PL-339</t>
  </si>
  <si>
    <t>2016-PL-340</t>
  </si>
  <si>
    <t>2016-PL-341</t>
  </si>
  <si>
    <t>2016-PL-342</t>
  </si>
  <si>
    <t>2016-PL-343</t>
  </si>
  <si>
    <t>2016-PL-344</t>
  </si>
  <si>
    <t>2016-PL-345</t>
  </si>
  <si>
    <t>2016-PL-346</t>
  </si>
  <si>
    <t>2016-PL-347</t>
  </si>
  <si>
    <t>2016-PL-348</t>
  </si>
  <si>
    <t>2016-PL-349</t>
  </si>
  <si>
    <t>2016-PL-350</t>
  </si>
  <si>
    <t>2016-PL-351</t>
  </si>
  <si>
    <t>2016-PL-352</t>
  </si>
  <si>
    <t>2016-PL-353</t>
  </si>
  <si>
    <t>2016-PL-354</t>
  </si>
  <si>
    <t>2016-PL-355</t>
  </si>
  <si>
    <t>2016-PL-356</t>
  </si>
  <si>
    <t>2016-PL-357</t>
  </si>
  <si>
    <t>2016-PL-358</t>
  </si>
  <si>
    <t>2016-PL-359</t>
  </si>
  <si>
    <t>2016-PL-360</t>
  </si>
  <si>
    <t>2016-PL-361</t>
  </si>
  <si>
    <t>2016-PL-362</t>
  </si>
  <si>
    <t>2016-PL-363</t>
  </si>
  <si>
    <t>2016-PL-364</t>
  </si>
  <si>
    <t>2016-PL-365</t>
  </si>
  <si>
    <t>2016-PL-366</t>
  </si>
  <si>
    <t>2016-PL-367</t>
  </si>
  <si>
    <t>2016-PL-368</t>
  </si>
  <si>
    <t>2016-PL-369</t>
  </si>
  <si>
    <t>2016-PL-370</t>
  </si>
  <si>
    <t>2016-PL-371</t>
  </si>
  <si>
    <t>2016-PL-372</t>
  </si>
  <si>
    <t>2016-PL-373</t>
  </si>
  <si>
    <t>2016-PL-374</t>
  </si>
  <si>
    <t>2016-PL-375</t>
  </si>
  <si>
    <t>2016-PL-376</t>
  </si>
  <si>
    <t>2016-PL-377</t>
  </si>
  <si>
    <t>2016-PL-378</t>
  </si>
  <si>
    <t>2016-PL-379</t>
  </si>
  <si>
    <t>2016-PL-380</t>
  </si>
  <si>
    <t>2017-PL-001</t>
  </si>
  <si>
    <t>2017-PL-002</t>
  </si>
  <si>
    <t>2017-PL-003</t>
  </si>
  <si>
    <t>2017-PL-004</t>
  </si>
  <si>
    <t>2017-PL-005</t>
  </si>
  <si>
    <t>2017-PL-006</t>
  </si>
  <si>
    <t>2017-PL-007</t>
  </si>
  <si>
    <t>2017-PL-008</t>
  </si>
  <si>
    <t>2017-PL-009</t>
  </si>
  <si>
    <t>2017-PL-010</t>
  </si>
  <si>
    <t>2017-PL-011</t>
  </si>
  <si>
    <t>2017-PL-012</t>
  </si>
  <si>
    <t>2017-PL-013</t>
  </si>
  <si>
    <t>2017-PL-014</t>
  </si>
  <si>
    <t>2017-PL-015</t>
  </si>
  <si>
    <t>2017-PL-016</t>
  </si>
  <si>
    <t>2017-PL-017</t>
  </si>
  <si>
    <t>2017-PL-018</t>
  </si>
  <si>
    <t>2017-PL-019</t>
  </si>
  <si>
    <t>2017-PL-020</t>
  </si>
  <si>
    <t>2017-PL-021</t>
  </si>
  <si>
    <t>2017-PL-022</t>
  </si>
  <si>
    <t>2017-PL-023</t>
  </si>
  <si>
    <t>2017-PL-024</t>
  </si>
  <si>
    <t>2017-PL-025</t>
  </si>
  <si>
    <t>2017-PL-026</t>
  </si>
  <si>
    <t>2017-PL-027</t>
  </si>
  <si>
    <t>2017-PL-028</t>
  </si>
  <si>
    <t>2017-PL-029</t>
  </si>
  <si>
    <t>2017-PL-030</t>
  </si>
  <si>
    <t>2017-PL-031</t>
  </si>
  <si>
    <t>2017-PL-032</t>
  </si>
  <si>
    <t>2017-PL-033</t>
  </si>
  <si>
    <t>2017-PL-034</t>
  </si>
  <si>
    <t>2017-PL-035</t>
  </si>
  <si>
    <t>2017-PL-036</t>
  </si>
  <si>
    <t>2017-PL-037</t>
  </si>
  <si>
    <t>2017-PL-038</t>
  </si>
  <si>
    <t>2017-PL-039</t>
  </si>
  <si>
    <t>2017-PL-040</t>
  </si>
  <si>
    <t>2017-PL-041</t>
  </si>
  <si>
    <t>2017-PL-042</t>
  </si>
  <si>
    <t>2017-PL-043</t>
  </si>
  <si>
    <t>2017-PL-044</t>
  </si>
  <si>
    <t>2017-PL-045</t>
  </si>
  <si>
    <t>2017-PL-046</t>
  </si>
  <si>
    <t>2017-PL-047</t>
  </si>
  <si>
    <t>2017-PL-048</t>
  </si>
  <si>
    <t>2017-PL-049</t>
  </si>
  <si>
    <t>2017-PL-050</t>
  </si>
  <si>
    <t>2017-PL-051</t>
  </si>
  <si>
    <t>2017-PL-052</t>
  </si>
  <si>
    <t>2017-PL-053</t>
  </si>
  <si>
    <t>2017-PL-054</t>
  </si>
  <si>
    <t>2017-PL-055</t>
  </si>
  <si>
    <t>2017-PL-056</t>
  </si>
  <si>
    <t>2017-PL-057</t>
  </si>
  <si>
    <t>2017-PL-058</t>
  </si>
  <si>
    <t>2017-PL-059</t>
  </si>
  <si>
    <t>2017-PL-060</t>
  </si>
  <si>
    <t>2017-PL-061</t>
  </si>
  <si>
    <t>2017-PL-062</t>
  </si>
  <si>
    <t>2017-PL-063</t>
  </si>
  <si>
    <t>2017-PL-064</t>
  </si>
  <si>
    <t>2017-PL-065</t>
  </si>
  <si>
    <t>2017-PL-066</t>
  </si>
  <si>
    <t>2017-PL-067</t>
  </si>
  <si>
    <t>2017-PL-068</t>
  </si>
  <si>
    <t>2017-PL-069</t>
  </si>
  <si>
    <t>2017-PL-070</t>
  </si>
  <si>
    <t>2017-PL-071</t>
  </si>
  <si>
    <t>2017-PL-072</t>
  </si>
  <si>
    <t>2017-PL-073</t>
  </si>
  <si>
    <t>2017-PL-074</t>
  </si>
  <si>
    <t>2017-PL-075</t>
  </si>
  <si>
    <t>2017-PL-076</t>
  </si>
  <si>
    <t>2017-PL-077</t>
  </si>
  <si>
    <t>2017-PL-078</t>
  </si>
  <si>
    <t>2017-PL-079</t>
  </si>
  <si>
    <t>2017-PL-080</t>
  </si>
  <si>
    <t>2017-PL-081</t>
  </si>
  <si>
    <t>2017-PL-082</t>
  </si>
  <si>
    <t>2017-PL-083</t>
  </si>
  <si>
    <t>2017-PL-084</t>
  </si>
  <si>
    <t>2017-PL-085</t>
  </si>
  <si>
    <t>2017-PL-086</t>
  </si>
  <si>
    <t>2017-PL-087</t>
  </si>
  <si>
    <t>2017-PL-088</t>
  </si>
  <si>
    <t>2017-PL-089</t>
  </si>
  <si>
    <t>2017-PL-090</t>
  </si>
  <si>
    <t>2017-PL-091</t>
  </si>
  <si>
    <t>2017-PL-092</t>
  </si>
  <si>
    <t>2017-PL-093</t>
  </si>
  <si>
    <t>2017-PL-094</t>
  </si>
  <si>
    <t>2017-PL-095</t>
  </si>
  <si>
    <t>2017-PL-096</t>
  </si>
  <si>
    <t>2017-PL-097</t>
  </si>
  <si>
    <t>2017-PL-098</t>
  </si>
  <si>
    <t>2017-PL-099</t>
  </si>
  <si>
    <t>2017-PL-100</t>
  </si>
  <si>
    <t>2017-PL-101</t>
  </si>
  <si>
    <t>2017-PL-102</t>
  </si>
  <si>
    <t>2017-PL-103</t>
  </si>
  <si>
    <t>2017-PL-104</t>
  </si>
  <si>
    <t>2017-PL-105</t>
  </si>
  <si>
    <t>2017-PL-106</t>
  </si>
  <si>
    <t>2017-PL-107</t>
  </si>
  <si>
    <t>2017-PL-108</t>
  </si>
  <si>
    <t>2017-PL-109</t>
  </si>
  <si>
    <t>2017-PL-110</t>
  </si>
  <si>
    <t>2017-PL-111</t>
  </si>
  <si>
    <t>2017-PL-112</t>
  </si>
  <si>
    <t>2017-PL-113</t>
  </si>
  <si>
    <t>2017-PL-114</t>
  </si>
  <si>
    <t>2017-PL-115</t>
  </si>
  <si>
    <t>2017-PL-116</t>
  </si>
  <si>
    <t>2017-PL-117</t>
  </si>
  <si>
    <t>2017-PL-118</t>
  </si>
  <si>
    <t>2017-PL-119</t>
  </si>
  <si>
    <t>2017-PL-120</t>
  </si>
  <si>
    <t>2017-PL-121</t>
  </si>
  <si>
    <t>2017-PL-122</t>
  </si>
  <si>
    <t>2017-PL-123</t>
  </si>
  <si>
    <t>2017-PL-124</t>
  </si>
  <si>
    <t>2017-PL-125</t>
  </si>
  <si>
    <t>2017-PL-126</t>
  </si>
  <si>
    <t>2017-PL-127</t>
  </si>
  <si>
    <t>2017-PL-128</t>
  </si>
  <si>
    <t>2017-PL-129</t>
  </si>
  <si>
    <t>2017-PL-130</t>
  </si>
  <si>
    <t>2017-PL-131</t>
  </si>
  <si>
    <t>2017-PL-132</t>
  </si>
  <si>
    <t>2017-PL-133</t>
  </si>
  <si>
    <t>2017-PL-134</t>
  </si>
  <si>
    <t>2017-PL-135</t>
  </si>
  <si>
    <t>2017-PL-136</t>
  </si>
  <si>
    <t>2017-PL-137</t>
  </si>
  <si>
    <t>2017-PL-138</t>
  </si>
  <si>
    <t>2017-PL-139</t>
  </si>
  <si>
    <t>2017-PL-140</t>
  </si>
  <si>
    <t>2017-PL-141</t>
  </si>
  <si>
    <t>2017-PL-142</t>
  </si>
  <si>
    <t>2017-PL-143</t>
  </si>
  <si>
    <t>2017-PL-144</t>
  </si>
  <si>
    <t>2017-PL-145</t>
  </si>
  <si>
    <t>2017-PL-146</t>
  </si>
  <si>
    <t>2017-PL-147</t>
  </si>
  <si>
    <t>2017-PL-148</t>
  </si>
  <si>
    <t>2017-PL-149</t>
  </si>
  <si>
    <t>2017-PL-150</t>
  </si>
  <si>
    <t>2017-PL-151</t>
  </si>
  <si>
    <t>2017-PL-152</t>
  </si>
  <si>
    <t>2017-PL-153</t>
  </si>
  <si>
    <t>2017-PL-154</t>
  </si>
  <si>
    <t>2017-PL-155</t>
  </si>
  <si>
    <t>2017-PL-156</t>
  </si>
  <si>
    <t>2017-PL-157</t>
  </si>
  <si>
    <t>2017-PL-158</t>
  </si>
  <si>
    <t>2017-PL-159</t>
  </si>
  <si>
    <t>2017-PL-160</t>
  </si>
  <si>
    <t>2017-PL-161</t>
  </si>
  <si>
    <t>2017-PL-162</t>
  </si>
  <si>
    <t>2017-PL-163</t>
  </si>
  <si>
    <t>2017-PL-164</t>
  </si>
  <si>
    <t>2017-PL-165</t>
  </si>
  <si>
    <t>2017-PL-166</t>
  </si>
  <si>
    <t>2017-PL-167</t>
  </si>
  <si>
    <t>2017-PL-168</t>
  </si>
  <si>
    <t>2017-PL-169</t>
  </si>
  <si>
    <t>2017-PL-170</t>
  </si>
  <si>
    <t>2017-PL-171</t>
  </si>
  <si>
    <t>2017-PL-172</t>
  </si>
  <si>
    <t>2017-PL-173</t>
  </si>
  <si>
    <t>2017-PL-174</t>
  </si>
  <si>
    <t>2017-PL-175</t>
  </si>
  <si>
    <t>2017-PL-176</t>
  </si>
  <si>
    <t>2017-PL-177</t>
  </si>
  <si>
    <t>2017-PL-178</t>
  </si>
  <si>
    <t>2017-PL-179</t>
  </si>
  <si>
    <t>2017-PL-180</t>
  </si>
  <si>
    <t>2017-PL-181</t>
  </si>
  <si>
    <t>2017-PL-182</t>
  </si>
  <si>
    <t>2017-PL-183</t>
  </si>
  <si>
    <t>2017-PL-184</t>
  </si>
  <si>
    <t>2017-PL-185</t>
  </si>
  <si>
    <t>2017-PL-186</t>
  </si>
  <si>
    <t>2017-PL-187</t>
  </si>
  <si>
    <t>2017-PL-188</t>
  </si>
  <si>
    <t>2017-PL-189</t>
  </si>
  <si>
    <t>2017-PL-190</t>
  </si>
  <si>
    <t>2017-PL-191</t>
  </si>
  <si>
    <t>2017-PL-192</t>
  </si>
  <si>
    <t>2017-PL-193</t>
  </si>
  <si>
    <t>2017-PL-194</t>
  </si>
  <si>
    <t>2017-PL-195</t>
  </si>
  <si>
    <t>2017-PL-196</t>
  </si>
  <si>
    <t>2017-PL-197</t>
  </si>
  <si>
    <t>2017-PL-198</t>
  </si>
  <si>
    <t>2017-PL-199</t>
  </si>
  <si>
    <t>2017-PL-200</t>
  </si>
  <si>
    <t>2017-PL-201</t>
  </si>
  <si>
    <t>2017-PL-202</t>
  </si>
  <si>
    <t>2017-PL-203</t>
  </si>
  <si>
    <t>2017-PL-204</t>
  </si>
  <si>
    <t>2017-PL-205</t>
  </si>
  <si>
    <t>2017-PL-206</t>
  </si>
  <si>
    <t>2017-PL-207</t>
  </si>
  <si>
    <t>2017-PL-208</t>
  </si>
  <si>
    <t>2017-PL-209</t>
  </si>
  <si>
    <t>2017-PL-210</t>
  </si>
  <si>
    <t>2017-PL-211</t>
  </si>
  <si>
    <t>2017-PL-212</t>
  </si>
  <si>
    <t>2017-PL-213</t>
  </si>
  <si>
    <t>2017-PL-214</t>
  </si>
  <si>
    <t>2017-PL-215</t>
  </si>
  <si>
    <t>2017-PL-216</t>
  </si>
  <si>
    <t>2017-PL-217</t>
  </si>
  <si>
    <t>2017-PL-218</t>
  </si>
  <si>
    <t>2017-PL-219</t>
  </si>
  <si>
    <t>2017-PL-220</t>
  </si>
  <si>
    <t>2017-PL-221</t>
  </si>
  <si>
    <t>2017-PL-222</t>
  </si>
  <si>
    <t>2017-PL-223</t>
  </si>
  <si>
    <t>2017-PL-224</t>
  </si>
  <si>
    <t>2017-PL-225</t>
  </si>
  <si>
    <t>2017-PL-226</t>
  </si>
  <si>
    <t>2017-PL-227</t>
  </si>
  <si>
    <t>2017-PL-228</t>
  </si>
  <si>
    <t>2017-PL-229</t>
  </si>
  <si>
    <t>2017-PL-230</t>
  </si>
  <si>
    <t>2017-PL-231</t>
  </si>
  <si>
    <t>2017-PL-232</t>
  </si>
  <si>
    <t>2017-PL-233</t>
  </si>
  <si>
    <t>2017-PL-234</t>
  </si>
  <si>
    <t>2017-PL-235</t>
  </si>
  <si>
    <t>2017-PL-236</t>
  </si>
  <si>
    <t>2017-PL-237</t>
  </si>
  <si>
    <t>2017-PL-238</t>
  </si>
  <si>
    <t>2017-PL-239</t>
  </si>
  <si>
    <t>2017-PL-240</t>
  </si>
  <si>
    <t>2017-PL-241</t>
  </si>
  <si>
    <t>2017-PL-242</t>
  </si>
  <si>
    <t>2017-PL-243</t>
  </si>
  <si>
    <t>2017-PL-244</t>
  </si>
  <si>
    <t>2017-PL-245</t>
  </si>
  <si>
    <t>2017-PL-246</t>
  </si>
  <si>
    <t>2017-PL-247</t>
  </si>
  <si>
    <t>2017-PL-248</t>
  </si>
  <si>
    <t>2017-PL-249</t>
  </si>
  <si>
    <t>2017-PL-250</t>
  </si>
  <si>
    <t>2017-PL-251</t>
  </si>
  <si>
    <t>2017-PL-252</t>
  </si>
  <si>
    <t>2017-PL-253</t>
  </si>
  <si>
    <t>2017-PL-254</t>
  </si>
  <si>
    <t>2017-PL-255</t>
  </si>
  <si>
    <t>2017-PL-256</t>
  </si>
  <si>
    <t>2017-PL-257</t>
  </si>
  <si>
    <t>2017-PL-258</t>
  </si>
  <si>
    <t>2017-PL-259</t>
  </si>
  <si>
    <t>2017-PL-260</t>
  </si>
  <si>
    <t>2017-PL-261</t>
  </si>
  <si>
    <t>2017-PL-262</t>
  </si>
  <si>
    <t>2017-PL-263</t>
  </si>
  <si>
    <t>2017-PL-264</t>
  </si>
  <si>
    <t>2017-PL-265</t>
  </si>
  <si>
    <t>2017-PL-266</t>
  </si>
  <si>
    <t>2017-PL-267</t>
  </si>
  <si>
    <t>2017-PL-268</t>
  </si>
  <si>
    <t>2017-PL-269</t>
  </si>
  <si>
    <t>2017-PL-270</t>
  </si>
  <si>
    <t>2017-PL-271</t>
  </si>
  <si>
    <t>2017-PL-272</t>
  </si>
  <si>
    <t>2017-PL-273</t>
  </si>
  <si>
    <t>2017-PL-274</t>
  </si>
  <si>
    <t>2017-PL-275</t>
  </si>
  <si>
    <t>2017-PL-276</t>
  </si>
  <si>
    <t>2017-PL-277</t>
  </si>
  <si>
    <t>2017-PL-278</t>
  </si>
  <si>
    <t>2017-PL-279</t>
  </si>
  <si>
    <t>2017-PL-280</t>
  </si>
  <si>
    <t>2017-PL-281</t>
  </si>
  <si>
    <t>2017-PL-282</t>
  </si>
  <si>
    <t>2017-PL-283</t>
  </si>
  <si>
    <t>2017-PL-284</t>
  </si>
  <si>
    <t>2017-PL-285</t>
  </si>
  <si>
    <t>2017-PL-286</t>
  </si>
  <si>
    <t>2017-PL-287</t>
  </si>
  <si>
    <t>2017-PL-288</t>
  </si>
  <si>
    <t>2017-PL-289</t>
  </si>
  <si>
    <t>2017-PL-290</t>
  </si>
  <si>
    <t>2017-PL-291</t>
  </si>
  <si>
    <t>2017-PL-292</t>
  </si>
  <si>
    <t>2017-PL-293</t>
  </si>
  <si>
    <t>2017-PL-294</t>
  </si>
  <si>
    <t>2017-PL-295</t>
  </si>
  <si>
    <t>2017-PL-296</t>
  </si>
  <si>
    <t>2017-PL-297</t>
  </si>
  <si>
    <t>2017-PL-298</t>
  </si>
  <si>
    <t>2017-PL-299</t>
  </si>
  <si>
    <t>2017-PL-300</t>
  </si>
  <si>
    <t>2017-PL-301</t>
  </si>
  <si>
    <t>2017-PL-302</t>
  </si>
  <si>
    <t>2017-PL-303</t>
  </si>
  <si>
    <t>2017-PL-304</t>
  </si>
  <si>
    <t>2017-PL-305</t>
  </si>
  <si>
    <t>2017-PL-306</t>
  </si>
  <si>
    <t>2017-PL-307</t>
  </si>
  <si>
    <t>2017-PL-308</t>
  </si>
  <si>
    <t>2017-PL-309</t>
  </si>
  <si>
    <t>2017-PL-310</t>
  </si>
  <si>
    <t>2017-PL-311</t>
  </si>
  <si>
    <t>2017-PL-312</t>
  </si>
  <si>
    <t>2017-PL-313</t>
  </si>
  <si>
    <t>2017-PL-314</t>
  </si>
  <si>
    <t>2017-PL-315</t>
  </si>
  <si>
    <t>2017-PL-316</t>
  </si>
  <si>
    <t>2017-PL-317</t>
  </si>
  <si>
    <t>2017-PL-318</t>
  </si>
  <si>
    <t>2017-PL-319</t>
  </si>
  <si>
    <t>2017-PL-320</t>
  </si>
  <si>
    <t>2017-PL-321</t>
  </si>
  <si>
    <t>2017-PL-322</t>
  </si>
  <si>
    <t>2017-PL-323</t>
  </si>
  <si>
    <t>2017-PL-324</t>
  </si>
  <si>
    <t>2017-PL-325</t>
  </si>
  <si>
    <t>2017-PL-326</t>
  </si>
  <si>
    <t>2017-PL-327</t>
  </si>
  <si>
    <t>2017-PL-328</t>
  </si>
  <si>
    <t>2017-PL-329</t>
  </si>
  <si>
    <t>2017-PL-330</t>
  </si>
  <si>
    <t>2017-PL-331</t>
  </si>
  <si>
    <t>2017-PL-332</t>
  </si>
  <si>
    <t>2017-PL-333</t>
  </si>
  <si>
    <t>2017-PL-334</t>
  </si>
  <si>
    <t>2017-PL-335</t>
  </si>
  <si>
    <t>2017-PL-336</t>
  </si>
  <si>
    <t>2017-PL-337</t>
  </si>
  <si>
    <t>2017-PL-338</t>
  </si>
  <si>
    <t>2017-PL-339</t>
  </si>
  <si>
    <t>2017-PL-340</t>
  </si>
  <si>
    <t>2017-PL-341</t>
  </si>
  <si>
    <t>2017-PL-342</t>
  </si>
  <si>
    <t>2017-PL-343</t>
  </si>
  <si>
    <t>2017-PL-344</t>
  </si>
  <si>
    <t>2017-PL-345</t>
  </si>
  <si>
    <t>2017-PL-346</t>
  </si>
  <si>
    <t>2017-PL-347</t>
  </si>
  <si>
    <t>2017-PL-348</t>
  </si>
  <si>
    <t>2017-PL-349</t>
  </si>
  <si>
    <t>2017-PL-350</t>
  </si>
  <si>
    <t>2017-PL-351</t>
  </si>
  <si>
    <t>2017-PL-352</t>
  </si>
  <si>
    <t>2017-PL-353</t>
  </si>
  <si>
    <t>2017-PL-354</t>
  </si>
  <si>
    <t>2017-PL-355</t>
  </si>
  <si>
    <t>2017-PL-356</t>
  </si>
  <si>
    <t>2017-PL-357</t>
  </si>
  <si>
    <t>2017-PL-358</t>
  </si>
  <si>
    <t>2017-PL-359</t>
  </si>
  <si>
    <t>2017-PL-360</t>
  </si>
  <si>
    <t>2017-PL-361</t>
  </si>
  <si>
    <t>2017-PL-362</t>
  </si>
  <si>
    <t>2017-PL-363</t>
  </si>
  <si>
    <t>2017-PL-364</t>
  </si>
  <si>
    <t>2017-PL-365</t>
  </si>
  <si>
    <t>2017-PL-366</t>
  </si>
  <si>
    <t>2017-PL-367</t>
  </si>
  <si>
    <t>2017-PL-368</t>
  </si>
  <si>
    <t>2017-PL-369</t>
  </si>
  <si>
    <t>2017-PL-370</t>
  </si>
  <si>
    <t>2017-PL-371</t>
  </si>
  <si>
    <t>2017-PL-372</t>
  </si>
  <si>
    <t>2017-PL-373</t>
  </si>
  <si>
    <t>2017-PL-374</t>
  </si>
  <si>
    <t>2017-PL-375</t>
  </si>
  <si>
    <t>2017-PL-376</t>
  </si>
  <si>
    <t>2017-PL-377</t>
  </si>
  <si>
    <t>2017-PL-378</t>
  </si>
  <si>
    <t>2017-PL-379</t>
  </si>
  <si>
    <t>2017-PL-380</t>
  </si>
  <si>
    <t>2018-PL-001</t>
  </si>
  <si>
    <t>2018-PL-002</t>
  </si>
  <si>
    <t>2018-PL-003</t>
  </si>
  <si>
    <t>2018-PL-004</t>
  </si>
  <si>
    <t>2018-PL-005</t>
  </si>
  <si>
    <t>2018-PL-006</t>
  </si>
  <si>
    <t>2018-PL-007</t>
  </si>
  <si>
    <t>2018-PL-008</t>
  </si>
  <si>
    <t>2018-PL-009</t>
  </si>
  <si>
    <t>2018-PL-010</t>
  </si>
  <si>
    <t>2018-PL-011</t>
  </si>
  <si>
    <t>2018-PL-012</t>
  </si>
  <si>
    <t>2018-PL-013</t>
  </si>
  <si>
    <t>2018-PL-014</t>
  </si>
  <si>
    <t>2018-PL-015</t>
  </si>
  <si>
    <t>2018-PL-016</t>
  </si>
  <si>
    <t>2018-PL-017</t>
  </si>
  <si>
    <t>2018-PL-018</t>
  </si>
  <si>
    <t>2018-PL-019</t>
  </si>
  <si>
    <t>2018-PL-020</t>
  </si>
  <si>
    <t>2018-PL-021</t>
  </si>
  <si>
    <t>2018-PL-022</t>
  </si>
  <si>
    <t>2018-PL-023</t>
  </si>
  <si>
    <t>2018-PL-024</t>
  </si>
  <si>
    <t>2018-PL-025</t>
  </si>
  <si>
    <t>2018-PL-026</t>
  </si>
  <si>
    <t>2018-PL-027</t>
  </si>
  <si>
    <t>2018-PL-028</t>
  </si>
  <si>
    <t>2018-PL-029</t>
  </si>
  <si>
    <t>2018-PL-030</t>
  </si>
  <si>
    <t>2018-PL-031</t>
  </si>
  <si>
    <t>2018-PL-032</t>
  </si>
  <si>
    <t>2018-PL-033</t>
  </si>
  <si>
    <t>2018-PL-034</t>
  </si>
  <si>
    <t>2018-PL-035</t>
  </si>
  <si>
    <t>2018-PL-036</t>
  </si>
  <si>
    <t>2018-PL-037</t>
  </si>
  <si>
    <t>2018-PL-038</t>
  </si>
  <si>
    <t>2018-PL-039</t>
  </si>
  <si>
    <t>2018-PL-040</t>
  </si>
  <si>
    <t>2018-PL-041</t>
  </si>
  <si>
    <t>2018-PL-042</t>
  </si>
  <si>
    <t>2018-PL-043</t>
  </si>
  <si>
    <t>2018-PL-044</t>
  </si>
  <si>
    <t>2018-PL-045</t>
  </si>
  <si>
    <t>2018-PL-046</t>
  </si>
  <si>
    <t>2018-PL-047</t>
  </si>
  <si>
    <t>2018-PL-048</t>
  </si>
  <si>
    <t>2018-PL-049</t>
  </si>
  <si>
    <t>2018-PL-050</t>
  </si>
  <si>
    <t>2018-PL-051</t>
  </si>
  <si>
    <t>2018-PL-052</t>
  </si>
  <si>
    <t>2018-PL-053</t>
  </si>
  <si>
    <t>2018-PL-054</t>
  </si>
  <si>
    <t>2018-PL-055</t>
  </si>
  <si>
    <t>2018-PL-056</t>
  </si>
  <si>
    <t>2018-PL-057</t>
  </si>
  <si>
    <t>2018-PL-058</t>
  </si>
  <si>
    <t>2018-PL-059</t>
  </si>
  <si>
    <t>2018-PL-060</t>
  </si>
  <si>
    <t>2018-PL-061</t>
  </si>
  <si>
    <t>2018-PL-062</t>
  </si>
  <si>
    <t>2018-PL-063</t>
  </si>
  <si>
    <t>2018-PL-064</t>
  </si>
  <si>
    <t>2018-PL-065</t>
  </si>
  <si>
    <t>2018-PL-066</t>
  </si>
  <si>
    <t>2018-PL-067</t>
  </si>
  <si>
    <t>2018-PL-068</t>
  </si>
  <si>
    <t>2018-PL-069</t>
  </si>
  <si>
    <t>2018-PL-070</t>
  </si>
  <si>
    <t>2018-PL-071</t>
  </si>
  <si>
    <t>2018-PL-072</t>
  </si>
  <si>
    <t>2018-PL-073</t>
  </si>
  <si>
    <t>2018-PL-074</t>
  </si>
  <si>
    <t>2018-PL-075</t>
  </si>
  <si>
    <t>2018-PL-076</t>
  </si>
  <si>
    <t>2018-PL-077</t>
  </si>
  <si>
    <t>2018-PL-078</t>
  </si>
  <si>
    <t>2018-PL-079</t>
  </si>
  <si>
    <t>2018-PL-080</t>
  </si>
  <si>
    <t>2018-PL-081</t>
  </si>
  <si>
    <t>2018-PL-082</t>
  </si>
  <si>
    <t>2018-PL-083</t>
  </si>
  <si>
    <t>2018-PL-084</t>
  </si>
  <si>
    <t>2018-PL-085</t>
  </si>
  <si>
    <t>2018-PL-086</t>
  </si>
  <si>
    <t>2018-PL-087</t>
  </si>
  <si>
    <t>2018-PL-088</t>
  </si>
  <si>
    <t>2018-PL-089</t>
  </si>
  <si>
    <t>2018-PL-090</t>
  </si>
  <si>
    <t>2018-PL-091</t>
  </si>
  <si>
    <t>2018-PL-092</t>
  </si>
  <si>
    <t>2018-PL-093</t>
  </si>
  <si>
    <t>2018-PL-094</t>
  </si>
  <si>
    <t>2018-PL-095</t>
  </si>
  <si>
    <t>2018-PL-096</t>
  </si>
  <si>
    <t>2018-PL-097</t>
  </si>
  <si>
    <t>2018-PL-098</t>
  </si>
  <si>
    <t>2018-PL-099</t>
  </si>
  <si>
    <t>2018-PL-100</t>
  </si>
  <si>
    <t>2018-PL-101</t>
  </si>
  <si>
    <t>2018-PL-102</t>
  </si>
  <si>
    <t>2018-PL-103</t>
  </si>
  <si>
    <t>2018-PL-104</t>
  </si>
  <si>
    <t>2018-PL-105</t>
  </si>
  <si>
    <t>2018-PL-106</t>
  </si>
  <si>
    <t>2018-PL-107</t>
  </si>
  <si>
    <t>2018-PL-108</t>
  </si>
  <si>
    <t>2018-PL-109</t>
  </si>
  <si>
    <t>2018-PL-110</t>
  </si>
  <si>
    <t>2018-PL-111</t>
  </si>
  <si>
    <t>2018-PL-112</t>
  </si>
  <si>
    <t>2018-PL-113</t>
  </si>
  <si>
    <t>2018-PL-114</t>
  </si>
  <si>
    <t>2018-PL-115</t>
  </si>
  <si>
    <t>2018-PL-116</t>
  </si>
  <si>
    <t>2018-PL-117</t>
  </si>
  <si>
    <t>2018-PL-118</t>
  </si>
  <si>
    <t>2018-PL-119</t>
  </si>
  <si>
    <t>2018-PL-120</t>
  </si>
  <si>
    <t>2018-PL-121</t>
  </si>
  <si>
    <t>2018-PL-122</t>
  </si>
  <si>
    <t>2018-PL-123</t>
  </si>
  <si>
    <t>2018-PL-124</t>
  </si>
  <si>
    <t>2018-PL-125</t>
  </si>
  <si>
    <t>2018-PL-126</t>
  </si>
  <si>
    <t>2018-PL-127</t>
  </si>
  <si>
    <t>2018-PL-128</t>
  </si>
  <si>
    <t>2018-PL-129</t>
  </si>
  <si>
    <t>2018-PL-130</t>
  </si>
  <si>
    <t>2018-PL-131</t>
  </si>
  <si>
    <t>2018-PL-132</t>
  </si>
  <si>
    <t>2018-PL-133</t>
  </si>
  <si>
    <t>2018-PL-134</t>
  </si>
  <si>
    <t>2018-PL-135</t>
  </si>
  <si>
    <t>2018-PL-136</t>
  </si>
  <si>
    <t>2018-PL-137</t>
  </si>
  <si>
    <t>2018-PL-138</t>
  </si>
  <si>
    <t>2018-PL-139</t>
  </si>
  <si>
    <t>2018-PL-140</t>
  </si>
  <si>
    <t>2018-PL-141</t>
  </si>
  <si>
    <t>2018-PL-142</t>
  </si>
  <si>
    <t>2018-PL-143</t>
  </si>
  <si>
    <t>2018-PL-144</t>
  </si>
  <si>
    <t>2018-PL-145</t>
  </si>
  <si>
    <t>2018-PL-146</t>
  </si>
  <si>
    <t>2018-PL-147</t>
  </si>
  <si>
    <t>2018-PL-148</t>
  </si>
  <si>
    <t>2018-PL-149</t>
  </si>
  <si>
    <t>2018-PL-150</t>
  </si>
  <si>
    <t>2018-PL-151</t>
  </si>
  <si>
    <t>2018-PL-152</t>
  </si>
  <si>
    <t>2018-PL-153</t>
  </si>
  <si>
    <t>2018-PL-154</t>
  </si>
  <si>
    <t>2018-PL-155</t>
  </si>
  <si>
    <t>2018-PL-156</t>
  </si>
  <si>
    <t>2018-PL-157</t>
  </si>
  <si>
    <t>2018-PL-158</t>
  </si>
  <si>
    <t>2018-PL-159</t>
  </si>
  <si>
    <t>2018-PL-160</t>
  </si>
  <si>
    <t>2018-PL-161</t>
  </si>
  <si>
    <t>2018-PL-162</t>
  </si>
  <si>
    <t>2018-PL-163</t>
  </si>
  <si>
    <t>2018-PL-164</t>
  </si>
  <si>
    <t>2018-PL-165</t>
  </si>
  <si>
    <t>2018-PL-166</t>
  </si>
  <si>
    <t>2018-PL-167</t>
  </si>
  <si>
    <t>2018-PL-168</t>
  </si>
  <si>
    <t>2018-PL-169</t>
  </si>
  <si>
    <t>2018-PL-170</t>
  </si>
  <si>
    <t>2018-PL-171</t>
  </si>
  <si>
    <t>2018-PL-172</t>
  </si>
  <si>
    <t>2018-PL-173</t>
  </si>
  <si>
    <t>2018-PL-174</t>
  </si>
  <si>
    <t>2018-PL-175</t>
  </si>
  <si>
    <t>2018-PL-176</t>
  </si>
  <si>
    <t>2018-PL-177</t>
  </si>
  <si>
    <t>2018-PL-178</t>
  </si>
  <si>
    <t>2018-PL-179</t>
  </si>
  <si>
    <t>2018-PL-180</t>
  </si>
  <si>
    <t>2018-PL-181</t>
  </si>
  <si>
    <t>2018-PL-182</t>
  </si>
  <si>
    <t>2018-PL-183</t>
  </si>
  <si>
    <t>2018-PL-184</t>
  </si>
  <si>
    <t>2018-PL-185</t>
  </si>
  <si>
    <t>2018-PL-186</t>
  </si>
  <si>
    <t>2018-PL-187</t>
  </si>
  <si>
    <t>2018-PL-188</t>
  </si>
  <si>
    <t>2018-PL-189</t>
  </si>
  <si>
    <t>2018-PL-190</t>
  </si>
  <si>
    <t>2018-PL-191</t>
  </si>
  <si>
    <t>2018-PL-192</t>
  </si>
  <si>
    <t>2018-PL-193</t>
  </si>
  <si>
    <t>2018-PL-194</t>
  </si>
  <si>
    <t>2018-PL-195</t>
  </si>
  <si>
    <t>2018-PL-196</t>
  </si>
  <si>
    <t>2018-PL-197</t>
  </si>
  <si>
    <t>2018-PL-198</t>
  </si>
  <si>
    <t>2018-PL-199</t>
  </si>
  <si>
    <t>2018-PL-200</t>
  </si>
  <si>
    <t>2018-PL-201</t>
  </si>
  <si>
    <t>2018-PL-202</t>
  </si>
  <si>
    <t>2018-PL-203</t>
  </si>
  <si>
    <t>2018-PL-204</t>
  </si>
  <si>
    <t>2018-PL-205</t>
  </si>
  <si>
    <t>2018-PL-206</t>
  </si>
  <si>
    <t>2018-PL-207</t>
  </si>
  <si>
    <t>2018-PL-208</t>
  </si>
  <si>
    <t>2018-PL-209</t>
  </si>
  <si>
    <t>2018-PL-210</t>
  </si>
  <si>
    <t>2018-PL-211</t>
  </si>
  <si>
    <t>2018-PL-212</t>
  </si>
  <si>
    <t>2018-PL-213</t>
  </si>
  <si>
    <t>2018-PL-214</t>
  </si>
  <si>
    <t>2018-PL-215</t>
  </si>
  <si>
    <t>2018-PL-216</t>
  </si>
  <si>
    <t>2018-PL-217</t>
  </si>
  <si>
    <t>2018-PL-218</t>
  </si>
  <si>
    <t>2018-PL-219</t>
  </si>
  <si>
    <t>2018-PL-220</t>
  </si>
  <si>
    <t>2018-PL-221</t>
  </si>
  <si>
    <t>2018-PL-222</t>
  </si>
  <si>
    <t>2018-PL-223</t>
  </si>
  <si>
    <t>2018-PL-224</t>
  </si>
  <si>
    <t>2018-PL-225</t>
  </si>
  <si>
    <t>2018-PL-226</t>
  </si>
  <si>
    <t>2018-PL-227</t>
  </si>
  <si>
    <t>2018-PL-228</t>
  </si>
  <si>
    <t>2018-PL-229</t>
  </si>
  <si>
    <t>2018-PL-230</t>
  </si>
  <si>
    <t>2018-PL-231</t>
  </si>
  <si>
    <t>2018-PL-232</t>
  </si>
  <si>
    <t>2018-PL-233</t>
  </si>
  <si>
    <t>2018-PL-234</t>
  </si>
  <si>
    <t>2018-PL-235</t>
  </si>
  <si>
    <t>2018-PL-236</t>
  </si>
  <si>
    <t>2018-PL-237</t>
  </si>
  <si>
    <t>2018-PL-238</t>
  </si>
  <si>
    <t>2018-PL-239</t>
  </si>
  <si>
    <t>2018-PL-240</t>
  </si>
  <si>
    <t>2018-PL-241</t>
  </si>
  <si>
    <t>2018-PL-242</t>
  </si>
  <si>
    <t>2018-PL-243</t>
  </si>
  <si>
    <t>2018-PL-244</t>
  </si>
  <si>
    <t>2018-PL-245</t>
  </si>
  <si>
    <t>2018-PL-246</t>
  </si>
  <si>
    <t>2018-PL-247</t>
  </si>
  <si>
    <t>2018-PL-248</t>
  </si>
  <si>
    <t>2018-PL-249</t>
  </si>
  <si>
    <t>2018-PL-250</t>
  </si>
  <si>
    <t>2018-PL-251</t>
  </si>
  <si>
    <t>2018-PL-252</t>
  </si>
  <si>
    <t>2018-PL-253</t>
  </si>
  <si>
    <t>2018-PL-254</t>
  </si>
  <si>
    <t>2018-PL-255</t>
  </si>
  <si>
    <t>2018-PL-256</t>
  </si>
  <si>
    <t>2018-PL-257</t>
  </si>
  <si>
    <t>2018-PL-258</t>
  </si>
  <si>
    <t>2018-PL-259</t>
  </si>
  <si>
    <t>2018-PL-260</t>
  </si>
  <si>
    <t>2018-PL-261</t>
  </si>
  <si>
    <t>2018-PL-262</t>
  </si>
  <si>
    <t>2018-PL-263</t>
  </si>
  <si>
    <t>2018-PL-264</t>
  </si>
  <si>
    <t>2018-PL-265</t>
  </si>
  <si>
    <t>2018-PL-266</t>
  </si>
  <si>
    <t>2018-PL-267</t>
  </si>
  <si>
    <t>2018-PL-268</t>
  </si>
  <si>
    <t>2018-PL-269</t>
  </si>
  <si>
    <t>2018-PL-270</t>
  </si>
  <si>
    <t>2018-PL-271</t>
  </si>
  <si>
    <t>2018-PL-272</t>
  </si>
  <si>
    <t>2018-PL-273</t>
  </si>
  <si>
    <t>2018-PL-274</t>
  </si>
  <si>
    <t>2018-PL-275</t>
  </si>
  <si>
    <t>2018-PL-276</t>
  </si>
  <si>
    <t>2018-PL-277</t>
  </si>
  <si>
    <t>2018-PL-278</t>
  </si>
  <si>
    <t>2018-PL-279</t>
  </si>
  <si>
    <t>2018-PL-280</t>
  </si>
  <si>
    <t>2018-PL-281</t>
  </si>
  <si>
    <t>2018-PL-282</t>
  </si>
  <si>
    <t>2018-PL-283</t>
  </si>
  <si>
    <t>2018-PL-284</t>
  </si>
  <si>
    <t>2018-PL-285</t>
  </si>
  <si>
    <t>2018-PL-286</t>
  </si>
  <si>
    <t>2018-PL-287</t>
  </si>
  <si>
    <t>2018-PL-288</t>
  </si>
  <si>
    <t>2018-PL-289</t>
  </si>
  <si>
    <t>2018-PL-290</t>
  </si>
  <si>
    <t>2018-PL-291</t>
  </si>
  <si>
    <t>2018-PL-292</t>
  </si>
  <si>
    <t>2018-PL-293</t>
  </si>
  <si>
    <t>2018-PL-294</t>
  </si>
  <si>
    <t>2018-PL-295</t>
  </si>
  <si>
    <t>2018-PL-296</t>
  </si>
  <si>
    <t>2018-PL-297</t>
  </si>
  <si>
    <t>2018-PL-298</t>
  </si>
  <si>
    <t>2018-PL-299</t>
  </si>
  <si>
    <t>2018-PL-300</t>
  </si>
  <si>
    <t>2018-PL-301</t>
  </si>
  <si>
    <t>2018-PL-302</t>
  </si>
  <si>
    <t>2018-PL-303</t>
  </si>
  <si>
    <t>2018-PL-304</t>
  </si>
  <si>
    <t>2018-PL-305</t>
  </si>
  <si>
    <t>2018-PL-306</t>
  </si>
  <si>
    <t>2018-PL-307</t>
  </si>
  <si>
    <t>2018-PL-308</t>
  </si>
  <si>
    <t>2018-PL-309</t>
  </si>
  <si>
    <t>2018-PL-310</t>
  </si>
  <si>
    <t>2018-PL-311</t>
  </si>
  <si>
    <t>2018-PL-312</t>
  </si>
  <si>
    <t>2018-PL-313</t>
  </si>
  <si>
    <t>2018-PL-314</t>
  </si>
  <si>
    <t>2018-PL-315</t>
  </si>
  <si>
    <t>2018-PL-316</t>
  </si>
  <si>
    <t>2018-PL-317</t>
  </si>
  <si>
    <t>2018-PL-318</t>
  </si>
  <si>
    <t>2018-PL-319</t>
  </si>
  <si>
    <t>2018-PL-320</t>
  </si>
  <si>
    <t>2018-PL-321</t>
  </si>
  <si>
    <t>2018-PL-322</t>
  </si>
  <si>
    <t>2018-PL-323</t>
  </si>
  <si>
    <t>2018-PL-324</t>
  </si>
  <si>
    <t>2018-PL-325</t>
  </si>
  <si>
    <t>2018-PL-326</t>
  </si>
  <si>
    <t>2018-PL-327</t>
  </si>
  <si>
    <t>2018-PL-328</t>
  </si>
  <si>
    <t>2018-PL-329</t>
  </si>
  <si>
    <t>2018-PL-330</t>
  </si>
  <si>
    <t>2018-PL-331</t>
  </si>
  <si>
    <t>2018-PL-332</t>
  </si>
  <si>
    <t>2018-PL-333</t>
  </si>
  <si>
    <t>2018-PL-334</t>
  </si>
  <si>
    <t>2018-PL-335</t>
  </si>
  <si>
    <t>2018-PL-336</t>
  </si>
  <si>
    <t>2018-PL-337</t>
  </si>
  <si>
    <t>2018-PL-338</t>
  </si>
  <si>
    <t>2018-PL-339</t>
  </si>
  <si>
    <t>2018-PL-340</t>
  </si>
  <si>
    <t>2018-PL-341</t>
  </si>
  <si>
    <t>2018-PL-342</t>
  </si>
  <si>
    <t>2018-PL-343</t>
  </si>
  <si>
    <t>2018-PL-344</t>
  </si>
  <si>
    <t>2018-PL-345</t>
  </si>
  <si>
    <t>2018-PL-346</t>
  </si>
  <si>
    <t>2018-PL-347</t>
  </si>
  <si>
    <t>2018-PL-348</t>
  </si>
  <si>
    <t>2018-PL-349</t>
  </si>
  <si>
    <t>2018-PL-350</t>
  </si>
  <si>
    <t>2018-PL-351</t>
  </si>
  <si>
    <t>2018-PL-352</t>
  </si>
  <si>
    <t>2018-PL-353</t>
  </si>
  <si>
    <t>2018-PL-354</t>
  </si>
  <si>
    <t>2018-PL-355</t>
  </si>
  <si>
    <t>2018-PL-356</t>
  </si>
  <si>
    <t>2018-PL-357</t>
  </si>
  <si>
    <t>2018-PL-358</t>
  </si>
  <si>
    <t>2018-PL-359</t>
  </si>
  <si>
    <t>2018-PL-360</t>
  </si>
  <si>
    <t>2018-PL-361</t>
  </si>
  <si>
    <t>2018-PL-362</t>
  </si>
  <si>
    <t>2018-PL-363</t>
  </si>
  <si>
    <t>2018-PL-364</t>
  </si>
  <si>
    <t>2018-PL-365</t>
  </si>
  <si>
    <t>2018-PL-366</t>
  </si>
  <si>
    <t>2018-PL-367</t>
  </si>
  <si>
    <t>2018-PL-368</t>
  </si>
  <si>
    <t>2018-PL-369</t>
  </si>
  <si>
    <t>2018-PL-370</t>
  </si>
  <si>
    <t>2018-PL-371</t>
  </si>
  <si>
    <t>2018-PL-372</t>
  </si>
  <si>
    <t>2018-PL-373</t>
  </si>
  <si>
    <t>2018-PL-374</t>
  </si>
  <si>
    <t>2018-PL-375</t>
  </si>
  <si>
    <t>2018-PL-376</t>
  </si>
  <si>
    <t>2018-PL-377</t>
  </si>
  <si>
    <t>2018-PL-378</t>
  </si>
  <si>
    <t>2018-PL-379</t>
  </si>
  <si>
    <t>2018-PL-380</t>
  </si>
  <si>
    <t>2019-PL-001</t>
  </si>
  <si>
    <t>2019-PL-002</t>
  </si>
  <si>
    <t>2019-PL-003</t>
  </si>
  <si>
    <t>2019-PL-004</t>
  </si>
  <si>
    <t>2019-PL-005</t>
  </si>
  <si>
    <t>2019-PL-006</t>
  </si>
  <si>
    <t>2019-PL-007</t>
  </si>
  <si>
    <t>2019-PL-008</t>
  </si>
  <si>
    <t>2019-PL-009</t>
  </si>
  <si>
    <t>2019-PL-010</t>
  </si>
  <si>
    <t>2019-PL-011</t>
  </si>
  <si>
    <t>2019-PL-012</t>
  </si>
  <si>
    <t>2019-PL-013</t>
  </si>
  <si>
    <t>2019-PL-014</t>
  </si>
  <si>
    <t>2019-PL-015</t>
  </si>
  <si>
    <t>2019-PL-016</t>
  </si>
  <si>
    <t>2019-PL-017</t>
  </si>
  <si>
    <t>2019-PL-018</t>
  </si>
  <si>
    <t>2019-PL-019</t>
  </si>
  <si>
    <t>2019-PL-020</t>
  </si>
  <si>
    <t>2019-PL-021</t>
  </si>
  <si>
    <t>2019-PL-022</t>
  </si>
  <si>
    <t>2019-PL-023</t>
  </si>
  <si>
    <t>2019-PL-024</t>
  </si>
  <si>
    <t>2019-PL-025</t>
  </si>
  <si>
    <t>2019-PL-026</t>
  </si>
  <si>
    <t>2019-PL-027</t>
  </si>
  <si>
    <t>2019-PL-028</t>
  </si>
  <si>
    <t>2019-PL-029</t>
  </si>
  <si>
    <t>2019-PL-030</t>
  </si>
  <si>
    <t>2019-PL-031</t>
  </si>
  <si>
    <t>2019-PL-032</t>
  </si>
  <si>
    <t>2019-PL-033</t>
  </si>
  <si>
    <t>2019-PL-034</t>
  </si>
  <si>
    <t>2019-PL-035</t>
  </si>
  <si>
    <t>2019-PL-036</t>
  </si>
  <si>
    <t>2019-PL-037</t>
  </si>
  <si>
    <t>2019-PL-038</t>
  </si>
  <si>
    <t>2019-PL-039</t>
  </si>
  <si>
    <t>2019-PL-040</t>
  </si>
  <si>
    <t>2019-PL-041</t>
  </si>
  <si>
    <t>2019-PL-042</t>
  </si>
  <si>
    <t>2019-PL-043</t>
  </si>
  <si>
    <t>2019-PL-044</t>
  </si>
  <si>
    <t>2019-PL-045</t>
  </si>
  <si>
    <t>2019-PL-046</t>
  </si>
  <si>
    <t>2019-PL-047</t>
  </si>
  <si>
    <t>2019-PL-048</t>
  </si>
  <si>
    <t>2019-PL-049</t>
  </si>
  <si>
    <t>2019-PL-050</t>
  </si>
  <si>
    <t>2019-PL-051</t>
  </si>
  <si>
    <t>2019-PL-052</t>
  </si>
  <si>
    <t>2019-PL-053</t>
  </si>
  <si>
    <t>2019-PL-054</t>
  </si>
  <si>
    <t>2019-PL-055</t>
  </si>
  <si>
    <t>2019-PL-056</t>
  </si>
  <si>
    <t>2019-PL-057</t>
  </si>
  <si>
    <t>2019-PL-058</t>
  </si>
  <si>
    <t>2019-PL-059</t>
  </si>
  <si>
    <t>2019-PL-060</t>
  </si>
  <si>
    <t>2019-PL-061</t>
  </si>
  <si>
    <t>2019-PL-062</t>
  </si>
  <si>
    <t>2019-PL-063</t>
  </si>
  <si>
    <t>2019-PL-064</t>
  </si>
  <si>
    <t>2019-PL-065</t>
  </si>
  <si>
    <t>2019-PL-066</t>
  </si>
  <si>
    <t>2019-PL-067</t>
  </si>
  <si>
    <t>2019-PL-068</t>
  </si>
  <si>
    <t>2019-PL-069</t>
  </si>
  <si>
    <t>2019-PL-070</t>
  </si>
  <si>
    <t>2019-PL-071</t>
  </si>
  <si>
    <t>2019-PL-072</t>
  </si>
  <si>
    <t>2019-PL-073</t>
  </si>
  <si>
    <t>2019-PL-074</t>
  </si>
  <si>
    <t>2019-PL-075</t>
  </si>
  <si>
    <t>2019-PL-076</t>
  </si>
  <si>
    <t>2019-PL-077</t>
  </si>
  <si>
    <t>2019-PL-078</t>
  </si>
  <si>
    <t>2019-PL-079</t>
  </si>
  <si>
    <t>2019-PL-080</t>
  </si>
  <si>
    <t>2019-PL-081</t>
  </si>
  <si>
    <t>2019-PL-082</t>
  </si>
  <si>
    <t>2019-PL-083</t>
  </si>
  <si>
    <t>2019-PL-084</t>
  </si>
  <si>
    <t>2019-PL-085</t>
  </si>
  <si>
    <t>2019-PL-086</t>
  </si>
  <si>
    <t>2019-PL-087</t>
  </si>
  <si>
    <t>2019-PL-088</t>
  </si>
  <si>
    <t>2019-PL-089</t>
  </si>
  <si>
    <t>2019-PL-090</t>
  </si>
  <si>
    <t>2019-PL-091</t>
  </si>
  <si>
    <t>2019-PL-092</t>
  </si>
  <si>
    <t>2019-PL-093</t>
  </si>
  <si>
    <t>2019-PL-094</t>
  </si>
  <si>
    <t>2019-PL-095</t>
  </si>
  <si>
    <t>2019-PL-096</t>
  </si>
  <si>
    <t>2019-PL-097</t>
  </si>
  <si>
    <t>2019-PL-098</t>
  </si>
  <si>
    <t>2019-PL-099</t>
  </si>
  <si>
    <t>2019-PL-100</t>
  </si>
  <si>
    <t>2019-PL-101</t>
  </si>
  <si>
    <t>2019-PL-102</t>
  </si>
  <si>
    <t>2019-PL-103</t>
  </si>
  <si>
    <t>2019-PL-104</t>
  </si>
  <si>
    <t>2019-PL-105</t>
  </si>
  <si>
    <t>2019-PL-106</t>
  </si>
  <si>
    <t>2019-PL-107</t>
  </si>
  <si>
    <t>2019-PL-108</t>
  </si>
  <si>
    <t>2019-PL-109</t>
  </si>
  <si>
    <t>2019-PL-110</t>
  </si>
  <si>
    <t>2019-PL-111</t>
  </si>
  <si>
    <t>2019-PL-112</t>
  </si>
  <si>
    <t>2019-PL-113</t>
  </si>
  <si>
    <t>2019-PL-114</t>
  </si>
  <si>
    <t>2019-PL-115</t>
  </si>
  <si>
    <t>2019-PL-116</t>
  </si>
  <si>
    <t>2019-PL-117</t>
  </si>
  <si>
    <t>2019-PL-118</t>
  </si>
  <si>
    <t>2019-PL-119</t>
  </si>
  <si>
    <t>2019-PL-120</t>
  </si>
  <si>
    <t>2019-PL-121</t>
  </si>
  <si>
    <t>2019-PL-122</t>
  </si>
  <si>
    <t>2019-PL-123</t>
  </si>
  <si>
    <t>2019-PL-124</t>
  </si>
  <si>
    <t>2019-PL-125</t>
  </si>
  <si>
    <t>2019-PL-126</t>
  </si>
  <si>
    <t>2019-PL-127</t>
  </si>
  <si>
    <t>2019-PL-128</t>
  </si>
  <si>
    <t>2019-PL-129</t>
  </si>
  <si>
    <t>2019-PL-130</t>
  </si>
  <si>
    <t>2019-PL-131</t>
  </si>
  <si>
    <t>2019-PL-132</t>
  </si>
  <si>
    <t>2019-PL-133</t>
  </si>
  <si>
    <t>2019-PL-134</t>
  </si>
  <si>
    <t>2019-PL-135</t>
  </si>
  <si>
    <t>2019-PL-136</t>
  </si>
  <si>
    <t>2019-PL-137</t>
  </si>
  <si>
    <t>2019-PL-138</t>
  </si>
  <si>
    <t>2019-PL-139</t>
  </si>
  <si>
    <t>2019-PL-140</t>
  </si>
  <si>
    <t>2019-PL-141</t>
  </si>
  <si>
    <t>2019-PL-142</t>
  </si>
  <si>
    <t>2019-PL-143</t>
  </si>
  <si>
    <t>2019-PL-144</t>
  </si>
  <si>
    <t>2019-PL-145</t>
  </si>
  <si>
    <t>2019-PL-146</t>
  </si>
  <si>
    <t>2019-PL-147</t>
  </si>
  <si>
    <t>2019-PL-148</t>
  </si>
  <si>
    <t>2019-PL-149</t>
  </si>
  <si>
    <t>2019-PL-150</t>
  </si>
  <si>
    <t>2019-PL-151</t>
  </si>
  <si>
    <t>2019-PL-152</t>
  </si>
  <si>
    <t>2019-PL-153</t>
  </si>
  <si>
    <t>2019-PL-154</t>
  </si>
  <si>
    <t>2019-PL-155</t>
  </si>
  <si>
    <t>2019-PL-156</t>
  </si>
  <si>
    <t>2019-PL-157</t>
  </si>
  <si>
    <t>2019-PL-158</t>
  </si>
  <si>
    <t>2019-PL-159</t>
  </si>
  <si>
    <t>2019-PL-160</t>
  </si>
  <si>
    <t>2019-PL-161</t>
  </si>
  <si>
    <t>2019-PL-162</t>
  </si>
  <si>
    <t>2019-PL-163</t>
  </si>
  <si>
    <t>2019-PL-164</t>
  </si>
  <si>
    <t>2019-PL-165</t>
  </si>
  <si>
    <t>2019-PL-166</t>
  </si>
  <si>
    <t>2019-PL-167</t>
  </si>
  <si>
    <t>2019-PL-168</t>
  </si>
  <si>
    <t>2019-PL-169</t>
  </si>
  <si>
    <t>2019-PL-170</t>
  </si>
  <si>
    <t>2019-PL-171</t>
  </si>
  <si>
    <t>2019-PL-172</t>
  </si>
  <si>
    <t>2019-PL-173</t>
  </si>
  <si>
    <t>2019-PL-174</t>
  </si>
  <si>
    <t>2019-PL-175</t>
  </si>
  <si>
    <t>2019-PL-176</t>
  </si>
  <si>
    <t>2019-PL-177</t>
  </si>
  <si>
    <t>2019-PL-178</t>
  </si>
  <si>
    <t>2019-PL-179</t>
  </si>
  <si>
    <t>2019-PL-180</t>
  </si>
  <si>
    <t>2019-PL-181</t>
  </si>
  <si>
    <t>2019-PL-182</t>
  </si>
  <si>
    <t>2019-PL-183</t>
  </si>
  <si>
    <t>2019-PL-184</t>
  </si>
  <si>
    <t>2019-PL-185</t>
  </si>
  <si>
    <t>2019-PL-186</t>
  </si>
  <si>
    <t>2019-PL-187</t>
  </si>
  <si>
    <t>2019-PL-188</t>
  </si>
  <si>
    <t>2019-PL-189</t>
  </si>
  <si>
    <t>2019-PL-190</t>
  </si>
  <si>
    <t>2019-PL-191</t>
  </si>
  <si>
    <t>2019-PL-192</t>
  </si>
  <si>
    <t>2019-PL-193</t>
  </si>
  <si>
    <t>2019-PL-194</t>
  </si>
  <si>
    <t>2019-PL-195</t>
  </si>
  <si>
    <t>2019-PL-196</t>
  </si>
  <si>
    <t>2019-PL-197</t>
  </si>
  <si>
    <t>2019-PL-198</t>
  </si>
  <si>
    <t>2019-PL-199</t>
  </si>
  <si>
    <t>2019-PL-200</t>
  </si>
  <si>
    <t>2019-PL-201</t>
  </si>
  <si>
    <t>2019-PL-202</t>
  </si>
  <si>
    <t>2019-PL-203</t>
  </si>
  <si>
    <t>2019-PL-204</t>
  </si>
  <si>
    <t>2019-PL-205</t>
  </si>
  <si>
    <t>2019-PL-206</t>
  </si>
  <si>
    <t>2019-PL-207</t>
  </si>
  <si>
    <t>2019-PL-208</t>
  </si>
  <si>
    <t>2019-PL-209</t>
  </si>
  <si>
    <t>2019-PL-210</t>
  </si>
  <si>
    <t>2019-PL-211</t>
  </si>
  <si>
    <t>2019-PL-212</t>
  </si>
  <si>
    <t>2019-PL-213</t>
  </si>
  <si>
    <t>2019-PL-214</t>
  </si>
  <si>
    <t>2019-PL-215</t>
  </si>
  <si>
    <t>2019-PL-216</t>
  </si>
  <si>
    <t>2019-PL-217</t>
  </si>
  <si>
    <t>2019-PL-218</t>
  </si>
  <si>
    <t>2019-PL-219</t>
  </si>
  <si>
    <t>2019-PL-220</t>
  </si>
  <si>
    <t>2019-PL-221</t>
  </si>
  <si>
    <t>2019-PL-222</t>
  </si>
  <si>
    <t>2019-PL-223</t>
  </si>
  <si>
    <t>2019-PL-224</t>
  </si>
  <si>
    <t>2019-PL-225</t>
  </si>
  <si>
    <t>2019-PL-226</t>
  </si>
  <si>
    <t>2019-PL-227</t>
  </si>
  <si>
    <t>2019-PL-228</t>
  </si>
  <si>
    <t>2019-PL-229</t>
  </si>
  <si>
    <t>2019-PL-230</t>
  </si>
  <si>
    <t>2019-PL-231</t>
  </si>
  <si>
    <t>2019-PL-232</t>
  </si>
  <si>
    <t>2019-PL-233</t>
  </si>
  <si>
    <t>2019-PL-234</t>
  </si>
  <si>
    <t>2019-PL-235</t>
  </si>
  <si>
    <t>2019-PL-236</t>
  </si>
  <si>
    <t>2019-PL-237</t>
  </si>
  <si>
    <t>2019-PL-238</t>
  </si>
  <si>
    <t>2019-PL-239</t>
  </si>
  <si>
    <t>2019-PL-240</t>
  </si>
  <si>
    <t>2019-PL-241</t>
  </si>
  <si>
    <t>2019-PL-242</t>
  </si>
  <si>
    <t>2019-PL-243</t>
  </si>
  <si>
    <t>2019-PL-244</t>
  </si>
  <si>
    <t>2019-PL-245</t>
  </si>
  <si>
    <t>2019-PL-246</t>
  </si>
  <si>
    <t>2019-PL-247</t>
  </si>
  <si>
    <t>2019-PL-248</t>
  </si>
  <si>
    <t>2019-PL-249</t>
  </si>
  <si>
    <t>2019-PL-250</t>
  </si>
  <si>
    <t>2019-PL-251</t>
  </si>
  <si>
    <t>2019-PL-252</t>
  </si>
  <si>
    <t>2019-PL-253</t>
  </si>
  <si>
    <t>2019-PL-254</t>
  </si>
  <si>
    <t>2019-PL-255</t>
  </si>
  <si>
    <t>2019-PL-256</t>
  </si>
  <si>
    <t>2019-PL-257</t>
  </si>
  <si>
    <t>2019-PL-258</t>
  </si>
  <si>
    <t>2019-PL-259</t>
  </si>
  <si>
    <t>2019-PL-260</t>
  </si>
  <si>
    <t>2019-PL-261</t>
  </si>
  <si>
    <t>2019-PL-262</t>
  </si>
  <si>
    <t>2019-PL-263</t>
  </si>
  <si>
    <t>2019-PL-264</t>
  </si>
  <si>
    <t>2019-PL-265</t>
  </si>
  <si>
    <t>2019-PL-266</t>
  </si>
  <si>
    <t>2019-PL-267</t>
  </si>
  <si>
    <t>2019-PL-268</t>
  </si>
  <si>
    <t>2019-PL-269</t>
  </si>
  <si>
    <t>2019-PL-270</t>
  </si>
  <si>
    <t>2019-PL-271</t>
  </si>
  <si>
    <t>2019-PL-272</t>
  </si>
  <si>
    <t>2019-PL-273</t>
  </si>
  <si>
    <t>2019-PL-274</t>
  </si>
  <si>
    <t>2019-PL-275</t>
  </si>
  <si>
    <t>2019-PL-276</t>
  </si>
  <si>
    <t>2019-PL-277</t>
  </si>
  <si>
    <t>2019-PL-278</t>
  </si>
  <si>
    <t>2019-PL-279</t>
  </si>
  <si>
    <t>2019-PL-280</t>
  </si>
  <si>
    <t>2019-PL-281</t>
  </si>
  <si>
    <t>2019-PL-282</t>
  </si>
  <si>
    <t>2019-PL-283</t>
  </si>
  <si>
    <t>2019-PL-284</t>
  </si>
  <si>
    <t>2019-PL-285</t>
  </si>
  <si>
    <t>2019-PL-286</t>
  </si>
  <si>
    <t>2019-PL-287</t>
  </si>
  <si>
    <t>2019-PL-288</t>
  </si>
  <si>
    <t>2019-PL-289</t>
  </si>
  <si>
    <t>2019-PL-290</t>
  </si>
  <si>
    <t>2019-PL-291</t>
  </si>
  <si>
    <t>2019-PL-292</t>
  </si>
  <si>
    <t>2019-PL-293</t>
  </si>
  <si>
    <t>2019-PL-294</t>
  </si>
  <si>
    <t>2019-PL-295</t>
  </si>
  <si>
    <t>2019-PL-296</t>
  </si>
  <si>
    <t>2019-PL-297</t>
  </si>
  <si>
    <t>2019-PL-298</t>
  </si>
  <si>
    <t>2019-PL-299</t>
  </si>
  <si>
    <t>2019-PL-300</t>
  </si>
  <si>
    <t>2019-PL-301</t>
  </si>
  <si>
    <t>2019-PL-302</t>
  </si>
  <si>
    <t>2019-PL-303</t>
  </si>
  <si>
    <t>2019-PL-304</t>
  </si>
  <si>
    <t>2019-PL-305</t>
  </si>
  <si>
    <t>2019-PL-306</t>
  </si>
  <si>
    <t>2019-PL-307</t>
  </si>
  <si>
    <t>2019-PL-308</t>
  </si>
  <si>
    <t>2019-PL-309</t>
  </si>
  <si>
    <t>2019-PL-310</t>
  </si>
  <si>
    <t>2019-PL-311</t>
  </si>
  <si>
    <t>2019-PL-312</t>
  </si>
  <si>
    <t>2019-PL-313</t>
  </si>
  <si>
    <t>2019-PL-314</t>
  </si>
  <si>
    <t>2019-PL-315</t>
  </si>
  <si>
    <t>2019-PL-316</t>
  </si>
  <si>
    <t>2019-PL-317</t>
  </si>
  <si>
    <t>2019-PL-318</t>
  </si>
  <si>
    <t>2019-PL-319</t>
  </si>
  <si>
    <t>2019-PL-320</t>
  </si>
  <si>
    <t>2019-PL-321</t>
  </si>
  <si>
    <t>2019-PL-322</t>
  </si>
  <si>
    <t>2019-PL-323</t>
  </si>
  <si>
    <t>2019-PL-324</t>
  </si>
  <si>
    <t>2019-PL-325</t>
  </si>
  <si>
    <t>2019-PL-326</t>
  </si>
  <si>
    <t>2019-PL-327</t>
  </si>
  <si>
    <t>2019-PL-328</t>
  </si>
  <si>
    <t>2019-PL-329</t>
  </si>
  <si>
    <t>2019-PL-330</t>
  </si>
  <si>
    <t>2019-PL-331</t>
  </si>
  <si>
    <t>2019-PL-332</t>
  </si>
  <si>
    <t>2019-PL-333</t>
  </si>
  <si>
    <t>2019-PL-334</t>
  </si>
  <si>
    <t>2019-PL-335</t>
  </si>
  <si>
    <t>2019-PL-336</t>
  </si>
  <si>
    <t>2019-PL-337</t>
  </si>
  <si>
    <t>2019-PL-338</t>
  </si>
  <si>
    <t>2019-PL-339</t>
  </si>
  <si>
    <t>2019-PL-340</t>
  </si>
  <si>
    <t>2019-PL-341</t>
  </si>
  <si>
    <t>2019-PL-342</t>
  </si>
  <si>
    <t>2019-PL-343</t>
  </si>
  <si>
    <t>2019-PL-344</t>
  </si>
  <si>
    <t>2019-PL-345</t>
  </si>
  <si>
    <t>2019-PL-346</t>
  </si>
  <si>
    <t>2019-PL-347</t>
  </si>
  <si>
    <t>2019-PL-348</t>
  </si>
  <si>
    <t>2019-PL-349</t>
  </si>
  <si>
    <t>2019-PL-350</t>
  </si>
  <si>
    <t>2019-PL-351</t>
  </si>
  <si>
    <t>2019-PL-352</t>
  </si>
  <si>
    <t>2019-PL-353</t>
  </si>
  <si>
    <t>2019-PL-354</t>
  </si>
  <si>
    <t>2019-PL-355</t>
  </si>
  <si>
    <t>2019-PL-356</t>
  </si>
  <si>
    <t>2019-PL-357</t>
  </si>
  <si>
    <t>2019-PL-358</t>
  </si>
  <si>
    <t>2019-PL-359</t>
  </si>
  <si>
    <t>2019-PL-360</t>
  </si>
  <si>
    <t>2019-PL-361</t>
  </si>
  <si>
    <t>2019-PL-362</t>
  </si>
  <si>
    <t>2019-PL-363</t>
  </si>
  <si>
    <t>2019-PL-364</t>
  </si>
  <si>
    <t>2019-PL-365</t>
  </si>
  <si>
    <t>2019-PL-366</t>
  </si>
  <si>
    <t>2019-PL-367</t>
  </si>
  <si>
    <t>2019-PL-368</t>
  </si>
  <si>
    <t>2019-PL-369</t>
  </si>
  <si>
    <t>2019-PL-370</t>
  </si>
  <si>
    <t>2019-PL-371</t>
  </si>
  <si>
    <t>2019-PL-372</t>
  </si>
  <si>
    <t>2019-PL-373</t>
  </si>
  <si>
    <t>2019-PL-374</t>
  </si>
  <si>
    <t>2019-PL-375</t>
  </si>
  <si>
    <t>2019-PL-376</t>
  </si>
  <si>
    <t>2019-PL-377</t>
  </si>
  <si>
    <t>2019-PL-378</t>
  </si>
  <si>
    <t>2019-PL-379</t>
  </si>
  <si>
    <t>2019-PL-380</t>
  </si>
  <si>
    <t>2020-PL-001</t>
  </si>
  <si>
    <t>2020-PL-002</t>
  </si>
  <si>
    <t>2020-PL-003</t>
  </si>
  <si>
    <t>2020-PL-004</t>
  </si>
  <si>
    <t>2020-PL-005</t>
  </si>
  <si>
    <t>2020-PL-006</t>
  </si>
  <si>
    <t>2020-PL-007</t>
  </si>
  <si>
    <t>2020-PL-008</t>
  </si>
  <si>
    <t>2020-PL-009</t>
  </si>
  <si>
    <t>2020-PL-010</t>
  </si>
  <si>
    <t>2020-PL-011</t>
  </si>
  <si>
    <t>2020-PL-012</t>
  </si>
  <si>
    <t>2020-PL-013</t>
  </si>
  <si>
    <t>2020-PL-014</t>
  </si>
  <si>
    <t>2020-PL-015</t>
  </si>
  <si>
    <t>2020-PL-016</t>
  </si>
  <si>
    <t>2020-PL-017</t>
  </si>
  <si>
    <t>2020-PL-018</t>
  </si>
  <si>
    <t>2020-PL-019</t>
  </si>
  <si>
    <t>2020-PL-020</t>
  </si>
  <si>
    <t>2020-PL-021</t>
  </si>
  <si>
    <t>2020-PL-022</t>
  </si>
  <si>
    <t>2020-PL-023</t>
  </si>
  <si>
    <t>2020-PL-024</t>
  </si>
  <si>
    <t>2020-PL-025</t>
  </si>
  <si>
    <t>2020-PL-026</t>
  </si>
  <si>
    <t>2020-PL-027</t>
  </si>
  <si>
    <t>2020-PL-028</t>
  </si>
  <si>
    <t>2020-PL-029</t>
  </si>
  <si>
    <t>2020-PL-030</t>
  </si>
  <si>
    <t>2020-PL-031</t>
  </si>
  <si>
    <t>2020-PL-032</t>
  </si>
  <si>
    <t>2020-PL-033</t>
  </si>
  <si>
    <t>2020-PL-034</t>
  </si>
  <si>
    <t>2020-PL-035</t>
  </si>
  <si>
    <t>2020-PL-036</t>
  </si>
  <si>
    <t>2020-PL-037</t>
  </si>
  <si>
    <t>2020-PL-038</t>
  </si>
  <si>
    <t>2020-PL-039</t>
  </si>
  <si>
    <t>2020-PL-040</t>
  </si>
  <si>
    <t>2020-PL-041</t>
  </si>
  <si>
    <t>2020-PL-042</t>
  </si>
  <si>
    <t>2020-PL-043</t>
  </si>
  <si>
    <t>2020-PL-044</t>
  </si>
  <si>
    <t>2020-PL-045</t>
  </si>
  <si>
    <t>2020-PL-046</t>
  </si>
  <si>
    <t>2020-PL-047</t>
  </si>
  <si>
    <t>2020-PL-048</t>
  </si>
  <si>
    <t>2020-PL-049</t>
  </si>
  <si>
    <t>2020-PL-050</t>
  </si>
  <si>
    <t>2020-PL-051</t>
  </si>
  <si>
    <t>2020-PL-052</t>
  </si>
  <si>
    <t>2020-PL-053</t>
  </si>
  <si>
    <t>2020-PL-054</t>
  </si>
  <si>
    <t>2020-PL-055</t>
  </si>
  <si>
    <t>2020-PL-056</t>
  </si>
  <si>
    <t>2020-PL-057</t>
  </si>
  <si>
    <t>2020-PL-058</t>
  </si>
  <si>
    <t>2020-PL-059</t>
  </si>
  <si>
    <t>2020-PL-060</t>
  </si>
  <si>
    <t>2020-PL-061</t>
  </si>
  <si>
    <t>2020-PL-062</t>
  </si>
  <si>
    <t>2020-PL-063</t>
  </si>
  <si>
    <t>2020-PL-064</t>
  </si>
  <si>
    <t>2020-PL-065</t>
  </si>
  <si>
    <t>2020-PL-066</t>
  </si>
  <si>
    <t>2020-PL-067</t>
  </si>
  <si>
    <t>2020-PL-068</t>
  </si>
  <si>
    <t>2020-PL-069</t>
  </si>
  <si>
    <t>2020-PL-070</t>
  </si>
  <si>
    <t>2020-PL-071</t>
  </si>
  <si>
    <t>2020-PL-072</t>
  </si>
  <si>
    <t>2020-PL-073</t>
  </si>
  <si>
    <t>2020-PL-074</t>
  </si>
  <si>
    <t>2020-PL-075</t>
  </si>
  <si>
    <t>2020-PL-076</t>
  </si>
  <si>
    <t>2020-PL-077</t>
  </si>
  <si>
    <t>2020-PL-078</t>
  </si>
  <si>
    <t>2020-PL-079</t>
  </si>
  <si>
    <t>2020-PL-080</t>
  </si>
  <si>
    <t>2020-PL-081</t>
  </si>
  <si>
    <t>2020-PL-082</t>
  </si>
  <si>
    <t>2020-PL-083</t>
  </si>
  <si>
    <t>2020-PL-084</t>
  </si>
  <si>
    <t>2020-PL-085</t>
  </si>
  <si>
    <t>2020-PL-086</t>
  </si>
  <si>
    <t>2020-PL-087</t>
  </si>
  <si>
    <t>2020-PL-088</t>
  </si>
  <si>
    <t>2020-PL-089</t>
  </si>
  <si>
    <t>2020-PL-090</t>
  </si>
  <si>
    <t>2020-PL-091</t>
  </si>
  <si>
    <t>2020-PL-092</t>
  </si>
  <si>
    <t>2020-PL-093</t>
  </si>
  <si>
    <t>2020-PL-094</t>
  </si>
  <si>
    <t>2020-PL-095</t>
  </si>
  <si>
    <t>2020-PL-096</t>
  </si>
  <si>
    <t>2020-PL-097</t>
  </si>
  <si>
    <t>2020-PL-098</t>
  </si>
  <si>
    <t>2020-PL-099</t>
  </si>
  <si>
    <t>2020-PL-100</t>
  </si>
  <si>
    <t>2020-PL-101</t>
  </si>
  <si>
    <t>2020-PL-102</t>
  </si>
  <si>
    <t>2020-PL-103</t>
  </si>
  <si>
    <t>2020-PL-104</t>
  </si>
  <si>
    <t>2020-PL-105</t>
  </si>
  <si>
    <t>2020-PL-106</t>
  </si>
  <si>
    <t>2020-PL-107</t>
  </si>
  <si>
    <t>2020-PL-108</t>
  </si>
  <si>
    <t>2020-PL-109</t>
  </si>
  <si>
    <t>2020-PL-110</t>
  </si>
  <si>
    <t>2020-PL-111</t>
  </si>
  <si>
    <t>2020-PL-112</t>
  </si>
  <si>
    <t>2020-PL-113</t>
  </si>
  <si>
    <t>2020-PL-114</t>
  </si>
  <si>
    <t>2020-PL-115</t>
  </si>
  <si>
    <t>2020-PL-116</t>
  </si>
  <si>
    <t>2020-PL-117</t>
  </si>
  <si>
    <t>2020-PL-118</t>
  </si>
  <si>
    <t>2020-PL-119</t>
  </si>
  <si>
    <t>2020-PL-120</t>
  </si>
  <si>
    <t>2020-PL-121</t>
  </si>
  <si>
    <t>2020-PL-122</t>
  </si>
  <si>
    <t>2020-PL-123</t>
  </si>
  <si>
    <t>2020-PL-124</t>
  </si>
  <si>
    <t>2020-PL-125</t>
  </si>
  <si>
    <t>2020-PL-126</t>
  </si>
  <si>
    <t>2020-PL-127</t>
  </si>
  <si>
    <t>2020-PL-128</t>
  </si>
  <si>
    <t>2020-PL-129</t>
  </si>
  <si>
    <t>2020-PL-130</t>
  </si>
  <si>
    <t>2020-PL-131</t>
  </si>
  <si>
    <t>2020-PL-132</t>
  </si>
  <si>
    <t>2020-PL-133</t>
  </si>
  <si>
    <t>2020-PL-134</t>
  </si>
  <si>
    <t>2020-PL-135</t>
  </si>
  <si>
    <t>2020-PL-136</t>
  </si>
  <si>
    <t>2020-PL-137</t>
  </si>
  <si>
    <t>2020-PL-138</t>
  </si>
  <si>
    <t>2020-PL-139</t>
  </si>
  <si>
    <t>2020-PL-140</t>
  </si>
  <si>
    <t>2020-PL-141</t>
  </si>
  <si>
    <t>2020-PL-142</t>
  </si>
  <si>
    <t>2020-PL-143</t>
  </si>
  <si>
    <t>2020-PL-144</t>
  </si>
  <si>
    <t>2020-PL-145</t>
  </si>
  <si>
    <t>2020-PL-146</t>
  </si>
  <si>
    <t>2020-PL-147</t>
  </si>
  <si>
    <t>2020-PL-148</t>
  </si>
  <si>
    <t>2020-PL-149</t>
  </si>
  <si>
    <t>2020-PL-150</t>
  </si>
  <si>
    <t>2020-PL-151</t>
  </si>
  <si>
    <t>2020-PL-152</t>
  </si>
  <si>
    <t>2020-PL-153</t>
  </si>
  <si>
    <t>2020-PL-154</t>
  </si>
  <si>
    <t>2020-PL-155</t>
  </si>
  <si>
    <t>2020-PL-156</t>
  </si>
  <si>
    <t>2020-PL-157</t>
  </si>
  <si>
    <t>2020-PL-158</t>
  </si>
  <si>
    <t>2020-PL-159</t>
  </si>
  <si>
    <t>2020-PL-160</t>
  </si>
  <si>
    <t>2020-PL-161</t>
  </si>
  <si>
    <t>2020-PL-162</t>
  </si>
  <si>
    <t>2020-PL-163</t>
  </si>
  <si>
    <t>2020-PL-164</t>
  </si>
  <si>
    <t>2020-PL-165</t>
  </si>
  <si>
    <t>2020-PL-166</t>
  </si>
  <si>
    <t>2020-PL-167</t>
  </si>
  <si>
    <t>2020-PL-168</t>
  </si>
  <si>
    <t>2020-PL-169</t>
  </si>
  <si>
    <t>2020-PL-170</t>
  </si>
  <si>
    <t>2020-PL-171</t>
  </si>
  <si>
    <t>2020-PL-172</t>
  </si>
  <si>
    <t>2020-PL-173</t>
  </si>
  <si>
    <t>2020-PL-174</t>
  </si>
  <si>
    <t>2020-PL-175</t>
  </si>
  <si>
    <t>2020-PL-176</t>
  </si>
  <si>
    <t>2020-PL-177</t>
  </si>
  <si>
    <t>2020-PL-178</t>
  </si>
  <si>
    <t>2020-PL-179</t>
  </si>
  <si>
    <t>2020-PL-180</t>
  </si>
  <si>
    <t>2020-PL-181</t>
  </si>
  <si>
    <t>2020-PL-182</t>
  </si>
  <si>
    <t>2020-PL-183</t>
  </si>
  <si>
    <t>2020-PL-184</t>
  </si>
  <si>
    <t>2020-PL-185</t>
  </si>
  <si>
    <t>2020-PL-186</t>
  </si>
  <si>
    <t>2020-PL-187</t>
  </si>
  <si>
    <t>2020-PL-188</t>
  </si>
  <si>
    <t>2020-PL-189</t>
  </si>
  <si>
    <t>2020-PL-190</t>
  </si>
  <si>
    <t>2020-PL-191</t>
  </si>
  <si>
    <t>2020-PL-192</t>
  </si>
  <si>
    <t>2020-PL-193</t>
  </si>
  <si>
    <t>2020-PL-194</t>
  </si>
  <si>
    <t>2020-PL-195</t>
  </si>
  <si>
    <t>2020-PL-196</t>
  </si>
  <si>
    <t>2020-PL-197</t>
  </si>
  <si>
    <t>2020-PL-198</t>
  </si>
  <si>
    <t>2020-PL-199</t>
  </si>
  <si>
    <t>2020-PL-200</t>
  </si>
  <si>
    <t>2020-PL-201</t>
  </si>
  <si>
    <t>2020-PL-202</t>
  </si>
  <si>
    <t>2020-PL-203</t>
  </si>
  <si>
    <t>2020-PL-204</t>
  </si>
  <si>
    <t>2020-PL-205</t>
  </si>
  <si>
    <t>2020-PL-206</t>
  </si>
  <si>
    <t>2020-PL-207</t>
  </si>
  <si>
    <t>2020-PL-208</t>
  </si>
  <si>
    <t>2020-PL-209</t>
  </si>
  <si>
    <t>2020-PL-210</t>
  </si>
  <si>
    <t>2020-PL-211</t>
  </si>
  <si>
    <t>2020-PL-212</t>
  </si>
  <si>
    <t>2020-PL-213</t>
  </si>
  <si>
    <t>2020-PL-214</t>
  </si>
  <si>
    <t>2020-PL-215</t>
  </si>
  <si>
    <t>2020-PL-216</t>
  </si>
  <si>
    <t>2020-PL-217</t>
  </si>
  <si>
    <t>2020-PL-218</t>
  </si>
  <si>
    <t>2020-PL-219</t>
  </si>
  <si>
    <t>2020-PL-220</t>
  </si>
  <si>
    <t>2020-PL-221</t>
  </si>
  <si>
    <t>2020-PL-222</t>
  </si>
  <si>
    <t>2020-PL-223</t>
  </si>
  <si>
    <t>2020-PL-224</t>
  </si>
  <si>
    <t>2020-PL-225</t>
  </si>
  <si>
    <t>2020-PL-226</t>
  </si>
  <si>
    <t>2020-PL-227</t>
  </si>
  <si>
    <t>2020-PL-228</t>
  </si>
  <si>
    <t>2020-PL-229</t>
  </si>
  <si>
    <t>2020-PL-230</t>
  </si>
  <si>
    <t>2020-PL-231</t>
  </si>
  <si>
    <t>2020-PL-232</t>
  </si>
  <si>
    <t>2020-PL-233</t>
  </si>
  <si>
    <t>2020-PL-234</t>
  </si>
  <si>
    <t>2020-PL-235</t>
  </si>
  <si>
    <t>2020-PL-236</t>
  </si>
  <si>
    <t>2020-PL-237</t>
  </si>
  <si>
    <t>2020-PL-238</t>
  </si>
  <si>
    <t>2020-PL-239</t>
  </si>
  <si>
    <t>2020-PL-240</t>
  </si>
  <si>
    <t>2020-PL-241</t>
  </si>
  <si>
    <t>2020-PL-242</t>
  </si>
  <si>
    <t>2020-PL-243</t>
  </si>
  <si>
    <t>2020-PL-244</t>
  </si>
  <si>
    <t>2020-PL-245</t>
  </si>
  <si>
    <t>2020-PL-246</t>
  </si>
  <si>
    <t>2020-PL-247</t>
  </si>
  <si>
    <t>2020-PL-248</t>
  </si>
  <si>
    <t>2020-PL-249</t>
  </si>
  <si>
    <t>2020-PL-250</t>
  </si>
  <si>
    <t>2020-PL-251</t>
  </si>
  <si>
    <t>2020-PL-252</t>
  </si>
  <si>
    <t>2020-PL-253</t>
  </si>
  <si>
    <t>2020-PL-254</t>
  </si>
  <si>
    <t>2020-PL-255</t>
  </si>
  <si>
    <t>2020-PL-256</t>
  </si>
  <si>
    <t>2020-PL-257</t>
  </si>
  <si>
    <t>2020-PL-258</t>
  </si>
  <si>
    <t>2020-PL-259</t>
  </si>
  <si>
    <t>2020-PL-260</t>
  </si>
  <si>
    <t>2020-PL-261</t>
  </si>
  <si>
    <t>2020-PL-262</t>
  </si>
  <si>
    <t>2020-PL-263</t>
  </si>
  <si>
    <t>2020-PL-264</t>
  </si>
  <si>
    <t>2020-PL-265</t>
  </si>
  <si>
    <t>2020-PL-266</t>
  </si>
  <si>
    <t>2020-PL-267</t>
  </si>
  <si>
    <t>2020-PL-268</t>
  </si>
  <si>
    <t>2020-PL-269</t>
  </si>
  <si>
    <t>2020-PL-270</t>
  </si>
  <si>
    <t>2020-PL-271</t>
  </si>
  <si>
    <t>2020-PL-272</t>
  </si>
  <si>
    <t>2020-PL-273</t>
  </si>
  <si>
    <t>2020-PL-274</t>
  </si>
  <si>
    <t>2020-PL-275</t>
  </si>
  <si>
    <t>2020-PL-276</t>
  </si>
  <si>
    <t>2020-PL-277</t>
  </si>
  <si>
    <t>2020-PL-278</t>
  </si>
  <si>
    <t>2020-PL-279</t>
  </si>
  <si>
    <t>2020-PL-280</t>
  </si>
  <si>
    <t>2020-PL-281</t>
  </si>
  <si>
    <t>2020-PL-282</t>
  </si>
  <si>
    <t>2020-PL-283</t>
  </si>
  <si>
    <t>2020-PL-284</t>
  </si>
  <si>
    <t>2020-PL-285</t>
  </si>
  <si>
    <t>2020-PL-286</t>
  </si>
  <si>
    <t>2020-PL-287</t>
  </si>
  <si>
    <t>2020-PL-288</t>
  </si>
  <si>
    <t>2020-PL-289</t>
  </si>
  <si>
    <t>2020-PL-290</t>
  </si>
  <si>
    <t>2020-PL-291</t>
  </si>
  <si>
    <t>2020-PL-292</t>
  </si>
  <si>
    <t>2020-PL-293</t>
  </si>
  <si>
    <t>2020-PL-294</t>
  </si>
  <si>
    <t>2020-PL-295</t>
  </si>
  <si>
    <t>2020-PL-296</t>
  </si>
  <si>
    <t>2020-PL-297</t>
  </si>
  <si>
    <t>2020-PL-298</t>
  </si>
  <si>
    <t>2020-PL-299</t>
  </si>
  <si>
    <t>2020-PL-300</t>
  </si>
  <si>
    <t>2020-PL-301</t>
  </si>
  <si>
    <t>2020-PL-302</t>
  </si>
  <si>
    <t>2020-PL-303</t>
  </si>
  <si>
    <t>2020-PL-304</t>
  </si>
  <si>
    <t>2020-PL-305</t>
  </si>
  <si>
    <t>2020-PL-306</t>
  </si>
  <si>
    <t>2020-PL-307</t>
  </si>
  <si>
    <t>2020-PL-308</t>
  </si>
  <si>
    <t>2020-PL-309</t>
  </si>
  <si>
    <t>2020-PL-310</t>
  </si>
  <si>
    <t>2020-PL-311</t>
  </si>
  <si>
    <t>2020-PL-312</t>
  </si>
  <si>
    <t>2020-PL-313</t>
  </si>
  <si>
    <t>2020-PL-314</t>
  </si>
  <si>
    <t>2020-PL-315</t>
  </si>
  <si>
    <t>2020-PL-316</t>
  </si>
  <si>
    <t>2020-PL-317</t>
  </si>
  <si>
    <t>2020-PL-318</t>
  </si>
  <si>
    <t>2020-PL-319</t>
  </si>
  <si>
    <t>2020-PL-320</t>
  </si>
  <si>
    <t>2020-PL-321</t>
  </si>
  <si>
    <t>2020-PL-322</t>
  </si>
  <si>
    <t>2020-PL-323</t>
  </si>
  <si>
    <t>2020-PL-324</t>
  </si>
  <si>
    <t>2020-PL-325</t>
  </si>
  <si>
    <t>2020-PL-326</t>
  </si>
  <si>
    <t>2020-PL-327</t>
  </si>
  <si>
    <t>2020-PL-328</t>
  </si>
  <si>
    <t>2020-PL-329</t>
  </si>
  <si>
    <t>2020-PL-330</t>
  </si>
  <si>
    <t>2020-PL-331</t>
  </si>
  <si>
    <t>2020-PL-332</t>
  </si>
  <si>
    <t>2020-PL-333</t>
  </si>
  <si>
    <t>2020-PL-334</t>
  </si>
  <si>
    <t>2020-PL-335</t>
  </si>
  <si>
    <t>2020-PL-336</t>
  </si>
  <si>
    <t>2020-PL-337</t>
  </si>
  <si>
    <t>2020-PL-338</t>
  </si>
  <si>
    <t>2020-PL-339</t>
  </si>
  <si>
    <t>2020-PL-340</t>
  </si>
  <si>
    <t>2020-PL-341</t>
  </si>
  <si>
    <t>2020-PL-342</t>
  </si>
  <si>
    <t>2020-PL-343</t>
  </si>
  <si>
    <t>2020-PL-344</t>
  </si>
  <si>
    <t>2020-PL-345</t>
  </si>
  <si>
    <t>2020-PL-346</t>
  </si>
  <si>
    <t>2020-PL-347</t>
  </si>
  <si>
    <t>2020-PL-348</t>
  </si>
  <si>
    <t>2020-PL-349</t>
  </si>
  <si>
    <t>2020-PL-350</t>
  </si>
  <si>
    <t>2020-PL-351</t>
  </si>
  <si>
    <t>2020-PL-352</t>
  </si>
  <si>
    <t>2020-PL-353</t>
  </si>
  <si>
    <t>2020-PL-354</t>
  </si>
  <si>
    <t>2020-PL-355</t>
  </si>
  <si>
    <t>2020-PL-356</t>
  </si>
  <si>
    <t>2020-PL-357</t>
  </si>
  <si>
    <t>2020-PL-358</t>
  </si>
  <si>
    <t>2020-PL-359</t>
  </si>
  <si>
    <t>2020-PL-360</t>
  </si>
  <si>
    <t>2020-PL-361</t>
  </si>
  <si>
    <t>2020-PL-362</t>
  </si>
  <si>
    <t>2020-PL-363</t>
  </si>
  <si>
    <t>2020-PL-364</t>
  </si>
  <si>
    <t>2020-PL-365</t>
  </si>
  <si>
    <t>2020-PL-366</t>
  </si>
  <si>
    <t>2020-PL-367</t>
  </si>
  <si>
    <t>2020-PL-368</t>
  </si>
  <si>
    <t>2020-PL-369</t>
  </si>
  <si>
    <t>2020-PL-370</t>
  </si>
  <si>
    <t>2020-PL-371</t>
  </si>
  <si>
    <t>2020-PL-372</t>
  </si>
  <si>
    <t>2020-PL-373</t>
  </si>
  <si>
    <t>2020-PL-374</t>
  </si>
  <si>
    <t>2020-PL-375</t>
  </si>
  <si>
    <t>2020-PL-376</t>
  </si>
  <si>
    <t>2020-PL-377</t>
  </si>
  <si>
    <t>2020-PL-378</t>
  </si>
  <si>
    <t>2020-PL-379</t>
  </si>
  <si>
    <t>2020-PL-380</t>
  </si>
  <si>
    <t>2021-PL-001</t>
  </si>
  <si>
    <t>2021-PL-002</t>
  </si>
  <si>
    <t>2021-PL-003</t>
  </si>
  <si>
    <t>2021-PL-004</t>
  </si>
  <si>
    <t>2021-PL-005</t>
  </si>
  <si>
    <t>2021-PL-006</t>
  </si>
  <si>
    <t>2021-PL-007</t>
  </si>
  <si>
    <t>2021-PL-008</t>
  </si>
  <si>
    <t>2021-PL-009</t>
  </si>
  <si>
    <t>2021-PL-010</t>
  </si>
  <si>
    <t>2021-PL-011</t>
  </si>
  <si>
    <t>2021-PL-012</t>
  </si>
  <si>
    <t>2021-PL-013</t>
  </si>
  <si>
    <t>2021-PL-014</t>
  </si>
  <si>
    <t>2021-PL-015</t>
  </si>
  <si>
    <t>2021-PL-016</t>
  </si>
  <si>
    <t>2021-PL-017</t>
  </si>
  <si>
    <t>2021-PL-018</t>
  </si>
  <si>
    <t>2021-PL-019</t>
  </si>
  <si>
    <t>2021-PL-020</t>
  </si>
  <si>
    <t>2021-PL-021</t>
  </si>
  <si>
    <t>2021-PL-022</t>
  </si>
  <si>
    <t>2021-PL-023</t>
  </si>
  <si>
    <t>2021-PL-024</t>
  </si>
  <si>
    <t>2021-PL-025</t>
  </si>
  <si>
    <t>2021-PL-026</t>
  </si>
  <si>
    <t>2021-PL-027</t>
  </si>
  <si>
    <t>2021-PL-028</t>
  </si>
  <si>
    <t>2021-PL-029</t>
  </si>
  <si>
    <t>2021-PL-030</t>
  </si>
  <si>
    <t>2021-PL-031</t>
  </si>
  <si>
    <t>2021-PL-032</t>
  </si>
  <si>
    <t>2021-PL-033</t>
  </si>
  <si>
    <t>2021-PL-034</t>
  </si>
  <si>
    <t>2021-PL-035</t>
  </si>
  <si>
    <t>2021-PL-036</t>
  </si>
  <si>
    <t>2021-PL-037</t>
  </si>
  <si>
    <t>2021-PL-038</t>
  </si>
  <si>
    <t>2021-PL-039</t>
  </si>
  <si>
    <t>2021-PL-040</t>
  </si>
  <si>
    <t>2021-PL-041</t>
  </si>
  <si>
    <t>2021-PL-042</t>
  </si>
  <si>
    <t>2021-PL-043</t>
  </si>
  <si>
    <t>2021-PL-044</t>
  </si>
  <si>
    <t>2021-PL-045</t>
  </si>
  <si>
    <t>2021-PL-046</t>
  </si>
  <si>
    <t>2021-PL-047</t>
  </si>
  <si>
    <t>2021-PL-048</t>
  </si>
  <si>
    <t>2021-PL-049</t>
  </si>
  <si>
    <t>2021-PL-050</t>
  </si>
  <si>
    <t>2021-PL-051</t>
  </si>
  <si>
    <t>2021-PL-052</t>
  </si>
  <si>
    <t>2021-PL-053</t>
  </si>
  <si>
    <t>2021-PL-054</t>
  </si>
  <si>
    <t>2021-PL-055</t>
  </si>
  <si>
    <t>2021-PL-056</t>
  </si>
  <si>
    <t>2021-PL-057</t>
  </si>
  <si>
    <t>2021-PL-058</t>
  </si>
  <si>
    <t>2021-PL-059</t>
  </si>
  <si>
    <t>2021-PL-060</t>
  </si>
  <si>
    <t>2021-PL-061</t>
  </si>
  <si>
    <t>2021-PL-062</t>
  </si>
  <si>
    <t>2021-PL-063</t>
  </si>
  <si>
    <t>2021-PL-064</t>
  </si>
  <si>
    <t>2021-PL-065</t>
  </si>
  <si>
    <t>2021-PL-066</t>
  </si>
  <si>
    <t>2021-PL-067</t>
  </si>
  <si>
    <t>2021-PL-068</t>
  </si>
  <si>
    <t>2021-PL-069</t>
  </si>
  <si>
    <t>2021-PL-070</t>
  </si>
  <si>
    <t>2021-PL-071</t>
  </si>
  <si>
    <t>2021-PL-072</t>
  </si>
  <si>
    <t>2021-PL-073</t>
  </si>
  <si>
    <t>2021-PL-074</t>
  </si>
  <si>
    <t>2021-PL-075</t>
  </si>
  <si>
    <t>2021-PL-076</t>
  </si>
  <si>
    <t>2021-PL-077</t>
  </si>
  <si>
    <t>2021-PL-078</t>
  </si>
  <si>
    <t>2021-PL-079</t>
  </si>
  <si>
    <t>2021-PL-080</t>
  </si>
  <si>
    <t>2021-PL-081</t>
  </si>
  <si>
    <t>2021-PL-082</t>
  </si>
  <si>
    <t>2021-PL-083</t>
  </si>
  <si>
    <t>2021-PL-084</t>
  </si>
  <si>
    <t>2021-PL-085</t>
  </si>
  <si>
    <t>2021-PL-086</t>
  </si>
  <si>
    <t>2021-PL-087</t>
  </si>
  <si>
    <t>2021-PL-088</t>
  </si>
  <si>
    <t>2021-PL-089</t>
  </si>
  <si>
    <t>2021-PL-090</t>
  </si>
  <si>
    <t>2021-PL-091</t>
  </si>
  <si>
    <t>2021-PL-092</t>
  </si>
  <si>
    <t>2021-PL-093</t>
  </si>
  <si>
    <t>2021-PL-094</t>
  </si>
  <si>
    <t>2021-PL-095</t>
  </si>
  <si>
    <t>2021-PL-096</t>
  </si>
  <si>
    <t>2021-PL-097</t>
  </si>
  <si>
    <t>2021-PL-098</t>
  </si>
  <si>
    <t>2021-PL-099</t>
  </si>
  <si>
    <t>2021-PL-100</t>
  </si>
  <si>
    <t>2021-PL-101</t>
  </si>
  <si>
    <t>2021-PL-102</t>
  </si>
  <si>
    <t>2021-PL-103</t>
  </si>
  <si>
    <t>2021-PL-104</t>
  </si>
  <si>
    <t>2021-PL-105</t>
  </si>
  <si>
    <t>2021-PL-106</t>
  </si>
  <si>
    <t>2021-PL-107</t>
  </si>
  <si>
    <t>2021-PL-108</t>
  </si>
  <si>
    <t>2021-PL-109</t>
  </si>
  <si>
    <t>2021-PL-110</t>
  </si>
  <si>
    <t>2021-PL-111</t>
  </si>
  <si>
    <t>2021-PL-112</t>
  </si>
  <si>
    <t>2021-PL-113</t>
  </si>
  <si>
    <t>2021-PL-114</t>
  </si>
  <si>
    <t>2021-PL-115</t>
  </si>
  <si>
    <t>2021-PL-116</t>
  </si>
  <si>
    <t>2021-PL-117</t>
  </si>
  <si>
    <t>2021-PL-118</t>
  </si>
  <si>
    <t>2021-PL-119</t>
  </si>
  <si>
    <t>2021-PL-120</t>
  </si>
  <si>
    <t>2021-PL-121</t>
  </si>
  <si>
    <t>2021-PL-122</t>
  </si>
  <si>
    <t>2021-PL-123</t>
  </si>
  <si>
    <t>2021-PL-124</t>
  </si>
  <si>
    <t>2021-PL-125</t>
  </si>
  <si>
    <t>2021-PL-126</t>
  </si>
  <si>
    <t>2021-PL-127</t>
  </si>
  <si>
    <t>2021-PL-128</t>
  </si>
  <si>
    <t>2021-PL-129</t>
  </si>
  <si>
    <t>2021-PL-130</t>
  </si>
  <si>
    <t>2021-PL-131</t>
  </si>
  <si>
    <t>2021-PL-132</t>
  </si>
  <si>
    <t>2021-PL-133</t>
  </si>
  <si>
    <t>2021-PL-134</t>
  </si>
  <si>
    <t>2021-PL-135</t>
  </si>
  <si>
    <t>2021-PL-136</t>
  </si>
  <si>
    <t>2021-PL-137</t>
  </si>
  <si>
    <t>2021-PL-138</t>
  </si>
  <si>
    <t>2021-PL-139</t>
  </si>
  <si>
    <t>2021-PL-140</t>
  </si>
  <si>
    <t>2021-PL-141</t>
  </si>
  <si>
    <t>2021-PL-142</t>
  </si>
  <si>
    <t>2021-PL-143</t>
  </si>
  <si>
    <t>2021-PL-144</t>
  </si>
  <si>
    <t>2021-PL-145</t>
  </si>
  <si>
    <t>2021-PL-146</t>
  </si>
  <si>
    <t>2021-PL-147</t>
  </si>
  <si>
    <t>2021-PL-148</t>
  </si>
  <si>
    <t>2021-PL-149</t>
  </si>
  <si>
    <t>2021-PL-150</t>
  </si>
  <si>
    <t>2021-PL-151</t>
  </si>
  <si>
    <t>2021-PL-152</t>
  </si>
  <si>
    <t>2021-PL-153</t>
  </si>
  <si>
    <t>2021-PL-154</t>
  </si>
  <si>
    <t>2021-PL-155</t>
  </si>
  <si>
    <t>2021-PL-156</t>
  </si>
  <si>
    <t>2021-PL-157</t>
  </si>
  <si>
    <t>2021-PL-158</t>
  </si>
  <si>
    <t>2021-PL-159</t>
  </si>
  <si>
    <t>2021-PL-160</t>
  </si>
  <si>
    <t>2021-PL-161</t>
  </si>
  <si>
    <t>2021-PL-162</t>
  </si>
  <si>
    <t>2021-PL-163</t>
  </si>
  <si>
    <t>2021-PL-164</t>
  </si>
  <si>
    <t>2021-PL-165</t>
  </si>
  <si>
    <t>2021-PL-166</t>
  </si>
  <si>
    <t>2021-PL-167</t>
  </si>
  <si>
    <t>2021-PL-168</t>
  </si>
  <si>
    <t>2021-PL-169</t>
  </si>
  <si>
    <t>2021-PL-170</t>
  </si>
  <si>
    <t>2021-PL-171</t>
  </si>
  <si>
    <t>2021-PL-172</t>
  </si>
  <si>
    <t>2021-PL-173</t>
  </si>
  <si>
    <t>2021-PL-174</t>
  </si>
  <si>
    <t>2021-PL-175</t>
  </si>
  <si>
    <t>2021-PL-176</t>
  </si>
  <si>
    <t>2021-PL-177</t>
  </si>
  <si>
    <t>2021-PL-178</t>
  </si>
  <si>
    <t>2021-PL-179</t>
  </si>
  <si>
    <t>2021-PL-180</t>
  </si>
  <si>
    <t>2021-PL-181</t>
  </si>
  <si>
    <t>2021-PL-182</t>
  </si>
  <si>
    <t>2021-PL-183</t>
  </si>
  <si>
    <t>2021-PL-184</t>
  </si>
  <si>
    <t>2021-PL-185</t>
  </si>
  <si>
    <t>2021-PL-186</t>
  </si>
  <si>
    <t>2021-PL-187</t>
  </si>
  <si>
    <t>2021-PL-188</t>
  </si>
  <si>
    <t>2021-PL-189</t>
  </si>
  <si>
    <t>2021-PL-190</t>
  </si>
  <si>
    <t>2021-PL-191</t>
  </si>
  <si>
    <t>2021-PL-192</t>
  </si>
  <si>
    <t>2021-PL-193</t>
  </si>
  <si>
    <t>2021-PL-194</t>
  </si>
  <si>
    <t>2021-PL-195</t>
  </si>
  <si>
    <t>2021-PL-196</t>
  </si>
  <si>
    <t>2021-PL-197</t>
  </si>
  <si>
    <t>2021-PL-198</t>
  </si>
  <si>
    <t>2021-PL-199</t>
  </si>
  <si>
    <t>2021-PL-200</t>
  </si>
  <si>
    <t>2021-PL-201</t>
  </si>
  <si>
    <t>2021-PL-202</t>
  </si>
  <si>
    <t>2021-PL-203</t>
  </si>
  <si>
    <t>2021-PL-204</t>
  </si>
  <si>
    <t>2021-PL-205</t>
  </si>
  <si>
    <t>2021-PL-206</t>
  </si>
  <si>
    <t>2021-PL-207</t>
  </si>
  <si>
    <t>2021-PL-208</t>
  </si>
  <si>
    <t>2021-PL-209</t>
  </si>
  <si>
    <t>2021-PL-210</t>
  </si>
  <si>
    <t>2021-PL-211</t>
  </si>
  <si>
    <t>2021-PL-212</t>
  </si>
  <si>
    <t>2021-PL-213</t>
  </si>
  <si>
    <t>2021-PL-214</t>
  </si>
  <si>
    <t>2021-PL-215</t>
  </si>
  <si>
    <t>2021-PL-216</t>
  </si>
  <si>
    <t>2021-PL-217</t>
  </si>
  <si>
    <t>2021-PL-218</t>
  </si>
  <si>
    <t>2021-PL-219</t>
  </si>
  <si>
    <t>2021-PL-220</t>
  </si>
  <si>
    <t>2021-PL-221</t>
  </si>
  <si>
    <t>2021-PL-222</t>
  </si>
  <si>
    <t>2021-PL-223</t>
  </si>
  <si>
    <t>2021-PL-224</t>
  </si>
  <si>
    <t>2021-PL-225</t>
  </si>
  <si>
    <t>2021-PL-226</t>
  </si>
  <si>
    <t>2021-PL-227</t>
  </si>
  <si>
    <t>2021-PL-228</t>
  </si>
  <si>
    <t>2021-PL-229</t>
  </si>
  <si>
    <t>2021-PL-230</t>
  </si>
  <si>
    <t>2021-PL-231</t>
  </si>
  <si>
    <t>2021-PL-232</t>
  </si>
  <si>
    <t>2021-PL-233</t>
  </si>
  <si>
    <t>2021-PL-234</t>
  </si>
  <si>
    <t>2021-PL-235</t>
  </si>
  <si>
    <t>2021-PL-236</t>
  </si>
  <si>
    <t>2021-PL-237</t>
  </si>
  <si>
    <t>2021-PL-238</t>
  </si>
  <si>
    <t>2021-PL-239</t>
  </si>
  <si>
    <t>2021-PL-240</t>
  </si>
  <si>
    <t>2021-PL-241</t>
  </si>
  <si>
    <t>2021-PL-242</t>
  </si>
  <si>
    <t>2021-PL-243</t>
  </si>
  <si>
    <t>2021-PL-244</t>
  </si>
  <si>
    <t>2021-PL-245</t>
  </si>
  <si>
    <t>2021-PL-246</t>
  </si>
  <si>
    <t>2021-PL-247</t>
  </si>
  <si>
    <t>2021-PL-248</t>
  </si>
  <si>
    <t>2021-PL-249</t>
  </si>
  <si>
    <t>2021-PL-250</t>
  </si>
  <si>
    <t>2021-PL-251</t>
  </si>
  <si>
    <t>2021-PL-252</t>
  </si>
  <si>
    <t>2021-PL-253</t>
  </si>
  <si>
    <t>2021-PL-254</t>
  </si>
  <si>
    <t>2021-PL-255</t>
  </si>
  <si>
    <t>2021-PL-256</t>
  </si>
  <si>
    <t>2021-PL-257</t>
  </si>
  <si>
    <t>2021-PL-258</t>
  </si>
  <si>
    <t>2021-PL-259</t>
  </si>
  <si>
    <t>2021-PL-260</t>
  </si>
  <si>
    <t>2021-PL-261</t>
  </si>
  <si>
    <t>2021-PL-262</t>
  </si>
  <si>
    <t>2021-PL-263</t>
  </si>
  <si>
    <t>2021-PL-264</t>
  </si>
  <si>
    <t>2021-PL-265</t>
  </si>
  <si>
    <t>2021-PL-266</t>
  </si>
  <si>
    <t>2021-PL-267</t>
  </si>
  <si>
    <t>2021-PL-268</t>
  </si>
  <si>
    <t>2021-PL-269</t>
  </si>
  <si>
    <t>2021-PL-270</t>
  </si>
  <si>
    <t>2021-PL-271</t>
  </si>
  <si>
    <t>2021-PL-272</t>
  </si>
  <si>
    <t>2021-PL-273</t>
  </si>
  <si>
    <t>2021-PL-274</t>
  </si>
  <si>
    <t>2021-PL-275</t>
  </si>
  <si>
    <t>2021-PL-276</t>
  </si>
  <si>
    <t>2021-PL-277</t>
  </si>
  <si>
    <t>2021-PL-278</t>
  </si>
  <si>
    <t>2021-PL-279</t>
  </si>
  <si>
    <t>2021-PL-280</t>
  </si>
  <si>
    <t>2021-PL-281</t>
  </si>
  <si>
    <t>2021-PL-282</t>
  </si>
  <si>
    <t>2021-PL-283</t>
  </si>
  <si>
    <t>2021-PL-284</t>
  </si>
  <si>
    <t>2021-PL-285</t>
  </si>
  <si>
    <t>2021-PL-286</t>
  </si>
  <si>
    <t>2021-PL-287</t>
  </si>
  <si>
    <t>2021-PL-288</t>
  </si>
  <si>
    <t>2021-PL-289</t>
  </si>
  <si>
    <t>2021-PL-290</t>
  </si>
  <si>
    <t>2021-PL-291</t>
  </si>
  <si>
    <t>2021-PL-292</t>
  </si>
  <si>
    <t>2021-PL-293</t>
  </si>
  <si>
    <t>2021-PL-294</t>
  </si>
  <si>
    <t>2021-PL-295</t>
  </si>
  <si>
    <t>2021-PL-296</t>
  </si>
  <si>
    <t>2021-PL-297</t>
  </si>
  <si>
    <t>2021-PL-298</t>
  </si>
  <si>
    <t>2021-PL-299</t>
  </si>
  <si>
    <t>2021-PL-300</t>
  </si>
  <si>
    <t>2021-PL-301</t>
  </si>
  <si>
    <t>2021-PL-302</t>
  </si>
  <si>
    <t>2021-PL-303</t>
  </si>
  <si>
    <t>2021-PL-304</t>
  </si>
  <si>
    <t>2021-PL-305</t>
  </si>
  <si>
    <t>2021-PL-306</t>
  </si>
  <si>
    <t>2021-PL-307</t>
  </si>
  <si>
    <t>2021-PL-308</t>
  </si>
  <si>
    <t>2021-PL-309</t>
  </si>
  <si>
    <t>2021-PL-310</t>
  </si>
  <si>
    <t>2021-PL-311</t>
  </si>
  <si>
    <t>2021-PL-312</t>
  </si>
  <si>
    <t>2021-PL-313</t>
  </si>
  <si>
    <t>2021-PL-314</t>
  </si>
  <si>
    <t>2021-PL-315</t>
  </si>
  <si>
    <t>2021-PL-316</t>
  </si>
  <si>
    <t>2021-PL-317</t>
  </si>
  <si>
    <t>2021-PL-318</t>
  </si>
  <si>
    <t>2021-PL-319</t>
  </si>
  <si>
    <t>2021-PL-320</t>
  </si>
  <si>
    <t>2021-PL-321</t>
  </si>
  <si>
    <t>2021-PL-322</t>
  </si>
  <si>
    <t>2021-PL-323</t>
  </si>
  <si>
    <t>2021-PL-324</t>
  </si>
  <si>
    <t>2021-PL-325</t>
  </si>
  <si>
    <t>2021-PL-326</t>
  </si>
  <si>
    <t>2021-PL-327</t>
  </si>
  <si>
    <t>2021-PL-328</t>
  </si>
  <si>
    <t>2021-PL-329</t>
  </si>
  <si>
    <t>2021-PL-330</t>
  </si>
  <si>
    <t>2021-PL-331</t>
  </si>
  <si>
    <t>2021-PL-332</t>
  </si>
  <si>
    <t>2021-PL-333</t>
  </si>
  <si>
    <t>2021-PL-334</t>
  </si>
  <si>
    <t>2021-PL-335</t>
  </si>
  <si>
    <t>2021-PL-336</t>
  </si>
  <si>
    <t>2021-PL-337</t>
  </si>
  <si>
    <t>2021-PL-338</t>
  </si>
  <si>
    <t>2021-PL-339</t>
  </si>
  <si>
    <t>2021-PL-340</t>
  </si>
  <si>
    <t>2021-PL-341</t>
  </si>
  <si>
    <t>2021-PL-342</t>
  </si>
  <si>
    <t>2021-PL-343</t>
  </si>
  <si>
    <t>2021-PL-344</t>
  </si>
  <si>
    <t>2021-PL-345</t>
  </si>
  <si>
    <t>2021-PL-346</t>
  </si>
  <si>
    <t>2021-PL-347</t>
  </si>
  <si>
    <t>2021-PL-348</t>
  </si>
  <si>
    <t>2021-PL-349</t>
  </si>
  <si>
    <t>2021-PL-350</t>
  </si>
  <si>
    <t>2021-PL-351</t>
  </si>
  <si>
    <t>2021-PL-352</t>
  </si>
  <si>
    <t>2021-PL-353</t>
  </si>
  <si>
    <t>2021-PL-354</t>
  </si>
  <si>
    <t>2021-PL-355</t>
  </si>
  <si>
    <t>2021-PL-356</t>
  </si>
  <si>
    <t>2021-PL-357</t>
  </si>
  <si>
    <t>2021-PL-358</t>
  </si>
  <si>
    <t>2021-PL-359</t>
  </si>
  <si>
    <t>2021-PL-360</t>
  </si>
  <si>
    <t>2021-PL-361</t>
  </si>
  <si>
    <t>2021-PL-362</t>
  </si>
  <si>
    <t>2021-PL-363</t>
  </si>
  <si>
    <t>2021-PL-364</t>
  </si>
  <si>
    <t>2021-PL-365</t>
  </si>
  <si>
    <t>2021-PL-366</t>
  </si>
  <si>
    <t>2021-PL-367</t>
  </si>
  <si>
    <t>2021-PL-368</t>
  </si>
  <si>
    <t>2021-PL-369</t>
  </si>
  <si>
    <t>2021-PL-370</t>
  </si>
  <si>
    <t>2021-PL-371</t>
  </si>
  <si>
    <t>2021-PL-372</t>
  </si>
  <si>
    <t>2021-PL-373</t>
  </si>
  <si>
    <t>2021-PL-374</t>
  </si>
  <si>
    <t>2021-PL-375</t>
  </si>
  <si>
    <t>2021-PL-376</t>
  </si>
  <si>
    <t>2021-PL-377</t>
  </si>
  <si>
    <t>2021-PL-378</t>
  </si>
  <si>
    <t>2021-PL-379</t>
  </si>
  <si>
    <t>2021-PL-380</t>
  </si>
  <si>
    <t>2022-PL-001</t>
  </si>
  <si>
    <t>2022-PL-002</t>
  </si>
  <si>
    <t>2022-PL-003</t>
  </si>
  <si>
    <t>2022-PL-004</t>
  </si>
  <si>
    <t>2022-PL-005</t>
  </si>
  <si>
    <t>2022-PL-006</t>
  </si>
  <si>
    <t>2022-PL-007</t>
  </si>
  <si>
    <t>2022-PL-008</t>
  </si>
  <si>
    <t>2022-PL-009</t>
  </si>
  <si>
    <t>2022-PL-010</t>
  </si>
  <si>
    <t>2022-PL-011</t>
  </si>
  <si>
    <t>2022-PL-012</t>
  </si>
  <si>
    <t>2022-PL-013</t>
  </si>
  <si>
    <t>2022-PL-014</t>
  </si>
  <si>
    <t>2022-PL-015</t>
  </si>
  <si>
    <t>2022-PL-016</t>
  </si>
  <si>
    <t>2022-PL-017</t>
  </si>
  <si>
    <t>2022-PL-018</t>
  </si>
  <si>
    <t>2022-PL-019</t>
  </si>
  <si>
    <t>2022-PL-020</t>
  </si>
  <si>
    <t>2022-PL-021</t>
  </si>
  <si>
    <t>2022-PL-022</t>
  </si>
  <si>
    <t>2022-PL-023</t>
  </si>
  <si>
    <t>2022-PL-024</t>
  </si>
  <si>
    <t>2022-PL-025</t>
  </si>
  <si>
    <t>2022-PL-026</t>
  </si>
  <si>
    <t>2022-PL-027</t>
  </si>
  <si>
    <t>2022-PL-028</t>
  </si>
  <si>
    <t>2022-PL-029</t>
  </si>
  <si>
    <t>2022-PL-030</t>
  </si>
  <si>
    <t>2022-PL-031</t>
  </si>
  <si>
    <t>2022-PL-032</t>
  </si>
  <si>
    <t>2022-PL-033</t>
  </si>
  <si>
    <t>2022-PL-034</t>
  </si>
  <si>
    <t>2022-PL-035</t>
  </si>
  <si>
    <t>2022-PL-036</t>
  </si>
  <si>
    <t>2022-PL-037</t>
  </si>
  <si>
    <t>2022-PL-038</t>
  </si>
  <si>
    <t>2022-PL-039</t>
  </si>
  <si>
    <t>2022-PL-040</t>
  </si>
  <si>
    <t>2022-PL-041</t>
  </si>
  <si>
    <t>2022-PL-042</t>
  </si>
  <si>
    <t>2022-PL-043</t>
  </si>
  <si>
    <t>2022-PL-044</t>
  </si>
  <si>
    <t>2022-PL-045</t>
  </si>
  <si>
    <t>2022-PL-046</t>
  </si>
  <si>
    <t>2022-PL-047</t>
  </si>
  <si>
    <t>2022-PL-048</t>
  </si>
  <si>
    <t>2022-PL-049</t>
  </si>
  <si>
    <t>2022-PL-050</t>
  </si>
  <si>
    <t>2022-PL-051</t>
  </si>
  <si>
    <t>2022-PL-052</t>
  </si>
  <si>
    <t>2022-PL-053</t>
  </si>
  <si>
    <t>2022-PL-054</t>
  </si>
  <si>
    <t>2022-PL-055</t>
  </si>
  <si>
    <t>2022-PL-056</t>
  </si>
  <si>
    <t>2022-PL-057</t>
  </si>
  <si>
    <t>2022-PL-058</t>
  </si>
  <si>
    <t>2022-PL-059</t>
  </si>
  <si>
    <t>2022-PL-060</t>
  </si>
  <si>
    <t>2022-PL-061</t>
  </si>
  <si>
    <t>2022-PL-062</t>
  </si>
  <si>
    <t>2022-PL-063</t>
  </si>
  <si>
    <t>2022-PL-064</t>
  </si>
  <si>
    <t>2022-PL-065</t>
  </si>
  <si>
    <t>2022-PL-066</t>
  </si>
  <si>
    <t>2022-PL-067</t>
  </si>
  <si>
    <t>2022-PL-068</t>
  </si>
  <si>
    <t>2022-PL-069</t>
  </si>
  <si>
    <t>2022-PL-070</t>
  </si>
  <si>
    <t>2022-PL-071</t>
  </si>
  <si>
    <t>2022-PL-072</t>
  </si>
  <si>
    <t>2022-PL-073</t>
  </si>
  <si>
    <t>2022-PL-074</t>
  </si>
  <si>
    <t>2022-PL-075</t>
  </si>
  <si>
    <t>2022-PL-076</t>
  </si>
  <si>
    <t>2022-PL-077</t>
  </si>
  <si>
    <t>2022-PL-078</t>
  </si>
  <si>
    <t>2022-PL-079</t>
  </si>
  <si>
    <t>2022-PL-080</t>
  </si>
  <si>
    <t>2022-PL-081</t>
  </si>
  <si>
    <t>2022-PL-082</t>
  </si>
  <si>
    <t>2022-PL-083</t>
  </si>
  <si>
    <t>2022-PL-084</t>
  </si>
  <si>
    <t>2022-PL-085</t>
  </si>
  <si>
    <t>2022-PL-086</t>
  </si>
  <si>
    <t>2022-PL-087</t>
  </si>
  <si>
    <t>2022-PL-088</t>
  </si>
  <si>
    <t>2022-PL-089</t>
  </si>
  <si>
    <t>2022-PL-090</t>
  </si>
  <si>
    <t>2022-PL-091</t>
  </si>
  <si>
    <t>2022-PL-092</t>
  </si>
  <si>
    <t>2022-PL-093</t>
  </si>
  <si>
    <t>2022-PL-094</t>
  </si>
  <si>
    <t>2022-PL-095</t>
  </si>
  <si>
    <t>2022-PL-096</t>
  </si>
  <si>
    <t>2022-PL-097</t>
  </si>
  <si>
    <t>2022-PL-098</t>
  </si>
  <si>
    <t>2022-PL-099</t>
  </si>
  <si>
    <t>2022-PL-100</t>
  </si>
  <si>
    <t>2022-PL-101</t>
  </si>
  <si>
    <t>2022-PL-102</t>
  </si>
  <si>
    <t>2022-PL-103</t>
  </si>
  <si>
    <t>2022-PL-104</t>
  </si>
  <si>
    <t>2022-PL-105</t>
  </si>
  <si>
    <t>2022-PL-106</t>
  </si>
  <si>
    <t>2022-PL-107</t>
  </si>
  <si>
    <t>2022-PL-108</t>
  </si>
  <si>
    <t>2022-PL-109</t>
  </si>
  <si>
    <t>2022-PL-110</t>
  </si>
  <si>
    <t>2022-PL-111</t>
  </si>
  <si>
    <t>2022-PL-112</t>
  </si>
  <si>
    <t>2022-PL-113</t>
  </si>
  <si>
    <t>2022-PL-114</t>
  </si>
  <si>
    <t>2022-PL-115</t>
  </si>
  <si>
    <t>2022-PL-116</t>
  </si>
  <si>
    <t>2022-PL-117</t>
  </si>
  <si>
    <t>2022-PL-118</t>
  </si>
  <si>
    <t>2022-PL-119</t>
  </si>
  <si>
    <t>2022-PL-120</t>
  </si>
  <si>
    <t>2022-PL-121</t>
  </si>
  <si>
    <t>2022-PL-122</t>
  </si>
  <si>
    <t>2022-PL-123</t>
  </si>
  <si>
    <t>2022-PL-124</t>
  </si>
  <si>
    <t>2022-PL-125</t>
  </si>
  <si>
    <t>2022-PL-126</t>
  </si>
  <si>
    <t>2022-PL-127</t>
  </si>
  <si>
    <t>2022-PL-128</t>
  </si>
  <si>
    <t>2022-PL-129</t>
  </si>
  <si>
    <t>2022-PL-130</t>
  </si>
  <si>
    <t>2022-PL-131</t>
  </si>
  <si>
    <t>2022-PL-132</t>
  </si>
  <si>
    <t>2022-PL-133</t>
  </si>
  <si>
    <t>2022-PL-134</t>
  </si>
  <si>
    <t>2022-PL-135</t>
  </si>
  <si>
    <t>2022-PL-136</t>
  </si>
  <si>
    <t>2022-PL-137</t>
  </si>
  <si>
    <t>2022-PL-138</t>
  </si>
  <si>
    <t>2022-PL-139</t>
  </si>
  <si>
    <t>2022-PL-140</t>
  </si>
  <si>
    <t>2022-PL-141</t>
  </si>
  <si>
    <t>2022-PL-142</t>
  </si>
  <si>
    <t>2022-PL-143</t>
  </si>
  <si>
    <t>2022-PL-144</t>
  </si>
  <si>
    <t>2022-PL-145</t>
  </si>
  <si>
    <t>2022-PL-146</t>
  </si>
  <si>
    <t>2022-PL-147</t>
  </si>
  <si>
    <t>2022-PL-148</t>
  </si>
  <si>
    <t>2022-PL-149</t>
  </si>
  <si>
    <t>2022-PL-150</t>
  </si>
  <si>
    <t>2022-PL-151</t>
  </si>
  <si>
    <t>2022-PL-152</t>
  </si>
  <si>
    <t>2022-PL-153</t>
  </si>
  <si>
    <t>2022-PL-154</t>
  </si>
  <si>
    <t>2022-PL-155</t>
  </si>
  <si>
    <t>2022-PL-156</t>
  </si>
  <si>
    <t>2022-PL-157</t>
  </si>
  <si>
    <t>2022-PL-158</t>
  </si>
  <si>
    <t>2022-PL-159</t>
  </si>
  <si>
    <t>2022-PL-160</t>
  </si>
  <si>
    <t>2022-PL-161</t>
  </si>
  <si>
    <t>2022-PL-162</t>
  </si>
  <si>
    <t>2022-PL-163</t>
  </si>
  <si>
    <t>2022-PL-164</t>
  </si>
  <si>
    <t>2022-PL-165</t>
  </si>
  <si>
    <t>2022-PL-166</t>
  </si>
  <si>
    <t>2022-PL-167</t>
  </si>
  <si>
    <t>2022-PL-168</t>
  </si>
  <si>
    <t>2022-PL-169</t>
  </si>
  <si>
    <t>2022-PL-170</t>
  </si>
  <si>
    <t>2022-PL-171</t>
  </si>
  <si>
    <t>2022-PL-172</t>
  </si>
  <si>
    <t>2022-PL-173</t>
  </si>
  <si>
    <t>2022-PL-174</t>
  </si>
  <si>
    <t>2022-PL-175</t>
  </si>
  <si>
    <t>2022-PL-176</t>
  </si>
  <si>
    <t>2022-PL-177</t>
  </si>
  <si>
    <t>2022-PL-178</t>
  </si>
  <si>
    <t>2022-PL-179</t>
  </si>
  <si>
    <t>2022-PL-180</t>
  </si>
  <si>
    <t>2022-PL-181</t>
  </si>
  <si>
    <t>2022-PL-182</t>
  </si>
  <si>
    <t>2022-PL-183</t>
  </si>
  <si>
    <t>2022-PL-184</t>
  </si>
  <si>
    <t>2022-PL-185</t>
  </si>
  <si>
    <t>2022-PL-186</t>
  </si>
  <si>
    <t>2022-PL-187</t>
  </si>
  <si>
    <t>2022-PL-188</t>
  </si>
  <si>
    <t>2022-PL-189</t>
  </si>
  <si>
    <t>2022-PL-190</t>
  </si>
  <si>
    <t>2022-PL-191</t>
  </si>
  <si>
    <t>2022-PL-192</t>
  </si>
  <si>
    <t>2022-PL-193</t>
  </si>
  <si>
    <t>2022-PL-194</t>
  </si>
  <si>
    <t>2022-PL-195</t>
  </si>
  <si>
    <t>2022-PL-196</t>
  </si>
  <si>
    <t>2022-PL-197</t>
  </si>
  <si>
    <t>2022-PL-198</t>
  </si>
  <si>
    <t>2022-PL-199</t>
  </si>
  <si>
    <t>2022-PL-200</t>
  </si>
  <si>
    <t>2022-PL-201</t>
  </si>
  <si>
    <t>2022-PL-202</t>
  </si>
  <si>
    <t>2022-PL-203</t>
  </si>
  <si>
    <t>2022-PL-204</t>
  </si>
  <si>
    <t>2022-PL-205</t>
  </si>
  <si>
    <t>2022-PL-206</t>
  </si>
  <si>
    <t>2022-PL-207</t>
  </si>
  <si>
    <t>2022-PL-208</t>
  </si>
  <si>
    <t>2022-PL-209</t>
  </si>
  <si>
    <t>2022-PL-210</t>
  </si>
  <si>
    <t>2022-PL-211</t>
  </si>
  <si>
    <t>2022-PL-212</t>
  </si>
  <si>
    <t>2022-PL-213</t>
  </si>
  <si>
    <t>2022-PL-214</t>
  </si>
  <si>
    <t>2022-PL-215</t>
  </si>
  <si>
    <t>2022-PL-216</t>
  </si>
  <si>
    <t>2022-PL-217</t>
  </si>
  <si>
    <t>2022-PL-218</t>
  </si>
  <si>
    <t>2022-PL-219</t>
  </si>
  <si>
    <t>2022-PL-220</t>
  </si>
  <si>
    <t>2022-PL-221</t>
  </si>
  <si>
    <t>2022-PL-222</t>
  </si>
  <si>
    <t>2022-PL-223</t>
  </si>
  <si>
    <t>2022-PL-224</t>
  </si>
  <si>
    <t>2022-PL-225</t>
  </si>
  <si>
    <t>2022-PL-226</t>
  </si>
  <si>
    <t>2022-PL-227</t>
  </si>
  <si>
    <t>2022-PL-228</t>
  </si>
  <si>
    <t>2022-PL-229</t>
  </si>
  <si>
    <t>2022-PL-230</t>
  </si>
  <si>
    <t>2022-PL-231</t>
  </si>
  <si>
    <t>2022-PL-232</t>
  </si>
  <si>
    <t>2022-PL-233</t>
  </si>
  <si>
    <t>2022-PL-234</t>
  </si>
  <si>
    <t>2022-PL-235</t>
  </si>
  <si>
    <t>2022-PL-236</t>
  </si>
  <si>
    <t>2022-PL-237</t>
  </si>
  <si>
    <t>2022-PL-238</t>
  </si>
  <si>
    <t>2022-PL-239</t>
  </si>
  <si>
    <t>2022-PL-240</t>
  </si>
  <si>
    <t>2022-PL-241</t>
  </si>
  <si>
    <t>2022-PL-242</t>
  </si>
  <si>
    <t>2022-PL-243</t>
  </si>
  <si>
    <t>2022-PL-244</t>
  </si>
  <si>
    <t>2022-PL-245</t>
  </si>
  <si>
    <t>2022-PL-246</t>
  </si>
  <si>
    <t>2022-PL-247</t>
  </si>
  <si>
    <t>2022-PL-248</t>
  </si>
  <si>
    <t>2022-PL-249</t>
  </si>
  <si>
    <t>2022-PL-250</t>
  </si>
  <si>
    <t>2022-PL-251</t>
  </si>
  <si>
    <t>2022-PL-252</t>
  </si>
  <si>
    <t>2022-PL-253</t>
  </si>
  <si>
    <t>2022-PL-254</t>
  </si>
  <si>
    <t>2022-PL-255</t>
  </si>
  <si>
    <t>2022-PL-256</t>
  </si>
  <si>
    <t>2022-PL-257</t>
  </si>
  <si>
    <t>2022-PL-258</t>
  </si>
  <si>
    <t>2022-PL-259</t>
  </si>
  <si>
    <t>2022-PL-260</t>
  </si>
  <si>
    <t>2022-PL-261</t>
  </si>
  <si>
    <t>2022-PL-262</t>
  </si>
  <si>
    <t>2022-PL-263</t>
  </si>
  <si>
    <t>2022-PL-264</t>
  </si>
  <si>
    <t>2022-PL-265</t>
  </si>
  <si>
    <t>2022-PL-266</t>
  </si>
  <si>
    <t>2022-PL-267</t>
  </si>
  <si>
    <t>2022-PL-268</t>
  </si>
  <si>
    <t>2022-PL-269</t>
  </si>
  <si>
    <t>2022-PL-270</t>
  </si>
  <si>
    <t>2022-PL-271</t>
  </si>
  <si>
    <t>2022-PL-272</t>
  </si>
  <si>
    <t>2022-PL-273</t>
  </si>
  <si>
    <t>2022-PL-274</t>
  </si>
  <si>
    <t>2022-PL-275</t>
  </si>
  <si>
    <t>2022-PL-276</t>
  </si>
  <si>
    <t>2022-PL-277</t>
  </si>
  <si>
    <t>2022-PL-278</t>
  </si>
  <si>
    <t>2022-PL-279</t>
  </si>
  <si>
    <t>2022-PL-280</t>
  </si>
  <si>
    <t>2022-PL-281</t>
  </si>
  <si>
    <t>2022-PL-282</t>
  </si>
  <si>
    <t>2022-PL-283</t>
  </si>
  <si>
    <t>2022-PL-284</t>
  </si>
  <si>
    <t>2022-PL-285</t>
  </si>
  <si>
    <t>2022-PL-286</t>
  </si>
  <si>
    <t>2022-PL-287</t>
  </si>
  <si>
    <t>2022-PL-288</t>
  </si>
  <si>
    <t>2022-PL-289</t>
  </si>
  <si>
    <t>2022-PL-290</t>
  </si>
  <si>
    <t>2022-PL-291</t>
  </si>
  <si>
    <t>2022-PL-292</t>
  </si>
  <si>
    <t>2022-PL-293</t>
  </si>
  <si>
    <t>2022-PL-294</t>
  </si>
  <si>
    <t>2022-PL-295</t>
  </si>
  <si>
    <t>2022-PL-296</t>
  </si>
  <si>
    <t>2022-PL-297</t>
  </si>
  <si>
    <t>2022-PL-298</t>
  </si>
  <si>
    <t>2022-PL-299</t>
  </si>
  <si>
    <t>2022-PL-300</t>
  </si>
  <si>
    <t>2022-PL-301</t>
  </si>
  <si>
    <t>2022-PL-302</t>
  </si>
  <si>
    <t>2022-PL-303</t>
  </si>
  <si>
    <t>2022-PL-304</t>
  </si>
  <si>
    <t>2022-PL-305</t>
  </si>
  <si>
    <t>2022-PL-306</t>
  </si>
  <si>
    <t>2022-PL-307</t>
  </si>
  <si>
    <t>2022-PL-308</t>
  </si>
  <si>
    <t>2022-PL-309</t>
  </si>
  <si>
    <t>2022-PL-310</t>
  </si>
  <si>
    <t>2022-PL-311</t>
  </si>
  <si>
    <t>2022-PL-312</t>
  </si>
  <si>
    <t>2022-PL-313</t>
  </si>
  <si>
    <t>2022-PL-314</t>
  </si>
  <si>
    <t>2022-PL-315</t>
  </si>
  <si>
    <t>2022-PL-316</t>
  </si>
  <si>
    <t>2022-PL-317</t>
  </si>
  <si>
    <t>2022-PL-318</t>
  </si>
  <si>
    <t>2022-PL-319</t>
  </si>
  <si>
    <t>2022-PL-320</t>
  </si>
  <si>
    <t>2022-PL-321</t>
  </si>
  <si>
    <t>2022-PL-322</t>
  </si>
  <si>
    <t>2022-PL-323</t>
  </si>
  <si>
    <t>2022-PL-324</t>
  </si>
  <si>
    <t>2022-PL-325</t>
  </si>
  <si>
    <t>2022-PL-326</t>
  </si>
  <si>
    <t>2022-PL-327</t>
  </si>
  <si>
    <t>2022-PL-328</t>
  </si>
  <si>
    <t>2022-PL-329</t>
  </si>
  <si>
    <t>2022-PL-330</t>
  </si>
  <si>
    <t>2022-PL-331</t>
  </si>
  <si>
    <t>2022-PL-332</t>
  </si>
  <si>
    <t>2022-PL-333</t>
  </si>
  <si>
    <t>2022-PL-334</t>
  </si>
  <si>
    <t>2022-PL-335</t>
  </si>
  <si>
    <t>2022-PL-336</t>
  </si>
  <si>
    <t>2022-PL-337</t>
  </si>
  <si>
    <t>2022-PL-338</t>
  </si>
  <si>
    <t>2022-PL-339</t>
  </si>
  <si>
    <t>2022-PL-340</t>
  </si>
  <si>
    <t>2022-PL-341</t>
  </si>
  <si>
    <t>2022-PL-342</t>
  </si>
  <si>
    <t>2022-PL-343</t>
  </si>
  <si>
    <t>2022-PL-344</t>
  </si>
  <si>
    <t>2022-PL-345</t>
  </si>
  <si>
    <t>2022-PL-346</t>
  </si>
  <si>
    <t>2022-PL-347</t>
  </si>
  <si>
    <t>2022-PL-348</t>
  </si>
  <si>
    <t>2022-PL-349</t>
  </si>
  <si>
    <t>2022-PL-350</t>
  </si>
  <si>
    <t>2022-PL-351</t>
  </si>
  <si>
    <t>2022-PL-352</t>
  </si>
  <si>
    <t>2022-PL-353</t>
  </si>
  <si>
    <t>2022-PL-354</t>
  </si>
  <si>
    <t>2022-PL-355</t>
  </si>
  <si>
    <t>2022-PL-356</t>
  </si>
  <si>
    <t>2022-PL-357</t>
  </si>
  <si>
    <t>2022-PL-358</t>
  </si>
  <si>
    <t>2022-PL-359</t>
  </si>
  <si>
    <t>2022-PL-360</t>
  </si>
  <si>
    <t>2022-PL-361</t>
  </si>
  <si>
    <t>2022-PL-362</t>
  </si>
  <si>
    <t>2022-PL-363</t>
  </si>
  <si>
    <t>2022-PL-364</t>
  </si>
  <si>
    <t>2022-PL-365</t>
  </si>
  <si>
    <t>2022-PL-366</t>
  </si>
  <si>
    <t>2022-PL-367</t>
  </si>
  <si>
    <t>2022-PL-368</t>
  </si>
  <si>
    <t>2022-PL-369</t>
  </si>
  <si>
    <t>2022-PL-370</t>
  </si>
  <si>
    <t>2022-PL-371</t>
  </si>
  <si>
    <t>2022-PL-372</t>
  </si>
  <si>
    <t>2022-PL-373</t>
  </si>
  <si>
    <t>2022-PL-374</t>
  </si>
  <si>
    <t>2022-PL-375</t>
  </si>
  <si>
    <t>2022-PL-376</t>
  </si>
  <si>
    <t>2022-PL-377</t>
  </si>
  <si>
    <t>2022-PL-378</t>
  </si>
  <si>
    <t>2022-PL-379</t>
  </si>
  <si>
    <t>2022-PL-380</t>
  </si>
  <si>
    <t>2023-PL-001</t>
  </si>
  <si>
    <t>2023-PL-002</t>
  </si>
  <si>
    <t>2023-PL-003</t>
  </si>
  <si>
    <t>2023-PL-004</t>
  </si>
  <si>
    <t>2023-PL-005</t>
  </si>
  <si>
    <t>2023-PL-006</t>
  </si>
  <si>
    <t>2023-PL-007</t>
  </si>
  <si>
    <t>2023-PL-008</t>
  </si>
  <si>
    <t>2023-PL-009</t>
  </si>
  <si>
    <t>2023-PL-010</t>
  </si>
  <si>
    <t>2023-PL-011</t>
  </si>
  <si>
    <t>2023-PL-012</t>
  </si>
  <si>
    <t>2023-PL-013</t>
  </si>
  <si>
    <t>2023-PL-014</t>
  </si>
  <si>
    <t>2023-PL-015</t>
  </si>
  <si>
    <t>2023-PL-016</t>
  </si>
  <si>
    <t>2023-PL-017</t>
  </si>
  <si>
    <t>2023-PL-018</t>
  </si>
  <si>
    <t>2023-PL-019</t>
  </si>
  <si>
    <t>2023-PL-020</t>
  </si>
  <si>
    <t>2023-PL-021</t>
  </si>
  <si>
    <t>2023-PL-022</t>
  </si>
  <si>
    <t>2023-PL-023</t>
  </si>
  <si>
    <t>2023-PL-024</t>
  </si>
  <si>
    <t>2023-PL-025</t>
  </si>
  <si>
    <t>2023-PL-026</t>
  </si>
  <si>
    <t>2023-PL-027</t>
  </si>
  <si>
    <t>2023-PL-028</t>
  </si>
  <si>
    <t>2023-PL-029</t>
  </si>
  <si>
    <t>2023-PL-030</t>
  </si>
  <si>
    <t>2023-PL-031</t>
  </si>
  <si>
    <t>2023-PL-032</t>
  </si>
  <si>
    <t>2023-PL-033</t>
  </si>
  <si>
    <t>2023-PL-034</t>
  </si>
  <si>
    <t>2023-PL-035</t>
  </si>
  <si>
    <t>2023-PL-036</t>
  </si>
  <si>
    <t>2023-PL-037</t>
  </si>
  <si>
    <t>2023-PL-038</t>
  </si>
  <si>
    <t>2023-PL-039</t>
  </si>
  <si>
    <t>2023-PL-040</t>
  </si>
  <si>
    <t>2023-PL-041</t>
  </si>
  <si>
    <t>2023-PL-042</t>
  </si>
  <si>
    <t>2023-PL-043</t>
  </si>
  <si>
    <t>2023-PL-044</t>
  </si>
  <si>
    <t>2023-PL-045</t>
  </si>
  <si>
    <t>2023-PL-046</t>
  </si>
  <si>
    <t>2023-PL-047</t>
  </si>
  <si>
    <t>2023-PL-048</t>
  </si>
  <si>
    <t>2023-PL-049</t>
  </si>
  <si>
    <t>2023-PL-050</t>
  </si>
  <si>
    <t>2023-PL-051</t>
  </si>
  <si>
    <t>2023-PL-052</t>
  </si>
  <si>
    <t>2023-PL-053</t>
  </si>
  <si>
    <t>2023-PL-054</t>
  </si>
  <si>
    <t>2023-PL-055</t>
  </si>
  <si>
    <t>2023-PL-056</t>
  </si>
  <si>
    <t>2023-PL-057</t>
  </si>
  <si>
    <t>2023-PL-058</t>
  </si>
  <si>
    <t>2023-PL-059</t>
  </si>
  <si>
    <t>2023-PL-060</t>
  </si>
  <si>
    <t>2023-PL-061</t>
  </si>
  <si>
    <t>2023-PL-062</t>
  </si>
  <si>
    <t>2023-PL-063</t>
  </si>
  <si>
    <t>2023-PL-064</t>
  </si>
  <si>
    <t>2023-PL-065</t>
  </si>
  <si>
    <t>2023-PL-066</t>
  </si>
  <si>
    <t>2023-PL-067</t>
  </si>
  <si>
    <t>2023-PL-068</t>
  </si>
  <si>
    <t>2023-PL-069</t>
  </si>
  <si>
    <t>2023-PL-070</t>
  </si>
  <si>
    <t>2023-PL-071</t>
  </si>
  <si>
    <t>2023-PL-072</t>
  </si>
  <si>
    <t>2023-PL-073</t>
  </si>
  <si>
    <t>2023-PL-074</t>
  </si>
  <si>
    <t>2023-PL-075</t>
  </si>
  <si>
    <t>2023-PL-076</t>
  </si>
  <si>
    <t>2023-PL-077</t>
  </si>
  <si>
    <t>2023-PL-078</t>
  </si>
  <si>
    <t>2023-PL-079</t>
  </si>
  <si>
    <t>2023-PL-080</t>
  </si>
  <si>
    <t>2023-PL-081</t>
  </si>
  <si>
    <t>2023-PL-082</t>
  </si>
  <si>
    <t>2023-PL-083</t>
  </si>
  <si>
    <t>2023-PL-084</t>
  </si>
  <si>
    <t>2023-PL-085</t>
  </si>
  <si>
    <t>2023-PL-086</t>
  </si>
  <si>
    <t>2023-PL-087</t>
  </si>
  <si>
    <t>2023-PL-088</t>
  </si>
  <si>
    <t>2023-PL-089</t>
  </si>
  <si>
    <t>2023-PL-090</t>
  </si>
  <si>
    <t>2023-PL-091</t>
  </si>
  <si>
    <t>2023-PL-092</t>
  </si>
  <si>
    <t>2023-PL-093</t>
  </si>
  <si>
    <t>2023-PL-094</t>
  </si>
  <si>
    <t>2023-PL-095</t>
  </si>
  <si>
    <t>2023-PL-096</t>
  </si>
  <si>
    <t>2023-PL-097</t>
  </si>
  <si>
    <t>2023-PL-098</t>
  </si>
  <si>
    <t>2023-PL-099</t>
  </si>
  <si>
    <t>2023-PL-100</t>
  </si>
  <si>
    <t>2023-PL-101</t>
  </si>
  <si>
    <t>2023-PL-102</t>
  </si>
  <si>
    <t>2023-PL-103</t>
  </si>
  <si>
    <t>2023-PL-104</t>
  </si>
  <si>
    <t>2023-PL-105</t>
  </si>
  <si>
    <t>2023-PL-106</t>
  </si>
  <si>
    <t>2023-PL-107</t>
  </si>
  <si>
    <t>2023-PL-108</t>
  </si>
  <si>
    <t>2023-PL-109</t>
  </si>
  <si>
    <t>2023-PL-110</t>
  </si>
  <si>
    <t>2023-PL-111</t>
  </si>
  <si>
    <t>2023-PL-112</t>
  </si>
  <si>
    <t>2023-PL-113</t>
  </si>
  <si>
    <t>2023-PL-114</t>
  </si>
  <si>
    <t>2023-PL-115</t>
  </si>
  <si>
    <t>2023-PL-116</t>
  </si>
  <si>
    <t>2023-PL-117</t>
  </si>
  <si>
    <t>2023-PL-118</t>
  </si>
  <si>
    <t>2023-PL-119</t>
  </si>
  <si>
    <t>2023-PL-120</t>
  </si>
  <si>
    <t>2023-PL-121</t>
  </si>
  <si>
    <t>2023-PL-122</t>
  </si>
  <si>
    <t>2023-PL-123</t>
  </si>
  <si>
    <t>2023-PL-124</t>
  </si>
  <si>
    <t>2023-PL-125</t>
  </si>
  <si>
    <t>2023-PL-126</t>
  </si>
  <si>
    <t>2023-PL-127</t>
  </si>
  <si>
    <t>2023-PL-128</t>
  </si>
  <si>
    <t>2023-PL-129</t>
  </si>
  <si>
    <t>2023-PL-130</t>
  </si>
  <si>
    <t>2023-PL-131</t>
  </si>
  <si>
    <t>2023-PL-132</t>
  </si>
  <si>
    <t>2023-PL-133</t>
  </si>
  <si>
    <t>2023-PL-134</t>
  </si>
  <si>
    <t>2023-PL-135</t>
  </si>
  <si>
    <t>2023-PL-136</t>
  </si>
  <si>
    <t>2023-PL-137</t>
  </si>
  <si>
    <t>2023-PL-138</t>
  </si>
  <si>
    <t>2023-PL-139</t>
  </si>
  <si>
    <t>2023-PL-140</t>
  </si>
  <si>
    <t>2023-PL-141</t>
  </si>
  <si>
    <t>2023-PL-142</t>
  </si>
  <si>
    <t>2023-PL-143</t>
  </si>
  <si>
    <t>2023-PL-144</t>
  </si>
  <si>
    <t>2023-PL-145</t>
  </si>
  <si>
    <t>2023-PL-146</t>
  </si>
  <si>
    <t>2023-PL-147</t>
  </si>
  <si>
    <t>2023-PL-148</t>
  </si>
  <si>
    <t>2023-PL-149</t>
  </si>
  <si>
    <t>2023-PL-150</t>
  </si>
  <si>
    <t>2023-PL-151</t>
  </si>
  <si>
    <t>2023-PL-152</t>
  </si>
  <si>
    <t>2023-PL-153</t>
  </si>
  <si>
    <t>2023-PL-154</t>
  </si>
  <si>
    <t>2023-PL-155</t>
  </si>
  <si>
    <t>2023-PL-156</t>
  </si>
  <si>
    <t>2023-PL-157</t>
  </si>
  <si>
    <t>2023-PL-158</t>
  </si>
  <si>
    <t>2023-PL-159</t>
  </si>
  <si>
    <t>2023-PL-160</t>
  </si>
  <si>
    <t>2023-PL-161</t>
  </si>
  <si>
    <t>2023-PL-162</t>
  </si>
  <si>
    <t>2023-PL-163</t>
  </si>
  <si>
    <t>2023-PL-164</t>
  </si>
  <si>
    <t>2023-PL-165</t>
  </si>
  <si>
    <t>2023-PL-166</t>
  </si>
  <si>
    <t>2023-PL-167</t>
  </si>
  <si>
    <t>2023-PL-168</t>
  </si>
  <si>
    <t>2023-PL-169</t>
  </si>
  <si>
    <t>2023-PL-170</t>
  </si>
  <si>
    <t>2023-PL-171</t>
  </si>
  <si>
    <t>2023-PL-172</t>
  </si>
  <si>
    <t>2023-PL-173</t>
  </si>
  <si>
    <t>2023-PL-174</t>
  </si>
  <si>
    <t>2023-PL-175</t>
  </si>
  <si>
    <t>2023-PL-176</t>
  </si>
  <si>
    <t>2023-PL-177</t>
  </si>
  <si>
    <t>2023-PL-178</t>
  </si>
  <si>
    <t>2023-PL-179</t>
  </si>
  <si>
    <t>2023-PL-180</t>
  </si>
  <si>
    <t>2023-PL-181</t>
  </si>
  <si>
    <t>2023-PL-182</t>
  </si>
  <si>
    <t>2023-PL-183</t>
  </si>
  <si>
    <t>2023-PL-184</t>
  </si>
  <si>
    <t>2023-PL-185</t>
  </si>
  <si>
    <t>2023-PL-186</t>
  </si>
  <si>
    <t>2023-PL-187</t>
  </si>
  <si>
    <t>2023-PL-188</t>
  </si>
  <si>
    <t>2023-PL-189</t>
  </si>
  <si>
    <t>2023-PL-190</t>
  </si>
  <si>
    <t>2023-PL-191</t>
  </si>
  <si>
    <t>2023-PL-192</t>
  </si>
  <si>
    <t>2023-PL-193</t>
  </si>
  <si>
    <t>2023-PL-194</t>
  </si>
  <si>
    <t>2023-PL-195</t>
  </si>
  <si>
    <t>2023-PL-196</t>
  </si>
  <si>
    <t>2023-PL-197</t>
  </si>
  <si>
    <t>2023-PL-198</t>
  </si>
  <si>
    <t>2023-PL-199</t>
  </si>
  <si>
    <t>2023-PL-200</t>
  </si>
  <si>
    <t>2023-PL-201</t>
  </si>
  <si>
    <t>2023-PL-202</t>
  </si>
  <si>
    <t>2023-PL-203</t>
  </si>
  <si>
    <t>2023-PL-204</t>
  </si>
  <si>
    <t>2023-PL-205</t>
  </si>
  <si>
    <t>2023-PL-206</t>
  </si>
  <si>
    <t>2023-PL-207</t>
  </si>
  <si>
    <t>2023-PL-208</t>
  </si>
  <si>
    <t>2023-PL-209</t>
  </si>
  <si>
    <t>2023-PL-210</t>
  </si>
  <si>
    <t>2023-PL-211</t>
  </si>
  <si>
    <t>2023-PL-212</t>
  </si>
  <si>
    <t>2023-PL-213</t>
  </si>
  <si>
    <t>2023-PL-214</t>
  </si>
  <si>
    <t>2023-PL-215</t>
  </si>
  <si>
    <t>2023-PL-216</t>
  </si>
  <si>
    <t>2023-PL-217</t>
  </si>
  <si>
    <t>2023-PL-218</t>
  </si>
  <si>
    <t>2023-PL-219</t>
  </si>
  <si>
    <t>2023-PL-220</t>
  </si>
  <si>
    <t>2023-PL-221</t>
  </si>
  <si>
    <t>2023-PL-222</t>
  </si>
  <si>
    <t>2023-PL-223</t>
  </si>
  <si>
    <t>2023-PL-224</t>
  </si>
  <si>
    <t>2023-PL-225</t>
  </si>
  <si>
    <t>2023-PL-226</t>
  </si>
  <si>
    <t>2023-PL-227</t>
  </si>
  <si>
    <t>2023-PL-228</t>
  </si>
  <si>
    <t>2023-PL-229</t>
  </si>
  <si>
    <t>2023-PL-230</t>
  </si>
  <si>
    <t>2023-PL-231</t>
  </si>
  <si>
    <t>2023-PL-232</t>
  </si>
  <si>
    <t>2023-PL-233</t>
  </si>
  <si>
    <t>2023-PL-234</t>
  </si>
  <si>
    <t>2023-PL-235</t>
  </si>
  <si>
    <t>2023-PL-236</t>
  </si>
  <si>
    <t>2023-PL-237</t>
  </si>
  <si>
    <t>2023-PL-238</t>
  </si>
  <si>
    <t>2023-PL-239</t>
  </si>
  <si>
    <t>2023-PL-240</t>
  </si>
  <si>
    <t>2023-PL-241</t>
  </si>
  <si>
    <t>2023-PL-242</t>
  </si>
  <si>
    <t>2023-PL-243</t>
  </si>
  <si>
    <t>2023-PL-244</t>
  </si>
  <si>
    <t>2023-PL-245</t>
  </si>
  <si>
    <t>2023-PL-246</t>
  </si>
  <si>
    <t>2023-PL-247</t>
  </si>
  <si>
    <t>2023-PL-248</t>
  </si>
  <si>
    <t>2023-PL-249</t>
  </si>
  <si>
    <t>2023-PL-250</t>
  </si>
  <si>
    <t>2023-PL-251</t>
  </si>
  <si>
    <t>2023-PL-252</t>
  </si>
  <si>
    <t>2023-PL-253</t>
  </si>
  <si>
    <t>2023-PL-254</t>
  </si>
  <si>
    <t>2023-PL-255</t>
  </si>
  <si>
    <t>2023-PL-256</t>
  </si>
  <si>
    <t>2023-PL-257</t>
  </si>
  <si>
    <t>2023-PL-258</t>
  </si>
  <si>
    <t>2023-PL-259</t>
  </si>
  <si>
    <t>2023-PL-260</t>
  </si>
  <si>
    <t>2023-PL-261</t>
  </si>
  <si>
    <t>2023-PL-262</t>
  </si>
  <si>
    <t>2023-PL-263</t>
  </si>
  <si>
    <t>2023-PL-264</t>
  </si>
  <si>
    <t>2023-PL-265</t>
  </si>
  <si>
    <t>2023-PL-266</t>
  </si>
  <si>
    <t>2023-PL-267</t>
  </si>
  <si>
    <t>2023-PL-268</t>
  </si>
  <si>
    <t>2023-PL-269</t>
  </si>
  <si>
    <t>2023-PL-270</t>
  </si>
  <si>
    <t>2023-PL-271</t>
  </si>
  <si>
    <t>2023-PL-272</t>
  </si>
  <si>
    <t>2023-PL-273</t>
  </si>
  <si>
    <t>2023-PL-274</t>
  </si>
  <si>
    <t>2023-PL-275</t>
  </si>
  <si>
    <t>2023-PL-276</t>
  </si>
  <si>
    <t>2023-PL-277</t>
  </si>
  <si>
    <t>2023-PL-278</t>
  </si>
  <si>
    <t>2023-PL-279</t>
  </si>
  <si>
    <t>2023-PL-280</t>
  </si>
  <si>
    <t>2023-PL-281</t>
  </si>
  <si>
    <t>2023-PL-282</t>
  </si>
  <si>
    <t>2023-PL-283</t>
  </si>
  <si>
    <t>2023-PL-284</t>
  </si>
  <si>
    <t>2023-PL-285</t>
  </si>
  <si>
    <t>2023-PL-286</t>
  </si>
  <si>
    <t>2023-PL-287</t>
  </si>
  <si>
    <t>2023-PL-288</t>
  </si>
  <si>
    <t>2023-PL-289</t>
  </si>
  <si>
    <t>2023-PL-290</t>
  </si>
  <si>
    <t>2023-PL-291</t>
  </si>
  <si>
    <t>2023-PL-292</t>
  </si>
  <si>
    <t>2023-PL-293</t>
  </si>
  <si>
    <t>2023-PL-294</t>
  </si>
  <si>
    <t>2023-PL-295</t>
  </si>
  <si>
    <t>2023-PL-296</t>
  </si>
  <si>
    <t>2023-PL-297</t>
  </si>
  <si>
    <t>2023-PL-298</t>
  </si>
  <si>
    <t>2023-PL-299</t>
  </si>
  <si>
    <t>2023-PL-300</t>
  </si>
  <si>
    <t>2023-PL-301</t>
  </si>
  <si>
    <t>2023-PL-302</t>
  </si>
  <si>
    <t>2023-PL-303</t>
  </si>
  <si>
    <t>2023-PL-304</t>
  </si>
  <si>
    <t>2023-PL-305</t>
  </si>
  <si>
    <t>2023-PL-306</t>
  </si>
  <si>
    <t>2023-PL-307</t>
  </si>
  <si>
    <t>2023-PL-308</t>
  </si>
  <si>
    <t>2023-PL-309</t>
  </si>
  <si>
    <t>2023-PL-310</t>
  </si>
  <si>
    <t>2023-PL-311</t>
  </si>
  <si>
    <t>2023-PL-312</t>
  </si>
  <si>
    <t>2023-PL-313</t>
  </si>
  <si>
    <t>2023-PL-314</t>
  </si>
  <si>
    <t>2023-PL-315</t>
  </si>
  <si>
    <t>2023-PL-316</t>
  </si>
  <si>
    <t>2023-PL-317</t>
  </si>
  <si>
    <t>2023-PL-318</t>
  </si>
  <si>
    <t>2023-PL-319</t>
  </si>
  <si>
    <t>2023-PL-320</t>
  </si>
  <si>
    <t>2023-PL-321</t>
  </si>
  <si>
    <t>2023-PL-322</t>
  </si>
  <si>
    <t>2023-PL-323</t>
  </si>
  <si>
    <t>2023-PL-324</t>
  </si>
  <si>
    <t>2023-PL-325</t>
  </si>
  <si>
    <t>2023-PL-326</t>
  </si>
  <si>
    <t>2023-PL-327</t>
  </si>
  <si>
    <t>2023-PL-328</t>
  </si>
  <si>
    <t>2023-PL-329</t>
  </si>
  <si>
    <t>2023-PL-330</t>
  </si>
  <si>
    <t>2023-PL-331</t>
  </si>
  <si>
    <t>2023-PL-332</t>
  </si>
  <si>
    <t>2023-PL-333</t>
  </si>
  <si>
    <t>2023-PL-334</t>
  </si>
  <si>
    <t>2023-PL-335</t>
  </si>
  <si>
    <t>2023-PL-336</t>
  </si>
  <si>
    <t>2023-PL-337</t>
  </si>
  <si>
    <t>2023-PL-338</t>
  </si>
  <si>
    <t>2023-PL-339</t>
  </si>
  <si>
    <t>2023-PL-340</t>
  </si>
  <si>
    <t>2023-PL-341</t>
  </si>
  <si>
    <t>2023-PL-342</t>
  </si>
  <si>
    <t>2023-PL-343</t>
  </si>
  <si>
    <t>2023-PL-344</t>
  </si>
  <si>
    <t>2023-PL-345</t>
  </si>
  <si>
    <t>2023-PL-346</t>
  </si>
  <si>
    <t>2023-PL-347</t>
  </si>
  <si>
    <t>2023-PL-348</t>
  </si>
  <si>
    <t>2023-PL-349</t>
  </si>
  <si>
    <t>2023-PL-350</t>
  </si>
  <si>
    <t>2023-PL-351</t>
  </si>
  <si>
    <t>2023-PL-352</t>
  </si>
  <si>
    <t>2023-PL-353</t>
  </si>
  <si>
    <t>2023-PL-354</t>
  </si>
  <si>
    <t>2023-PL-355</t>
  </si>
  <si>
    <t>2023-PL-356</t>
  </si>
  <si>
    <t>2023-PL-357</t>
  </si>
  <si>
    <t>2023-PL-358</t>
  </si>
  <si>
    <t>2023-PL-359</t>
  </si>
  <si>
    <t>2023-PL-360</t>
  </si>
  <si>
    <t>2023-PL-361</t>
  </si>
  <si>
    <t>2023-PL-362</t>
  </si>
  <si>
    <t>2023-PL-363</t>
  </si>
  <si>
    <t>2023-PL-364</t>
  </si>
  <si>
    <t>2023-PL-365</t>
  </si>
  <si>
    <t>2023-PL-366</t>
  </si>
  <si>
    <t>2023-PL-367</t>
  </si>
  <si>
    <t>2023-PL-368</t>
  </si>
  <si>
    <t>2023-PL-369</t>
  </si>
  <si>
    <t>2023-PL-370</t>
  </si>
  <si>
    <t>2023-PL-371</t>
  </si>
  <si>
    <t>2023-PL-372</t>
  </si>
  <si>
    <t>2023-PL-373</t>
  </si>
  <si>
    <t>2023-PL-374</t>
  </si>
  <si>
    <t>2023-PL-375</t>
  </si>
  <si>
    <t>2023-PL-376</t>
  </si>
  <si>
    <t>2023-PL-377</t>
  </si>
  <si>
    <t>2023-PL-378</t>
  </si>
  <si>
    <t>2023-PL-379</t>
  </si>
  <si>
    <t>2023-PL-380</t>
  </si>
  <si>
    <t>2024-PL-001</t>
  </si>
  <si>
    <t>2024-PL-002</t>
  </si>
  <si>
    <t>2024-PL-003</t>
  </si>
  <si>
    <t>2024-PL-004</t>
  </si>
  <si>
    <t>2024-PL-005</t>
  </si>
  <si>
    <t>2024-PL-006</t>
  </si>
  <si>
    <t>2024-PL-007</t>
  </si>
  <si>
    <t>2024-PL-008</t>
  </si>
  <si>
    <t>2024-PL-009</t>
  </si>
  <si>
    <t>2024-PL-010</t>
  </si>
  <si>
    <t>2024-PL-011</t>
  </si>
  <si>
    <t>2024-PL-012</t>
  </si>
  <si>
    <t>2024-PL-013</t>
  </si>
  <si>
    <t>2024-PL-014</t>
  </si>
  <si>
    <t>2024-PL-015</t>
  </si>
  <si>
    <t>2024-PL-016</t>
  </si>
  <si>
    <t>2024-PL-017</t>
  </si>
  <si>
    <t>2024-PL-018</t>
  </si>
  <si>
    <t>2024-PL-019</t>
  </si>
  <si>
    <t>2024-PL-020</t>
  </si>
  <si>
    <t>2024-PL-021</t>
  </si>
  <si>
    <t>2024-PL-022</t>
  </si>
  <si>
    <t>2024-PL-023</t>
  </si>
  <si>
    <t>2024-PL-024</t>
  </si>
  <si>
    <t>2024-PL-025</t>
  </si>
  <si>
    <t>2024-PL-026</t>
  </si>
  <si>
    <t>2024-PL-027</t>
  </si>
  <si>
    <t>2024-PL-028</t>
  </si>
  <si>
    <t>2024-PL-029</t>
  </si>
  <si>
    <t>2024-PL-030</t>
  </si>
  <si>
    <t>2024-PL-031</t>
  </si>
  <si>
    <t>2024-PL-032</t>
  </si>
  <si>
    <t>2024-PL-033</t>
  </si>
  <si>
    <t>2024-PL-034</t>
  </si>
  <si>
    <t>2024-PL-035</t>
  </si>
  <si>
    <t>2024-PL-036</t>
  </si>
  <si>
    <t>2024-PL-037</t>
  </si>
  <si>
    <t>2024-PL-038</t>
  </si>
  <si>
    <t>2024-PL-039</t>
  </si>
  <si>
    <t>2024-PL-040</t>
  </si>
  <si>
    <t>2024-PL-041</t>
  </si>
  <si>
    <t>2024-PL-042</t>
  </si>
  <si>
    <t>2024-PL-043</t>
  </si>
  <si>
    <t>2024-PL-044</t>
  </si>
  <si>
    <t>2024-PL-045</t>
  </si>
  <si>
    <t>2024-PL-046</t>
  </si>
  <si>
    <t>2024-PL-047</t>
  </si>
  <si>
    <t>2024-PL-048</t>
  </si>
  <si>
    <t>2024-PL-049</t>
  </si>
  <si>
    <t>2024-PL-050</t>
  </si>
  <si>
    <t>2024-PL-051</t>
  </si>
  <si>
    <t>2024-PL-052</t>
  </si>
  <si>
    <t>2024-PL-053</t>
  </si>
  <si>
    <t>2024-PL-054</t>
  </si>
  <si>
    <t>2024-PL-055</t>
  </si>
  <si>
    <t>2024-PL-056</t>
  </si>
  <si>
    <t>2024-PL-057</t>
  </si>
  <si>
    <t>2024-PL-058</t>
  </si>
  <si>
    <t>2024-PL-059</t>
  </si>
  <si>
    <t>2024-PL-060</t>
  </si>
  <si>
    <t>2024-PL-061</t>
  </si>
  <si>
    <t>2024-PL-062</t>
  </si>
  <si>
    <t>2024-PL-063</t>
  </si>
  <si>
    <t>2024-PL-064</t>
  </si>
  <si>
    <t>2024-PL-065</t>
  </si>
  <si>
    <t>2024-PL-066</t>
  </si>
  <si>
    <t>2024-PL-067</t>
  </si>
  <si>
    <t>2024-PL-068</t>
  </si>
  <si>
    <t>2024-PL-069</t>
  </si>
  <si>
    <t>2024-PL-070</t>
  </si>
  <si>
    <t>2024-PL-071</t>
  </si>
  <si>
    <t>2024-PL-072</t>
  </si>
  <si>
    <t>2024-PL-073</t>
  </si>
  <si>
    <t>2024-PL-074</t>
  </si>
  <si>
    <t>2024-PL-075</t>
  </si>
  <si>
    <t>2024-PL-076</t>
  </si>
  <si>
    <t>2024-PL-077</t>
  </si>
  <si>
    <t>2024-PL-078</t>
  </si>
  <si>
    <t>2024-PL-079</t>
  </si>
  <si>
    <t>2024-PL-080</t>
  </si>
  <si>
    <t>2024-PL-081</t>
  </si>
  <si>
    <t>2024-PL-082</t>
  </si>
  <si>
    <t>2024-PL-083</t>
  </si>
  <si>
    <t>2024-PL-084</t>
  </si>
  <si>
    <t>2024-PL-085</t>
  </si>
  <si>
    <t>2024-PL-086</t>
  </si>
  <si>
    <t>2024-PL-087</t>
  </si>
  <si>
    <t>2024-PL-088</t>
  </si>
  <si>
    <t>2024-PL-089</t>
  </si>
  <si>
    <t>2024-PL-090</t>
  </si>
  <si>
    <t>2024-PL-091</t>
  </si>
  <si>
    <t>2024-PL-092</t>
  </si>
  <si>
    <t>2024-PL-093</t>
  </si>
  <si>
    <t>2024-PL-094</t>
  </si>
  <si>
    <t>2024-PL-095</t>
  </si>
  <si>
    <t>2024-PL-096</t>
  </si>
  <si>
    <t>2024-PL-097</t>
  </si>
  <si>
    <t>2024-PL-098</t>
  </si>
  <si>
    <t>2024-PL-099</t>
  </si>
  <si>
    <t>2024-PL-100</t>
  </si>
  <si>
    <t>2024-PL-101</t>
  </si>
  <si>
    <t>2024-PL-102</t>
  </si>
  <si>
    <t>2024-PL-103</t>
  </si>
  <si>
    <t>2024-PL-104</t>
  </si>
  <si>
    <t>2024-PL-105</t>
  </si>
  <si>
    <t>2024-PL-106</t>
  </si>
  <si>
    <t>2024-PL-107</t>
  </si>
  <si>
    <t>2024-PL-108</t>
  </si>
  <si>
    <t>2024-PL-109</t>
  </si>
  <si>
    <t>2024-PL-110</t>
  </si>
  <si>
    <t>2024-PL-111</t>
  </si>
  <si>
    <t>2024-PL-112</t>
  </si>
  <si>
    <t>2024-PL-113</t>
  </si>
  <si>
    <t>2024-PL-114</t>
  </si>
  <si>
    <t>2024-PL-115</t>
  </si>
  <si>
    <t>2024-PL-116</t>
  </si>
  <si>
    <t>2024-PL-117</t>
  </si>
  <si>
    <t>2024-PL-118</t>
  </si>
  <si>
    <t>2024-PL-119</t>
  </si>
  <si>
    <t>2024-PL-120</t>
  </si>
  <si>
    <t>2024-PL-121</t>
  </si>
  <si>
    <t>2024-PL-122</t>
  </si>
  <si>
    <t>2024-PL-123</t>
  </si>
  <si>
    <t>2024-PL-124</t>
  </si>
  <si>
    <t>2024-PL-125</t>
  </si>
  <si>
    <t>2024-PL-126</t>
  </si>
  <si>
    <t>2024-PL-127</t>
  </si>
  <si>
    <t>2024-PL-128</t>
  </si>
  <si>
    <t>2024-PL-129</t>
  </si>
  <si>
    <t>2024-PL-130</t>
  </si>
  <si>
    <t>2024-PL-131</t>
  </si>
  <si>
    <t>2024-PL-132</t>
  </si>
  <si>
    <t>2024-PL-133</t>
  </si>
  <si>
    <t>2024-PL-134</t>
  </si>
  <si>
    <t>2024-PL-135</t>
  </si>
  <si>
    <t>2024-PL-136</t>
  </si>
  <si>
    <t>2024-PL-137</t>
  </si>
  <si>
    <t>2024-PL-138</t>
  </si>
  <si>
    <t>2024-PL-139</t>
  </si>
  <si>
    <t>2024-PL-140</t>
  </si>
  <si>
    <t>2024-PL-141</t>
  </si>
  <si>
    <t>2024-PL-142</t>
  </si>
  <si>
    <t>2024-PL-143</t>
  </si>
  <si>
    <t>2024-PL-144</t>
  </si>
  <si>
    <t>2024-PL-145</t>
  </si>
  <si>
    <t>2024-PL-146</t>
  </si>
  <si>
    <t>2024-PL-147</t>
  </si>
  <si>
    <t>2024-PL-148</t>
  </si>
  <si>
    <t>2024-PL-149</t>
  </si>
  <si>
    <t>2024-PL-150</t>
  </si>
  <si>
    <t>2024-PL-151</t>
  </si>
  <si>
    <t>2024-PL-152</t>
  </si>
  <si>
    <t>2024-PL-153</t>
  </si>
  <si>
    <t>2024-PL-154</t>
  </si>
  <si>
    <t>2024-PL-155</t>
  </si>
  <si>
    <t>2024-PL-156</t>
  </si>
  <si>
    <t>2024-PL-157</t>
  </si>
  <si>
    <t>2024-PL-158</t>
  </si>
  <si>
    <t>2024-PL-159</t>
  </si>
  <si>
    <t>2024-PL-160</t>
  </si>
  <si>
    <t>2024-PL-161</t>
  </si>
  <si>
    <t>2024-PL-162</t>
  </si>
  <si>
    <t>2024-PL-163</t>
  </si>
  <si>
    <t>2024-PL-164</t>
  </si>
  <si>
    <t>2024-PL-165</t>
  </si>
  <si>
    <t>2024-PL-166</t>
  </si>
  <si>
    <t>2024-PL-167</t>
  </si>
  <si>
    <t>2024-PL-168</t>
  </si>
  <si>
    <t>2024-PL-169</t>
  </si>
  <si>
    <t>2024-PL-170</t>
  </si>
  <si>
    <t>2024-PL-171</t>
  </si>
  <si>
    <t>2024-PL-172</t>
  </si>
  <si>
    <t>2024-PL-173</t>
  </si>
  <si>
    <t>2024-PL-174</t>
  </si>
  <si>
    <t>2024-PL-175</t>
  </si>
  <si>
    <t>2024-PL-176</t>
  </si>
  <si>
    <t>2024-PL-177</t>
  </si>
  <si>
    <t>2024-PL-178</t>
  </si>
  <si>
    <t>2024-PL-179</t>
  </si>
  <si>
    <t>2024-PL-180</t>
  </si>
  <si>
    <t>2024-PL-181</t>
  </si>
  <si>
    <t>2024-PL-182</t>
  </si>
  <si>
    <t>2024-PL-183</t>
  </si>
  <si>
    <t>2024-PL-184</t>
  </si>
  <si>
    <t>2024-PL-185</t>
  </si>
  <si>
    <t>2024-PL-186</t>
  </si>
  <si>
    <t>2024-PL-187</t>
  </si>
  <si>
    <t>2024-PL-188</t>
  </si>
  <si>
    <t>2024-PL-189</t>
  </si>
  <si>
    <t>2024-PL-190</t>
  </si>
  <si>
    <t>2024-PL-191</t>
  </si>
  <si>
    <t>2024-PL-192</t>
  </si>
  <si>
    <t>2024-PL-193</t>
  </si>
  <si>
    <t>2024-PL-194</t>
  </si>
  <si>
    <t>2024-PL-195</t>
  </si>
  <si>
    <t>2024-PL-196</t>
  </si>
  <si>
    <t>2024-PL-197</t>
  </si>
  <si>
    <t>2024-PL-198</t>
  </si>
  <si>
    <t>2024-PL-199</t>
  </si>
  <si>
    <t>2024-PL-200</t>
  </si>
  <si>
    <t>2024-PL-201</t>
  </si>
  <si>
    <t>2024-PL-202</t>
  </si>
  <si>
    <t>2024-PL-203</t>
  </si>
  <si>
    <t>2024-PL-204</t>
  </si>
  <si>
    <t>2024-PL-205</t>
  </si>
  <si>
    <t>2024-PL-206</t>
  </si>
  <si>
    <t>2024-PL-207</t>
  </si>
  <si>
    <t>2024-PL-208</t>
  </si>
  <si>
    <t>2024-PL-209</t>
  </si>
  <si>
    <t>2024-PL-210</t>
  </si>
  <si>
    <t>2024-PL-211</t>
  </si>
  <si>
    <t>2024-PL-212</t>
  </si>
  <si>
    <t>2024-PL-213</t>
  </si>
  <si>
    <t>2024-PL-214</t>
  </si>
  <si>
    <t>2024-PL-215</t>
  </si>
  <si>
    <t>2024-PL-216</t>
  </si>
  <si>
    <t>2024-PL-217</t>
  </si>
  <si>
    <t>2024-PL-218</t>
  </si>
  <si>
    <t>2024-PL-219</t>
  </si>
  <si>
    <t>2024-PL-220</t>
  </si>
  <si>
    <t>2024-PL-221</t>
  </si>
  <si>
    <t>2024-PL-222</t>
  </si>
  <si>
    <t>2024-PL-223</t>
  </si>
  <si>
    <t>2024-PL-224</t>
  </si>
  <si>
    <t>2024-PL-225</t>
  </si>
  <si>
    <t>2024-PL-226</t>
  </si>
  <si>
    <t>2024-PL-227</t>
  </si>
  <si>
    <t>2024-PL-228</t>
  </si>
  <si>
    <t>2024-PL-229</t>
  </si>
  <si>
    <t>2024-PL-230</t>
  </si>
  <si>
    <t>2024-PL-231</t>
  </si>
  <si>
    <t>2024-PL-232</t>
  </si>
  <si>
    <t>2024-PL-233</t>
  </si>
  <si>
    <t>2024-PL-234</t>
  </si>
  <si>
    <t>2024-PL-235</t>
  </si>
  <si>
    <t>2024-PL-236</t>
  </si>
  <si>
    <t>2024-PL-237</t>
  </si>
  <si>
    <t>2024-PL-238</t>
  </si>
  <si>
    <t>2024-PL-239</t>
  </si>
  <si>
    <t>2024-PL-240</t>
  </si>
  <si>
    <t>2024-PL-241</t>
  </si>
  <si>
    <t>2024-PL-242</t>
  </si>
  <si>
    <t>2024-PL-243</t>
  </si>
  <si>
    <t>2024-PL-244</t>
  </si>
  <si>
    <t>2024-PL-245</t>
  </si>
  <si>
    <t>2024-PL-246</t>
  </si>
  <si>
    <t>2024-PL-247</t>
  </si>
  <si>
    <t>2024-PL-248</t>
  </si>
  <si>
    <t>2024-PL-249</t>
  </si>
  <si>
    <t>2024-PL-250</t>
  </si>
  <si>
    <t>2024-PL-251</t>
  </si>
  <si>
    <t>2024-PL-252</t>
  </si>
  <si>
    <t>2024-PL-253</t>
  </si>
  <si>
    <t>2024-PL-254</t>
  </si>
  <si>
    <t>2024-PL-255</t>
  </si>
  <si>
    <t>2024-PL-256</t>
  </si>
  <si>
    <t>2024-PL-257</t>
  </si>
  <si>
    <t>2024-PL-258</t>
  </si>
  <si>
    <t>2024-PL-259</t>
  </si>
  <si>
    <t>2024-PL-260</t>
  </si>
  <si>
    <t>2024-PL-261</t>
  </si>
  <si>
    <t>2024-PL-262</t>
  </si>
  <si>
    <t>2024-PL-263</t>
  </si>
  <si>
    <t>2024-PL-264</t>
  </si>
  <si>
    <t>2024-PL-265</t>
  </si>
  <si>
    <t>2024-PL-266</t>
  </si>
  <si>
    <t>2024-PL-267</t>
  </si>
  <si>
    <t>2024-PL-268</t>
  </si>
  <si>
    <t>2024-PL-269</t>
  </si>
  <si>
    <t>2024-PL-270</t>
  </si>
  <si>
    <t>2024-PL-271</t>
  </si>
  <si>
    <t>2024-PL-272</t>
  </si>
  <si>
    <t>2024-PL-273</t>
  </si>
  <si>
    <t>2024-PL-274</t>
  </si>
  <si>
    <t>2024-PL-275</t>
  </si>
  <si>
    <t>2024-PL-276</t>
  </si>
  <si>
    <t>2024-PL-277</t>
  </si>
  <si>
    <t>2024-PL-278</t>
  </si>
  <si>
    <t>2024-PL-279</t>
  </si>
  <si>
    <t>2024-PL-280</t>
  </si>
  <si>
    <t>2024-PL-281</t>
  </si>
  <si>
    <t>2024-PL-282</t>
  </si>
  <si>
    <t>2024-PL-283</t>
  </si>
  <si>
    <t>2024-PL-284</t>
  </si>
  <si>
    <t>2024-PL-285</t>
  </si>
  <si>
    <t>2024-PL-286</t>
  </si>
  <si>
    <t>2024-PL-287</t>
  </si>
  <si>
    <t>2024-PL-288</t>
  </si>
  <si>
    <t>2024-PL-289</t>
  </si>
  <si>
    <t>2024-PL-290</t>
  </si>
  <si>
    <t>2024-PL-291</t>
  </si>
  <si>
    <t>2024-PL-292</t>
  </si>
  <si>
    <t>2024-PL-293</t>
  </si>
  <si>
    <t>2024-PL-294</t>
  </si>
  <si>
    <t>2024-PL-295</t>
  </si>
  <si>
    <t>2024-PL-296</t>
  </si>
  <si>
    <t>2024-PL-297</t>
  </si>
  <si>
    <t>2024-PL-298</t>
  </si>
  <si>
    <t>2024-PL-299</t>
  </si>
  <si>
    <t>2024-PL-300</t>
  </si>
  <si>
    <t>2024-PL-301</t>
  </si>
  <si>
    <t>2024-PL-302</t>
  </si>
  <si>
    <t>2024-PL-303</t>
  </si>
  <si>
    <t>2024-PL-304</t>
  </si>
  <si>
    <t>2024-PL-305</t>
  </si>
  <si>
    <t>2024-PL-306</t>
  </si>
  <si>
    <t>2024-PL-307</t>
  </si>
  <si>
    <t>2024-PL-308</t>
  </si>
  <si>
    <t>2024-PL-309</t>
  </si>
  <si>
    <t>2024-PL-310</t>
  </si>
  <si>
    <t>2024-PL-311</t>
  </si>
  <si>
    <t>2024-PL-312</t>
  </si>
  <si>
    <t>2024-PL-313</t>
  </si>
  <si>
    <t>2024-PL-314</t>
  </si>
  <si>
    <t>2024-PL-315</t>
  </si>
  <si>
    <t>2024-PL-316</t>
  </si>
  <si>
    <t>2024-PL-317</t>
  </si>
  <si>
    <t>2024-PL-318</t>
  </si>
  <si>
    <t>2024-PL-319</t>
  </si>
  <si>
    <t>2024-PL-320</t>
  </si>
  <si>
    <t>2024-PL-321</t>
  </si>
  <si>
    <t>2024-PL-322</t>
  </si>
  <si>
    <t>2024-PL-323</t>
  </si>
  <si>
    <t>2024-PL-324</t>
  </si>
  <si>
    <t>2024-PL-325</t>
  </si>
  <si>
    <t>2024-PL-326</t>
  </si>
  <si>
    <t>2024-PL-327</t>
  </si>
  <si>
    <t>2024-PL-328</t>
  </si>
  <si>
    <t>2024-PL-329</t>
  </si>
  <si>
    <t>2024-PL-330</t>
  </si>
  <si>
    <t>2024-PL-331</t>
  </si>
  <si>
    <t>2024-PL-332</t>
  </si>
  <si>
    <t>2024-PL-333</t>
  </si>
  <si>
    <t>2024-PL-334</t>
  </si>
  <si>
    <t>2024-PL-335</t>
  </si>
  <si>
    <t>2024-PL-336</t>
  </si>
  <si>
    <t>2024-PL-337</t>
  </si>
  <si>
    <t>2024-PL-338</t>
  </si>
  <si>
    <t>2024-PL-339</t>
  </si>
  <si>
    <t>2024-PL-340</t>
  </si>
  <si>
    <t>2024-PL-341</t>
  </si>
  <si>
    <t>2024-PL-342</t>
  </si>
  <si>
    <t>2024-PL-343</t>
  </si>
  <si>
    <t>2024-PL-344</t>
  </si>
  <si>
    <t>2024-PL-345</t>
  </si>
  <si>
    <t>2024-PL-346</t>
  </si>
  <si>
    <t>2024-PL-347</t>
  </si>
  <si>
    <t>2024-PL-348</t>
  </si>
  <si>
    <t>2024-PL-349</t>
  </si>
  <si>
    <t>2024-PL-350</t>
  </si>
  <si>
    <t>2024-PL-351</t>
  </si>
  <si>
    <t>2024-PL-352</t>
  </si>
  <si>
    <t>2024-PL-353</t>
  </si>
  <si>
    <t>2024-PL-354</t>
  </si>
  <si>
    <t>2024-PL-355</t>
  </si>
  <si>
    <t>2024-PL-356</t>
  </si>
  <si>
    <t>2024-PL-357</t>
  </si>
  <si>
    <t>2024-PL-358</t>
  </si>
  <si>
    <t>2024-PL-359</t>
  </si>
  <si>
    <t>2024-PL-360</t>
  </si>
  <si>
    <t>2024-PL-361</t>
  </si>
  <si>
    <t>2024-PL-362</t>
  </si>
  <si>
    <t>2024-PL-363</t>
  </si>
  <si>
    <t>2024-PL-364</t>
  </si>
  <si>
    <t>2024-PL-365</t>
  </si>
  <si>
    <t>2024-PL-366</t>
  </si>
  <si>
    <t>2024-PL-367</t>
  </si>
  <si>
    <t>2024-PL-368</t>
  </si>
  <si>
    <t>2024-PL-369</t>
  </si>
  <si>
    <t>2024-PL-370</t>
  </si>
  <si>
    <t>2024-PL-371</t>
  </si>
  <si>
    <t>2024-PL-372</t>
  </si>
  <si>
    <t>2024-PL-373</t>
  </si>
  <si>
    <t>2024-PL-374</t>
  </si>
  <si>
    <t>2024-PL-375</t>
  </si>
  <si>
    <t>2024-PL-376</t>
  </si>
  <si>
    <t>2024-PL-377</t>
  </si>
  <si>
    <t>2024-PL-378</t>
  </si>
  <si>
    <t>2024-PL-379</t>
  </si>
  <si>
    <t>2024-PL-380</t>
  </si>
  <si>
    <t>PenaltiesAwarded</t>
  </si>
  <si>
    <t>Stadium City</t>
  </si>
  <si>
    <t>Renamed HomeCity to Stadium City</t>
  </si>
  <si>
    <t>Added 'Region -' to the confederations for potential weights.</t>
  </si>
  <si>
    <t>Added 'Referee -' to the column where they were born.</t>
  </si>
  <si>
    <t>Changed the where they were born to general regions of the UK.</t>
  </si>
  <si>
    <t>Midlands</t>
  </si>
  <si>
    <t>North</t>
  </si>
  <si>
    <t>South</t>
  </si>
  <si>
    <t>N/A</t>
  </si>
  <si>
    <t>Referee - UK Region of Birth</t>
  </si>
  <si>
    <t>Stadium Capacity</t>
  </si>
  <si>
    <t>Stadium Attendance</t>
  </si>
  <si>
    <t>Added stadium capacity, and guessed on attendance [80% for all except covid]</t>
  </si>
  <si>
    <t>Adjustments - v3</t>
  </si>
  <si>
    <t>Season Start Year</t>
  </si>
  <si>
    <t>Added the season start year</t>
  </si>
  <si>
    <t>Count</t>
  </si>
  <si>
    <t>Proportion of Foreigners Carded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</si>
</sst>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 applyFill="1"/>
    <xf numFmtId="9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 applyAlignment="1">
      <alignment horizontal="center"/>
    </xf>
    <xf numFmtId="9" fontId="0" fillId="0" borderId="1" xfId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81"/>
  <sheetViews>
    <sheetView tabSelected="1" zoomScale="125" zoomScaleNormal="110" workbookViewId="0">
      <pane ySplit="1" topLeftCell="A2" activePane="bottomLeft" state="frozen"/>
      <selection pane="bottomLeft" activeCell="J5" sqref="J5"/>
    </sheetView>
  </sheetViews>
  <sheetFormatPr baseColWidth="10" defaultColWidth="8.83203125" defaultRowHeight="15" x14ac:dyDescent="0.2"/>
  <cols>
    <col min="1" max="1" width="11" bestFit="1" customWidth="1"/>
    <col min="2" max="2" width="12.1640625" customWidth="1"/>
    <col min="3" max="3" width="10.83203125" customWidth="1"/>
    <col min="5" max="5" width="10.33203125" customWidth="1"/>
    <col min="6" max="6" width="11.83203125" customWidth="1"/>
    <col min="7" max="7" width="19.33203125" bestFit="1" customWidth="1"/>
    <col min="8" max="8" width="22.1640625" bestFit="1" customWidth="1"/>
    <col min="9" max="9" width="31.33203125" customWidth="1"/>
    <col min="10" max="10" width="24.5" customWidth="1"/>
    <col min="11" max="13" width="8.83203125" customWidth="1"/>
    <col min="14" max="14" width="16" customWidth="1"/>
    <col min="15" max="15" width="17.1640625" customWidth="1"/>
    <col min="16" max="16" width="11.83203125" customWidth="1"/>
    <col min="17" max="17" width="13.6640625" customWidth="1"/>
    <col min="18" max="18" width="16.5" customWidth="1"/>
    <col min="19" max="19" width="14.83203125" customWidth="1"/>
    <col min="20" max="21" width="8.83203125" customWidth="1"/>
    <col min="22" max="23" width="18.5" bestFit="1" customWidth="1"/>
    <col min="24" max="25" width="16.1640625" bestFit="1" customWidth="1"/>
    <col min="26" max="26" width="16.1640625" customWidth="1"/>
  </cols>
  <sheetData>
    <row r="1" spans="1:26" x14ac:dyDescent="0.2">
      <c r="A1" s="1" t="s">
        <v>119</v>
      </c>
      <c r="B1" s="1" t="s">
        <v>2</v>
      </c>
      <c r="C1" s="1" t="s">
        <v>6215</v>
      </c>
      <c r="D1" s="1" t="s">
        <v>0</v>
      </c>
      <c r="E1" s="1" t="s">
        <v>1</v>
      </c>
      <c r="F1" s="1" t="s">
        <v>6201</v>
      </c>
      <c r="G1" s="1" t="s">
        <v>6211</v>
      </c>
      <c r="H1" s="1" t="s">
        <v>6212</v>
      </c>
      <c r="I1" s="1" t="s">
        <v>6218</v>
      </c>
      <c r="J1" s="1" t="s">
        <v>6210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6200</v>
      </c>
    </row>
    <row r="2" spans="1:26" x14ac:dyDescent="0.2">
      <c r="A2" t="s">
        <v>120</v>
      </c>
      <c r="B2" t="s">
        <v>21</v>
      </c>
      <c r="C2">
        <v>2009</v>
      </c>
      <c r="D2" t="s">
        <v>18</v>
      </c>
      <c r="E2" t="s">
        <v>19</v>
      </c>
      <c r="F2" t="s">
        <v>20</v>
      </c>
      <c r="G2">
        <v>40341</v>
      </c>
      <c r="H2">
        <v>32272.800000000003</v>
      </c>
      <c r="I2" s="13">
        <v>0.66666666666666663</v>
      </c>
      <c r="J2" t="s">
        <v>6206</v>
      </c>
      <c r="K2">
        <v>2</v>
      </c>
      <c r="L2">
        <v>1</v>
      </c>
      <c r="M2" t="s">
        <v>0</v>
      </c>
      <c r="V2">
        <v>1</v>
      </c>
      <c r="W2">
        <v>2</v>
      </c>
      <c r="X2">
        <v>0</v>
      </c>
      <c r="Y2">
        <v>0</v>
      </c>
      <c r="Z2">
        <v>0</v>
      </c>
    </row>
    <row r="3" spans="1:26" x14ac:dyDescent="0.2">
      <c r="A3" t="s">
        <v>121</v>
      </c>
      <c r="B3" t="s">
        <v>25</v>
      </c>
      <c r="C3">
        <v>2009</v>
      </c>
      <c r="D3" t="s">
        <v>22</v>
      </c>
      <c r="E3" t="s">
        <v>23</v>
      </c>
      <c r="F3" t="s">
        <v>24</v>
      </c>
      <c r="G3">
        <v>31750</v>
      </c>
      <c r="H3">
        <v>25400</v>
      </c>
      <c r="I3" s="13">
        <v>0</v>
      </c>
      <c r="J3" t="s">
        <v>6207</v>
      </c>
      <c r="K3">
        <v>0</v>
      </c>
      <c r="L3">
        <v>2</v>
      </c>
      <c r="M3" t="s">
        <v>1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">
      <c r="A4" t="s">
        <v>122</v>
      </c>
      <c r="B4" t="s">
        <v>29</v>
      </c>
      <c r="C4">
        <v>2009</v>
      </c>
      <c r="D4" t="s">
        <v>27</v>
      </c>
      <c r="E4" t="s">
        <v>28</v>
      </c>
      <c r="F4" t="s">
        <v>27</v>
      </c>
      <c r="G4">
        <v>30089</v>
      </c>
      <c r="H4">
        <v>24071.200000000001</v>
      </c>
      <c r="I4" s="13">
        <v>0.25</v>
      </c>
      <c r="J4" t="s">
        <v>6208</v>
      </c>
      <c r="K4">
        <v>2</v>
      </c>
      <c r="L4">
        <v>0</v>
      </c>
      <c r="M4" t="s">
        <v>0</v>
      </c>
      <c r="V4">
        <v>2</v>
      </c>
      <c r="W4">
        <v>2</v>
      </c>
      <c r="X4">
        <v>0</v>
      </c>
      <c r="Y4">
        <v>0</v>
      </c>
      <c r="Z4">
        <v>0</v>
      </c>
    </row>
    <row r="5" spans="1:26" x14ac:dyDescent="0.2">
      <c r="A5" t="s">
        <v>123</v>
      </c>
      <c r="B5" t="s">
        <v>32</v>
      </c>
      <c r="C5">
        <v>2009</v>
      </c>
      <c r="D5" t="s">
        <v>30</v>
      </c>
      <c r="E5" t="s">
        <v>31</v>
      </c>
      <c r="F5" t="s">
        <v>30</v>
      </c>
      <c r="G5">
        <v>20899</v>
      </c>
      <c r="H5">
        <v>16719.2</v>
      </c>
      <c r="I5" s="13">
        <v>0.6</v>
      </c>
      <c r="J5" t="s">
        <v>6207</v>
      </c>
      <c r="K5">
        <v>0</v>
      </c>
      <c r="L5">
        <v>1</v>
      </c>
      <c r="M5" t="s">
        <v>1</v>
      </c>
      <c r="V5">
        <v>3</v>
      </c>
      <c r="W5">
        <v>2</v>
      </c>
      <c r="X5">
        <v>0</v>
      </c>
      <c r="Y5">
        <v>0</v>
      </c>
      <c r="Z5">
        <v>0</v>
      </c>
    </row>
    <row r="6" spans="1:26" x14ac:dyDescent="0.2">
      <c r="A6" t="s">
        <v>124</v>
      </c>
      <c r="B6" t="s">
        <v>37</v>
      </c>
      <c r="C6">
        <v>2009</v>
      </c>
      <c r="D6" t="s">
        <v>34</v>
      </c>
      <c r="E6" t="s">
        <v>35</v>
      </c>
      <c r="F6" t="s">
        <v>36</v>
      </c>
      <c r="G6">
        <v>28723</v>
      </c>
      <c r="H6">
        <v>22978.400000000001</v>
      </c>
      <c r="I6" s="13">
        <v>0</v>
      </c>
      <c r="J6" t="s">
        <v>6206</v>
      </c>
      <c r="K6">
        <v>0</v>
      </c>
      <c r="L6">
        <v>1</v>
      </c>
      <c r="M6" t="s">
        <v>1</v>
      </c>
      <c r="V6">
        <v>2</v>
      </c>
      <c r="W6">
        <v>1</v>
      </c>
      <c r="X6">
        <v>0</v>
      </c>
      <c r="Y6">
        <v>0</v>
      </c>
      <c r="Z6">
        <v>0</v>
      </c>
    </row>
    <row r="7" spans="1:26" x14ac:dyDescent="0.2">
      <c r="A7" t="s">
        <v>125</v>
      </c>
      <c r="B7" t="s">
        <v>41</v>
      </c>
      <c r="C7">
        <v>2009</v>
      </c>
      <c r="D7" t="s">
        <v>39</v>
      </c>
      <c r="E7" t="s">
        <v>40</v>
      </c>
      <c r="F7" t="s">
        <v>39</v>
      </c>
      <c r="G7">
        <v>31367</v>
      </c>
      <c r="H7">
        <v>25093.600000000002</v>
      </c>
      <c r="I7" s="13">
        <v>0</v>
      </c>
      <c r="J7" t="s">
        <v>6207</v>
      </c>
      <c r="K7">
        <v>0</v>
      </c>
      <c r="L7">
        <v>2</v>
      </c>
      <c r="M7" t="s">
        <v>1</v>
      </c>
      <c r="V7">
        <v>2</v>
      </c>
      <c r="W7">
        <v>1</v>
      </c>
      <c r="X7">
        <v>0</v>
      </c>
      <c r="Y7">
        <v>0</v>
      </c>
      <c r="Z7">
        <v>0</v>
      </c>
    </row>
    <row r="8" spans="1:26" x14ac:dyDescent="0.2">
      <c r="A8" t="s">
        <v>126</v>
      </c>
      <c r="B8" t="s">
        <v>44</v>
      </c>
      <c r="C8">
        <v>2009</v>
      </c>
      <c r="D8" t="s">
        <v>42</v>
      </c>
      <c r="E8" t="s">
        <v>43</v>
      </c>
      <c r="F8" t="s">
        <v>38</v>
      </c>
      <c r="G8">
        <v>42918</v>
      </c>
      <c r="H8">
        <v>34334.400000000001</v>
      </c>
      <c r="I8" s="13">
        <v>0.25</v>
      </c>
      <c r="J8" t="s">
        <v>6207</v>
      </c>
      <c r="K8">
        <v>0</v>
      </c>
      <c r="L8">
        <v>2</v>
      </c>
      <c r="M8" t="s">
        <v>1</v>
      </c>
      <c r="V8">
        <v>2</v>
      </c>
      <c r="W8">
        <v>2</v>
      </c>
      <c r="X8">
        <v>0</v>
      </c>
      <c r="Y8">
        <v>0</v>
      </c>
      <c r="Z8">
        <v>0</v>
      </c>
    </row>
    <row r="9" spans="1:26" x14ac:dyDescent="0.2">
      <c r="A9" t="s">
        <v>127</v>
      </c>
      <c r="B9" t="s">
        <v>47</v>
      </c>
      <c r="C9">
        <v>2009</v>
      </c>
      <c r="D9" t="s">
        <v>45</v>
      </c>
      <c r="E9" t="s">
        <v>46</v>
      </c>
      <c r="F9" t="s">
        <v>26</v>
      </c>
      <c r="G9">
        <v>39572</v>
      </c>
      <c r="H9">
        <v>31657.600000000002</v>
      </c>
      <c r="I9" s="13">
        <v>0</v>
      </c>
      <c r="J9" t="s">
        <v>6208</v>
      </c>
      <c r="K9">
        <v>1</v>
      </c>
      <c r="L9">
        <v>6</v>
      </c>
      <c r="M9" t="s">
        <v>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128</v>
      </c>
      <c r="B10" t="s">
        <v>50</v>
      </c>
      <c r="C10">
        <v>2009</v>
      </c>
      <c r="D10" t="s">
        <v>48</v>
      </c>
      <c r="E10" t="s">
        <v>38</v>
      </c>
      <c r="F10" t="s">
        <v>49</v>
      </c>
      <c r="G10">
        <v>74197</v>
      </c>
      <c r="H10">
        <v>59357.600000000006</v>
      </c>
      <c r="I10" s="13">
        <v>0.5</v>
      </c>
      <c r="J10" t="s">
        <v>6207</v>
      </c>
      <c r="K10">
        <v>1</v>
      </c>
      <c r="L10">
        <v>0</v>
      </c>
      <c r="M10" t="s">
        <v>0</v>
      </c>
      <c r="V10">
        <v>1</v>
      </c>
      <c r="W10">
        <v>1</v>
      </c>
      <c r="X10">
        <v>0</v>
      </c>
      <c r="Y10">
        <v>0</v>
      </c>
      <c r="Z10">
        <v>0</v>
      </c>
    </row>
    <row r="11" spans="1:26" x14ac:dyDescent="0.2">
      <c r="A11" t="s">
        <v>129</v>
      </c>
      <c r="B11" t="s">
        <v>52</v>
      </c>
      <c r="C11">
        <v>2009</v>
      </c>
      <c r="D11" t="s">
        <v>51</v>
      </c>
      <c r="E11" t="s">
        <v>26</v>
      </c>
      <c r="F11" t="s">
        <v>20</v>
      </c>
      <c r="G11">
        <v>36284</v>
      </c>
      <c r="H11">
        <v>29027.200000000001</v>
      </c>
      <c r="I11" s="13">
        <v>0.5</v>
      </c>
      <c r="J11" t="s">
        <v>6207</v>
      </c>
      <c r="K11">
        <v>2</v>
      </c>
      <c r="L11">
        <v>1</v>
      </c>
      <c r="M11" t="s">
        <v>0</v>
      </c>
      <c r="V11">
        <v>3</v>
      </c>
      <c r="W11">
        <v>3</v>
      </c>
      <c r="X11">
        <v>0</v>
      </c>
      <c r="Y11">
        <v>0</v>
      </c>
      <c r="Z11">
        <v>1</v>
      </c>
    </row>
    <row r="12" spans="1:26" x14ac:dyDescent="0.2">
      <c r="A12" t="s">
        <v>130</v>
      </c>
      <c r="B12" t="s">
        <v>53</v>
      </c>
      <c r="C12">
        <v>2009</v>
      </c>
      <c r="D12" t="s">
        <v>43</v>
      </c>
      <c r="E12" t="s">
        <v>22</v>
      </c>
      <c r="F12" t="s">
        <v>43</v>
      </c>
      <c r="G12">
        <v>25138</v>
      </c>
      <c r="H12">
        <v>20110.400000000001</v>
      </c>
      <c r="I12" s="13">
        <v>0.33333333333333331</v>
      </c>
      <c r="J12" t="s">
        <v>6207</v>
      </c>
      <c r="K12">
        <v>0</v>
      </c>
      <c r="L12">
        <v>1</v>
      </c>
      <c r="M12" t="s">
        <v>1</v>
      </c>
      <c r="V12">
        <v>0</v>
      </c>
      <c r="W12">
        <v>3</v>
      </c>
      <c r="X12">
        <v>0</v>
      </c>
      <c r="Y12">
        <v>0</v>
      </c>
      <c r="Z12">
        <v>0</v>
      </c>
    </row>
    <row r="13" spans="1:26" x14ac:dyDescent="0.2">
      <c r="A13" t="s">
        <v>131</v>
      </c>
      <c r="B13" t="s">
        <v>29</v>
      </c>
      <c r="C13">
        <v>2009</v>
      </c>
      <c r="D13" t="s">
        <v>35</v>
      </c>
      <c r="E13" t="s">
        <v>18</v>
      </c>
      <c r="F13" t="s">
        <v>35</v>
      </c>
      <c r="G13">
        <v>49000</v>
      </c>
      <c r="H13">
        <v>39200</v>
      </c>
      <c r="I13" s="13">
        <v>0.75</v>
      </c>
      <c r="J13" t="s">
        <v>6208</v>
      </c>
      <c r="K13">
        <v>1</v>
      </c>
      <c r="L13">
        <v>3</v>
      </c>
      <c r="M13" t="s">
        <v>1</v>
      </c>
      <c r="V13">
        <v>2</v>
      </c>
      <c r="W13">
        <v>2</v>
      </c>
      <c r="X13">
        <v>0</v>
      </c>
      <c r="Y13">
        <v>0</v>
      </c>
      <c r="Z13">
        <v>1</v>
      </c>
    </row>
    <row r="14" spans="1:26" x14ac:dyDescent="0.2">
      <c r="A14" t="s">
        <v>132</v>
      </c>
      <c r="B14" t="s">
        <v>25</v>
      </c>
      <c r="C14">
        <v>2009</v>
      </c>
      <c r="D14" t="s">
        <v>19</v>
      </c>
      <c r="E14" t="s">
        <v>51</v>
      </c>
      <c r="F14" t="s">
        <v>19</v>
      </c>
      <c r="G14">
        <v>25586</v>
      </c>
      <c r="H14">
        <v>20468.800000000003</v>
      </c>
      <c r="I14" s="13">
        <v>0.8</v>
      </c>
      <c r="J14" t="s">
        <v>6207</v>
      </c>
      <c r="K14">
        <v>1</v>
      </c>
      <c r="L14">
        <v>5</v>
      </c>
      <c r="M14" t="s">
        <v>1</v>
      </c>
      <c r="V14">
        <v>3</v>
      </c>
      <c r="W14">
        <v>2</v>
      </c>
      <c r="X14">
        <v>0</v>
      </c>
      <c r="Y14">
        <v>0</v>
      </c>
      <c r="Z14">
        <v>0</v>
      </c>
    </row>
    <row r="15" spans="1:26" x14ac:dyDescent="0.2">
      <c r="A15" t="s">
        <v>133</v>
      </c>
      <c r="B15" t="s">
        <v>21</v>
      </c>
      <c r="C15">
        <v>2009</v>
      </c>
      <c r="D15" t="s">
        <v>28</v>
      </c>
      <c r="E15" t="s">
        <v>48</v>
      </c>
      <c r="F15" t="s">
        <v>28</v>
      </c>
      <c r="G15">
        <v>21944</v>
      </c>
      <c r="H15">
        <v>17555.2</v>
      </c>
      <c r="I15" s="13">
        <v>0</v>
      </c>
      <c r="J15" t="s">
        <v>6206</v>
      </c>
      <c r="K15">
        <v>1</v>
      </c>
      <c r="L15">
        <v>0</v>
      </c>
      <c r="M15" t="s">
        <v>0</v>
      </c>
      <c r="V15">
        <v>2</v>
      </c>
      <c r="W15">
        <v>1</v>
      </c>
      <c r="X15">
        <v>0</v>
      </c>
      <c r="Y15">
        <v>0</v>
      </c>
      <c r="Z15">
        <v>0</v>
      </c>
    </row>
    <row r="16" spans="1:26" x14ac:dyDescent="0.2">
      <c r="A16" t="s">
        <v>134</v>
      </c>
      <c r="B16" t="s">
        <v>54</v>
      </c>
      <c r="C16">
        <v>2009</v>
      </c>
      <c r="D16" t="s">
        <v>38</v>
      </c>
      <c r="E16" t="s">
        <v>30</v>
      </c>
      <c r="F16" t="s">
        <v>38</v>
      </c>
      <c r="G16">
        <v>29409</v>
      </c>
      <c r="H16">
        <v>23527.200000000001</v>
      </c>
      <c r="I16" s="13">
        <v>0.6</v>
      </c>
      <c r="J16" t="s">
        <v>6206</v>
      </c>
      <c r="K16">
        <v>1</v>
      </c>
      <c r="L16">
        <v>0</v>
      </c>
      <c r="M16" t="s">
        <v>0</v>
      </c>
      <c r="V16">
        <v>0</v>
      </c>
      <c r="W16">
        <v>5</v>
      </c>
      <c r="X16">
        <v>0</v>
      </c>
      <c r="Y16">
        <v>0</v>
      </c>
      <c r="Z16">
        <v>1</v>
      </c>
    </row>
    <row r="17" spans="1:26" x14ac:dyDescent="0.2">
      <c r="A17" t="s">
        <v>135</v>
      </c>
      <c r="B17" t="s">
        <v>55</v>
      </c>
      <c r="C17">
        <v>2009</v>
      </c>
      <c r="D17" t="s">
        <v>26</v>
      </c>
      <c r="E17" t="s">
        <v>27</v>
      </c>
      <c r="F17" t="s">
        <v>26</v>
      </c>
      <c r="G17">
        <v>61276</v>
      </c>
      <c r="H17">
        <v>49020.800000000003</v>
      </c>
      <c r="I17" s="13">
        <v>0</v>
      </c>
      <c r="J17" t="s">
        <v>6206</v>
      </c>
      <c r="K17">
        <v>4</v>
      </c>
      <c r="L17">
        <v>0</v>
      </c>
      <c r="M17" t="s">
        <v>0</v>
      </c>
      <c r="V17">
        <v>0</v>
      </c>
      <c r="W17">
        <v>1</v>
      </c>
      <c r="X17">
        <v>0</v>
      </c>
      <c r="Y17">
        <v>0</v>
      </c>
      <c r="Z17">
        <v>0</v>
      </c>
    </row>
    <row r="18" spans="1:26" x14ac:dyDescent="0.2">
      <c r="A18" t="s">
        <v>136</v>
      </c>
      <c r="B18" t="s">
        <v>56</v>
      </c>
      <c r="C18">
        <v>2009</v>
      </c>
      <c r="D18" t="s">
        <v>43</v>
      </c>
      <c r="E18" t="s">
        <v>48</v>
      </c>
      <c r="F18" t="s">
        <v>43</v>
      </c>
      <c r="G18">
        <v>25138</v>
      </c>
      <c r="H18">
        <v>20110.400000000001</v>
      </c>
      <c r="I18" s="13">
        <v>0.75</v>
      </c>
      <c r="J18" t="s">
        <v>6207</v>
      </c>
      <c r="K18">
        <v>0</v>
      </c>
      <c r="L18">
        <v>5</v>
      </c>
      <c r="M18" t="s">
        <v>1</v>
      </c>
      <c r="V18">
        <v>2</v>
      </c>
      <c r="W18">
        <v>2</v>
      </c>
      <c r="X18">
        <v>0</v>
      </c>
      <c r="Y18">
        <v>0</v>
      </c>
      <c r="Z18">
        <v>0</v>
      </c>
    </row>
    <row r="19" spans="1:26" x14ac:dyDescent="0.2">
      <c r="A19" t="s">
        <v>137</v>
      </c>
      <c r="B19" t="s">
        <v>21</v>
      </c>
      <c r="C19">
        <v>2009</v>
      </c>
      <c r="D19" t="s">
        <v>35</v>
      </c>
      <c r="E19" t="s">
        <v>39</v>
      </c>
      <c r="F19" t="s">
        <v>35</v>
      </c>
      <c r="G19">
        <v>49000</v>
      </c>
      <c r="H19">
        <v>39200</v>
      </c>
      <c r="I19" s="13">
        <v>0.33333333333333331</v>
      </c>
      <c r="J19" t="s">
        <v>6206</v>
      </c>
      <c r="K19">
        <v>2</v>
      </c>
      <c r="L19">
        <v>1</v>
      </c>
      <c r="M19" t="s">
        <v>0</v>
      </c>
      <c r="V19">
        <v>2</v>
      </c>
      <c r="W19">
        <v>1</v>
      </c>
      <c r="X19">
        <v>0</v>
      </c>
      <c r="Y19">
        <v>0</v>
      </c>
      <c r="Z19">
        <v>0</v>
      </c>
    </row>
    <row r="20" spans="1:26" x14ac:dyDescent="0.2">
      <c r="A20" t="s">
        <v>138</v>
      </c>
      <c r="B20" t="s">
        <v>50</v>
      </c>
      <c r="C20">
        <v>2009</v>
      </c>
      <c r="D20" t="s">
        <v>40</v>
      </c>
      <c r="E20" t="s">
        <v>22</v>
      </c>
      <c r="F20" t="s">
        <v>49</v>
      </c>
      <c r="G20">
        <v>53400</v>
      </c>
      <c r="H20">
        <v>42720</v>
      </c>
      <c r="I20" s="13">
        <v>0</v>
      </c>
      <c r="J20" t="s">
        <v>6207</v>
      </c>
      <c r="K20">
        <v>1</v>
      </c>
      <c r="L20">
        <v>0</v>
      </c>
      <c r="M20" t="s">
        <v>0</v>
      </c>
      <c r="V20">
        <v>0</v>
      </c>
      <c r="W20">
        <v>1</v>
      </c>
      <c r="X20">
        <v>0</v>
      </c>
      <c r="Y20">
        <v>0</v>
      </c>
      <c r="Z20">
        <v>0</v>
      </c>
    </row>
    <row r="21" spans="1:26" x14ac:dyDescent="0.2">
      <c r="A21" t="s">
        <v>139</v>
      </c>
      <c r="B21" t="s">
        <v>53</v>
      </c>
      <c r="C21">
        <v>2009</v>
      </c>
      <c r="D21" t="s">
        <v>19</v>
      </c>
      <c r="E21" t="s">
        <v>34</v>
      </c>
      <c r="F21" t="s">
        <v>19</v>
      </c>
      <c r="G21">
        <v>25586</v>
      </c>
      <c r="H21">
        <v>20468.800000000003</v>
      </c>
      <c r="I21" s="13">
        <v>0.8</v>
      </c>
      <c r="J21" t="s">
        <v>6207</v>
      </c>
      <c r="K21">
        <v>1</v>
      </c>
      <c r="L21">
        <v>0</v>
      </c>
      <c r="M21" t="s">
        <v>0</v>
      </c>
      <c r="V21">
        <v>3</v>
      </c>
      <c r="W21">
        <v>2</v>
      </c>
      <c r="X21">
        <v>0</v>
      </c>
      <c r="Y21">
        <v>0</v>
      </c>
      <c r="Z21">
        <v>0</v>
      </c>
    </row>
    <row r="22" spans="1:26" x14ac:dyDescent="0.2">
      <c r="A22" t="s">
        <v>140</v>
      </c>
      <c r="B22" t="s">
        <v>25</v>
      </c>
      <c r="C22">
        <v>2009</v>
      </c>
      <c r="D22" t="s">
        <v>38</v>
      </c>
      <c r="E22" t="s">
        <v>27</v>
      </c>
      <c r="F22" t="s">
        <v>38</v>
      </c>
      <c r="G22">
        <v>29409</v>
      </c>
      <c r="H22">
        <v>23527.200000000001</v>
      </c>
      <c r="I22" s="13">
        <v>0.66666666666666663</v>
      </c>
      <c r="J22" t="s">
        <v>6207</v>
      </c>
      <c r="K22">
        <v>0</v>
      </c>
      <c r="L22">
        <v>0</v>
      </c>
      <c r="M22" t="s">
        <v>58</v>
      </c>
      <c r="V22">
        <v>0</v>
      </c>
      <c r="W22">
        <v>3</v>
      </c>
      <c r="X22">
        <v>0</v>
      </c>
      <c r="Y22">
        <v>0</v>
      </c>
      <c r="Z22">
        <v>0</v>
      </c>
    </row>
    <row r="23" spans="1:26" x14ac:dyDescent="0.2">
      <c r="A23" t="s">
        <v>141</v>
      </c>
      <c r="B23" t="s">
        <v>29</v>
      </c>
      <c r="C23">
        <v>2009</v>
      </c>
      <c r="D23" t="s">
        <v>46</v>
      </c>
      <c r="E23" t="s">
        <v>30</v>
      </c>
      <c r="F23" t="s">
        <v>20</v>
      </c>
      <c r="G23">
        <v>60704</v>
      </c>
      <c r="H23">
        <v>48563.200000000004</v>
      </c>
      <c r="I23" s="13">
        <v>1</v>
      </c>
      <c r="J23" t="s">
        <v>6208</v>
      </c>
      <c r="K23">
        <v>4</v>
      </c>
      <c r="L23">
        <v>1</v>
      </c>
      <c r="M23" t="s">
        <v>0</v>
      </c>
      <c r="V23">
        <v>1</v>
      </c>
      <c r="W23">
        <v>0</v>
      </c>
      <c r="X23">
        <v>0</v>
      </c>
      <c r="Y23">
        <v>0</v>
      </c>
      <c r="Z23">
        <v>0</v>
      </c>
    </row>
    <row r="24" spans="1:26" x14ac:dyDescent="0.2">
      <c r="A24" t="s">
        <v>142</v>
      </c>
      <c r="B24" t="s">
        <v>44</v>
      </c>
      <c r="C24">
        <v>2009</v>
      </c>
      <c r="D24" t="s">
        <v>23</v>
      </c>
      <c r="E24" t="s">
        <v>51</v>
      </c>
      <c r="F24" t="s">
        <v>20</v>
      </c>
      <c r="G24">
        <v>62500</v>
      </c>
      <c r="H24">
        <v>50000</v>
      </c>
      <c r="I24" s="13">
        <v>0.66666666666666663</v>
      </c>
      <c r="J24" t="s">
        <v>6207</v>
      </c>
      <c r="K24">
        <v>1</v>
      </c>
      <c r="L24">
        <v>2</v>
      </c>
      <c r="M24" t="s">
        <v>1</v>
      </c>
      <c r="V24">
        <v>2</v>
      </c>
      <c r="W24">
        <v>1</v>
      </c>
      <c r="X24">
        <v>0</v>
      </c>
      <c r="Y24">
        <v>0</v>
      </c>
      <c r="Z24">
        <v>0</v>
      </c>
    </row>
    <row r="25" spans="1:26" x14ac:dyDescent="0.2">
      <c r="A25" t="s">
        <v>143</v>
      </c>
      <c r="B25" t="s">
        <v>52</v>
      </c>
      <c r="C25">
        <v>2009</v>
      </c>
      <c r="D25" t="s">
        <v>28</v>
      </c>
      <c r="E25" t="s">
        <v>45</v>
      </c>
      <c r="F25" t="s">
        <v>28</v>
      </c>
      <c r="G25">
        <v>21944</v>
      </c>
      <c r="H25">
        <v>17555.2</v>
      </c>
      <c r="I25" s="13">
        <v>0</v>
      </c>
      <c r="J25" t="s">
        <v>6207</v>
      </c>
      <c r="K25">
        <v>1</v>
      </c>
      <c r="L25">
        <v>0</v>
      </c>
      <c r="M25" t="s">
        <v>0</v>
      </c>
      <c r="V25">
        <v>1</v>
      </c>
      <c r="W25">
        <v>0</v>
      </c>
      <c r="X25">
        <v>0</v>
      </c>
      <c r="Y25">
        <v>0</v>
      </c>
      <c r="Z25">
        <v>0</v>
      </c>
    </row>
    <row r="26" spans="1:26" x14ac:dyDescent="0.2">
      <c r="A26" t="s">
        <v>144</v>
      </c>
      <c r="B26" t="s">
        <v>37</v>
      </c>
      <c r="C26">
        <v>2009</v>
      </c>
      <c r="D26" t="s">
        <v>31</v>
      </c>
      <c r="E26" t="s">
        <v>18</v>
      </c>
      <c r="F26" t="s">
        <v>20</v>
      </c>
      <c r="G26">
        <v>28500</v>
      </c>
      <c r="H26">
        <v>22800</v>
      </c>
      <c r="I26" s="13">
        <v>0</v>
      </c>
      <c r="J26" t="s">
        <v>6206</v>
      </c>
      <c r="K26">
        <v>0</v>
      </c>
      <c r="L26">
        <v>2</v>
      </c>
      <c r="M26" t="s">
        <v>1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">
      <c r="A27" t="s">
        <v>145</v>
      </c>
      <c r="B27" t="s">
        <v>32</v>
      </c>
      <c r="C27">
        <v>2009</v>
      </c>
      <c r="D27" t="s">
        <v>26</v>
      </c>
      <c r="E27" t="s">
        <v>42</v>
      </c>
      <c r="F27" t="s">
        <v>26</v>
      </c>
      <c r="G27">
        <v>61276</v>
      </c>
      <c r="H27">
        <v>49020.800000000003</v>
      </c>
      <c r="I27" s="13">
        <v>0.6</v>
      </c>
      <c r="J27" t="s">
        <v>6207</v>
      </c>
      <c r="K27">
        <v>1</v>
      </c>
      <c r="L27">
        <v>3</v>
      </c>
      <c r="M27" t="s">
        <v>1</v>
      </c>
      <c r="V27">
        <v>3</v>
      </c>
      <c r="W27">
        <v>2</v>
      </c>
      <c r="X27">
        <v>0</v>
      </c>
      <c r="Y27">
        <v>0</v>
      </c>
      <c r="Z27">
        <v>1</v>
      </c>
    </row>
    <row r="28" spans="1:26" x14ac:dyDescent="0.2">
      <c r="A28" t="s">
        <v>146</v>
      </c>
      <c r="B28" t="s">
        <v>44</v>
      </c>
      <c r="C28">
        <v>2009</v>
      </c>
      <c r="D28" t="s">
        <v>18</v>
      </c>
      <c r="E28" t="s">
        <v>28</v>
      </c>
      <c r="F28" t="s">
        <v>20</v>
      </c>
      <c r="G28">
        <v>40341</v>
      </c>
      <c r="H28">
        <v>32272.800000000003</v>
      </c>
      <c r="I28" s="13">
        <v>0</v>
      </c>
      <c r="J28" t="s">
        <v>6207</v>
      </c>
      <c r="K28">
        <v>3</v>
      </c>
      <c r="L28">
        <v>0</v>
      </c>
      <c r="M28" t="s">
        <v>0</v>
      </c>
      <c r="V28">
        <v>0</v>
      </c>
      <c r="W28">
        <v>1</v>
      </c>
      <c r="X28">
        <v>0</v>
      </c>
      <c r="Y28">
        <v>0</v>
      </c>
      <c r="Z28">
        <v>0</v>
      </c>
    </row>
    <row r="29" spans="1:26" x14ac:dyDescent="0.2">
      <c r="A29" t="s">
        <v>147</v>
      </c>
      <c r="B29" t="s">
        <v>59</v>
      </c>
      <c r="C29">
        <v>2009</v>
      </c>
      <c r="D29" t="s">
        <v>22</v>
      </c>
      <c r="E29" t="s">
        <v>19</v>
      </c>
      <c r="F29" t="s">
        <v>24</v>
      </c>
      <c r="G29">
        <v>31750</v>
      </c>
      <c r="H29">
        <v>25400</v>
      </c>
      <c r="I29" s="13">
        <v>0.5</v>
      </c>
      <c r="J29" t="s">
        <v>6206</v>
      </c>
      <c r="K29">
        <v>1</v>
      </c>
      <c r="L29">
        <v>1</v>
      </c>
      <c r="M29" t="s">
        <v>58</v>
      </c>
      <c r="V29">
        <v>0</v>
      </c>
      <c r="W29">
        <v>2</v>
      </c>
      <c r="X29">
        <v>0</v>
      </c>
      <c r="Y29">
        <v>0</v>
      </c>
      <c r="Z29">
        <v>0</v>
      </c>
    </row>
    <row r="30" spans="1:26" x14ac:dyDescent="0.2">
      <c r="A30" t="s">
        <v>148</v>
      </c>
      <c r="B30" t="s">
        <v>55</v>
      </c>
      <c r="C30">
        <v>2009</v>
      </c>
      <c r="D30" t="s">
        <v>51</v>
      </c>
      <c r="E30" t="s">
        <v>38</v>
      </c>
      <c r="F30" t="s">
        <v>20</v>
      </c>
      <c r="G30">
        <v>36284</v>
      </c>
      <c r="H30">
        <v>29027.200000000001</v>
      </c>
      <c r="I30" s="13">
        <v>0.25</v>
      </c>
      <c r="J30" t="s">
        <v>6206</v>
      </c>
      <c r="K30">
        <v>2</v>
      </c>
      <c r="L30">
        <v>1</v>
      </c>
      <c r="M30" t="s">
        <v>0</v>
      </c>
      <c r="V30">
        <v>2</v>
      </c>
      <c r="W30">
        <v>2</v>
      </c>
      <c r="X30">
        <v>0</v>
      </c>
      <c r="Y30">
        <v>0</v>
      </c>
      <c r="Z30">
        <v>0</v>
      </c>
    </row>
    <row r="31" spans="1:26" x14ac:dyDescent="0.2">
      <c r="A31" t="s">
        <v>149</v>
      </c>
      <c r="B31" t="s">
        <v>53</v>
      </c>
      <c r="C31">
        <v>2009</v>
      </c>
      <c r="D31" t="s">
        <v>27</v>
      </c>
      <c r="E31" t="s">
        <v>35</v>
      </c>
      <c r="F31" t="s">
        <v>27</v>
      </c>
      <c r="G31">
        <v>30089</v>
      </c>
      <c r="H31">
        <v>24071.200000000001</v>
      </c>
      <c r="I31" s="13">
        <v>1</v>
      </c>
      <c r="J31" t="s">
        <v>6207</v>
      </c>
      <c r="K31">
        <v>1</v>
      </c>
      <c r="L31">
        <v>0</v>
      </c>
      <c r="M31" t="s">
        <v>0</v>
      </c>
      <c r="V31">
        <v>0</v>
      </c>
      <c r="W31">
        <v>2</v>
      </c>
      <c r="X31">
        <v>0</v>
      </c>
      <c r="Y31">
        <v>0</v>
      </c>
      <c r="Z31">
        <v>0</v>
      </c>
    </row>
    <row r="32" spans="1:26" x14ac:dyDescent="0.2">
      <c r="A32" t="s">
        <v>150</v>
      </c>
      <c r="B32" t="s">
        <v>21</v>
      </c>
      <c r="C32">
        <v>2009</v>
      </c>
      <c r="D32" t="s">
        <v>34</v>
      </c>
      <c r="E32" t="s">
        <v>26</v>
      </c>
      <c r="F32" t="s">
        <v>36</v>
      </c>
      <c r="G32">
        <v>28723</v>
      </c>
      <c r="H32">
        <v>22978.400000000001</v>
      </c>
      <c r="I32" s="13">
        <v>0</v>
      </c>
      <c r="J32" t="s">
        <v>6206</v>
      </c>
      <c r="K32">
        <v>2</v>
      </c>
      <c r="L32">
        <v>3</v>
      </c>
      <c r="M32" t="s">
        <v>1</v>
      </c>
      <c r="V32">
        <v>3</v>
      </c>
      <c r="W32">
        <v>1</v>
      </c>
      <c r="X32">
        <v>1</v>
      </c>
      <c r="Y32">
        <v>0</v>
      </c>
      <c r="Z32">
        <v>0</v>
      </c>
    </row>
    <row r="33" spans="1:26" x14ac:dyDescent="0.2">
      <c r="A33" t="s">
        <v>151</v>
      </c>
      <c r="B33" t="s">
        <v>52</v>
      </c>
      <c r="C33">
        <v>2009</v>
      </c>
      <c r="D33" t="s">
        <v>39</v>
      </c>
      <c r="E33" t="s">
        <v>23</v>
      </c>
      <c r="F33" t="s">
        <v>39</v>
      </c>
      <c r="G33">
        <v>31367</v>
      </c>
      <c r="H33">
        <v>25093.600000000002</v>
      </c>
      <c r="I33" s="13">
        <v>0</v>
      </c>
      <c r="J33" t="s">
        <v>6207</v>
      </c>
      <c r="K33">
        <v>0</v>
      </c>
      <c r="L33">
        <v>0</v>
      </c>
      <c r="M33" t="s">
        <v>58</v>
      </c>
      <c r="V33">
        <v>1</v>
      </c>
      <c r="W33">
        <v>3</v>
      </c>
      <c r="X33">
        <v>0</v>
      </c>
      <c r="Y33">
        <v>0</v>
      </c>
      <c r="Z33">
        <v>0</v>
      </c>
    </row>
    <row r="34" spans="1:26" x14ac:dyDescent="0.2">
      <c r="A34" t="s">
        <v>152</v>
      </c>
      <c r="B34" t="s">
        <v>41</v>
      </c>
      <c r="C34">
        <v>2009</v>
      </c>
      <c r="D34" t="s">
        <v>48</v>
      </c>
      <c r="E34" t="s">
        <v>46</v>
      </c>
      <c r="F34" t="s">
        <v>49</v>
      </c>
      <c r="G34">
        <v>74197</v>
      </c>
      <c r="H34">
        <v>59357.600000000006</v>
      </c>
      <c r="I34" s="13">
        <v>0.66666666666666663</v>
      </c>
      <c r="J34" t="s">
        <v>6207</v>
      </c>
      <c r="K34">
        <v>2</v>
      </c>
      <c r="L34">
        <v>1</v>
      </c>
      <c r="M34" t="s">
        <v>0</v>
      </c>
      <c r="V34">
        <v>3</v>
      </c>
      <c r="W34">
        <v>6</v>
      </c>
      <c r="X34">
        <v>0</v>
      </c>
      <c r="Y34">
        <v>0</v>
      </c>
      <c r="Z34">
        <v>1</v>
      </c>
    </row>
    <row r="35" spans="1:26" x14ac:dyDescent="0.2">
      <c r="A35" t="s">
        <v>153</v>
      </c>
      <c r="B35" t="s">
        <v>55</v>
      </c>
      <c r="C35">
        <v>2009</v>
      </c>
      <c r="D35" t="s">
        <v>30</v>
      </c>
      <c r="E35" t="s">
        <v>40</v>
      </c>
      <c r="F35" t="s">
        <v>30</v>
      </c>
      <c r="G35">
        <v>20899</v>
      </c>
      <c r="H35">
        <v>16719.2</v>
      </c>
      <c r="I35" s="13">
        <v>0.66666666666666663</v>
      </c>
      <c r="J35" t="s">
        <v>6206</v>
      </c>
      <c r="K35">
        <v>0</v>
      </c>
      <c r="L35">
        <v>1</v>
      </c>
      <c r="M35" t="s">
        <v>1</v>
      </c>
      <c r="V35">
        <v>2</v>
      </c>
      <c r="W35">
        <v>1</v>
      </c>
      <c r="X35">
        <v>0</v>
      </c>
      <c r="Y35">
        <v>0</v>
      </c>
      <c r="Z35">
        <v>0</v>
      </c>
    </row>
    <row r="36" spans="1:26" x14ac:dyDescent="0.2">
      <c r="A36" t="s">
        <v>154</v>
      </c>
      <c r="B36" t="s">
        <v>54</v>
      </c>
      <c r="C36">
        <v>2009</v>
      </c>
      <c r="D36" t="s">
        <v>45</v>
      </c>
      <c r="E36" t="s">
        <v>43</v>
      </c>
      <c r="F36" t="s">
        <v>26</v>
      </c>
      <c r="G36">
        <v>39572</v>
      </c>
      <c r="H36">
        <v>31657.600000000002</v>
      </c>
      <c r="I36" s="13">
        <v>0.8571428571428571</v>
      </c>
      <c r="J36" t="s">
        <v>6206</v>
      </c>
      <c r="K36">
        <v>2</v>
      </c>
      <c r="L36">
        <v>1</v>
      </c>
      <c r="M36" t="s">
        <v>0</v>
      </c>
      <c r="V36">
        <v>1</v>
      </c>
      <c r="W36">
        <v>6</v>
      </c>
      <c r="X36">
        <v>0</v>
      </c>
      <c r="Y36">
        <v>0</v>
      </c>
      <c r="Z36">
        <v>1</v>
      </c>
    </row>
    <row r="37" spans="1:26" x14ac:dyDescent="0.2">
      <c r="A37" t="s">
        <v>155</v>
      </c>
      <c r="B37" t="s">
        <v>29</v>
      </c>
      <c r="C37">
        <v>2009</v>
      </c>
      <c r="D37" t="s">
        <v>42</v>
      </c>
      <c r="E37" t="s">
        <v>31</v>
      </c>
      <c r="F37" t="s">
        <v>38</v>
      </c>
      <c r="G37">
        <v>42918</v>
      </c>
      <c r="H37">
        <v>34334.400000000001</v>
      </c>
      <c r="I37" s="13">
        <v>0.33333333333333331</v>
      </c>
      <c r="J37" t="s">
        <v>6208</v>
      </c>
      <c r="K37">
        <v>2</v>
      </c>
      <c r="L37">
        <v>0</v>
      </c>
      <c r="M37" t="s">
        <v>0</v>
      </c>
      <c r="V37">
        <v>1</v>
      </c>
      <c r="W37">
        <v>2</v>
      </c>
      <c r="X37">
        <v>0</v>
      </c>
      <c r="Y37">
        <v>0</v>
      </c>
      <c r="Z37">
        <v>0</v>
      </c>
    </row>
    <row r="38" spans="1:26" x14ac:dyDescent="0.2">
      <c r="A38" t="s">
        <v>156</v>
      </c>
      <c r="B38" t="s">
        <v>21</v>
      </c>
      <c r="C38">
        <v>2009</v>
      </c>
      <c r="D38" t="s">
        <v>43</v>
      </c>
      <c r="E38" t="s">
        <v>23</v>
      </c>
      <c r="F38" t="s">
        <v>43</v>
      </c>
      <c r="G38">
        <v>25138</v>
      </c>
      <c r="H38">
        <v>20110.400000000001</v>
      </c>
      <c r="I38" s="13">
        <v>0.33333333333333331</v>
      </c>
      <c r="J38" t="s">
        <v>6206</v>
      </c>
      <c r="K38">
        <v>1</v>
      </c>
      <c r="L38">
        <v>0</v>
      </c>
      <c r="M38" t="s">
        <v>0</v>
      </c>
      <c r="V38">
        <v>2</v>
      </c>
      <c r="W38">
        <v>1</v>
      </c>
      <c r="X38">
        <v>0</v>
      </c>
      <c r="Y38">
        <v>0</v>
      </c>
      <c r="Z38">
        <v>0</v>
      </c>
    </row>
    <row r="39" spans="1:26" x14ac:dyDescent="0.2">
      <c r="A39" t="s">
        <v>157</v>
      </c>
      <c r="B39" t="s">
        <v>32</v>
      </c>
      <c r="C39">
        <v>2009</v>
      </c>
      <c r="D39" t="s">
        <v>35</v>
      </c>
      <c r="E39" t="s">
        <v>19</v>
      </c>
      <c r="F39" t="s">
        <v>35</v>
      </c>
      <c r="G39">
        <v>49000</v>
      </c>
      <c r="H39">
        <v>39200</v>
      </c>
      <c r="I39" s="13">
        <v>0.75</v>
      </c>
      <c r="J39" t="s">
        <v>6207</v>
      </c>
      <c r="K39">
        <v>4</v>
      </c>
      <c r="L39">
        <v>1</v>
      </c>
      <c r="M39" t="s">
        <v>0</v>
      </c>
      <c r="V39">
        <v>2</v>
      </c>
      <c r="W39">
        <v>2</v>
      </c>
      <c r="X39">
        <v>0</v>
      </c>
      <c r="Y39">
        <v>0</v>
      </c>
      <c r="Z39">
        <v>0</v>
      </c>
    </row>
    <row r="40" spans="1:26" x14ac:dyDescent="0.2">
      <c r="A40" t="s">
        <v>158</v>
      </c>
      <c r="B40" t="s">
        <v>41</v>
      </c>
      <c r="C40">
        <v>2009</v>
      </c>
      <c r="D40" t="s">
        <v>27</v>
      </c>
      <c r="E40" t="s">
        <v>18</v>
      </c>
      <c r="F40" t="s">
        <v>27</v>
      </c>
      <c r="G40">
        <v>30089</v>
      </c>
      <c r="H40">
        <v>24071.200000000001</v>
      </c>
      <c r="I40" s="13">
        <v>0.33333333333333331</v>
      </c>
      <c r="J40" t="s">
        <v>6207</v>
      </c>
      <c r="K40">
        <v>1</v>
      </c>
      <c r="L40">
        <v>2</v>
      </c>
      <c r="M40" t="s">
        <v>1</v>
      </c>
      <c r="V40">
        <v>3</v>
      </c>
      <c r="W40">
        <v>3</v>
      </c>
      <c r="X40">
        <v>0</v>
      </c>
      <c r="Y40">
        <v>0</v>
      </c>
      <c r="Z40">
        <v>0</v>
      </c>
    </row>
    <row r="41" spans="1:26" x14ac:dyDescent="0.2">
      <c r="A41" t="s">
        <v>159</v>
      </c>
      <c r="B41" t="s">
        <v>52</v>
      </c>
      <c r="C41">
        <v>2009</v>
      </c>
      <c r="D41" t="s">
        <v>30</v>
      </c>
      <c r="E41" t="s">
        <v>34</v>
      </c>
      <c r="F41" t="s">
        <v>30</v>
      </c>
      <c r="G41">
        <v>20899</v>
      </c>
      <c r="H41">
        <v>16719.2</v>
      </c>
      <c r="I41" s="13">
        <v>1</v>
      </c>
      <c r="J41" t="s">
        <v>6207</v>
      </c>
      <c r="K41">
        <v>2</v>
      </c>
      <c r="L41">
        <v>3</v>
      </c>
      <c r="M41" t="s">
        <v>1</v>
      </c>
      <c r="N41">
        <v>62</v>
      </c>
      <c r="O41">
        <v>38</v>
      </c>
      <c r="R41">
        <v>7</v>
      </c>
      <c r="S41">
        <v>5</v>
      </c>
      <c r="T41">
        <v>17</v>
      </c>
      <c r="U41">
        <v>16</v>
      </c>
      <c r="V41">
        <v>2</v>
      </c>
      <c r="W41">
        <v>0</v>
      </c>
      <c r="X41">
        <v>0</v>
      </c>
      <c r="Y41">
        <v>0</v>
      </c>
      <c r="Z41">
        <v>1</v>
      </c>
    </row>
    <row r="42" spans="1:26" x14ac:dyDescent="0.2">
      <c r="A42" t="s">
        <v>160</v>
      </c>
      <c r="B42" t="s">
        <v>44</v>
      </c>
      <c r="C42">
        <v>2009</v>
      </c>
      <c r="D42" t="s">
        <v>40</v>
      </c>
      <c r="E42" t="s">
        <v>46</v>
      </c>
      <c r="F42" t="s">
        <v>49</v>
      </c>
      <c r="G42">
        <v>53400</v>
      </c>
      <c r="H42">
        <v>42720</v>
      </c>
      <c r="I42" s="13">
        <v>0.6</v>
      </c>
      <c r="J42" t="s">
        <v>6207</v>
      </c>
      <c r="K42">
        <v>4</v>
      </c>
      <c r="L42">
        <v>2</v>
      </c>
      <c r="M42" t="s">
        <v>0</v>
      </c>
      <c r="V42">
        <v>3</v>
      </c>
      <c r="W42">
        <v>2</v>
      </c>
      <c r="X42">
        <v>0</v>
      </c>
      <c r="Y42">
        <v>0</v>
      </c>
      <c r="Z42">
        <v>0</v>
      </c>
    </row>
    <row r="43" spans="1:26" x14ac:dyDescent="0.2">
      <c r="A43" t="s">
        <v>161</v>
      </c>
      <c r="B43" t="s">
        <v>50</v>
      </c>
      <c r="C43">
        <v>2009</v>
      </c>
      <c r="D43" t="s">
        <v>26</v>
      </c>
      <c r="E43" t="s">
        <v>28</v>
      </c>
      <c r="F43" t="s">
        <v>26</v>
      </c>
      <c r="G43">
        <v>61276</v>
      </c>
      <c r="H43">
        <v>49020.800000000003</v>
      </c>
      <c r="I43" s="13">
        <v>0</v>
      </c>
      <c r="J43" t="s">
        <v>6207</v>
      </c>
      <c r="K43">
        <v>4</v>
      </c>
      <c r="L43">
        <v>0</v>
      </c>
      <c r="M43" t="s">
        <v>0</v>
      </c>
      <c r="V43">
        <v>0</v>
      </c>
      <c r="W43">
        <v>2</v>
      </c>
      <c r="X43">
        <v>0</v>
      </c>
      <c r="Y43">
        <v>0</v>
      </c>
      <c r="Z43">
        <v>0</v>
      </c>
    </row>
    <row r="44" spans="1:26" x14ac:dyDescent="0.2">
      <c r="A44" t="s">
        <v>162</v>
      </c>
      <c r="B44" t="s">
        <v>29</v>
      </c>
      <c r="C44">
        <v>2009</v>
      </c>
      <c r="D44" t="s">
        <v>39</v>
      </c>
      <c r="E44" t="s">
        <v>22</v>
      </c>
      <c r="F44" t="s">
        <v>39</v>
      </c>
      <c r="G44">
        <v>31367</v>
      </c>
      <c r="H44">
        <v>25093.600000000002</v>
      </c>
      <c r="I44" s="13">
        <v>0.33333333333333331</v>
      </c>
      <c r="J44" t="s">
        <v>6208</v>
      </c>
      <c r="K44">
        <v>3</v>
      </c>
      <c r="L44">
        <v>1</v>
      </c>
      <c r="M44" t="s">
        <v>0</v>
      </c>
      <c r="V44">
        <v>1</v>
      </c>
      <c r="W44">
        <v>2</v>
      </c>
      <c r="X44">
        <v>0</v>
      </c>
      <c r="Y44">
        <v>0</v>
      </c>
      <c r="Z44">
        <v>0</v>
      </c>
    </row>
    <row r="45" spans="1:26" x14ac:dyDescent="0.2">
      <c r="A45" t="s">
        <v>163</v>
      </c>
      <c r="B45" t="s">
        <v>37</v>
      </c>
      <c r="C45">
        <v>2009</v>
      </c>
      <c r="D45" t="s">
        <v>51</v>
      </c>
      <c r="E45" t="s">
        <v>48</v>
      </c>
      <c r="F45" t="s">
        <v>20</v>
      </c>
      <c r="G45">
        <v>36284</v>
      </c>
      <c r="H45">
        <v>29027.200000000001</v>
      </c>
      <c r="I45" s="13">
        <v>0.33333333333333331</v>
      </c>
      <c r="J45" t="s">
        <v>6206</v>
      </c>
      <c r="K45">
        <v>1</v>
      </c>
      <c r="L45">
        <v>3</v>
      </c>
      <c r="M45" t="s">
        <v>1</v>
      </c>
      <c r="V45">
        <v>3</v>
      </c>
      <c r="W45">
        <v>2</v>
      </c>
      <c r="X45">
        <v>0</v>
      </c>
      <c r="Y45">
        <v>1</v>
      </c>
      <c r="Z45">
        <v>0</v>
      </c>
    </row>
    <row r="46" spans="1:26" x14ac:dyDescent="0.2">
      <c r="A46" t="s">
        <v>164</v>
      </c>
      <c r="B46" t="s">
        <v>56</v>
      </c>
      <c r="C46">
        <v>2009</v>
      </c>
      <c r="D46" t="s">
        <v>38</v>
      </c>
      <c r="E46" t="s">
        <v>42</v>
      </c>
      <c r="F46" t="s">
        <v>38</v>
      </c>
      <c r="G46">
        <v>29409</v>
      </c>
      <c r="H46">
        <v>23527.200000000001</v>
      </c>
      <c r="I46" s="13">
        <v>0</v>
      </c>
      <c r="J46" t="s">
        <v>6207</v>
      </c>
      <c r="K46">
        <v>0</v>
      </c>
      <c r="L46">
        <v>1</v>
      </c>
      <c r="M46" t="s">
        <v>1</v>
      </c>
      <c r="V46">
        <v>1</v>
      </c>
      <c r="W46">
        <v>2</v>
      </c>
      <c r="X46">
        <v>0</v>
      </c>
      <c r="Y46">
        <v>0</v>
      </c>
      <c r="Z46">
        <v>0</v>
      </c>
    </row>
    <row r="47" spans="1:26" x14ac:dyDescent="0.2">
      <c r="A47" t="s">
        <v>165</v>
      </c>
      <c r="B47" t="s">
        <v>55</v>
      </c>
      <c r="C47">
        <v>2009</v>
      </c>
      <c r="D47" t="s">
        <v>31</v>
      </c>
      <c r="E47" t="s">
        <v>45</v>
      </c>
      <c r="F47" t="s">
        <v>20</v>
      </c>
      <c r="G47">
        <v>28500</v>
      </c>
      <c r="H47">
        <v>22800</v>
      </c>
      <c r="I47" s="13">
        <v>0.5</v>
      </c>
      <c r="J47" t="s">
        <v>6206</v>
      </c>
      <c r="K47">
        <v>2</v>
      </c>
      <c r="L47">
        <v>1</v>
      </c>
      <c r="M47" t="s">
        <v>0</v>
      </c>
      <c r="V47">
        <v>1</v>
      </c>
      <c r="W47">
        <v>1</v>
      </c>
      <c r="X47">
        <v>0</v>
      </c>
      <c r="Y47">
        <v>0</v>
      </c>
      <c r="Z47">
        <v>0</v>
      </c>
    </row>
    <row r="48" spans="1:26" x14ac:dyDescent="0.2">
      <c r="A48" t="s">
        <v>166</v>
      </c>
      <c r="B48" t="s">
        <v>25</v>
      </c>
      <c r="C48">
        <v>2009</v>
      </c>
      <c r="D48" t="s">
        <v>28</v>
      </c>
      <c r="E48" t="s">
        <v>35</v>
      </c>
      <c r="F48" t="s">
        <v>28</v>
      </c>
      <c r="G48">
        <v>21944</v>
      </c>
      <c r="H48">
        <v>17555.2</v>
      </c>
      <c r="I48" s="13">
        <v>0.33333333333333331</v>
      </c>
      <c r="J48" t="s">
        <v>6207</v>
      </c>
      <c r="K48">
        <v>3</v>
      </c>
      <c r="L48">
        <v>1</v>
      </c>
      <c r="M48" t="s">
        <v>0</v>
      </c>
      <c r="V48">
        <v>0</v>
      </c>
      <c r="W48">
        <v>3</v>
      </c>
      <c r="X48">
        <v>0</v>
      </c>
      <c r="Y48">
        <v>0</v>
      </c>
      <c r="Z48">
        <v>1</v>
      </c>
    </row>
    <row r="49" spans="1:26" x14ac:dyDescent="0.2">
      <c r="A49" t="s">
        <v>167</v>
      </c>
      <c r="B49" t="s">
        <v>52</v>
      </c>
      <c r="C49">
        <v>2009</v>
      </c>
      <c r="D49" t="s">
        <v>19</v>
      </c>
      <c r="E49" t="s">
        <v>38</v>
      </c>
      <c r="F49" t="s">
        <v>19</v>
      </c>
      <c r="G49">
        <v>25586</v>
      </c>
      <c r="H49">
        <v>20468.800000000003</v>
      </c>
      <c r="I49" s="13">
        <v>0.5</v>
      </c>
      <c r="J49" t="s">
        <v>6207</v>
      </c>
      <c r="K49">
        <v>0</v>
      </c>
      <c r="L49">
        <v>1</v>
      </c>
      <c r="M49" t="s">
        <v>1</v>
      </c>
      <c r="V49">
        <v>0</v>
      </c>
      <c r="W49">
        <v>2</v>
      </c>
      <c r="X49">
        <v>0</v>
      </c>
      <c r="Y49">
        <v>0</v>
      </c>
      <c r="Z49">
        <v>0</v>
      </c>
    </row>
    <row r="50" spans="1:26" x14ac:dyDescent="0.2">
      <c r="A50" t="s">
        <v>168</v>
      </c>
      <c r="B50" t="s">
        <v>44</v>
      </c>
      <c r="C50">
        <v>2009</v>
      </c>
      <c r="D50" t="s">
        <v>34</v>
      </c>
      <c r="E50" t="s">
        <v>27</v>
      </c>
      <c r="F50" t="s">
        <v>36</v>
      </c>
      <c r="G50">
        <v>28723</v>
      </c>
      <c r="H50">
        <v>22978.400000000001</v>
      </c>
      <c r="I50" s="13">
        <v>0.5</v>
      </c>
      <c r="J50" t="s">
        <v>6207</v>
      </c>
      <c r="K50">
        <v>1</v>
      </c>
      <c r="L50">
        <v>1</v>
      </c>
      <c r="M50" t="s">
        <v>58</v>
      </c>
      <c r="V50">
        <v>2</v>
      </c>
      <c r="W50">
        <v>2</v>
      </c>
      <c r="X50">
        <v>0</v>
      </c>
      <c r="Y50">
        <v>0</v>
      </c>
      <c r="Z50">
        <v>1</v>
      </c>
    </row>
    <row r="51" spans="1:26" x14ac:dyDescent="0.2">
      <c r="A51" t="s">
        <v>169</v>
      </c>
      <c r="B51" t="s">
        <v>59</v>
      </c>
      <c r="C51">
        <v>2009</v>
      </c>
      <c r="D51" t="s">
        <v>42</v>
      </c>
      <c r="E51" t="s">
        <v>30</v>
      </c>
      <c r="F51" t="s">
        <v>38</v>
      </c>
      <c r="G51">
        <v>42918</v>
      </c>
      <c r="H51">
        <v>34334.400000000001</v>
      </c>
      <c r="I51" s="13">
        <v>0.5</v>
      </c>
      <c r="J51" t="s">
        <v>6206</v>
      </c>
      <c r="K51">
        <v>2</v>
      </c>
      <c r="L51">
        <v>0</v>
      </c>
      <c r="M51" t="s">
        <v>0</v>
      </c>
      <c r="V51">
        <v>2</v>
      </c>
      <c r="W51">
        <v>0</v>
      </c>
      <c r="X51">
        <v>0</v>
      </c>
      <c r="Y51">
        <v>0</v>
      </c>
      <c r="Z51">
        <v>1</v>
      </c>
    </row>
    <row r="52" spans="1:26" x14ac:dyDescent="0.2">
      <c r="A52" t="s">
        <v>170</v>
      </c>
      <c r="B52" t="s">
        <v>53</v>
      </c>
      <c r="C52">
        <v>2009</v>
      </c>
      <c r="D52" t="s">
        <v>46</v>
      </c>
      <c r="E52" t="s">
        <v>43</v>
      </c>
      <c r="F52" t="s">
        <v>20</v>
      </c>
      <c r="G52">
        <v>60704</v>
      </c>
      <c r="H52">
        <v>48563.200000000004</v>
      </c>
      <c r="I52" s="13">
        <v>1</v>
      </c>
      <c r="J52" t="s">
        <v>6207</v>
      </c>
      <c r="K52">
        <v>4</v>
      </c>
      <c r="L52">
        <v>0</v>
      </c>
      <c r="M52" t="s">
        <v>0</v>
      </c>
      <c r="V52">
        <v>2</v>
      </c>
      <c r="W52">
        <v>2</v>
      </c>
      <c r="X52">
        <v>0</v>
      </c>
      <c r="Y52">
        <v>0</v>
      </c>
      <c r="Z52">
        <v>0</v>
      </c>
    </row>
    <row r="53" spans="1:26" x14ac:dyDescent="0.2">
      <c r="A53" t="s">
        <v>171</v>
      </c>
      <c r="B53" t="s">
        <v>37</v>
      </c>
      <c r="C53">
        <v>2009</v>
      </c>
      <c r="D53" t="s">
        <v>23</v>
      </c>
      <c r="E53" t="s">
        <v>26</v>
      </c>
      <c r="F53" t="s">
        <v>20</v>
      </c>
      <c r="G53">
        <v>62500</v>
      </c>
      <c r="H53">
        <v>50000</v>
      </c>
      <c r="I53" s="13">
        <v>0.5</v>
      </c>
      <c r="J53" t="s">
        <v>6206</v>
      </c>
      <c r="K53">
        <v>2</v>
      </c>
      <c r="L53">
        <v>3</v>
      </c>
      <c r="M53" t="s">
        <v>1</v>
      </c>
      <c r="V53">
        <v>3</v>
      </c>
      <c r="W53">
        <v>3</v>
      </c>
      <c r="X53">
        <v>0</v>
      </c>
      <c r="Y53">
        <v>0</v>
      </c>
      <c r="Z53">
        <v>1</v>
      </c>
    </row>
    <row r="54" spans="1:26" x14ac:dyDescent="0.2">
      <c r="A54" t="s">
        <v>172</v>
      </c>
      <c r="B54" t="s">
        <v>21</v>
      </c>
      <c r="C54">
        <v>2009</v>
      </c>
      <c r="D54" t="s">
        <v>48</v>
      </c>
      <c r="E54" t="s">
        <v>40</v>
      </c>
      <c r="F54" t="s">
        <v>49</v>
      </c>
      <c r="G54">
        <v>74197</v>
      </c>
      <c r="H54">
        <v>59357.600000000006</v>
      </c>
      <c r="I54" s="13">
        <v>0.75</v>
      </c>
      <c r="J54" t="s">
        <v>6206</v>
      </c>
      <c r="K54">
        <v>4</v>
      </c>
      <c r="L54">
        <v>3</v>
      </c>
      <c r="M54" t="s">
        <v>0</v>
      </c>
      <c r="V54">
        <v>2</v>
      </c>
      <c r="W54">
        <v>2</v>
      </c>
      <c r="X54">
        <v>0</v>
      </c>
      <c r="Y54">
        <v>0</v>
      </c>
      <c r="Z54">
        <v>0</v>
      </c>
    </row>
    <row r="55" spans="1:26" x14ac:dyDescent="0.2">
      <c r="A55" t="s">
        <v>173</v>
      </c>
      <c r="B55" t="s">
        <v>60</v>
      </c>
      <c r="C55">
        <v>2009</v>
      </c>
      <c r="D55" t="s">
        <v>22</v>
      </c>
      <c r="E55" t="s">
        <v>31</v>
      </c>
      <c r="F55" t="s">
        <v>24</v>
      </c>
      <c r="G55">
        <v>31750</v>
      </c>
      <c r="H55">
        <v>25400</v>
      </c>
      <c r="I55" s="13">
        <v>0.66666666666666663</v>
      </c>
      <c r="J55" t="s">
        <v>6208</v>
      </c>
      <c r="K55">
        <v>2</v>
      </c>
      <c r="L55">
        <v>1</v>
      </c>
      <c r="M55" t="s">
        <v>0</v>
      </c>
      <c r="V55">
        <v>2</v>
      </c>
      <c r="W55">
        <v>1</v>
      </c>
      <c r="X55">
        <v>0</v>
      </c>
      <c r="Y55">
        <v>0</v>
      </c>
      <c r="Z55">
        <v>0</v>
      </c>
    </row>
    <row r="56" spans="1:26" x14ac:dyDescent="0.2">
      <c r="A56" t="s">
        <v>174</v>
      </c>
      <c r="B56" t="s">
        <v>50</v>
      </c>
      <c r="C56">
        <v>2009</v>
      </c>
      <c r="D56" t="s">
        <v>45</v>
      </c>
      <c r="E56" t="s">
        <v>39</v>
      </c>
      <c r="F56" t="s">
        <v>26</v>
      </c>
      <c r="G56">
        <v>39572</v>
      </c>
      <c r="H56">
        <v>31657.600000000002</v>
      </c>
      <c r="I56" s="13">
        <v>0.66666666666666663</v>
      </c>
      <c r="J56" t="s">
        <v>6207</v>
      </c>
      <c r="K56">
        <v>3</v>
      </c>
      <c r="L56">
        <v>0</v>
      </c>
      <c r="M56" t="s">
        <v>0</v>
      </c>
      <c r="V56">
        <v>1</v>
      </c>
      <c r="W56">
        <v>2</v>
      </c>
      <c r="X56">
        <v>0</v>
      </c>
      <c r="Y56">
        <v>0</v>
      </c>
      <c r="Z56">
        <v>0</v>
      </c>
    </row>
    <row r="57" spans="1:26" x14ac:dyDescent="0.2">
      <c r="A57" t="s">
        <v>175</v>
      </c>
      <c r="B57" t="s">
        <v>56</v>
      </c>
      <c r="C57">
        <v>2009</v>
      </c>
      <c r="D57" t="s">
        <v>18</v>
      </c>
      <c r="E57" t="s">
        <v>51</v>
      </c>
      <c r="F57" t="s">
        <v>20</v>
      </c>
      <c r="G57">
        <v>40341</v>
      </c>
      <c r="H57">
        <v>32272.800000000003</v>
      </c>
      <c r="I57" s="13">
        <v>0.5</v>
      </c>
      <c r="J57" t="s">
        <v>6207</v>
      </c>
      <c r="K57">
        <v>3</v>
      </c>
      <c r="L57">
        <v>0</v>
      </c>
      <c r="M57" t="s">
        <v>0</v>
      </c>
      <c r="V57">
        <v>0</v>
      </c>
      <c r="W57">
        <v>2</v>
      </c>
      <c r="X57">
        <v>0</v>
      </c>
      <c r="Y57">
        <v>0</v>
      </c>
      <c r="Z57">
        <v>0</v>
      </c>
    </row>
    <row r="58" spans="1:26" x14ac:dyDescent="0.2">
      <c r="A58" t="s">
        <v>176</v>
      </c>
      <c r="B58" t="s">
        <v>21</v>
      </c>
      <c r="C58">
        <v>2009</v>
      </c>
      <c r="D58" t="s">
        <v>30</v>
      </c>
      <c r="E58" t="s">
        <v>45</v>
      </c>
      <c r="F58" t="s">
        <v>30</v>
      </c>
      <c r="G58">
        <v>20899</v>
      </c>
      <c r="H58">
        <v>16719.2</v>
      </c>
      <c r="I58" s="13">
        <v>0.66666666666666663</v>
      </c>
      <c r="J58" t="s">
        <v>6206</v>
      </c>
      <c r="K58">
        <v>0</v>
      </c>
      <c r="L58">
        <v>1</v>
      </c>
      <c r="M58" t="s">
        <v>1</v>
      </c>
      <c r="V58">
        <v>0</v>
      </c>
      <c r="W58">
        <v>3</v>
      </c>
      <c r="X58">
        <v>0</v>
      </c>
      <c r="Y58">
        <v>0</v>
      </c>
      <c r="Z58">
        <v>0</v>
      </c>
    </row>
    <row r="59" spans="1:26" x14ac:dyDescent="0.2">
      <c r="A59" t="s">
        <v>177</v>
      </c>
      <c r="B59" t="s">
        <v>52</v>
      </c>
      <c r="C59">
        <v>2009</v>
      </c>
      <c r="D59" t="s">
        <v>43</v>
      </c>
      <c r="E59" t="s">
        <v>18</v>
      </c>
      <c r="F59" t="s">
        <v>43</v>
      </c>
      <c r="G59">
        <v>25138</v>
      </c>
      <c r="H59">
        <v>20110.400000000001</v>
      </c>
      <c r="I59" s="13">
        <v>1</v>
      </c>
      <c r="J59" t="s">
        <v>6207</v>
      </c>
      <c r="K59">
        <v>3</v>
      </c>
      <c r="L59">
        <v>1</v>
      </c>
      <c r="M59" t="s">
        <v>0</v>
      </c>
      <c r="V59">
        <v>1</v>
      </c>
      <c r="W59">
        <v>2</v>
      </c>
      <c r="X59">
        <v>0</v>
      </c>
      <c r="Y59">
        <v>1</v>
      </c>
      <c r="Z59">
        <v>1</v>
      </c>
    </row>
    <row r="60" spans="1:26" x14ac:dyDescent="0.2">
      <c r="A60" t="s">
        <v>178</v>
      </c>
      <c r="B60" t="s">
        <v>41</v>
      </c>
      <c r="C60">
        <v>2009</v>
      </c>
      <c r="D60" t="s">
        <v>51</v>
      </c>
      <c r="E60" t="s">
        <v>28</v>
      </c>
      <c r="F60" t="s">
        <v>20</v>
      </c>
      <c r="G60">
        <v>36284</v>
      </c>
      <c r="H60">
        <v>29027.200000000001</v>
      </c>
      <c r="I60" s="13">
        <v>0.66666666666666663</v>
      </c>
      <c r="J60" t="s">
        <v>6207</v>
      </c>
      <c r="K60">
        <v>5</v>
      </c>
      <c r="L60">
        <v>0</v>
      </c>
      <c r="M60" t="s">
        <v>0</v>
      </c>
      <c r="V60">
        <v>1</v>
      </c>
      <c r="W60">
        <v>2</v>
      </c>
      <c r="X60">
        <v>0</v>
      </c>
      <c r="Y60">
        <v>0</v>
      </c>
      <c r="Z60">
        <v>1</v>
      </c>
    </row>
    <row r="61" spans="1:26" x14ac:dyDescent="0.2">
      <c r="A61" t="s">
        <v>179</v>
      </c>
      <c r="B61" t="s">
        <v>56</v>
      </c>
      <c r="C61">
        <v>2009</v>
      </c>
      <c r="D61" t="s">
        <v>27</v>
      </c>
      <c r="E61" t="s">
        <v>48</v>
      </c>
      <c r="F61" t="s">
        <v>27</v>
      </c>
      <c r="G61">
        <v>30089</v>
      </c>
      <c r="H61">
        <v>24071.200000000001</v>
      </c>
      <c r="I61" s="13">
        <v>0.5</v>
      </c>
      <c r="J61" t="s">
        <v>6207</v>
      </c>
      <c r="K61">
        <v>0</v>
      </c>
      <c r="L61">
        <v>2</v>
      </c>
      <c r="M61" t="s">
        <v>1</v>
      </c>
      <c r="V61">
        <v>1</v>
      </c>
      <c r="W61">
        <v>1</v>
      </c>
      <c r="X61">
        <v>0</v>
      </c>
      <c r="Y61">
        <v>0</v>
      </c>
      <c r="Z61">
        <v>0</v>
      </c>
    </row>
    <row r="62" spans="1:26" x14ac:dyDescent="0.2">
      <c r="A62" t="s">
        <v>180</v>
      </c>
      <c r="B62" t="s">
        <v>55</v>
      </c>
      <c r="C62">
        <v>2009</v>
      </c>
      <c r="D62" t="s">
        <v>26</v>
      </c>
      <c r="E62" t="s">
        <v>19</v>
      </c>
      <c r="F62" t="s">
        <v>26</v>
      </c>
      <c r="G62">
        <v>61276</v>
      </c>
      <c r="H62">
        <v>49020.800000000003</v>
      </c>
      <c r="I62" s="13">
        <v>0.8</v>
      </c>
      <c r="J62" t="s">
        <v>6206</v>
      </c>
      <c r="K62">
        <v>6</v>
      </c>
      <c r="L62">
        <v>1</v>
      </c>
      <c r="M62" t="s">
        <v>0</v>
      </c>
      <c r="V62">
        <v>1</v>
      </c>
      <c r="W62">
        <v>4</v>
      </c>
      <c r="X62">
        <v>0</v>
      </c>
      <c r="Y62">
        <v>0</v>
      </c>
      <c r="Z62">
        <v>0</v>
      </c>
    </row>
    <row r="63" spans="1:26" x14ac:dyDescent="0.2">
      <c r="A63" t="s">
        <v>181</v>
      </c>
      <c r="B63" t="s">
        <v>44</v>
      </c>
      <c r="C63">
        <v>2009</v>
      </c>
      <c r="D63" t="s">
        <v>39</v>
      </c>
      <c r="E63" t="s">
        <v>42</v>
      </c>
      <c r="F63" t="s">
        <v>39</v>
      </c>
      <c r="G63">
        <v>31367</v>
      </c>
      <c r="H63">
        <v>25093.600000000002</v>
      </c>
      <c r="I63" s="13">
        <v>0.4</v>
      </c>
      <c r="J63" t="s">
        <v>6207</v>
      </c>
      <c r="K63">
        <v>2</v>
      </c>
      <c r="L63">
        <v>1</v>
      </c>
      <c r="M63" t="s">
        <v>0</v>
      </c>
      <c r="V63">
        <v>2</v>
      </c>
      <c r="W63">
        <v>2</v>
      </c>
      <c r="X63">
        <v>1</v>
      </c>
      <c r="Y63">
        <v>0</v>
      </c>
      <c r="Z63">
        <v>1</v>
      </c>
    </row>
    <row r="64" spans="1:26" x14ac:dyDescent="0.2">
      <c r="A64" t="s">
        <v>182</v>
      </c>
      <c r="B64" t="s">
        <v>29</v>
      </c>
      <c r="C64">
        <v>2009</v>
      </c>
      <c r="D64" t="s">
        <v>38</v>
      </c>
      <c r="E64" t="s">
        <v>34</v>
      </c>
      <c r="F64" t="s">
        <v>38</v>
      </c>
      <c r="G64">
        <v>29409</v>
      </c>
      <c r="H64">
        <v>23527.200000000001</v>
      </c>
      <c r="I64" s="13">
        <v>1</v>
      </c>
      <c r="J64" t="s">
        <v>6208</v>
      </c>
      <c r="K64">
        <v>1</v>
      </c>
      <c r="L64">
        <v>2</v>
      </c>
      <c r="M64" t="s">
        <v>1</v>
      </c>
      <c r="V64">
        <v>2</v>
      </c>
      <c r="W64">
        <v>1</v>
      </c>
      <c r="X64">
        <v>0</v>
      </c>
      <c r="Y64">
        <v>0</v>
      </c>
      <c r="Z64">
        <v>0</v>
      </c>
    </row>
    <row r="65" spans="1:26" x14ac:dyDescent="0.2">
      <c r="A65" t="s">
        <v>183</v>
      </c>
      <c r="B65" t="s">
        <v>32</v>
      </c>
      <c r="C65">
        <v>2009</v>
      </c>
      <c r="D65" t="s">
        <v>31</v>
      </c>
      <c r="E65" t="s">
        <v>46</v>
      </c>
      <c r="F65" t="s">
        <v>20</v>
      </c>
      <c r="G65">
        <v>28500</v>
      </c>
      <c r="H65">
        <v>22800</v>
      </c>
      <c r="I65" s="13">
        <v>0.5</v>
      </c>
      <c r="J65" t="s">
        <v>6207</v>
      </c>
      <c r="K65">
        <v>0</v>
      </c>
      <c r="L65">
        <v>1</v>
      </c>
      <c r="M65" t="s">
        <v>1</v>
      </c>
      <c r="V65">
        <v>4</v>
      </c>
      <c r="W65">
        <v>0</v>
      </c>
      <c r="X65">
        <v>0</v>
      </c>
      <c r="Y65">
        <v>0</v>
      </c>
      <c r="Z65">
        <v>0</v>
      </c>
    </row>
    <row r="66" spans="1:26" x14ac:dyDescent="0.2">
      <c r="A66" t="s">
        <v>184</v>
      </c>
      <c r="B66" t="s">
        <v>50</v>
      </c>
      <c r="C66">
        <v>2009</v>
      </c>
      <c r="D66" t="s">
        <v>35</v>
      </c>
      <c r="E66" t="s">
        <v>22</v>
      </c>
      <c r="F66" t="s">
        <v>35</v>
      </c>
      <c r="G66">
        <v>49000</v>
      </c>
      <c r="H66">
        <v>39200</v>
      </c>
      <c r="I66" s="13">
        <v>0.5</v>
      </c>
      <c r="J66" t="s">
        <v>6207</v>
      </c>
      <c r="K66">
        <v>5</v>
      </c>
      <c r="L66">
        <v>2</v>
      </c>
      <c r="M66" t="s">
        <v>0</v>
      </c>
      <c r="V66">
        <v>1</v>
      </c>
      <c r="W66">
        <v>3</v>
      </c>
      <c r="X66">
        <v>0</v>
      </c>
      <c r="Y66">
        <v>0</v>
      </c>
      <c r="Z66">
        <v>2</v>
      </c>
    </row>
    <row r="67" spans="1:26" x14ac:dyDescent="0.2">
      <c r="A67" t="s">
        <v>185</v>
      </c>
      <c r="B67" t="s">
        <v>25</v>
      </c>
      <c r="C67">
        <v>2009</v>
      </c>
      <c r="D67" t="s">
        <v>40</v>
      </c>
      <c r="E67" t="s">
        <v>23</v>
      </c>
      <c r="F67" t="s">
        <v>49</v>
      </c>
      <c r="G67">
        <v>53400</v>
      </c>
      <c r="H67">
        <v>42720</v>
      </c>
      <c r="I67" s="13">
        <v>0.5</v>
      </c>
      <c r="J67" t="s">
        <v>6207</v>
      </c>
      <c r="K67">
        <v>3</v>
      </c>
      <c r="L67">
        <v>1</v>
      </c>
      <c r="M67" t="s">
        <v>0</v>
      </c>
      <c r="V67">
        <v>1</v>
      </c>
      <c r="W67">
        <v>1</v>
      </c>
      <c r="X67">
        <v>0</v>
      </c>
      <c r="Y67">
        <v>0</v>
      </c>
      <c r="Z67">
        <v>0</v>
      </c>
    </row>
    <row r="68" spans="1:26" x14ac:dyDescent="0.2">
      <c r="A68" t="s">
        <v>186</v>
      </c>
      <c r="B68" t="s">
        <v>56</v>
      </c>
      <c r="C68">
        <v>2009</v>
      </c>
      <c r="D68" t="s">
        <v>22</v>
      </c>
      <c r="E68" t="s">
        <v>30</v>
      </c>
      <c r="F68" t="s">
        <v>24</v>
      </c>
      <c r="G68">
        <v>31750</v>
      </c>
      <c r="H68">
        <v>25400</v>
      </c>
      <c r="I68" s="13">
        <v>0.33333333333333331</v>
      </c>
      <c r="J68" t="s">
        <v>6207</v>
      </c>
      <c r="K68">
        <v>0</v>
      </c>
      <c r="L68">
        <v>1</v>
      </c>
      <c r="M68" t="s">
        <v>1</v>
      </c>
      <c r="V68">
        <v>1</v>
      </c>
      <c r="W68">
        <v>2</v>
      </c>
      <c r="X68">
        <v>0</v>
      </c>
      <c r="Y68">
        <v>0</v>
      </c>
      <c r="Z68">
        <v>0</v>
      </c>
    </row>
    <row r="69" spans="1:26" x14ac:dyDescent="0.2">
      <c r="A69" t="s">
        <v>187</v>
      </c>
      <c r="B69" t="s">
        <v>44</v>
      </c>
      <c r="C69">
        <v>2009</v>
      </c>
      <c r="D69" t="s">
        <v>19</v>
      </c>
      <c r="E69" t="s">
        <v>43</v>
      </c>
      <c r="F69" t="s">
        <v>19</v>
      </c>
      <c r="G69">
        <v>25586</v>
      </c>
      <c r="H69">
        <v>20468.800000000003</v>
      </c>
      <c r="I69" s="13">
        <v>1</v>
      </c>
      <c r="J69" t="s">
        <v>6207</v>
      </c>
      <c r="K69">
        <v>2</v>
      </c>
      <c r="L69">
        <v>1</v>
      </c>
      <c r="M69" t="s">
        <v>0</v>
      </c>
      <c r="V69">
        <v>0</v>
      </c>
      <c r="W69">
        <v>2</v>
      </c>
      <c r="X69">
        <v>0</v>
      </c>
      <c r="Y69">
        <v>0</v>
      </c>
      <c r="Z69">
        <v>0</v>
      </c>
    </row>
    <row r="70" spans="1:26" x14ac:dyDescent="0.2">
      <c r="A70" t="s">
        <v>188</v>
      </c>
      <c r="B70" t="s">
        <v>60</v>
      </c>
      <c r="C70">
        <v>2009</v>
      </c>
      <c r="D70" t="s">
        <v>28</v>
      </c>
      <c r="E70" t="s">
        <v>38</v>
      </c>
      <c r="F70" t="s">
        <v>28</v>
      </c>
      <c r="G70">
        <v>21944</v>
      </c>
      <c r="H70">
        <v>17555.2</v>
      </c>
      <c r="I70" s="13">
        <v>0.33333333333333331</v>
      </c>
      <c r="J70" t="s">
        <v>6208</v>
      </c>
      <c r="K70">
        <v>2</v>
      </c>
      <c r="L70">
        <v>1</v>
      </c>
      <c r="M70" t="s">
        <v>0</v>
      </c>
      <c r="V70">
        <v>0</v>
      </c>
      <c r="W70">
        <v>3</v>
      </c>
      <c r="X70">
        <v>0</v>
      </c>
      <c r="Y70">
        <v>0</v>
      </c>
      <c r="Z70">
        <v>0</v>
      </c>
    </row>
    <row r="71" spans="1:26" x14ac:dyDescent="0.2">
      <c r="A71" t="s">
        <v>189</v>
      </c>
      <c r="B71" t="s">
        <v>53</v>
      </c>
      <c r="C71">
        <v>2009</v>
      </c>
      <c r="D71" t="s">
        <v>34</v>
      </c>
      <c r="E71" t="s">
        <v>51</v>
      </c>
      <c r="F71" t="s">
        <v>36</v>
      </c>
      <c r="G71">
        <v>28723</v>
      </c>
      <c r="H71">
        <v>22978.400000000001</v>
      </c>
      <c r="I71" s="13">
        <v>0.5</v>
      </c>
      <c r="J71" t="s">
        <v>6207</v>
      </c>
      <c r="K71">
        <v>2</v>
      </c>
      <c r="L71">
        <v>2</v>
      </c>
      <c r="M71" t="s">
        <v>58</v>
      </c>
      <c r="V71">
        <v>2</v>
      </c>
      <c r="W71">
        <v>2</v>
      </c>
      <c r="X71">
        <v>0</v>
      </c>
      <c r="Y71">
        <v>0</v>
      </c>
      <c r="Z71">
        <v>0</v>
      </c>
    </row>
    <row r="72" spans="1:26" x14ac:dyDescent="0.2">
      <c r="A72" t="s">
        <v>190</v>
      </c>
      <c r="B72" t="s">
        <v>21</v>
      </c>
      <c r="C72">
        <v>2009</v>
      </c>
      <c r="D72" t="s">
        <v>48</v>
      </c>
      <c r="E72" t="s">
        <v>35</v>
      </c>
      <c r="F72" t="s">
        <v>49</v>
      </c>
      <c r="G72">
        <v>74197</v>
      </c>
      <c r="H72">
        <v>59357.600000000006</v>
      </c>
      <c r="I72" s="13">
        <v>0</v>
      </c>
      <c r="J72" t="s">
        <v>6206</v>
      </c>
      <c r="K72">
        <v>2</v>
      </c>
      <c r="L72">
        <v>2</v>
      </c>
      <c r="M72" t="s">
        <v>58</v>
      </c>
      <c r="V72">
        <v>2</v>
      </c>
      <c r="W72">
        <v>3</v>
      </c>
      <c r="X72">
        <v>0</v>
      </c>
      <c r="Y72">
        <v>1</v>
      </c>
      <c r="Z72">
        <v>0</v>
      </c>
    </row>
    <row r="73" spans="1:26" x14ac:dyDescent="0.2">
      <c r="A73" t="s">
        <v>191</v>
      </c>
      <c r="B73" t="s">
        <v>55</v>
      </c>
      <c r="C73">
        <v>2009</v>
      </c>
      <c r="D73" t="s">
        <v>46</v>
      </c>
      <c r="E73" t="s">
        <v>39</v>
      </c>
      <c r="F73" t="s">
        <v>20</v>
      </c>
      <c r="G73">
        <v>60704</v>
      </c>
      <c r="H73">
        <v>48563.200000000004</v>
      </c>
      <c r="I73" s="13">
        <v>0.5</v>
      </c>
      <c r="J73" t="s">
        <v>6206</v>
      </c>
      <c r="K73">
        <v>6</v>
      </c>
      <c r="L73">
        <v>2</v>
      </c>
      <c r="M73" t="s">
        <v>0</v>
      </c>
      <c r="V73">
        <v>1</v>
      </c>
      <c r="W73">
        <v>1</v>
      </c>
      <c r="X73">
        <v>0</v>
      </c>
      <c r="Y73">
        <v>0</v>
      </c>
      <c r="Z73">
        <v>0</v>
      </c>
    </row>
    <row r="74" spans="1:26" x14ac:dyDescent="0.2">
      <c r="A74" t="s">
        <v>192</v>
      </c>
      <c r="B74" t="s">
        <v>52</v>
      </c>
      <c r="C74">
        <v>2009</v>
      </c>
      <c r="D74" t="s">
        <v>23</v>
      </c>
      <c r="E74" t="s">
        <v>31</v>
      </c>
      <c r="F74" t="s">
        <v>20</v>
      </c>
      <c r="G74">
        <v>62500</v>
      </c>
      <c r="H74">
        <v>50000</v>
      </c>
      <c r="I74" s="13">
        <v>0.83333333333333337</v>
      </c>
      <c r="J74" t="s">
        <v>6207</v>
      </c>
      <c r="K74">
        <v>2</v>
      </c>
      <c r="L74">
        <v>2</v>
      </c>
      <c r="M74" t="s">
        <v>58</v>
      </c>
      <c r="V74">
        <v>3</v>
      </c>
      <c r="W74">
        <v>2</v>
      </c>
      <c r="X74">
        <v>0</v>
      </c>
      <c r="Y74">
        <v>1</v>
      </c>
      <c r="Z74">
        <v>0</v>
      </c>
    </row>
    <row r="75" spans="1:26" x14ac:dyDescent="0.2">
      <c r="A75" t="s">
        <v>193</v>
      </c>
      <c r="B75" t="s">
        <v>37</v>
      </c>
      <c r="C75">
        <v>2009</v>
      </c>
      <c r="D75" t="s">
        <v>45</v>
      </c>
      <c r="E75" t="s">
        <v>27</v>
      </c>
      <c r="F75" t="s">
        <v>26</v>
      </c>
      <c r="G75">
        <v>39572</v>
      </c>
      <c r="H75">
        <v>31657.600000000002</v>
      </c>
      <c r="I75" s="13">
        <v>0.75</v>
      </c>
      <c r="J75" t="s">
        <v>6206</v>
      </c>
      <c r="K75">
        <v>1</v>
      </c>
      <c r="L75">
        <v>1</v>
      </c>
      <c r="M75" t="s">
        <v>58</v>
      </c>
      <c r="V75">
        <v>1</v>
      </c>
      <c r="W75">
        <v>3</v>
      </c>
      <c r="X75">
        <v>0</v>
      </c>
      <c r="Y75">
        <v>0</v>
      </c>
      <c r="Z75">
        <v>0</v>
      </c>
    </row>
    <row r="76" spans="1:26" x14ac:dyDescent="0.2">
      <c r="A76" t="s">
        <v>194</v>
      </c>
      <c r="B76" t="s">
        <v>32</v>
      </c>
      <c r="C76">
        <v>2009</v>
      </c>
      <c r="D76" t="s">
        <v>18</v>
      </c>
      <c r="E76" t="s">
        <v>26</v>
      </c>
      <c r="F76" t="s">
        <v>20</v>
      </c>
      <c r="G76">
        <v>40341</v>
      </c>
      <c r="H76">
        <v>32272.800000000003</v>
      </c>
      <c r="I76" s="13">
        <v>0.5</v>
      </c>
      <c r="J76" t="s">
        <v>6207</v>
      </c>
      <c r="K76">
        <v>2</v>
      </c>
      <c r="L76">
        <v>0</v>
      </c>
      <c r="M76" t="s">
        <v>0</v>
      </c>
      <c r="V76">
        <v>1</v>
      </c>
      <c r="W76">
        <v>1</v>
      </c>
      <c r="X76">
        <v>0</v>
      </c>
      <c r="Y76">
        <v>0</v>
      </c>
      <c r="Z76">
        <v>0</v>
      </c>
    </row>
    <row r="77" spans="1:26" x14ac:dyDescent="0.2">
      <c r="A77" t="s">
        <v>195</v>
      </c>
      <c r="B77" t="s">
        <v>41</v>
      </c>
      <c r="C77">
        <v>2009</v>
      </c>
      <c r="D77" t="s">
        <v>42</v>
      </c>
      <c r="E77" t="s">
        <v>40</v>
      </c>
      <c r="F77" t="s">
        <v>38</v>
      </c>
      <c r="G77">
        <v>42918</v>
      </c>
      <c r="H77">
        <v>34334.400000000001</v>
      </c>
      <c r="I77" s="13">
        <v>0.33333333333333331</v>
      </c>
      <c r="J77" t="s">
        <v>6207</v>
      </c>
      <c r="K77">
        <v>1</v>
      </c>
      <c r="L77">
        <v>1</v>
      </c>
      <c r="M77" t="s">
        <v>58</v>
      </c>
      <c r="V77">
        <v>1</v>
      </c>
      <c r="W77">
        <v>2</v>
      </c>
      <c r="X77">
        <v>0</v>
      </c>
      <c r="Y77">
        <v>0</v>
      </c>
      <c r="Z77">
        <v>0</v>
      </c>
    </row>
    <row r="78" spans="1:26" x14ac:dyDescent="0.2">
      <c r="A78" t="s">
        <v>196</v>
      </c>
      <c r="B78" t="s">
        <v>29</v>
      </c>
      <c r="C78">
        <v>2009</v>
      </c>
      <c r="D78" t="s">
        <v>42</v>
      </c>
      <c r="E78" t="s">
        <v>18</v>
      </c>
      <c r="F78" t="s">
        <v>38</v>
      </c>
      <c r="G78">
        <v>42918</v>
      </c>
      <c r="H78">
        <v>34334.400000000001</v>
      </c>
      <c r="I78" s="13">
        <v>0</v>
      </c>
      <c r="J78" t="s">
        <v>6208</v>
      </c>
      <c r="K78">
        <v>2</v>
      </c>
      <c r="L78">
        <v>1</v>
      </c>
      <c r="M78" t="s">
        <v>0</v>
      </c>
      <c r="V78">
        <v>2</v>
      </c>
      <c r="W78">
        <v>1</v>
      </c>
      <c r="X78">
        <v>0</v>
      </c>
      <c r="Y78">
        <v>0</v>
      </c>
      <c r="Z78">
        <v>0</v>
      </c>
    </row>
    <row r="79" spans="1:26" x14ac:dyDescent="0.2">
      <c r="A79" t="s">
        <v>197</v>
      </c>
      <c r="B79" t="s">
        <v>53</v>
      </c>
      <c r="C79">
        <v>2009</v>
      </c>
      <c r="D79" t="s">
        <v>35</v>
      </c>
      <c r="E79" t="s">
        <v>26</v>
      </c>
      <c r="F79" t="s">
        <v>35</v>
      </c>
      <c r="G79">
        <v>49000</v>
      </c>
      <c r="H79">
        <v>39200</v>
      </c>
      <c r="I79" s="13">
        <v>0.66666666666666663</v>
      </c>
      <c r="J79" t="s">
        <v>6207</v>
      </c>
      <c r="K79">
        <v>1</v>
      </c>
      <c r="L79">
        <v>0</v>
      </c>
      <c r="M79" t="s">
        <v>0</v>
      </c>
      <c r="V79">
        <v>2</v>
      </c>
      <c r="W79">
        <v>1</v>
      </c>
      <c r="X79">
        <v>0</v>
      </c>
      <c r="Y79">
        <v>0</v>
      </c>
      <c r="Z79">
        <v>0</v>
      </c>
    </row>
    <row r="80" spans="1:26" x14ac:dyDescent="0.2">
      <c r="A80" t="s">
        <v>198</v>
      </c>
      <c r="B80" t="s">
        <v>32</v>
      </c>
      <c r="C80">
        <v>2009</v>
      </c>
      <c r="D80" t="s">
        <v>27</v>
      </c>
      <c r="E80" t="s">
        <v>23</v>
      </c>
      <c r="F80" t="s">
        <v>27</v>
      </c>
      <c r="G80">
        <v>30089</v>
      </c>
      <c r="H80">
        <v>24071.200000000001</v>
      </c>
      <c r="I80" s="13">
        <v>0.5</v>
      </c>
      <c r="J80" t="s">
        <v>6207</v>
      </c>
      <c r="K80">
        <v>2</v>
      </c>
      <c r="L80">
        <v>1</v>
      </c>
      <c r="M80" t="s">
        <v>0</v>
      </c>
      <c r="V80">
        <v>3</v>
      </c>
      <c r="W80">
        <v>3</v>
      </c>
      <c r="X80">
        <v>0</v>
      </c>
      <c r="Y80">
        <v>0</v>
      </c>
      <c r="Z80">
        <v>0</v>
      </c>
    </row>
    <row r="81" spans="1:26" x14ac:dyDescent="0.2">
      <c r="A81" t="s">
        <v>199</v>
      </c>
      <c r="B81" t="s">
        <v>52</v>
      </c>
      <c r="C81">
        <v>2009</v>
      </c>
      <c r="D81" t="s">
        <v>30</v>
      </c>
      <c r="E81" t="s">
        <v>51</v>
      </c>
      <c r="F81" t="s">
        <v>30</v>
      </c>
      <c r="G81">
        <v>20899</v>
      </c>
      <c r="H81">
        <v>16719.2</v>
      </c>
      <c r="I81" s="13">
        <v>0.375</v>
      </c>
      <c r="J81" t="s">
        <v>6207</v>
      </c>
      <c r="K81">
        <v>1</v>
      </c>
      <c r="L81">
        <v>2</v>
      </c>
      <c r="M81" t="s">
        <v>1</v>
      </c>
      <c r="V81">
        <v>3</v>
      </c>
      <c r="W81">
        <v>3</v>
      </c>
      <c r="X81">
        <v>1</v>
      </c>
      <c r="Y81">
        <v>1</v>
      </c>
      <c r="Z81">
        <v>0</v>
      </c>
    </row>
    <row r="82" spans="1:26" x14ac:dyDescent="0.2">
      <c r="A82" t="s">
        <v>200</v>
      </c>
      <c r="B82" t="s">
        <v>44</v>
      </c>
      <c r="C82">
        <v>2009</v>
      </c>
      <c r="D82" t="s">
        <v>48</v>
      </c>
      <c r="E82" t="s">
        <v>34</v>
      </c>
      <c r="F82" t="s">
        <v>49</v>
      </c>
      <c r="G82">
        <v>74197</v>
      </c>
      <c r="H82">
        <v>59357.600000000006</v>
      </c>
      <c r="I82" s="13">
        <v>0</v>
      </c>
      <c r="J82" t="s">
        <v>6207</v>
      </c>
      <c r="K82">
        <v>2</v>
      </c>
      <c r="L82">
        <v>1</v>
      </c>
      <c r="M82" t="s">
        <v>0</v>
      </c>
      <c r="V82">
        <v>0</v>
      </c>
      <c r="W82">
        <v>1</v>
      </c>
      <c r="X82">
        <v>0</v>
      </c>
      <c r="Y82">
        <v>0</v>
      </c>
      <c r="Z82">
        <v>0</v>
      </c>
    </row>
    <row r="83" spans="1:26" x14ac:dyDescent="0.2">
      <c r="A83" t="s">
        <v>201</v>
      </c>
      <c r="B83" t="s">
        <v>59</v>
      </c>
      <c r="C83">
        <v>2009</v>
      </c>
      <c r="D83" t="s">
        <v>45</v>
      </c>
      <c r="E83" t="s">
        <v>22</v>
      </c>
      <c r="F83" t="s">
        <v>26</v>
      </c>
      <c r="G83">
        <v>39572</v>
      </c>
      <c r="H83">
        <v>31657.600000000002</v>
      </c>
      <c r="I83" s="13">
        <v>0.4</v>
      </c>
      <c r="J83" t="s">
        <v>6206</v>
      </c>
      <c r="K83">
        <v>1</v>
      </c>
      <c r="L83">
        <v>1</v>
      </c>
      <c r="M83" t="s">
        <v>58</v>
      </c>
      <c r="V83">
        <v>1</v>
      </c>
      <c r="W83">
        <v>3</v>
      </c>
      <c r="X83">
        <v>0</v>
      </c>
      <c r="Y83">
        <v>1</v>
      </c>
      <c r="Z83">
        <v>0</v>
      </c>
    </row>
    <row r="84" spans="1:26" x14ac:dyDescent="0.2">
      <c r="A84" t="s">
        <v>202</v>
      </c>
      <c r="B84" t="s">
        <v>54</v>
      </c>
      <c r="C84">
        <v>2009</v>
      </c>
      <c r="D84" t="s">
        <v>46</v>
      </c>
      <c r="E84" t="s">
        <v>38</v>
      </c>
      <c r="F84" t="s">
        <v>20</v>
      </c>
      <c r="G84">
        <v>60704</v>
      </c>
      <c r="H84">
        <v>48563.200000000004</v>
      </c>
      <c r="I84" s="13">
        <v>0.33333333333333331</v>
      </c>
      <c r="J84" t="s">
        <v>6206</v>
      </c>
      <c r="K84">
        <v>3</v>
      </c>
      <c r="L84">
        <v>1</v>
      </c>
      <c r="M84" t="s">
        <v>0</v>
      </c>
      <c r="V84">
        <v>1</v>
      </c>
      <c r="W84">
        <v>2</v>
      </c>
      <c r="X84">
        <v>0</v>
      </c>
      <c r="Y84">
        <v>0</v>
      </c>
      <c r="Z84">
        <v>0</v>
      </c>
    </row>
    <row r="85" spans="1:26" x14ac:dyDescent="0.2">
      <c r="A85" t="s">
        <v>203</v>
      </c>
      <c r="B85" t="s">
        <v>25</v>
      </c>
      <c r="C85">
        <v>2009</v>
      </c>
      <c r="D85" t="s">
        <v>39</v>
      </c>
      <c r="E85" t="s">
        <v>28</v>
      </c>
      <c r="F85" t="s">
        <v>39</v>
      </c>
      <c r="G85">
        <v>31367</v>
      </c>
      <c r="H85">
        <v>25093.600000000002</v>
      </c>
      <c r="I85" s="13">
        <v>0.66666666666666663</v>
      </c>
      <c r="J85" t="s">
        <v>6207</v>
      </c>
      <c r="K85">
        <v>3</v>
      </c>
      <c r="L85">
        <v>2</v>
      </c>
      <c r="M85" t="s">
        <v>0</v>
      </c>
      <c r="V85">
        <v>3</v>
      </c>
      <c r="W85">
        <v>3</v>
      </c>
      <c r="X85">
        <v>0</v>
      </c>
      <c r="Y85">
        <v>0</v>
      </c>
      <c r="Z85">
        <v>0</v>
      </c>
    </row>
    <row r="86" spans="1:26" x14ac:dyDescent="0.2">
      <c r="A86" t="s">
        <v>204</v>
      </c>
      <c r="B86" t="s">
        <v>21</v>
      </c>
      <c r="C86">
        <v>2009</v>
      </c>
      <c r="D86" t="s">
        <v>43</v>
      </c>
      <c r="E86" t="s">
        <v>40</v>
      </c>
      <c r="F86" t="s">
        <v>43</v>
      </c>
      <c r="G86">
        <v>25138</v>
      </c>
      <c r="H86">
        <v>20110.400000000001</v>
      </c>
      <c r="I86" s="13">
        <v>0.75</v>
      </c>
      <c r="J86" t="s">
        <v>6206</v>
      </c>
      <c r="K86">
        <v>1</v>
      </c>
      <c r="L86">
        <v>1</v>
      </c>
      <c r="M86" t="s">
        <v>58</v>
      </c>
      <c r="V86">
        <v>2</v>
      </c>
      <c r="W86">
        <v>1</v>
      </c>
      <c r="X86">
        <v>0</v>
      </c>
      <c r="Y86">
        <v>1</v>
      </c>
      <c r="Z86">
        <v>0</v>
      </c>
    </row>
    <row r="87" spans="1:26" x14ac:dyDescent="0.2">
      <c r="A87" t="s">
        <v>205</v>
      </c>
      <c r="B87" t="s">
        <v>37</v>
      </c>
      <c r="C87">
        <v>2009</v>
      </c>
      <c r="D87" t="s">
        <v>31</v>
      </c>
      <c r="E87" t="s">
        <v>19</v>
      </c>
      <c r="F87" t="s">
        <v>20</v>
      </c>
      <c r="G87">
        <v>28500</v>
      </c>
      <c r="H87">
        <v>22800</v>
      </c>
      <c r="I87" s="13">
        <v>0</v>
      </c>
      <c r="J87" t="s">
        <v>6206</v>
      </c>
      <c r="K87">
        <v>2</v>
      </c>
      <c r="L87">
        <v>0</v>
      </c>
      <c r="M87" t="s">
        <v>0</v>
      </c>
      <c r="V87">
        <v>1</v>
      </c>
      <c r="W87">
        <v>1</v>
      </c>
      <c r="X87">
        <v>0</v>
      </c>
      <c r="Y87">
        <v>0</v>
      </c>
      <c r="Z87">
        <v>0</v>
      </c>
    </row>
    <row r="88" spans="1:26" x14ac:dyDescent="0.2">
      <c r="A88" t="s">
        <v>206</v>
      </c>
      <c r="B88" t="s">
        <v>55</v>
      </c>
      <c r="C88">
        <v>2009</v>
      </c>
      <c r="D88" t="s">
        <v>22</v>
      </c>
      <c r="E88" t="s">
        <v>42</v>
      </c>
      <c r="F88" t="s">
        <v>24</v>
      </c>
      <c r="G88">
        <v>31750</v>
      </c>
      <c r="H88">
        <v>25400</v>
      </c>
      <c r="I88" s="13">
        <v>0.66666666666666663</v>
      </c>
      <c r="J88" t="s">
        <v>6206</v>
      </c>
      <c r="K88">
        <v>1</v>
      </c>
      <c r="L88">
        <v>1</v>
      </c>
      <c r="M88" t="s">
        <v>58</v>
      </c>
      <c r="V88">
        <v>1</v>
      </c>
      <c r="W88">
        <v>2</v>
      </c>
      <c r="X88">
        <v>0</v>
      </c>
      <c r="Y88">
        <v>0</v>
      </c>
      <c r="Z88">
        <v>1</v>
      </c>
    </row>
    <row r="89" spans="1:26" x14ac:dyDescent="0.2">
      <c r="A89" t="s">
        <v>207</v>
      </c>
      <c r="B89" t="s">
        <v>54</v>
      </c>
      <c r="C89">
        <v>2009</v>
      </c>
      <c r="D89" t="s">
        <v>51</v>
      </c>
      <c r="E89" t="s">
        <v>27</v>
      </c>
      <c r="F89" t="s">
        <v>20</v>
      </c>
      <c r="G89">
        <v>36284</v>
      </c>
      <c r="H89">
        <v>29027.200000000001</v>
      </c>
      <c r="I89" s="13">
        <v>1</v>
      </c>
      <c r="J89" t="s">
        <v>6206</v>
      </c>
      <c r="K89">
        <v>0</v>
      </c>
      <c r="L89">
        <v>1</v>
      </c>
      <c r="M89" t="s">
        <v>1</v>
      </c>
      <c r="V89">
        <v>0</v>
      </c>
      <c r="W89">
        <v>3</v>
      </c>
      <c r="X89">
        <v>0</v>
      </c>
      <c r="Y89">
        <v>0</v>
      </c>
      <c r="Z89">
        <v>0</v>
      </c>
    </row>
    <row r="90" spans="1:26" x14ac:dyDescent="0.2">
      <c r="A90" t="s">
        <v>208</v>
      </c>
      <c r="B90" t="s">
        <v>59</v>
      </c>
      <c r="C90">
        <v>2009</v>
      </c>
      <c r="D90" t="s">
        <v>19</v>
      </c>
      <c r="E90" t="s">
        <v>30</v>
      </c>
      <c r="F90" t="s">
        <v>19</v>
      </c>
      <c r="G90">
        <v>25586</v>
      </c>
      <c r="H90">
        <v>20468.800000000003</v>
      </c>
      <c r="I90" s="13">
        <v>0.33333333333333331</v>
      </c>
      <c r="J90" t="s">
        <v>6206</v>
      </c>
      <c r="K90">
        <v>0</v>
      </c>
      <c r="L90">
        <v>0</v>
      </c>
      <c r="M90" t="s">
        <v>58</v>
      </c>
      <c r="V90">
        <v>2</v>
      </c>
      <c r="W90">
        <v>1</v>
      </c>
      <c r="X90">
        <v>0</v>
      </c>
      <c r="Y90">
        <v>0</v>
      </c>
      <c r="Z90">
        <v>0</v>
      </c>
    </row>
    <row r="91" spans="1:26" x14ac:dyDescent="0.2">
      <c r="A91" t="s">
        <v>209</v>
      </c>
      <c r="B91" t="s">
        <v>50</v>
      </c>
      <c r="C91">
        <v>2009</v>
      </c>
      <c r="D91" t="s">
        <v>28</v>
      </c>
      <c r="E91" t="s">
        <v>43</v>
      </c>
      <c r="F91" t="s">
        <v>28</v>
      </c>
      <c r="G91">
        <v>21944</v>
      </c>
      <c r="H91">
        <v>17555.2</v>
      </c>
      <c r="I91" s="13">
        <v>0</v>
      </c>
      <c r="J91" t="s">
        <v>6207</v>
      </c>
      <c r="K91">
        <v>1</v>
      </c>
      <c r="L91">
        <v>3</v>
      </c>
      <c r="M91" t="s">
        <v>1</v>
      </c>
      <c r="V91">
        <v>2</v>
      </c>
      <c r="W91">
        <v>0</v>
      </c>
      <c r="X91">
        <v>0</v>
      </c>
      <c r="Y91">
        <v>0</v>
      </c>
      <c r="Z91">
        <v>0</v>
      </c>
    </row>
    <row r="92" spans="1:26" x14ac:dyDescent="0.2">
      <c r="A92" t="s">
        <v>210</v>
      </c>
      <c r="B92" t="s">
        <v>32</v>
      </c>
      <c r="C92">
        <v>2009</v>
      </c>
      <c r="D92" t="s">
        <v>38</v>
      </c>
      <c r="E92" t="s">
        <v>35</v>
      </c>
      <c r="F92" t="s">
        <v>38</v>
      </c>
      <c r="G92">
        <v>29409</v>
      </c>
      <c r="H92">
        <v>23527.200000000001</v>
      </c>
      <c r="I92" s="13">
        <v>0.25</v>
      </c>
      <c r="J92" t="s">
        <v>6207</v>
      </c>
      <c r="K92">
        <v>2</v>
      </c>
      <c r="L92">
        <v>1</v>
      </c>
      <c r="M92" t="s">
        <v>0</v>
      </c>
      <c r="V92">
        <v>3</v>
      </c>
      <c r="W92">
        <v>1</v>
      </c>
      <c r="X92">
        <v>0</v>
      </c>
      <c r="Y92">
        <v>0</v>
      </c>
      <c r="Z92">
        <v>0</v>
      </c>
    </row>
    <row r="93" spans="1:26" x14ac:dyDescent="0.2">
      <c r="A93" t="s">
        <v>211</v>
      </c>
      <c r="B93" t="s">
        <v>21</v>
      </c>
      <c r="C93">
        <v>2009</v>
      </c>
      <c r="D93" t="s">
        <v>18</v>
      </c>
      <c r="E93" t="s">
        <v>39</v>
      </c>
      <c r="F93" t="s">
        <v>20</v>
      </c>
      <c r="G93">
        <v>40341</v>
      </c>
      <c r="H93">
        <v>32272.800000000003</v>
      </c>
      <c r="I93" s="13">
        <v>1</v>
      </c>
      <c r="J93" t="s">
        <v>6206</v>
      </c>
      <c r="K93">
        <v>5</v>
      </c>
      <c r="L93">
        <v>0</v>
      </c>
      <c r="M93" t="s">
        <v>0</v>
      </c>
      <c r="V93">
        <v>0</v>
      </c>
      <c r="W93">
        <v>1</v>
      </c>
      <c r="X93">
        <v>0</v>
      </c>
      <c r="Y93">
        <v>0</v>
      </c>
      <c r="Z93">
        <v>2</v>
      </c>
    </row>
    <row r="94" spans="1:26" x14ac:dyDescent="0.2">
      <c r="A94" t="s">
        <v>212</v>
      </c>
      <c r="B94" t="s">
        <v>52</v>
      </c>
      <c r="C94">
        <v>2009</v>
      </c>
      <c r="D94" t="s">
        <v>34</v>
      </c>
      <c r="E94" t="s">
        <v>45</v>
      </c>
      <c r="F94" t="s">
        <v>36</v>
      </c>
      <c r="G94">
        <v>28723</v>
      </c>
      <c r="H94">
        <v>22978.400000000001</v>
      </c>
      <c r="I94" s="13">
        <v>0.5</v>
      </c>
      <c r="J94" t="s">
        <v>6207</v>
      </c>
      <c r="K94">
        <v>3</v>
      </c>
      <c r="L94">
        <v>2</v>
      </c>
      <c r="M94" t="s">
        <v>0</v>
      </c>
      <c r="V94">
        <v>3</v>
      </c>
      <c r="W94">
        <v>1</v>
      </c>
      <c r="X94">
        <v>0</v>
      </c>
      <c r="Y94">
        <v>0</v>
      </c>
      <c r="Z94">
        <v>0</v>
      </c>
    </row>
    <row r="95" spans="1:26" x14ac:dyDescent="0.2">
      <c r="A95" t="s">
        <v>213</v>
      </c>
      <c r="B95" t="s">
        <v>37</v>
      </c>
      <c r="C95">
        <v>2009</v>
      </c>
      <c r="D95" t="s">
        <v>26</v>
      </c>
      <c r="E95" t="s">
        <v>48</v>
      </c>
      <c r="F95" t="s">
        <v>26</v>
      </c>
      <c r="G95">
        <v>61276</v>
      </c>
      <c r="H95">
        <v>49020.800000000003</v>
      </c>
      <c r="I95" s="13">
        <v>0.5714285714285714</v>
      </c>
      <c r="J95" t="s">
        <v>6206</v>
      </c>
      <c r="K95">
        <v>2</v>
      </c>
      <c r="L95">
        <v>0</v>
      </c>
      <c r="M95" t="s">
        <v>0</v>
      </c>
      <c r="V95">
        <v>2</v>
      </c>
      <c r="W95">
        <v>3</v>
      </c>
      <c r="X95">
        <v>1</v>
      </c>
      <c r="Y95">
        <v>1</v>
      </c>
      <c r="Z95">
        <v>0</v>
      </c>
    </row>
    <row r="96" spans="1:26" x14ac:dyDescent="0.2">
      <c r="A96" t="s">
        <v>214</v>
      </c>
      <c r="B96" t="s">
        <v>60</v>
      </c>
      <c r="C96">
        <v>2009</v>
      </c>
      <c r="D96" t="s">
        <v>40</v>
      </c>
      <c r="E96" t="s">
        <v>31</v>
      </c>
      <c r="F96" t="s">
        <v>49</v>
      </c>
      <c r="G96">
        <v>53400</v>
      </c>
      <c r="H96">
        <v>42720</v>
      </c>
      <c r="I96" s="13">
        <v>1</v>
      </c>
      <c r="J96" t="s">
        <v>6208</v>
      </c>
      <c r="K96">
        <v>2</v>
      </c>
      <c r="L96">
        <v>2</v>
      </c>
      <c r="M96" t="s">
        <v>58</v>
      </c>
      <c r="V96">
        <v>0</v>
      </c>
      <c r="W96">
        <v>2</v>
      </c>
      <c r="X96">
        <v>0</v>
      </c>
      <c r="Y96">
        <v>0</v>
      </c>
      <c r="Z96">
        <v>0</v>
      </c>
    </row>
    <row r="97" spans="1:26" x14ac:dyDescent="0.2">
      <c r="A97" t="s">
        <v>215</v>
      </c>
      <c r="B97" t="s">
        <v>25</v>
      </c>
      <c r="C97">
        <v>2009</v>
      </c>
      <c r="D97" t="s">
        <v>23</v>
      </c>
      <c r="E97" t="s">
        <v>46</v>
      </c>
      <c r="F97" t="s">
        <v>20</v>
      </c>
      <c r="G97">
        <v>62500</v>
      </c>
      <c r="H97">
        <v>50000</v>
      </c>
      <c r="I97" s="13">
        <v>0.33333333333333331</v>
      </c>
      <c r="J97" t="s">
        <v>6207</v>
      </c>
      <c r="K97">
        <v>2</v>
      </c>
      <c r="L97">
        <v>2</v>
      </c>
      <c r="M97" t="s">
        <v>58</v>
      </c>
      <c r="V97">
        <v>3</v>
      </c>
      <c r="W97">
        <v>2</v>
      </c>
      <c r="X97">
        <v>1</v>
      </c>
      <c r="Y97">
        <v>0</v>
      </c>
      <c r="Z97">
        <v>1</v>
      </c>
    </row>
    <row r="98" spans="1:26" x14ac:dyDescent="0.2">
      <c r="A98" t="s">
        <v>216</v>
      </c>
      <c r="B98" t="s">
        <v>44</v>
      </c>
      <c r="C98">
        <v>2009</v>
      </c>
      <c r="D98" t="s">
        <v>46</v>
      </c>
      <c r="E98" t="s">
        <v>51</v>
      </c>
      <c r="F98" t="s">
        <v>20</v>
      </c>
      <c r="G98">
        <v>60704</v>
      </c>
      <c r="H98">
        <v>48563.200000000004</v>
      </c>
      <c r="I98" s="13">
        <v>0.5</v>
      </c>
      <c r="J98" t="s">
        <v>6207</v>
      </c>
      <c r="K98">
        <v>3</v>
      </c>
      <c r="L98">
        <v>0</v>
      </c>
      <c r="M98" t="s">
        <v>0</v>
      </c>
      <c r="V98">
        <v>1</v>
      </c>
      <c r="W98">
        <v>1</v>
      </c>
      <c r="X98">
        <v>0</v>
      </c>
      <c r="Y98">
        <v>0</v>
      </c>
      <c r="Z98">
        <v>0</v>
      </c>
    </row>
    <row r="99" spans="1:26" x14ac:dyDescent="0.2">
      <c r="A99" t="s">
        <v>217</v>
      </c>
      <c r="B99" t="s">
        <v>37</v>
      </c>
      <c r="C99">
        <v>2009</v>
      </c>
      <c r="D99" t="s">
        <v>35</v>
      </c>
      <c r="E99" t="s">
        <v>23</v>
      </c>
      <c r="F99" t="s">
        <v>35</v>
      </c>
      <c r="G99">
        <v>49000</v>
      </c>
      <c r="H99">
        <v>39200</v>
      </c>
      <c r="I99" s="13">
        <v>0.625</v>
      </c>
      <c r="J99" t="s">
        <v>6206</v>
      </c>
      <c r="K99">
        <v>2</v>
      </c>
      <c r="L99">
        <v>2</v>
      </c>
      <c r="M99" t="s">
        <v>58</v>
      </c>
      <c r="V99">
        <v>3</v>
      </c>
      <c r="W99">
        <v>3</v>
      </c>
      <c r="X99">
        <v>1</v>
      </c>
      <c r="Y99">
        <v>1</v>
      </c>
      <c r="Z99">
        <v>0</v>
      </c>
    </row>
    <row r="100" spans="1:26" x14ac:dyDescent="0.2">
      <c r="A100" t="s">
        <v>218</v>
      </c>
      <c r="B100" t="s">
        <v>25</v>
      </c>
      <c r="C100">
        <v>2009</v>
      </c>
      <c r="D100" t="s">
        <v>27</v>
      </c>
      <c r="E100" t="s">
        <v>22</v>
      </c>
      <c r="F100" t="s">
        <v>27</v>
      </c>
      <c r="G100">
        <v>30089</v>
      </c>
      <c r="H100">
        <v>24071.200000000001</v>
      </c>
      <c r="I100" s="13">
        <v>0.33333333333333331</v>
      </c>
      <c r="J100" t="s">
        <v>6207</v>
      </c>
      <c r="K100">
        <v>2</v>
      </c>
      <c r="L100">
        <v>2</v>
      </c>
      <c r="M100" t="s">
        <v>58</v>
      </c>
      <c r="V100">
        <v>0</v>
      </c>
      <c r="W100">
        <v>3</v>
      </c>
      <c r="X100">
        <v>0</v>
      </c>
      <c r="Y100">
        <v>0</v>
      </c>
      <c r="Z100">
        <v>0</v>
      </c>
    </row>
    <row r="101" spans="1:26" x14ac:dyDescent="0.2">
      <c r="A101" t="s">
        <v>219</v>
      </c>
      <c r="B101" t="s">
        <v>21</v>
      </c>
      <c r="C101">
        <v>2009</v>
      </c>
      <c r="D101" t="s">
        <v>30</v>
      </c>
      <c r="E101" t="s">
        <v>43</v>
      </c>
      <c r="F101" t="s">
        <v>30</v>
      </c>
      <c r="G101">
        <v>20899</v>
      </c>
      <c r="H101">
        <v>16719.2</v>
      </c>
      <c r="I101" s="13">
        <v>1</v>
      </c>
      <c r="J101" t="s">
        <v>6206</v>
      </c>
      <c r="K101">
        <v>4</v>
      </c>
      <c r="L101">
        <v>0</v>
      </c>
      <c r="M101" t="s">
        <v>0</v>
      </c>
      <c r="V101">
        <v>0</v>
      </c>
      <c r="W101">
        <v>1</v>
      </c>
      <c r="X101">
        <v>0</v>
      </c>
      <c r="Y101">
        <v>0</v>
      </c>
      <c r="Z101">
        <v>0</v>
      </c>
    </row>
    <row r="102" spans="1:26" x14ac:dyDescent="0.2">
      <c r="A102" t="s">
        <v>220</v>
      </c>
      <c r="B102" t="s">
        <v>50</v>
      </c>
      <c r="C102">
        <v>2009</v>
      </c>
      <c r="D102" t="s">
        <v>31</v>
      </c>
      <c r="E102" t="s">
        <v>26</v>
      </c>
      <c r="F102" t="s">
        <v>20</v>
      </c>
      <c r="G102">
        <v>28500</v>
      </c>
      <c r="H102">
        <v>22800</v>
      </c>
      <c r="I102" s="13">
        <v>0.33333333333333331</v>
      </c>
      <c r="J102" t="s">
        <v>6207</v>
      </c>
      <c r="K102">
        <v>3</v>
      </c>
      <c r="L102">
        <v>1</v>
      </c>
      <c r="M102" t="s">
        <v>0</v>
      </c>
      <c r="V102">
        <v>1</v>
      </c>
      <c r="W102">
        <v>0</v>
      </c>
      <c r="X102">
        <v>0</v>
      </c>
      <c r="Y102">
        <v>2</v>
      </c>
      <c r="Z102">
        <v>0</v>
      </c>
    </row>
    <row r="103" spans="1:26" x14ac:dyDescent="0.2">
      <c r="A103" t="s">
        <v>221</v>
      </c>
      <c r="B103" t="s">
        <v>54</v>
      </c>
      <c r="C103">
        <v>2009</v>
      </c>
      <c r="D103" t="s">
        <v>45</v>
      </c>
      <c r="E103" t="s">
        <v>42</v>
      </c>
      <c r="F103" t="s">
        <v>26</v>
      </c>
      <c r="G103">
        <v>39572</v>
      </c>
      <c r="H103">
        <v>31657.600000000002</v>
      </c>
      <c r="I103" s="13">
        <v>0.83333333333333337</v>
      </c>
      <c r="J103" t="s">
        <v>6206</v>
      </c>
      <c r="K103">
        <v>1</v>
      </c>
      <c r="L103">
        <v>1</v>
      </c>
      <c r="M103" t="s">
        <v>58</v>
      </c>
      <c r="V103">
        <v>1</v>
      </c>
      <c r="W103">
        <v>3</v>
      </c>
      <c r="X103">
        <v>1</v>
      </c>
      <c r="Y103">
        <v>1</v>
      </c>
      <c r="Z103">
        <v>0</v>
      </c>
    </row>
    <row r="104" spans="1:26" x14ac:dyDescent="0.2">
      <c r="A104" t="s">
        <v>222</v>
      </c>
      <c r="B104" t="s">
        <v>53</v>
      </c>
      <c r="C104">
        <v>2009</v>
      </c>
      <c r="D104" t="s">
        <v>28</v>
      </c>
      <c r="E104" t="s">
        <v>19</v>
      </c>
      <c r="F104" t="s">
        <v>28</v>
      </c>
      <c r="G104">
        <v>21944</v>
      </c>
      <c r="H104">
        <v>17555.2</v>
      </c>
      <c r="I104" s="13">
        <v>0.6</v>
      </c>
      <c r="J104" t="s">
        <v>6207</v>
      </c>
      <c r="K104">
        <v>2</v>
      </c>
      <c r="L104">
        <v>0</v>
      </c>
      <c r="M104" t="s">
        <v>0</v>
      </c>
      <c r="V104">
        <v>1</v>
      </c>
      <c r="W104">
        <v>3</v>
      </c>
      <c r="X104">
        <v>0</v>
      </c>
      <c r="Y104">
        <v>1</v>
      </c>
      <c r="Z104">
        <v>1</v>
      </c>
    </row>
    <row r="105" spans="1:26" x14ac:dyDescent="0.2">
      <c r="A105" t="s">
        <v>223</v>
      </c>
      <c r="B105" t="s">
        <v>55</v>
      </c>
      <c r="C105">
        <v>2009</v>
      </c>
      <c r="D105" t="s">
        <v>34</v>
      </c>
      <c r="E105" t="s">
        <v>18</v>
      </c>
      <c r="F105" t="s">
        <v>36</v>
      </c>
      <c r="G105">
        <v>28723</v>
      </c>
      <c r="H105">
        <v>22978.400000000001</v>
      </c>
      <c r="I105" s="13">
        <v>0.66666666666666663</v>
      </c>
      <c r="J105" t="s">
        <v>6206</v>
      </c>
      <c r="K105">
        <v>0</v>
      </c>
      <c r="L105">
        <v>4</v>
      </c>
      <c r="M105" t="s">
        <v>1</v>
      </c>
      <c r="V105">
        <v>1</v>
      </c>
      <c r="W105">
        <v>1</v>
      </c>
      <c r="X105">
        <v>1</v>
      </c>
      <c r="Y105">
        <v>0</v>
      </c>
      <c r="Z105">
        <v>1</v>
      </c>
    </row>
    <row r="106" spans="1:26" x14ac:dyDescent="0.2">
      <c r="A106" t="s">
        <v>224</v>
      </c>
      <c r="B106" t="s">
        <v>52</v>
      </c>
      <c r="C106">
        <v>2009</v>
      </c>
      <c r="D106" t="s">
        <v>48</v>
      </c>
      <c r="E106" t="s">
        <v>39</v>
      </c>
      <c r="F106" t="s">
        <v>49</v>
      </c>
      <c r="G106">
        <v>74197</v>
      </c>
      <c r="H106">
        <v>59357.600000000006</v>
      </c>
      <c r="I106" s="13">
        <v>1</v>
      </c>
      <c r="J106" t="s">
        <v>6207</v>
      </c>
      <c r="K106">
        <v>2</v>
      </c>
      <c r="L106">
        <v>0</v>
      </c>
      <c r="M106" t="s">
        <v>0</v>
      </c>
      <c r="V106">
        <v>0</v>
      </c>
      <c r="W106">
        <v>2</v>
      </c>
      <c r="X106">
        <v>0</v>
      </c>
      <c r="Y106">
        <v>0</v>
      </c>
      <c r="Z106">
        <v>0</v>
      </c>
    </row>
    <row r="107" spans="1:26" x14ac:dyDescent="0.2">
      <c r="A107" t="s">
        <v>225</v>
      </c>
      <c r="B107" t="s">
        <v>41</v>
      </c>
      <c r="C107">
        <v>2009</v>
      </c>
      <c r="D107" t="s">
        <v>38</v>
      </c>
      <c r="E107" t="s">
        <v>40</v>
      </c>
      <c r="F107" t="s">
        <v>38</v>
      </c>
      <c r="G107">
        <v>29409</v>
      </c>
      <c r="H107">
        <v>23527.200000000001</v>
      </c>
      <c r="I107" s="13">
        <v>0.16666666666666666</v>
      </c>
      <c r="J107" t="s">
        <v>6207</v>
      </c>
      <c r="K107">
        <v>0</v>
      </c>
      <c r="L107">
        <v>0</v>
      </c>
      <c r="M107" t="s">
        <v>58</v>
      </c>
      <c r="V107">
        <v>3</v>
      </c>
      <c r="W107">
        <v>2</v>
      </c>
      <c r="X107">
        <v>1</v>
      </c>
      <c r="Y107">
        <v>0</v>
      </c>
      <c r="Z107">
        <v>0</v>
      </c>
    </row>
    <row r="108" spans="1:26" x14ac:dyDescent="0.2">
      <c r="A108" t="s">
        <v>226</v>
      </c>
      <c r="B108" t="s">
        <v>29</v>
      </c>
      <c r="C108">
        <v>2009</v>
      </c>
      <c r="D108" t="s">
        <v>23</v>
      </c>
      <c r="E108" t="s">
        <v>42</v>
      </c>
      <c r="F108" t="s">
        <v>20</v>
      </c>
      <c r="G108">
        <v>62500</v>
      </c>
      <c r="H108">
        <v>50000</v>
      </c>
      <c r="I108" s="13">
        <v>0.42857142857142855</v>
      </c>
      <c r="J108" t="s">
        <v>6208</v>
      </c>
      <c r="K108">
        <v>2</v>
      </c>
      <c r="L108">
        <v>1</v>
      </c>
      <c r="M108" t="s">
        <v>0</v>
      </c>
      <c r="V108">
        <v>2</v>
      </c>
      <c r="W108">
        <v>4</v>
      </c>
      <c r="X108">
        <v>0</v>
      </c>
      <c r="Y108">
        <v>1</v>
      </c>
      <c r="Z108">
        <v>1</v>
      </c>
    </row>
    <row r="109" spans="1:26" x14ac:dyDescent="0.2">
      <c r="A109" t="s">
        <v>227</v>
      </c>
      <c r="B109" t="s">
        <v>60</v>
      </c>
      <c r="C109">
        <v>2009</v>
      </c>
      <c r="D109" t="s">
        <v>51</v>
      </c>
      <c r="E109" t="s">
        <v>35</v>
      </c>
      <c r="F109" t="s">
        <v>20</v>
      </c>
      <c r="G109">
        <v>36284</v>
      </c>
      <c r="H109">
        <v>29027.200000000001</v>
      </c>
      <c r="I109" s="13">
        <v>0.66666666666666663</v>
      </c>
      <c r="J109" t="s">
        <v>6208</v>
      </c>
      <c r="K109">
        <v>2</v>
      </c>
      <c r="L109">
        <v>0</v>
      </c>
      <c r="M109" t="s">
        <v>0</v>
      </c>
      <c r="V109">
        <v>1</v>
      </c>
      <c r="W109">
        <v>2</v>
      </c>
      <c r="X109">
        <v>0</v>
      </c>
      <c r="Y109">
        <v>0</v>
      </c>
      <c r="Z109">
        <v>0</v>
      </c>
    </row>
    <row r="110" spans="1:26" x14ac:dyDescent="0.2">
      <c r="A110" t="s">
        <v>228</v>
      </c>
      <c r="B110" t="s">
        <v>59</v>
      </c>
      <c r="C110">
        <v>2009</v>
      </c>
      <c r="D110" t="s">
        <v>40</v>
      </c>
      <c r="E110" t="s">
        <v>28</v>
      </c>
      <c r="F110" t="s">
        <v>49</v>
      </c>
      <c r="G110">
        <v>53400</v>
      </c>
      <c r="H110">
        <v>42720</v>
      </c>
      <c r="I110" s="13">
        <v>0.25</v>
      </c>
      <c r="J110" t="s">
        <v>6206</v>
      </c>
      <c r="K110">
        <v>3</v>
      </c>
      <c r="L110">
        <v>3</v>
      </c>
      <c r="M110" t="s">
        <v>58</v>
      </c>
      <c r="V110">
        <v>1</v>
      </c>
      <c r="W110">
        <v>3</v>
      </c>
      <c r="X110">
        <v>0</v>
      </c>
      <c r="Y110">
        <v>0</v>
      </c>
      <c r="Z110">
        <v>0</v>
      </c>
    </row>
    <row r="111" spans="1:26" x14ac:dyDescent="0.2">
      <c r="A111" t="s">
        <v>229</v>
      </c>
      <c r="B111" t="s">
        <v>37</v>
      </c>
      <c r="C111">
        <v>2009</v>
      </c>
      <c r="D111" t="s">
        <v>39</v>
      </c>
      <c r="E111" t="s">
        <v>30</v>
      </c>
      <c r="F111" t="s">
        <v>39</v>
      </c>
      <c r="G111">
        <v>31367</v>
      </c>
      <c r="H111">
        <v>25093.600000000002</v>
      </c>
      <c r="I111" s="13">
        <v>0.66666666666666663</v>
      </c>
      <c r="J111" t="s">
        <v>6206</v>
      </c>
      <c r="K111">
        <v>3</v>
      </c>
      <c r="L111">
        <v>1</v>
      </c>
      <c r="M111" t="s">
        <v>0</v>
      </c>
      <c r="V111">
        <v>3</v>
      </c>
      <c r="W111">
        <v>3</v>
      </c>
      <c r="X111">
        <v>0</v>
      </c>
      <c r="Y111">
        <v>0</v>
      </c>
      <c r="Z111">
        <v>0</v>
      </c>
    </row>
    <row r="112" spans="1:26" x14ac:dyDescent="0.2">
      <c r="A112" t="s">
        <v>230</v>
      </c>
      <c r="B112" t="s">
        <v>44</v>
      </c>
      <c r="C112">
        <v>2009</v>
      </c>
      <c r="D112" t="s">
        <v>42</v>
      </c>
      <c r="E112" t="s">
        <v>34</v>
      </c>
      <c r="F112" t="s">
        <v>38</v>
      </c>
      <c r="G112">
        <v>42918</v>
      </c>
      <c r="H112">
        <v>34334.400000000001</v>
      </c>
      <c r="I112" s="13">
        <v>0.2</v>
      </c>
      <c r="J112" t="s">
        <v>6207</v>
      </c>
      <c r="K112">
        <v>5</v>
      </c>
      <c r="L112">
        <v>1</v>
      </c>
      <c r="M112" t="s">
        <v>0</v>
      </c>
      <c r="V112">
        <v>1</v>
      </c>
      <c r="W112">
        <v>4</v>
      </c>
      <c r="X112">
        <v>0</v>
      </c>
      <c r="Y112">
        <v>0</v>
      </c>
      <c r="Z112">
        <v>0</v>
      </c>
    </row>
    <row r="113" spans="1:26" x14ac:dyDescent="0.2">
      <c r="A113" t="s">
        <v>231</v>
      </c>
      <c r="B113" t="s">
        <v>29</v>
      </c>
      <c r="C113">
        <v>2009</v>
      </c>
      <c r="D113" t="s">
        <v>22</v>
      </c>
      <c r="E113" t="s">
        <v>46</v>
      </c>
      <c r="F113" t="s">
        <v>24</v>
      </c>
      <c r="G113">
        <v>31750</v>
      </c>
      <c r="H113">
        <v>25400</v>
      </c>
      <c r="I113" s="13">
        <v>0.6</v>
      </c>
      <c r="J113" t="s">
        <v>6208</v>
      </c>
      <c r="K113">
        <v>1</v>
      </c>
      <c r="L113">
        <v>4</v>
      </c>
      <c r="M113" t="s">
        <v>1</v>
      </c>
      <c r="V113">
        <v>2</v>
      </c>
      <c r="W113">
        <v>3</v>
      </c>
      <c r="X113">
        <v>0</v>
      </c>
      <c r="Y113">
        <v>0</v>
      </c>
      <c r="Z113">
        <v>0</v>
      </c>
    </row>
    <row r="114" spans="1:26" x14ac:dyDescent="0.2">
      <c r="A114" t="s">
        <v>232</v>
      </c>
      <c r="B114" t="s">
        <v>41</v>
      </c>
      <c r="C114">
        <v>2009</v>
      </c>
      <c r="D114" t="s">
        <v>19</v>
      </c>
      <c r="E114" t="s">
        <v>27</v>
      </c>
      <c r="F114" t="s">
        <v>19</v>
      </c>
      <c r="G114">
        <v>25586</v>
      </c>
      <c r="H114">
        <v>20468.800000000003</v>
      </c>
      <c r="I114" s="13">
        <v>0.66666666666666663</v>
      </c>
      <c r="J114" t="s">
        <v>6207</v>
      </c>
      <c r="K114">
        <v>2</v>
      </c>
      <c r="L114">
        <v>1</v>
      </c>
      <c r="M114" t="s">
        <v>0</v>
      </c>
      <c r="V114">
        <v>1</v>
      </c>
      <c r="W114">
        <v>4</v>
      </c>
      <c r="X114">
        <v>0</v>
      </c>
      <c r="Y114">
        <v>1</v>
      </c>
      <c r="Z114">
        <v>0</v>
      </c>
    </row>
    <row r="115" spans="1:26" x14ac:dyDescent="0.2">
      <c r="A115" t="s">
        <v>233</v>
      </c>
      <c r="B115" t="s">
        <v>52</v>
      </c>
      <c r="C115">
        <v>2009</v>
      </c>
      <c r="D115" t="s">
        <v>43</v>
      </c>
      <c r="E115" t="s">
        <v>31</v>
      </c>
      <c r="F115" t="s">
        <v>43</v>
      </c>
      <c r="G115">
        <v>25138</v>
      </c>
      <c r="H115">
        <v>20110.400000000001</v>
      </c>
      <c r="I115" s="13">
        <v>0.66666666666666663</v>
      </c>
      <c r="J115" t="s">
        <v>6207</v>
      </c>
      <c r="K115">
        <v>1</v>
      </c>
      <c r="L115">
        <v>1</v>
      </c>
      <c r="M115" t="s">
        <v>58</v>
      </c>
      <c r="V115">
        <v>2</v>
      </c>
      <c r="W115">
        <v>1</v>
      </c>
      <c r="X115">
        <v>0</v>
      </c>
      <c r="Y115">
        <v>0</v>
      </c>
      <c r="Z115">
        <v>1</v>
      </c>
    </row>
    <row r="116" spans="1:26" x14ac:dyDescent="0.2">
      <c r="A116" t="s">
        <v>234</v>
      </c>
      <c r="B116" t="s">
        <v>21</v>
      </c>
      <c r="C116">
        <v>2009</v>
      </c>
      <c r="D116" t="s">
        <v>23</v>
      </c>
      <c r="E116" t="s">
        <v>45</v>
      </c>
      <c r="F116" t="s">
        <v>20</v>
      </c>
      <c r="G116">
        <v>62500</v>
      </c>
      <c r="H116">
        <v>50000</v>
      </c>
      <c r="I116" s="13">
        <v>0.6</v>
      </c>
      <c r="J116" t="s">
        <v>6206</v>
      </c>
      <c r="K116">
        <v>1</v>
      </c>
      <c r="L116">
        <v>2</v>
      </c>
      <c r="M116" t="s">
        <v>1</v>
      </c>
      <c r="V116">
        <v>0</v>
      </c>
      <c r="W116">
        <v>5</v>
      </c>
      <c r="X116">
        <v>0</v>
      </c>
      <c r="Y116">
        <v>0</v>
      </c>
      <c r="Z116">
        <v>0</v>
      </c>
    </row>
    <row r="117" spans="1:26" x14ac:dyDescent="0.2">
      <c r="A117" t="s">
        <v>235</v>
      </c>
      <c r="B117" t="s">
        <v>32</v>
      </c>
      <c r="C117">
        <v>2009</v>
      </c>
      <c r="D117" t="s">
        <v>18</v>
      </c>
      <c r="E117" t="s">
        <v>48</v>
      </c>
      <c r="F117" t="s">
        <v>20</v>
      </c>
      <c r="G117">
        <v>40341</v>
      </c>
      <c r="H117">
        <v>32272.800000000003</v>
      </c>
      <c r="I117" s="13">
        <v>0.66666666666666663</v>
      </c>
      <c r="J117" t="s">
        <v>6207</v>
      </c>
      <c r="K117">
        <v>1</v>
      </c>
      <c r="L117">
        <v>0</v>
      </c>
      <c r="M117" t="s">
        <v>0</v>
      </c>
      <c r="V117">
        <v>3</v>
      </c>
      <c r="W117">
        <v>3</v>
      </c>
      <c r="X117">
        <v>0</v>
      </c>
      <c r="Y117">
        <v>0</v>
      </c>
      <c r="Z117">
        <v>0</v>
      </c>
    </row>
    <row r="118" spans="1:26" x14ac:dyDescent="0.2">
      <c r="A118" t="s">
        <v>236</v>
      </c>
      <c r="B118" t="s">
        <v>55</v>
      </c>
      <c r="C118">
        <v>2009</v>
      </c>
      <c r="D118" t="s">
        <v>26</v>
      </c>
      <c r="E118" t="s">
        <v>38</v>
      </c>
      <c r="F118" t="s">
        <v>26</v>
      </c>
      <c r="G118">
        <v>61276</v>
      </c>
      <c r="H118">
        <v>49020.800000000003</v>
      </c>
      <c r="I118" s="13">
        <v>0.33333333333333331</v>
      </c>
      <c r="J118" t="s">
        <v>6206</v>
      </c>
      <c r="K118">
        <v>2</v>
      </c>
      <c r="L118">
        <v>2</v>
      </c>
      <c r="M118" t="s">
        <v>58</v>
      </c>
      <c r="V118">
        <v>1</v>
      </c>
      <c r="W118">
        <v>2</v>
      </c>
      <c r="X118">
        <v>0</v>
      </c>
      <c r="Y118">
        <v>0</v>
      </c>
      <c r="Z118">
        <v>1</v>
      </c>
    </row>
    <row r="119" spans="1:26" x14ac:dyDescent="0.2">
      <c r="A119" t="s">
        <v>237</v>
      </c>
      <c r="B119" t="s">
        <v>52</v>
      </c>
      <c r="C119">
        <v>2009</v>
      </c>
      <c r="D119" t="s">
        <v>26</v>
      </c>
      <c r="E119" t="s">
        <v>40</v>
      </c>
      <c r="F119" t="s">
        <v>26</v>
      </c>
      <c r="G119">
        <v>61276</v>
      </c>
      <c r="H119">
        <v>49020.800000000003</v>
      </c>
      <c r="I119" s="13">
        <v>0.5</v>
      </c>
      <c r="J119" t="s">
        <v>6207</v>
      </c>
      <c r="K119">
        <v>2</v>
      </c>
      <c r="L119">
        <v>2</v>
      </c>
      <c r="M119" t="s">
        <v>58</v>
      </c>
      <c r="V119">
        <v>2</v>
      </c>
      <c r="W119">
        <v>0</v>
      </c>
      <c r="X119">
        <v>0</v>
      </c>
      <c r="Y119">
        <v>0</v>
      </c>
      <c r="Z119">
        <v>0</v>
      </c>
    </row>
    <row r="120" spans="1:26" x14ac:dyDescent="0.2">
      <c r="A120" t="s">
        <v>238</v>
      </c>
      <c r="B120" t="s">
        <v>21</v>
      </c>
      <c r="C120">
        <v>2009</v>
      </c>
      <c r="D120" t="s">
        <v>35</v>
      </c>
      <c r="E120" t="s">
        <v>46</v>
      </c>
      <c r="F120" t="s">
        <v>35</v>
      </c>
      <c r="G120">
        <v>49000</v>
      </c>
      <c r="H120">
        <v>39200</v>
      </c>
      <c r="I120" s="13">
        <v>0.33333333333333331</v>
      </c>
      <c r="J120" t="s">
        <v>6206</v>
      </c>
      <c r="K120">
        <v>1</v>
      </c>
      <c r="L120">
        <v>0</v>
      </c>
      <c r="M120" t="s">
        <v>0</v>
      </c>
      <c r="V120">
        <v>2</v>
      </c>
      <c r="W120">
        <v>1</v>
      </c>
      <c r="X120">
        <v>0</v>
      </c>
      <c r="Y120">
        <v>0</v>
      </c>
      <c r="Z120">
        <v>0</v>
      </c>
    </row>
    <row r="121" spans="1:26" x14ac:dyDescent="0.2">
      <c r="A121" t="s">
        <v>239</v>
      </c>
      <c r="B121" t="s">
        <v>44</v>
      </c>
      <c r="C121">
        <v>2009</v>
      </c>
      <c r="D121" t="s">
        <v>19</v>
      </c>
      <c r="E121" t="s">
        <v>23</v>
      </c>
      <c r="F121" t="s">
        <v>19</v>
      </c>
      <c r="G121">
        <v>25586</v>
      </c>
      <c r="H121">
        <v>20468.800000000003</v>
      </c>
      <c r="I121" s="13">
        <v>0.6</v>
      </c>
      <c r="J121" t="s">
        <v>6207</v>
      </c>
      <c r="K121">
        <v>3</v>
      </c>
      <c r="L121">
        <v>3</v>
      </c>
      <c r="M121" t="s">
        <v>58</v>
      </c>
      <c r="V121">
        <v>0</v>
      </c>
      <c r="W121">
        <v>4</v>
      </c>
      <c r="X121">
        <v>1</v>
      </c>
      <c r="Y121">
        <v>0</v>
      </c>
      <c r="Z121">
        <v>1</v>
      </c>
    </row>
    <row r="122" spans="1:26" x14ac:dyDescent="0.2">
      <c r="A122" t="s">
        <v>240</v>
      </c>
      <c r="B122" t="s">
        <v>50</v>
      </c>
      <c r="C122">
        <v>2009</v>
      </c>
      <c r="D122" t="s">
        <v>18</v>
      </c>
      <c r="E122" t="s">
        <v>22</v>
      </c>
      <c r="F122" t="s">
        <v>20</v>
      </c>
      <c r="G122">
        <v>40341</v>
      </c>
      <c r="H122">
        <v>32272.800000000003</v>
      </c>
      <c r="I122" s="13">
        <v>0.5</v>
      </c>
      <c r="J122" t="s">
        <v>6207</v>
      </c>
      <c r="K122">
        <v>4</v>
      </c>
      <c r="L122">
        <v>0</v>
      </c>
      <c r="M122" t="s">
        <v>0</v>
      </c>
      <c r="V122">
        <v>0</v>
      </c>
      <c r="W122">
        <v>2</v>
      </c>
      <c r="X122">
        <v>0</v>
      </c>
      <c r="Y122">
        <v>0</v>
      </c>
      <c r="Z122">
        <v>0</v>
      </c>
    </row>
    <row r="123" spans="1:26" x14ac:dyDescent="0.2">
      <c r="A123" t="s">
        <v>241</v>
      </c>
      <c r="B123" t="s">
        <v>56</v>
      </c>
      <c r="C123">
        <v>2009</v>
      </c>
      <c r="D123" t="s">
        <v>28</v>
      </c>
      <c r="E123" t="s">
        <v>42</v>
      </c>
      <c r="F123" t="s">
        <v>28</v>
      </c>
      <c r="G123">
        <v>21944</v>
      </c>
      <c r="H123">
        <v>17555.2</v>
      </c>
      <c r="I123" s="13">
        <v>0.66666666666666663</v>
      </c>
      <c r="J123" t="s">
        <v>6207</v>
      </c>
      <c r="K123">
        <v>1</v>
      </c>
      <c r="L123">
        <v>1</v>
      </c>
      <c r="M123" t="s">
        <v>58</v>
      </c>
      <c r="V123">
        <v>0</v>
      </c>
      <c r="W123">
        <v>3</v>
      </c>
      <c r="X123">
        <v>0</v>
      </c>
      <c r="Y123">
        <v>0</v>
      </c>
      <c r="Z123">
        <v>0</v>
      </c>
    </row>
    <row r="124" spans="1:26" x14ac:dyDescent="0.2">
      <c r="A124" t="s">
        <v>242</v>
      </c>
      <c r="B124" t="s">
        <v>25</v>
      </c>
      <c r="C124">
        <v>2009</v>
      </c>
      <c r="D124" t="s">
        <v>38</v>
      </c>
      <c r="E124" t="s">
        <v>31</v>
      </c>
      <c r="F124" t="s">
        <v>38</v>
      </c>
      <c r="G124">
        <v>29409</v>
      </c>
      <c r="H124">
        <v>23527.200000000001</v>
      </c>
      <c r="I124" s="13">
        <v>0</v>
      </c>
      <c r="J124" t="s">
        <v>6207</v>
      </c>
      <c r="K124">
        <v>1</v>
      </c>
      <c r="L124">
        <v>0</v>
      </c>
      <c r="M124" t="s">
        <v>0</v>
      </c>
      <c r="V124">
        <v>1</v>
      </c>
      <c r="W124">
        <v>0</v>
      </c>
      <c r="X124">
        <v>0</v>
      </c>
      <c r="Y124">
        <v>0</v>
      </c>
      <c r="Z124">
        <v>0</v>
      </c>
    </row>
    <row r="125" spans="1:26" x14ac:dyDescent="0.2">
      <c r="A125" t="s">
        <v>243</v>
      </c>
      <c r="B125" t="s">
        <v>29</v>
      </c>
      <c r="C125">
        <v>2009</v>
      </c>
      <c r="D125" t="s">
        <v>48</v>
      </c>
      <c r="E125" t="s">
        <v>45</v>
      </c>
      <c r="F125" t="s">
        <v>49</v>
      </c>
      <c r="G125">
        <v>74197</v>
      </c>
      <c r="H125">
        <v>59357.600000000006</v>
      </c>
      <c r="I125" s="13">
        <v>0.75</v>
      </c>
      <c r="J125" t="s">
        <v>6208</v>
      </c>
      <c r="K125">
        <v>3</v>
      </c>
      <c r="L125">
        <v>0</v>
      </c>
      <c r="M125" t="s">
        <v>0</v>
      </c>
      <c r="V125">
        <v>2</v>
      </c>
      <c r="W125">
        <v>2</v>
      </c>
      <c r="X125">
        <v>0</v>
      </c>
      <c r="Y125">
        <v>0</v>
      </c>
      <c r="Z125">
        <v>0</v>
      </c>
    </row>
    <row r="126" spans="1:26" x14ac:dyDescent="0.2">
      <c r="A126" t="s">
        <v>244</v>
      </c>
      <c r="B126" t="s">
        <v>41</v>
      </c>
      <c r="C126">
        <v>2009</v>
      </c>
      <c r="D126" t="s">
        <v>34</v>
      </c>
      <c r="E126" t="s">
        <v>39</v>
      </c>
      <c r="F126" t="s">
        <v>36</v>
      </c>
      <c r="G126">
        <v>28723</v>
      </c>
      <c r="H126">
        <v>22978.400000000001</v>
      </c>
      <c r="I126" s="13">
        <v>0.25</v>
      </c>
      <c r="J126" t="s">
        <v>6207</v>
      </c>
      <c r="K126">
        <v>0</v>
      </c>
      <c r="L126">
        <v>2</v>
      </c>
      <c r="M126" t="s">
        <v>1</v>
      </c>
      <c r="V126">
        <v>3</v>
      </c>
      <c r="W126">
        <v>1</v>
      </c>
      <c r="X126">
        <v>0</v>
      </c>
      <c r="Y126">
        <v>0</v>
      </c>
      <c r="Z126">
        <v>0</v>
      </c>
    </row>
    <row r="127" spans="1:26" x14ac:dyDescent="0.2">
      <c r="A127" t="s">
        <v>245</v>
      </c>
      <c r="B127" t="s">
        <v>55</v>
      </c>
      <c r="C127">
        <v>2009</v>
      </c>
      <c r="D127" t="s">
        <v>51</v>
      </c>
      <c r="E127" t="s">
        <v>43</v>
      </c>
      <c r="F127" t="s">
        <v>20</v>
      </c>
      <c r="G127">
        <v>36284</v>
      </c>
      <c r="H127">
        <v>29027.200000000001</v>
      </c>
      <c r="I127" s="13">
        <v>1</v>
      </c>
      <c r="J127" t="s">
        <v>6206</v>
      </c>
      <c r="K127">
        <v>9</v>
      </c>
      <c r="L127">
        <v>1</v>
      </c>
      <c r="M127" t="s">
        <v>0</v>
      </c>
      <c r="V127">
        <v>1</v>
      </c>
      <c r="W127">
        <v>0</v>
      </c>
      <c r="X127">
        <v>0</v>
      </c>
      <c r="Y127">
        <v>0</v>
      </c>
      <c r="Z127">
        <v>0</v>
      </c>
    </row>
    <row r="128" spans="1:26" x14ac:dyDescent="0.2">
      <c r="A128" t="s">
        <v>246</v>
      </c>
      <c r="B128" t="s">
        <v>60</v>
      </c>
      <c r="C128">
        <v>2009</v>
      </c>
      <c r="D128" t="s">
        <v>27</v>
      </c>
      <c r="E128" t="s">
        <v>30</v>
      </c>
      <c r="F128" t="s">
        <v>27</v>
      </c>
      <c r="G128">
        <v>30089</v>
      </c>
      <c r="H128">
        <v>24071.200000000001</v>
      </c>
      <c r="I128" s="13">
        <v>0</v>
      </c>
      <c r="J128" t="s">
        <v>6208</v>
      </c>
      <c r="K128">
        <v>1</v>
      </c>
      <c r="L128">
        <v>0</v>
      </c>
      <c r="M128" t="s">
        <v>0</v>
      </c>
      <c r="V128">
        <v>1</v>
      </c>
      <c r="W128">
        <v>2</v>
      </c>
      <c r="X128">
        <v>0</v>
      </c>
      <c r="Y128">
        <v>0</v>
      </c>
      <c r="Z128">
        <v>0</v>
      </c>
    </row>
    <row r="129" spans="1:26" x14ac:dyDescent="0.2">
      <c r="A129" t="s">
        <v>247</v>
      </c>
      <c r="B129" t="s">
        <v>32</v>
      </c>
      <c r="C129">
        <v>2009</v>
      </c>
      <c r="D129" t="s">
        <v>19</v>
      </c>
      <c r="E129" t="s">
        <v>45</v>
      </c>
      <c r="F129" t="s">
        <v>19</v>
      </c>
      <c r="G129">
        <v>25586</v>
      </c>
      <c r="H129">
        <v>20468.800000000003</v>
      </c>
      <c r="I129" s="13">
        <v>1</v>
      </c>
      <c r="J129" t="s">
        <v>6207</v>
      </c>
      <c r="K129">
        <v>3</v>
      </c>
      <c r="L129">
        <v>2</v>
      </c>
      <c r="M129" t="s">
        <v>0</v>
      </c>
      <c r="V129">
        <v>1</v>
      </c>
      <c r="W129">
        <v>4</v>
      </c>
      <c r="X129">
        <v>0</v>
      </c>
      <c r="Y129">
        <v>0</v>
      </c>
      <c r="Z129">
        <v>1</v>
      </c>
    </row>
    <row r="130" spans="1:26" x14ac:dyDescent="0.2">
      <c r="A130" t="s">
        <v>248</v>
      </c>
      <c r="B130" t="s">
        <v>59</v>
      </c>
      <c r="C130">
        <v>2009</v>
      </c>
      <c r="D130" t="s">
        <v>31</v>
      </c>
      <c r="E130" t="s">
        <v>39</v>
      </c>
      <c r="F130" t="s">
        <v>20</v>
      </c>
      <c r="G130">
        <v>28500</v>
      </c>
      <c r="H130">
        <v>22800</v>
      </c>
      <c r="I130" s="13">
        <v>0</v>
      </c>
      <c r="J130" t="s">
        <v>6206</v>
      </c>
      <c r="K130">
        <v>3</v>
      </c>
      <c r="L130">
        <v>0</v>
      </c>
      <c r="M130" t="s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">
      <c r="A131" t="s">
        <v>249</v>
      </c>
      <c r="B131" t="s">
        <v>32</v>
      </c>
      <c r="C131">
        <v>2009</v>
      </c>
      <c r="D131" t="s">
        <v>43</v>
      </c>
      <c r="E131" t="s">
        <v>35</v>
      </c>
      <c r="F131" t="s">
        <v>43</v>
      </c>
      <c r="G131">
        <v>25138</v>
      </c>
      <c r="H131">
        <v>20110.400000000001</v>
      </c>
      <c r="I131" s="13">
        <v>0.33333333333333331</v>
      </c>
      <c r="J131" t="s">
        <v>6207</v>
      </c>
      <c r="K131">
        <v>1</v>
      </c>
      <c r="L131">
        <v>0</v>
      </c>
      <c r="M131" t="s">
        <v>0</v>
      </c>
      <c r="V131">
        <v>0</v>
      </c>
      <c r="W131">
        <v>3</v>
      </c>
      <c r="X131">
        <v>0</v>
      </c>
      <c r="Y131">
        <v>0</v>
      </c>
      <c r="Z131">
        <v>0</v>
      </c>
    </row>
    <row r="132" spans="1:26" x14ac:dyDescent="0.2">
      <c r="A132" t="s">
        <v>250</v>
      </c>
      <c r="B132" t="s">
        <v>25</v>
      </c>
      <c r="C132">
        <v>2009</v>
      </c>
      <c r="D132" t="s">
        <v>23</v>
      </c>
      <c r="E132" t="s">
        <v>28</v>
      </c>
      <c r="F132" t="s">
        <v>20</v>
      </c>
      <c r="G132">
        <v>62500</v>
      </c>
      <c r="H132">
        <v>50000</v>
      </c>
      <c r="I132" s="13">
        <v>0.75</v>
      </c>
      <c r="J132" t="s">
        <v>6207</v>
      </c>
      <c r="K132">
        <v>5</v>
      </c>
      <c r="L132">
        <v>3</v>
      </c>
      <c r="M132" t="s">
        <v>0</v>
      </c>
      <c r="V132">
        <v>2</v>
      </c>
      <c r="W132">
        <v>1</v>
      </c>
      <c r="X132">
        <v>0</v>
      </c>
      <c r="Y132">
        <v>1</v>
      </c>
      <c r="Z132">
        <v>0</v>
      </c>
    </row>
    <row r="133" spans="1:26" x14ac:dyDescent="0.2">
      <c r="A133" t="s">
        <v>251</v>
      </c>
      <c r="B133" t="s">
        <v>41</v>
      </c>
      <c r="C133">
        <v>2009</v>
      </c>
      <c r="D133" t="s">
        <v>30</v>
      </c>
      <c r="E133" t="s">
        <v>48</v>
      </c>
      <c r="F133" t="s">
        <v>30</v>
      </c>
      <c r="G133">
        <v>20899</v>
      </c>
      <c r="H133">
        <v>16719.2</v>
      </c>
      <c r="I133" s="13">
        <v>0.5</v>
      </c>
      <c r="J133" t="s">
        <v>6207</v>
      </c>
      <c r="K133">
        <v>1</v>
      </c>
      <c r="L133">
        <v>4</v>
      </c>
      <c r="M133" t="s">
        <v>1</v>
      </c>
      <c r="V133">
        <v>5</v>
      </c>
      <c r="W133">
        <v>3</v>
      </c>
      <c r="X133">
        <v>0</v>
      </c>
      <c r="Y133">
        <v>0</v>
      </c>
      <c r="Z133">
        <v>3</v>
      </c>
    </row>
    <row r="134" spans="1:26" x14ac:dyDescent="0.2">
      <c r="A134" t="s">
        <v>252</v>
      </c>
      <c r="B134" t="s">
        <v>54</v>
      </c>
      <c r="C134">
        <v>2009</v>
      </c>
      <c r="D134" t="s">
        <v>40</v>
      </c>
      <c r="E134" t="s">
        <v>19</v>
      </c>
      <c r="F134" t="s">
        <v>49</v>
      </c>
      <c r="G134">
        <v>53400</v>
      </c>
      <c r="H134">
        <v>42720</v>
      </c>
      <c r="I134" s="13">
        <v>0.5</v>
      </c>
      <c r="J134" t="s">
        <v>6206</v>
      </c>
      <c r="K134">
        <v>1</v>
      </c>
      <c r="L134">
        <v>1</v>
      </c>
      <c r="M134" t="s">
        <v>58</v>
      </c>
      <c r="V134">
        <v>1</v>
      </c>
      <c r="W134">
        <v>3</v>
      </c>
      <c r="X134">
        <v>0</v>
      </c>
      <c r="Y134">
        <v>0</v>
      </c>
      <c r="Z134">
        <v>1</v>
      </c>
    </row>
    <row r="135" spans="1:26" x14ac:dyDescent="0.2">
      <c r="A135" t="s">
        <v>253</v>
      </c>
      <c r="B135" t="s">
        <v>29</v>
      </c>
      <c r="C135">
        <v>2009</v>
      </c>
      <c r="D135" t="s">
        <v>31</v>
      </c>
      <c r="E135" t="s">
        <v>34</v>
      </c>
      <c r="F135" t="s">
        <v>20</v>
      </c>
      <c r="G135">
        <v>28500</v>
      </c>
      <c r="H135">
        <v>22800</v>
      </c>
      <c r="I135" s="13">
        <v>0.5714285714285714</v>
      </c>
      <c r="J135" t="s">
        <v>6208</v>
      </c>
      <c r="K135">
        <v>1</v>
      </c>
      <c r="L135">
        <v>1</v>
      </c>
      <c r="M135" t="s">
        <v>58</v>
      </c>
      <c r="V135">
        <v>1</v>
      </c>
      <c r="W135">
        <v>6</v>
      </c>
      <c r="X135">
        <v>0</v>
      </c>
      <c r="Y135">
        <v>0</v>
      </c>
      <c r="Z135">
        <v>0</v>
      </c>
    </row>
    <row r="136" spans="1:26" x14ac:dyDescent="0.2">
      <c r="A136" t="s">
        <v>254</v>
      </c>
      <c r="B136" t="s">
        <v>56</v>
      </c>
      <c r="C136">
        <v>2009</v>
      </c>
      <c r="D136" t="s">
        <v>39</v>
      </c>
      <c r="E136" t="s">
        <v>27</v>
      </c>
      <c r="F136" t="s">
        <v>39</v>
      </c>
      <c r="G136">
        <v>31367</v>
      </c>
      <c r="H136">
        <v>25093.600000000002</v>
      </c>
      <c r="I136" s="13">
        <v>0.33333333333333331</v>
      </c>
      <c r="J136" t="s">
        <v>6207</v>
      </c>
      <c r="K136">
        <v>0</v>
      </c>
      <c r="L136">
        <v>0</v>
      </c>
      <c r="M136" t="s">
        <v>58</v>
      </c>
      <c r="V136">
        <v>1</v>
      </c>
      <c r="W136">
        <v>2</v>
      </c>
      <c r="X136">
        <v>0</v>
      </c>
      <c r="Y136">
        <v>0</v>
      </c>
      <c r="Z136">
        <v>0</v>
      </c>
    </row>
    <row r="137" spans="1:26" x14ac:dyDescent="0.2">
      <c r="A137" t="s">
        <v>255</v>
      </c>
      <c r="B137" t="s">
        <v>52</v>
      </c>
      <c r="C137">
        <v>2009</v>
      </c>
      <c r="D137" t="s">
        <v>42</v>
      </c>
      <c r="E137" t="s">
        <v>51</v>
      </c>
      <c r="F137" t="s">
        <v>38</v>
      </c>
      <c r="G137">
        <v>42918</v>
      </c>
      <c r="H137">
        <v>34334.400000000001</v>
      </c>
      <c r="I137" s="13">
        <v>0</v>
      </c>
      <c r="J137" t="s">
        <v>6207</v>
      </c>
      <c r="K137">
        <v>1</v>
      </c>
      <c r="L137">
        <v>1</v>
      </c>
      <c r="M137" t="s">
        <v>58</v>
      </c>
      <c r="V137">
        <v>0</v>
      </c>
      <c r="W137">
        <v>1</v>
      </c>
      <c r="X137">
        <v>0</v>
      </c>
      <c r="Y137">
        <v>0</v>
      </c>
      <c r="Z137">
        <v>0</v>
      </c>
    </row>
    <row r="138" spans="1:26" x14ac:dyDescent="0.2">
      <c r="A138" t="s">
        <v>256</v>
      </c>
      <c r="B138" t="s">
        <v>44</v>
      </c>
      <c r="C138">
        <v>2009</v>
      </c>
      <c r="D138" t="s">
        <v>22</v>
      </c>
      <c r="E138" t="s">
        <v>38</v>
      </c>
      <c r="F138" t="s">
        <v>24</v>
      </c>
      <c r="G138">
        <v>31750</v>
      </c>
      <c r="H138">
        <v>25400</v>
      </c>
      <c r="I138" s="13">
        <v>0</v>
      </c>
      <c r="J138" t="s">
        <v>6207</v>
      </c>
      <c r="K138">
        <v>0</v>
      </c>
      <c r="L138">
        <v>1</v>
      </c>
      <c r="M138" t="s">
        <v>1</v>
      </c>
      <c r="V138">
        <v>2</v>
      </c>
      <c r="W138">
        <v>1</v>
      </c>
      <c r="X138">
        <v>0</v>
      </c>
      <c r="Y138">
        <v>0</v>
      </c>
      <c r="Z138">
        <v>0</v>
      </c>
    </row>
    <row r="139" spans="1:26" x14ac:dyDescent="0.2">
      <c r="A139" t="s">
        <v>257</v>
      </c>
      <c r="B139" t="s">
        <v>21</v>
      </c>
      <c r="C139">
        <v>2009</v>
      </c>
      <c r="D139" t="s">
        <v>45</v>
      </c>
      <c r="E139" t="s">
        <v>26</v>
      </c>
      <c r="F139" t="s">
        <v>26</v>
      </c>
      <c r="G139">
        <v>39572</v>
      </c>
      <c r="H139">
        <v>31657.600000000002</v>
      </c>
      <c r="I139" s="13">
        <v>1</v>
      </c>
      <c r="J139" t="s">
        <v>6206</v>
      </c>
      <c r="K139">
        <v>0</v>
      </c>
      <c r="L139">
        <v>2</v>
      </c>
      <c r="M139" t="s">
        <v>1</v>
      </c>
      <c r="V139">
        <v>1</v>
      </c>
      <c r="W139">
        <v>0</v>
      </c>
      <c r="X139">
        <v>0</v>
      </c>
      <c r="Y139">
        <v>0</v>
      </c>
      <c r="Z139">
        <v>0</v>
      </c>
    </row>
    <row r="140" spans="1:26" x14ac:dyDescent="0.2">
      <c r="A140" t="s">
        <v>258</v>
      </c>
      <c r="B140" t="s">
        <v>37</v>
      </c>
      <c r="C140">
        <v>2009</v>
      </c>
      <c r="D140" t="s">
        <v>46</v>
      </c>
      <c r="E140" t="s">
        <v>18</v>
      </c>
      <c r="F140" t="s">
        <v>20</v>
      </c>
      <c r="G140">
        <v>60704</v>
      </c>
      <c r="H140">
        <v>48563.200000000004</v>
      </c>
      <c r="I140" s="13">
        <v>1</v>
      </c>
      <c r="J140" t="s">
        <v>6206</v>
      </c>
      <c r="K140">
        <v>0</v>
      </c>
      <c r="L140">
        <v>3</v>
      </c>
      <c r="M140" t="s">
        <v>1</v>
      </c>
      <c r="V140">
        <v>2</v>
      </c>
      <c r="W140">
        <v>2</v>
      </c>
      <c r="X140">
        <v>0</v>
      </c>
      <c r="Y140">
        <v>0</v>
      </c>
      <c r="Z140">
        <v>0</v>
      </c>
    </row>
    <row r="141" spans="1:26" x14ac:dyDescent="0.2">
      <c r="A141" t="s">
        <v>259</v>
      </c>
      <c r="B141" t="s">
        <v>52</v>
      </c>
      <c r="C141">
        <v>2009</v>
      </c>
      <c r="D141" t="s">
        <v>30</v>
      </c>
      <c r="E141" t="s">
        <v>28</v>
      </c>
      <c r="F141" t="s">
        <v>30</v>
      </c>
      <c r="G141">
        <v>20899</v>
      </c>
      <c r="H141">
        <v>16719.2</v>
      </c>
      <c r="I141" s="13">
        <v>0.66666666666666663</v>
      </c>
      <c r="J141" t="s">
        <v>6207</v>
      </c>
      <c r="K141">
        <v>2</v>
      </c>
      <c r="L141">
        <v>0</v>
      </c>
      <c r="M141" t="s">
        <v>0</v>
      </c>
      <c r="V141">
        <v>4</v>
      </c>
      <c r="W141">
        <v>2</v>
      </c>
      <c r="X141">
        <v>0</v>
      </c>
      <c r="Y141">
        <v>0</v>
      </c>
      <c r="Z141">
        <v>0</v>
      </c>
    </row>
    <row r="142" spans="1:26" x14ac:dyDescent="0.2">
      <c r="A142" t="s">
        <v>260</v>
      </c>
      <c r="B142" t="s">
        <v>25</v>
      </c>
      <c r="C142">
        <v>2009</v>
      </c>
      <c r="D142" t="s">
        <v>22</v>
      </c>
      <c r="E142" t="s">
        <v>34</v>
      </c>
      <c r="F142" t="s">
        <v>24</v>
      </c>
      <c r="G142">
        <v>31750</v>
      </c>
      <c r="H142">
        <v>25400</v>
      </c>
      <c r="I142" s="13">
        <v>0.33333333333333331</v>
      </c>
      <c r="J142" t="s">
        <v>6207</v>
      </c>
      <c r="K142">
        <v>2</v>
      </c>
      <c r="L142">
        <v>1</v>
      </c>
      <c r="M142" t="s">
        <v>0</v>
      </c>
      <c r="V142">
        <v>2</v>
      </c>
      <c r="W142">
        <v>1</v>
      </c>
      <c r="X142">
        <v>0</v>
      </c>
      <c r="Y142">
        <v>0</v>
      </c>
      <c r="Z142">
        <v>0</v>
      </c>
    </row>
    <row r="143" spans="1:26" x14ac:dyDescent="0.2">
      <c r="A143" t="s">
        <v>261</v>
      </c>
      <c r="B143" t="s">
        <v>54</v>
      </c>
      <c r="C143">
        <v>2009</v>
      </c>
      <c r="D143" t="s">
        <v>43</v>
      </c>
      <c r="E143" t="s">
        <v>38</v>
      </c>
      <c r="F143" t="s">
        <v>43</v>
      </c>
      <c r="G143">
        <v>25138</v>
      </c>
      <c r="H143">
        <v>20110.400000000001</v>
      </c>
      <c r="I143" s="13">
        <v>1</v>
      </c>
      <c r="J143" t="s">
        <v>6206</v>
      </c>
      <c r="K143">
        <v>2</v>
      </c>
      <c r="L143">
        <v>3</v>
      </c>
      <c r="M143" t="s">
        <v>1</v>
      </c>
      <c r="V143">
        <v>1</v>
      </c>
      <c r="W143">
        <v>1</v>
      </c>
      <c r="X143">
        <v>0</v>
      </c>
      <c r="Y143">
        <v>0</v>
      </c>
      <c r="Z143">
        <v>0</v>
      </c>
    </row>
    <row r="144" spans="1:26" x14ac:dyDescent="0.2">
      <c r="A144" t="s">
        <v>262</v>
      </c>
      <c r="B144" t="s">
        <v>55</v>
      </c>
      <c r="C144">
        <v>2009</v>
      </c>
      <c r="D144" t="s">
        <v>23</v>
      </c>
      <c r="E144" t="s">
        <v>48</v>
      </c>
      <c r="F144" t="s">
        <v>20</v>
      </c>
      <c r="G144">
        <v>62500</v>
      </c>
      <c r="H144">
        <v>50000</v>
      </c>
      <c r="I144" s="13">
        <v>0</v>
      </c>
      <c r="J144" t="s">
        <v>6206</v>
      </c>
      <c r="K144">
        <v>0</v>
      </c>
      <c r="L144">
        <v>4</v>
      </c>
      <c r="M144" t="s">
        <v>1</v>
      </c>
      <c r="V144">
        <v>0</v>
      </c>
      <c r="W144">
        <v>1</v>
      </c>
      <c r="X144">
        <v>0</v>
      </c>
      <c r="Y144">
        <v>0</v>
      </c>
      <c r="Z144">
        <v>0</v>
      </c>
    </row>
    <row r="145" spans="1:26" x14ac:dyDescent="0.2">
      <c r="A145" t="s">
        <v>263</v>
      </c>
      <c r="B145" t="s">
        <v>32</v>
      </c>
      <c r="C145">
        <v>2009</v>
      </c>
      <c r="D145" t="s">
        <v>39</v>
      </c>
      <c r="E145" t="s">
        <v>26</v>
      </c>
      <c r="F145" t="s">
        <v>39</v>
      </c>
      <c r="G145">
        <v>31367</v>
      </c>
      <c r="H145">
        <v>25093.600000000002</v>
      </c>
      <c r="I145" s="13">
        <v>1</v>
      </c>
      <c r="J145" t="s">
        <v>6207</v>
      </c>
      <c r="K145">
        <v>0</v>
      </c>
      <c r="L145">
        <v>0</v>
      </c>
      <c r="M145" t="s">
        <v>58</v>
      </c>
      <c r="V145">
        <v>1</v>
      </c>
      <c r="W145">
        <v>0</v>
      </c>
      <c r="X145">
        <v>0</v>
      </c>
      <c r="Y145">
        <v>0</v>
      </c>
      <c r="Z145">
        <v>0</v>
      </c>
    </row>
    <row r="146" spans="1:26" x14ac:dyDescent="0.2">
      <c r="A146" t="s">
        <v>264</v>
      </c>
      <c r="B146" t="s">
        <v>59</v>
      </c>
      <c r="C146">
        <v>2009</v>
      </c>
      <c r="D146" t="s">
        <v>42</v>
      </c>
      <c r="E146" t="s">
        <v>19</v>
      </c>
      <c r="F146" t="s">
        <v>38</v>
      </c>
      <c r="G146">
        <v>42918</v>
      </c>
      <c r="H146">
        <v>34334.400000000001</v>
      </c>
      <c r="I146" s="13">
        <v>0.2857142857142857</v>
      </c>
      <c r="J146" t="s">
        <v>6206</v>
      </c>
      <c r="K146">
        <v>3</v>
      </c>
      <c r="L146">
        <v>0</v>
      </c>
      <c r="M146" t="s">
        <v>0</v>
      </c>
      <c r="V146">
        <v>4</v>
      </c>
      <c r="W146">
        <v>3</v>
      </c>
      <c r="X146">
        <v>0</v>
      </c>
      <c r="Y146">
        <v>0</v>
      </c>
      <c r="Z146">
        <v>1</v>
      </c>
    </row>
    <row r="147" spans="1:26" x14ac:dyDescent="0.2">
      <c r="A147" t="s">
        <v>265</v>
      </c>
      <c r="B147" t="s">
        <v>44</v>
      </c>
      <c r="C147">
        <v>2009</v>
      </c>
      <c r="D147" t="s">
        <v>46</v>
      </c>
      <c r="E147" t="s">
        <v>27</v>
      </c>
      <c r="F147" t="s">
        <v>20</v>
      </c>
      <c r="G147">
        <v>60704</v>
      </c>
      <c r="H147">
        <v>48563.200000000004</v>
      </c>
      <c r="I147" s="13">
        <v>0</v>
      </c>
      <c r="J147" t="s">
        <v>6207</v>
      </c>
      <c r="K147">
        <v>2</v>
      </c>
      <c r="L147">
        <v>0</v>
      </c>
      <c r="M147" t="s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">
      <c r="A148" t="s">
        <v>266</v>
      </c>
      <c r="B148" t="s">
        <v>56</v>
      </c>
      <c r="C148">
        <v>2009</v>
      </c>
      <c r="D148" t="s">
        <v>40</v>
      </c>
      <c r="E148" t="s">
        <v>18</v>
      </c>
      <c r="F148" t="s">
        <v>49</v>
      </c>
      <c r="G148">
        <v>53400</v>
      </c>
      <c r="H148">
        <v>42720</v>
      </c>
      <c r="I148" s="13">
        <v>0.5714285714285714</v>
      </c>
      <c r="J148" t="s">
        <v>6207</v>
      </c>
      <c r="K148">
        <v>2</v>
      </c>
      <c r="L148">
        <v>1</v>
      </c>
      <c r="M148" t="s">
        <v>0</v>
      </c>
      <c r="V148">
        <v>1</v>
      </c>
      <c r="W148">
        <v>6</v>
      </c>
      <c r="X148">
        <v>0</v>
      </c>
      <c r="Y148">
        <v>0</v>
      </c>
      <c r="Z148">
        <v>0</v>
      </c>
    </row>
    <row r="149" spans="1:26" x14ac:dyDescent="0.2">
      <c r="A149" t="s">
        <v>267</v>
      </c>
      <c r="B149" t="s">
        <v>41</v>
      </c>
      <c r="C149">
        <v>2009</v>
      </c>
      <c r="D149" t="s">
        <v>31</v>
      </c>
      <c r="E149" t="s">
        <v>35</v>
      </c>
      <c r="F149" t="s">
        <v>20</v>
      </c>
      <c r="G149">
        <v>28500</v>
      </c>
      <c r="H149">
        <v>22800</v>
      </c>
      <c r="I149" s="13">
        <v>0.33333333333333331</v>
      </c>
      <c r="J149" t="s">
        <v>6207</v>
      </c>
      <c r="K149">
        <v>1</v>
      </c>
      <c r="L149">
        <v>0</v>
      </c>
      <c r="M149" t="s">
        <v>0</v>
      </c>
      <c r="V149">
        <v>1</v>
      </c>
      <c r="W149">
        <v>2</v>
      </c>
      <c r="X149">
        <v>0</v>
      </c>
      <c r="Y149">
        <v>0</v>
      </c>
      <c r="Z149">
        <v>0</v>
      </c>
    </row>
    <row r="150" spans="1:26" x14ac:dyDescent="0.2">
      <c r="A150" t="s">
        <v>268</v>
      </c>
      <c r="B150" t="s">
        <v>37</v>
      </c>
      <c r="C150">
        <v>2009</v>
      </c>
      <c r="D150" t="s">
        <v>45</v>
      </c>
      <c r="E150" t="s">
        <v>51</v>
      </c>
      <c r="F150" t="s">
        <v>26</v>
      </c>
      <c r="G150">
        <v>39572</v>
      </c>
      <c r="H150">
        <v>31657.600000000002</v>
      </c>
      <c r="I150" s="13">
        <v>0.25</v>
      </c>
      <c r="J150" t="s">
        <v>6206</v>
      </c>
      <c r="K150">
        <v>2</v>
      </c>
      <c r="L150">
        <v>2</v>
      </c>
      <c r="M150" t="s">
        <v>58</v>
      </c>
      <c r="V150">
        <v>4</v>
      </c>
      <c r="W150">
        <v>4</v>
      </c>
      <c r="X150">
        <v>0</v>
      </c>
      <c r="Y150">
        <v>0</v>
      </c>
      <c r="Z150">
        <v>0</v>
      </c>
    </row>
    <row r="151" spans="1:26" x14ac:dyDescent="0.2">
      <c r="A151" t="s">
        <v>269</v>
      </c>
      <c r="B151" t="s">
        <v>41</v>
      </c>
      <c r="C151">
        <v>2009</v>
      </c>
      <c r="D151" t="s">
        <v>27</v>
      </c>
      <c r="E151" t="s">
        <v>43</v>
      </c>
      <c r="F151" t="s">
        <v>27</v>
      </c>
      <c r="G151">
        <v>30089</v>
      </c>
      <c r="H151">
        <v>24071.200000000001</v>
      </c>
      <c r="I151" s="13">
        <v>0.83333333333333337</v>
      </c>
      <c r="J151" t="s">
        <v>6207</v>
      </c>
      <c r="K151">
        <v>2</v>
      </c>
      <c r="L151">
        <v>2</v>
      </c>
      <c r="M151" t="s">
        <v>58</v>
      </c>
      <c r="V151">
        <v>5</v>
      </c>
      <c r="W151">
        <v>1</v>
      </c>
      <c r="X151">
        <v>0</v>
      </c>
      <c r="Y151">
        <v>0</v>
      </c>
      <c r="Z151">
        <v>0</v>
      </c>
    </row>
    <row r="152" spans="1:26" x14ac:dyDescent="0.2">
      <c r="A152" t="s">
        <v>270</v>
      </c>
      <c r="B152" t="s">
        <v>59</v>
      </c>
      <c r="C152">
        <v>2009</v>
      </c>
      <c r="D152" t="s">
        <v>51</v>
      </c>
      <c r="E152" t="s">
        <v>22</v>
      </c>
      <c r="F152" t="s">
        <v>20</v>
      </c>
      <c r="G152">
        <v>36284</v>
      </c>
      <c r="H152">
        <v>29027.200000000001</v>
      </c>
      <c r="I152" s="13">
        <v>0.6</v>
      </c>
      <c r="J152" t="s">
        <v>6206</v>
      </c>
      <c r="K152">
        <v>0</v>
      </c>
      <c r="L152">
        <v>1</v>
      </c>
      <c r="M152" t="s">
        <v>1</v>
      </c>
      <c r="V152">
        <v>0</v>
      </c>
      <c r="W152">
        <v>5</v>
      </c>
      <c r="X152">
        <v>0</v>
      </c>
      <c r="Y152">
        <v>0</v>
      </c>
      <c r="Z152">
        <v>0</v>
      </c>
    </row>
    <row r="153" spans="1:26" x14ac:dyDescent="0.2">
      <c r="A153" t="s">
        <v>271</v>
      </c>
      <c r="B153" t="s">
        <v>29</v>
      </c>
      <c r="C153">
        <v>2009</v>
      </c>
      <c r="D153" t="s">
        <v>35</v>
      </c>
      <c r="E153" t="s">
        <v>30</v>
      </c>
      <c r="F153" t="s">
        <v>35</v>
      </c>
      <c r="G153">
        <v>49000</v>
      </c>
      <c r="H153">
        <v>39200</v>
      </c>
      <c r="I153" s="13">
        <v>0.375</v>
      </c>
      <c r="J153" t="s">
        <v>6208</v>
      </c>
      <c r="K153">
        <v>1</v>
      </c>
      <c r="L153">
        <v>1</v>
      </c>
      <c r="M153" t="s">
        <v>58</v>
      </c>
      <c r="V153">
        <v>4</v>
      </c>
      <c r="W153">
        <v>3</v>
      </c>
      <c r="X153">
        <v>0</v>
      </c>
      <c r="Y153">
        <v>1</v>
      </c>
      <c r="Z153">
        <v>0</v>
      </c>
    </row>
    <row r="154" spans="1:26" x14ac:dyDescent="0.2">
      <c r="A154" t="s">
        <v>272</v>
      </c>
      <c r="B154" t="s">
        <v>25</v>
      </c>
      <c r="C154">
        <v>2009</v>
      </c>
      <c r="D154" t="s">
        <v>19</v>
      </c>
      <c r="E154" t="s">
        <v>39</v>
      </c>
      <c r="F154" t="s">
        <v>19</v>
      </c>
      <c r="G154">
        <v>25586</v>
      </c>
      <c r="H154">
        <v>20468.800000000003</v>
      </c>
      <c r="I154" s="13">
        <v>0.66666666666666663</v>
      </c>
      <c r="J154" t="s">
        <v>6207</v>
      </c>
      <c r="K154">
        <v>0</v>
      </c>
      <c r="L154">
        <v>0</v>
      </c>
      <c r="M154" t="s">
        <v>58</v>
      </c>
      <c r="V154">
        <v>1</v>
      </c>
      <c r="W154">
        <v>2</v>
      </c>
      <c r="X154">
        <v>0</v>
      </c>
      <c r="Y154">
        <v>0</v>
      </c>
      <c r="Z154">
        <v>0</v>
      </c>
    </row>
    <row r="155" spans="1:26" x14ac:dyDescent="0.2">
      <c r="A155" t="s">
        <v>273</v>
      </c>
      <c r="B155" t="s">
        <v>52</v>
      </c>
      <c r="C155">
        <v>2009</v>
      </c>
      <c r="D155" t="s">
        <v>18</v>
      </c>
      <c r="E155" t="s">
        <v>45</v>
      </c>
      <c r="F155" t="s">
        <v>20</v>
      </c>
      <c r="G155">
        <v>40341</v>
      </c>
      <c r="H155">
        <v>32272.800000000003</v>
      </c>
      <c r="I155" s="13">
        <v>1</v>
      </c>
      <c r="J155" t="s">
        <v>6207</v>
      </c>
      <c r="K155">
        <v>3</v>
      </c>
      <c r="L155">
        <v>3</v>
      </c>
      <c r="M155" t="s">
        <v>58</v>
      </c>
      <c r="V155">
        <v>0</v>
      </c>
      <c r="W155">
        <v>1</v>
      </c>
      <c r="X155">
        <v>0</v>
      </c>
      <c r="Y155">
        <v>0</v>
      </c>
      <c r="Z155">
        <v>0</v>
      </c>
    </row>
    <row r="156" spans="1:26" x14ac:dyDescent="0.2">
      <c r="A156" t="s">
        <v>274</v>
      </c>
      <c r="B156" t="s">
        <v>53</v>
      </c>
      <c r="C156">
        <v>2009</v>
      </c>
      <c r="D156" t="s">
        <v>28</v>
      </c>
      <c r="E156" t="s">
        <v>31</v>
      </c>
      <c r="F156" t="s">
        <v>28</v>
      </c>
      <c r="G156">
        <v>21944</v>
      </c>
      <c r="H156">
        <v>17555.2</v>
      </c>
      <c r="I156" s="13">
        <v>0</v>
      </c>
      <c r="J156" t="s">
        <v>6207</v>
      </c>
      <c r="K156">
        <v>1</v>
      </c>
      <c r="L156">
        <v>1</v>
      </c>
      <c r="M156" t="s">
        <v>58</v>
      </c>
      <c r="V156">
        <v>0</v>
      </c>
      <c r="W156">
        <v>2</v>
      </c>
      <c r="X156">
        <v>0</v>
      </c>
      <c r="Y156">
        <v>0</v>
      </c>
      <c r="Z156">
        <v>0</v>
      </c>
    </row>
    <row r="157" spans="1:26" x14ac:dyDescent="0.2">
      <c r="A157" t="s">
        <v>275</v>
      </c>
      <c r="B157" t="s">
        <v>44</v>
      </c>
      <c r="C157">
        <v>2009</v>
      </c>
      <c r="D157" t="s">
        <v>34</v>
      </c>
      <c r="E157" t="s">
        <v>40</v>
      </c>
      <c r="F157" t="s">
        <v>36</v>
      </c>
      <c r="G157">
        <v>28723</v>
      </c>
      <c r="H157">
        <v>22978.400000000001</v>
      </c>
      <c r="I157" s="13">
        <v>0.5</v>
      </c>
      <c r="J157" t="s">
        <v>6207</v>
      </c>
      <c r="K157">
        <v>3</v>
      </c>
      <c r="L157">
        <v>3</v>
      </c>
      <c r="M157" t="s">
        <v>58</v>
      </c>
      <c r="V157">
        <v>3</v>
      </c>
      <c r="W157">
        <v>2</v>
      </c>
      <c r="X157">
        <v>0</v>
      </c>
      <c r="Y157">
        <v>1</v>
      </c>
      <c r="Z157">
        <v>0</v>
      </c>
    </row>
    <row r="158" spans="1:26" x14ac:dyDescent="0.2">
      <c r="A158" t="s">
        <v>276</v>
      </c>
      <c r="B158" t="s">
        <v>50</v>
      </c>
      <c r="C158">
        <v>2009</v>
      </c>
      <c r="D158" t="s">
        <v>38</v>
      </c>
      <c r="E158" t="s">
        <v>23</v>
      </c>
      <c r="F158" t="s">
        <v>38</v>
      </c>
      <c r="G158">
        <v>29409</v>
      </c>
      <c r="H158">
        <v>23527.200000000001</v>
      </c>
      <c r="I158" s="13">
        <v>0.42857142857142855</v>
      </c>
      <c r="J158" t="s">
        <v>6207</v>
      </c>
      <c r="K158">
        <v>1</v>
      </c>
      <c r="L158">
        <v>0</v>
      </c>
      <c r="M158" t="s">
        <v>0</v>
      </c>
      <c r="V158">
        <v>3</v>
      </c>
      <c r="W158">
        <v>3</v>
      </c>
      <c r="X158">
        <v>0</v>
      </c>
      <c r="Y158">
        <v>1</v>
      </c>
      <c r="Z158">
        <v>0</v>
      </c>
    </row>
    <row r="159" spans="1:26" x14ac:dyDescent="0.2">
      <c r="A159" t="s">
        <v>277</v>
      </c>
      <c r="B159" t="s">
        <v>32</v>
      </c>
      <c r="C159">
        <v>2009</v>
      </c>
      <c r="D159" t="s">
        <v>48</v>
      </c>
      <c r="E159" t="s">
        <v>42</v>
      </c>
      <c r="F159" t="s">
        <v>49</v>
      </c>
      <c r="G159">
        <v>74197</v>
      </c>
      <c r="H159">
        <v>59357.600000000006</v>
      </c>
      <c r="I159" s="13">
        <v>0</v>
      </c>
      <c r="J159" t="s">
        <v>6207</v>
      </c>
      <c r="K159">
        <v>0</v>
      </c>
      <c r="L159">
        <v>1</v>
      </c>
      <c r="M159" t="s">
        <v>1</v>
      </c>
      <c r="V159">
        <v>1</v>
      </c>
      <c r="W159">
        <v>1</v>
      </c>
      <c r="X159">
        <v>0</v>
      </c>
      <c r="Y159">
        <v>0</v>
      </c>
      <c r="Z159">
        <v>0</v>
      </c>
    </row>
    <row r="160" spans="1:26" x14ac:dyDescent="0.2">
      <c r="A160" t="s">
        <v>278</v>
      </c>
      <c r="B160" t="s">
        <v>56</v>
      </c>
      <c r="C160">
        <v>2009</v>
      </c>
      <c r="D160" t="s">
        <v>26</v>
      </c>
      <c r="E160" t="s">
        <v>46</v>
      </c>
      <c r="F160" t="s">
        <v>26</v>
      </c>
      <c r="G160">
        <v>61276</v>
      </c>
      <c r="H160">
        <v>49020.800000000003</v>
      </c>
      <c r="I160" s="13">
        <v>1</v>
      </c>
      <c r="J160" t="s">
        <v>6207</v>
      </c>
      <c r="K160">
        <v>1</v>
      </c>
      <c r="L160">
        <v>2</v>
      </c>
      <c r="M160" t="s">
        <v>1</v>
      </c>
      <c r="V160">
        <v>3</v>
      </c>
      <c r="W160">
        <v>3</v>
      </c>
      <c r="X160">
        <v>0</v>
      </c>
      <c r="Y160">
        <v>0</v>
      </c>
      <c r="Z160">
        <v>0</v>
      </c>
    </row>
    <row r="161" spans="1:26" x14ac:dyDescent="0.2">
      <c r="A161" t="s">
        <v>279</v>
      </c>
      <c r="B161" t="s">
        <v>60</v>
      </c>
      <c r="C161">
        <v>2009</v>
      </c>
      <c r="D161" t="s">
        <v>35</v>
      </c>
      <c r="E161" t="s">
        <v>42</v>
      </c>
      <c r="F161" t="s">
        <v>35</v>
      </c>
      <c r="G161">
        <v>49000</v>
      </c>
      <c r="H161">
        <v>39200</v>
      </c>
      <c r="I161" s="13">
        <v>0.2</v>
      </c>
      <c r="J161" t="s">
        <v>6208</v>
      </c>
      <c r="K161">
        <v>0</v>
      </c>
      <c r="L161">
        <v>2</v>
      </c>
      <c r="M161" t="s">
        <v>1</v>
      </c>
      <c r="V161">
        <v>2</v>
      </c>
      <c r="W161">
        <v>2</v>
      </c>
      <c r="X161">
        <v>1</v>
      </c>
      <c r="Y161">
        <v>0</v>
      </c>
      <c r="Z161">
        <v>0</v>
      </c>
    </row>
    <row r="162" spans="1:26" x14ac:dyDescent="0.2">
      <c r="A162" t="s">
        <v>280</v>
      </c>
      <c r="B162" t="s">
        <v>29</v>
      </c>
      <c r="C162">
        <v>2009</v>
      </c>
      <c r="D162" t="s">
        <v>48</v>
      </c>
      <c r="E162" t="s">
        <v>22</v>
      </c>
      <c r="F162" t="s">
        <v>49</v>
      </c>
      <c r="G162">
        <v>74197</v>
      </c>
      <c r="H162">
        <v>59357.600000000006</v>
      </c>
      <c r="I162" s="13">
        <v>1</v>
      </c>
      <c r="J162" t="s">
        <v>6208</v>
      </c>
      <c r="K162">
        <v>3</v>
      </c>
      <c r="L162">
        <v>0</v>
      </c>
      <c r="M162" t="s">
        <v>0</v>
      </c>
      <c r="V162">
        <v>1</v>
      </c>
      <c r="W162">
        <v>1</v>
      </c>
      <c r="X162">
        <v>0</v>
      </c>
      <c r="Y162">
        <v>0</v>
      </c>
      <c r="Z162">
        <v>1</v>
      </c>
    </row>
    <row r="163" spans="1:26" x14ac:dyDescent="0.2">
      <c r="A163" t="s">
        <v>281</v>
      </c>
      <c r="B163" t="s">
        <v>37</v>
      </c>
      <c r="C163">
        <v>2009</v>
      </c>
      <c r="D163" t="s">
        <v>34</v>
      </c>
      <c r="E163" t="s">
        <v>23</v>
      </c>
      <c r="F163" t="s">
        <v>36</v>
      </c>
      <c r="G163">
        <v>28723</v>
      </c>
      <c r="H163">
        <v>22978.400000000001</v>
      </c>
      <c r="I163" s="13">
        <v>0.6</v>
      </c>
      <c r="J163" t="s">
        <v>6206</v>
      </c>
      <c r="K163">
        <v>3</v>
      </c>
      <c r="L163">
        <v>1</v>
      </c>
      <c r="M163" t="s">
        <v>0</v>
      </c>
      <c r="V163">
        <v>4</v>
      </c>
      <c r="W163">
        <v>1</v>
      </c>
      <c r="X163">
        <v>0</v>
      </c>
      <c r="Y163">
        <v>0</v>
      </c>
      <c r="Z163">
        <v>0</v>
      </c>
    </row>
    <row r="164" spans="1:26" x14ac:dyDescent="0.2">
      <c r="A164" t="s">
        <v>282</v>
      </c>
      <c r="B164" t="s">
        <v>53</v>
      </c>
      <c r="C164">
        <v>2009</v>
      </c>
      <c r="D164" t="s">
        <v>38</v>
      </c>
      <c r="E164" t="s">
        <v>39</v>
      </c>
      <c r="F164" t="s">
        <v>38</v>
      </c>
      <c r="G164">
        <v>29409</v>
      </c>
      <c r="H164">
        <v>23527.200000000001</v>
      </c>
      <c r="I164" s="13">
        <v>0.5</v>
      </c>
      <c r="J164" t="s">
        <v>6207</v>
      </c>
      <c r="K164">
        <v>2</v>
      </c>
      <c r="L164">
        <v>1</v>
      </c>
      <c r="M164" t="s">
        <v>0</v>
      </c>
      <c r="V164">
        <v>2</v>
      </c>
      <c r="W164">
        <v>2</v>
      </c>
      <c r="X164">
        <v>0</v>
      </c>
      <c r="Y164">
        <v>0</v>
      </c>
      <c r="Z164">
        <v>0</v>
      </c>
    </row>
    <row r="165" spans="1:26" x14ac:dyDescent="0.2">
      <c r="A165" t="s">
        <v>283</v>
      </c>
      <c r="B165" t="s">
        <v>44</v>
      </c>
      <c r="C165">
        <v>2009</v>
      </c>
      <c r="D165" t="s">
        <v>18</v>
      </c>
      <c r="E165" t="s">
        <v>30</v>
      </c>
      <c r="F165" t="s">
        <v>20</v>
      </c>
      <c r="G165">
        <v>40341</v>
      </c>
      <c r="H165">
        <v>32272.800000000003</v>
      </c>
      <c r="I165" s="13">
        <v>0</v>
      </c>
      <c r="J165" t="s">
        <v>6207</v>
      </c>
      <c r="K165">
        <v>2</v>
      </c>
      <c r="L165">
        <v>1</v>
      </c>
      <c r="M165" t="s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 x14ac:dyDescent="0.2">
      <c r="A166" t="s">
        <v>284</v>
      </c>
      <c r="B166" t="s">
        <v>41</v>
      </c>
      <c r="C166">
        <v>2009</v>
      </c>
      <c r="D166" t="s">
        <v>28</v>
      </c>
      <c r="E166" t="s">
        <v>46</v>
      </c>
      <c r="F166" t="s">
        <v>28</v>
      </c>
      <c r="G166">
        <v>21944</v>
      </c>
      <c r="H166">
        <v>17555.2</v>
      </c>
      <c r="I166" s="13">
        <v>0</v>
      </c>
      <c r="J166" t="s">
        <v>6207</v>
      </c>
      <c r="K166">
        <v>1</v>
      </c>
      <c r="L166">
        <v>1</v>
      </c>
      <c r="M166" t="s">
        <v>58</v>
      </c>
      <c r="V166">
        <v>2</v>
      </c>
      <c r="W166">
        <v>0</v>
      </c>
      <c r="X166">
        <v>0</v>
      </c>
      <c r="Y166">
        <v>0</v>
      </c>
      <c r="Z166">
        <v>1</v>
      </c>
    </row>
    <row r="167" spans="1:26" x14ac:dyDescent="0.2">
      <c r="A167" t="s">
        <v>285</v>
      </c>
      <c r="B167" t="s">
        <v>21</v>
      </c>
      <c r="C167">
        <v>2009</v>
      </c>
      <c r="D167" t="s">
        <v>51</v>
      </c>
      <c r="E167" t="s">
        <v>40</v>
      </c>
      <c r="F167" t="s">
        <v>20</v>
      </c>
      <c r="G167">
        <v>36284</v>
      </c>
      <c r="H167">
        <v>29027.200000000001</v>
      </c>
      <c r="I167" s="13">
        <v>0.8</v>
      </c>
      <c r="J167" t="s">
        <v>6206</v>
      </c>
      <c r="K167">
        <v>3</v>
      </c>
      <c r="L167">
        <v>0</v>
      </c>
      <c r="M167" t="s">
        <v>0</v>
      </c>
      <c r="V167">
        <v>2</v>
      </c>
      <c r="W167">
        <v>3</v>
      </c>
      <c r="X167">
        <v>0</v>
      </c>
      <c r="Y167">
        <v>0</v>
      </c>
      <c r="Z167">
        <v>0</v>
      </c>
    </row>
    <row r="168" spans="1:26" x14ac:dyDescent="0.2">
      <c r="A168" t="s">
        <v>286</v>
      </c>
      <c r="B168" t="s">
        <v>52</v>
      </c>
      <c r="C168">
        <v>2009</v>
      </c>
      <c r="D168" t="s">
        <v>26</v>
      </c>
      <c r="E168" t="s">
        <v>43</v>
      </c>
      <c r="F168" t="s">
        <v>26</v>
      </c>
      <c r="G168">
        <v>61276</v>
      </c>
      <c r="H168">
        <v>49020.800000000003</v>
      </c>
      <c r="I168" s="13">
        <v>1</v>
      </c>
      <c r="J168" t="s">
        <v>6207</v>
      </c>
      <c r="K168">
        <v>2</v>
      </c>
      <c r="L168">
        <v>1</v>
      </c>
      <c r="M168" t="s">
        <v>0</v>
      </c>
      <c r="V168">
        <v>1</v>
      </c>
      <c r="W168">
        <v>1</v>
      </c>
      <c r="X168">
        <v>0</v>
      </c>
      <c r="Y168">
        <v>0</v>
      </c>
      <c r="Z168">
        <v>0</v>
      </c>
    </row>
    <row r="169" spans="1:26" x14ac:dyDescent="0.2">
      <c r="A169" t="s">
        <v>287</v>
      </c>
      <c r="B169" t="s">
        <v>50</v>
      </c>
      <c r="C169">
        <v>2009</v>
      </c>
      <c r="D169" t="s">
        <v>30</v>
      </c>
      <c r="E169" t="s">
        <v>26</v>
      </c>
      <c r="F169" t="s">
        <v>30</v>
      </c>
      <c r="G169">
        <v>20899</v>
      </c>
      <c r="H169">
        <v>16719.2</v>
      </c>
      <c r="I169" s="13">
        <v>0.83333333333333337</v>
      </c>
      <c r="J169" t="s">
        <v>6207</v>
      </c>
      <c r="K169">
        <v>2</v>
      </c>
      <c r="L169">
        <v>0</v>
      </c>
      <c r="M169" t="s">
        <v>0</v>
      </c>
      <c r="V169">
        <v>2</v>
      </c>
      <c r="W169">
        <v>3</v>
      </c>
      <c r="X169">
        <v>0</v>
      </c>
      <c r="Y169">
        <v>1</v>
      </c>
      <c r="Z169">
        <v>0</v>
      </c>
    </row>
    <row r="170" spans="1:26" x14ac:dyDescent="0.2">
      <c r="A170" t="s">
        <v>288</v>
      </c>
      <c r="B170" t="s">
        <v>37</v>
      </c>
      <c r="C170">
        <v>2009</v>
      </c>
      <c r="D170" t="s">
        <v>40</v>
      </c>
      <c r="E170" t="s">
        <v>35</v>
      </c>
      <c r="F170" t="s">
        <v>49</v>
      </c>
      <c r="G170">
        <v>53400</v>
      </c>
      <c r="H170">
        <v>42720</v>
      </c>
      <c r="I170" s="13">
        <v>0.8</v>
      </c>
      <c r="J170" t="s">
        <v>6206</v>
      </c>
      <c r="K170">
        <v>4</v>
      </c>
      <c r="L170">
        <v>3</v>
      </c>
      <c r="M170" t="s">
        <v>0</v>
      </c>
      <c r="V170">
        <v>2</v>
      </c>
      <c r="W170">
        <v>2</v>
      </c>
      <c r="X170">
        <v>0</v>
      </c>
      <c r="Y170">
        <v>1</v>
      </c>
      <c r="Z170">
        <v>1</v>
      </c>
    </row>
    <row r="171" spans="1:26" x14ac:dyDescent="0.2">
      <c r="A171" t="s">
        <v>289</v>
      </c>
      <c r="B171" t="s">
        <v>56</v>
      </c>
      <c r="C171">
        <v>2009</v>
      </c>
      <c r="D171" t="s">
        <v>31</v>
      </c>
      <c r="E171" t="s">
        <v>48</v>
      </c>
      <c r="F171" t="s">
        <v>20</v>
      </c>
      <c r="G171">
        <v>28500</v>
      </c>
      <c r="H171">
        <v>22800</v>
      </c>
      <c r="I171" s="13">
        <v>0</v>
      </c>
      <c r="J171" t="s">
        <v>6207</v>
      </c>
      <c r="K171">
        <v>3</v>
      </c>
      <c r="L171">
        <v>0</v>
      </c>
      <c r="M171" t="s">
        <v>0</v>
      </c>
      <c r="V171">
        <v>0</v>
      </c>
      <c r="W171">
        <v>1</v>
      </c>
      <c r="X171">
        <v>0</v>
      </c>
      <c r="Y171">
        <v>0</v>
      </c>
      <c r="Z171">
        <v>0</v>
      </c>
    </row>
    <row r="172" spans="1:26" x14ac:dyDescent="0.2">
      <c r="A172" t="s">
        <v>290</v>
      </c>
      <c r="B172" t="s">
        <v>55</v>
      </c>
      <c r="C172">
        <v>2009</v>
      </c>
      <c r="D172" t="s">
        <v>39</v>
      </c>
      <c r="E172" t="s">
        <v>51</v>
      </c>
      <c r="F172" t="s">
        <v>39</v>
      </c>
      <c r="G172">
        <v>31367</v>
      </c>
      <c r="H172">
        <v>25093.600000000002</v>
      </c>
      <c r="I172" s="13">
        <v>1</v>
      </c>
      <c r="J172" t="s">
        <v>6206</v>
      </c>
      <c r="K172">
        <v>0</v>
      </c>
      <c r="L172">
        <v>2</v>
      </c>
      <c r="M172" t="s">
        <v>1</v>
      </c>
      <c r="V172">
        <v>0</v>
      </c>
      <c r="W172">
        <v>1</v>
      </c>
      <c r="X172">
        <v>0</v>
      </c>
      <c r="Y172">
        <v>0</v>
      </c>
      <c r="Z172">
        <v>0</v>
      </c>
    </row>
    <row r="173" spans="1:26" x14ac:dyDescent="0.2">
      <c r="A173" t="s">
        <v>291</v>
      </c>
      <c r="B173" t="s">
        <v>54</v>
      </c>
      <c r="C173">
        <v>2009</v>
      </c>
      <c r="D173" t="s">
        <v>42</v>
      </c>
      <c r="E173" t="s">
        <v>27</v>
      </c>
      <c r="F173" t="s">
        <v>38</v>
      </c>
      <c r="G173">
        <v>42918</v>
      </c>
      <c r="H173">
        <v>34334.400000000001</v>
      </c>
      <c r="I173" s="13">
        <v>0</v>
      </c>
      <c r="J173" t="s">
        <v>6206</v>
      </c>
      <c r="K173">
        <v>1</v>
      </c>
      <c r="L173">
        <v>0</v>
      </c>
      <c r="M173" t="s">
        <v>0</v>
      </c>
      <c r="V173">
        <v>0</v>
      </c>
      <c r="W173">
        <v>1</v>
      </c>
      <c r="X173">
        <v>0</v>
      </c>
      <c r="Y173">
        <v>0</v>
      </c>
      <c r="Z173">
        <v>0</v>
      </c>
    </row>
    <row r="174" spans="1:26" x14ac:dyDescent="0.2">
      <c r="A174" t="s">
        <v>292</v>
      </c>
      <c r="B174" t="s">
        <v>29</v>
      </c>
      <c r="C174">
        <v>2009</v>
      </c>
      <c r="D174" t="s">
        <v>46</v>
      </c>
      <c r="E174" t="s">
        <v>19</v>
      </c>
      <c r="F174" t="s">
        <v>20</v>
      </c>
      <c r="G174">
        <v>60704</v>
      </c>
      <c r="H174">
        <v>48563.200000000004</v>
      </c>
      <c r="I174" s="13">
        <v>0.83333333333333337</v>
      </c>
      <c r="J174" t="s">
        <v>6208</v>
      </c>
      <c r="K174">
        <v>3</v>
      </c>
      <c r="L174">
        <v>0</v>
      </c>
      <c r="M174" t="s">
        <v>0</v>
      </c>
      <c r="V174">
        <v>1</v>
      </c>
      <c r="W174">
        <v>5</v>
      </c>
      <c r="X174">
        <v>0</v>
      </c>
      <c r="Y174">
        <v>0</v>
      </c>
      <c r="Z174">
        <v>0</v>
      </c>
    </row>
    <row r="175" spans="1:26" x14ac:dyDescent="0.2">
      <c r="A175" t="s">
        <v>293</v>
      </c>
      <c r="B175" t="s">
        <v>32</v>
      </c>
      <c r="C175">
        <v>2009</v>
      </c>
      <c r="D175" t="s">
        <v>22</v>
      </c>
      <c r="E175" t="s">
        <v>28</v>
      </c>
      <c r="F175" t="s">
        <v>24</v>
      </c>
      <c r="G175">
        <v>31750</v>
      </c>
      <c r="H175">
        <v>25400</v>
      </c>
      <c r="I175" s="13">
        <v>0.66666666666666663</v>
      </c>
      <c r="J175" t="s">
        <v>6207</v>
      </c>
      <c r="K175">
        <v>2</v>
      </c>
      <c r="L175">
        <v>0</v>
      </c>
      <c r="M175" t="s">
        <v>0</v>
      </c>
      <c r="V175">
        <v>2</v>
      </c>
      <c r="W175">
        <v>1</v>
      </c>
      <c r="X175">
        <v>0</v>
      </c>
      <c r="Y175">
        <v>0</v>
      </c>
      <c r="Z175">
        <v>0</v>
      </c>
    </row>
    <row r="176" spans="1:26" x14ac:dyDescent="0.2">
      <c r="A176" t="s">
        <v>294</v>
      </c>
      <c r="B176" t="s">
        <v>59</v>
      </c>
      <c r="C176">
        <v>2009</v>
      </c>
      <c r="D176" t="s">
        <v>45</v>
      </c>
      <c r="E176" t="s">
        <v>38</v>
      </c>
      <c r="F176" t="s">
        <v>26</v>
      </c>
      <c r="G176">
        <v>39572</v>
      </c>
      <c r="H176">
        <v>31657.600000000002</v>
      </c>
      <c r="I176" s="13">
        <v>0.33333333333333331</v>
      </c>
      <c r="J176" t="s">
        <v>6206</v>
      </c>
      <c r="K176">
        <v>1</v>
      </c>
      <c r="L176">
        <v>1</v>
      </c>
      <c r="M176" t="s">
        <v>58</v>
      </c>
      <c r="V176">
        <v>0</v>
      </c>
      <c r="W176">
        <v>3</v>
      </c>
      <c r="X176">
        <v>0</v>
      </c>
      <c r="Y176">
        <v>0</v>
      </c>
      <c r="Z176">
        <v>0</v>
      </c>
    </row>
    <row r="177" spans="1:26" x14ac:dyDescent="0.2">
      <c r="A177" t="s">
        <v>295</v>
      </c>
      <c r="B177" t="s">
        <v>41</v>
      </c>
      <c r="C177">
        <v>2009</v>
      </c>
      <c r="D177" t="s">
        <v>23</v>
      </c>
      <c r="E177" t="s">
        <v>18</v>
      </c>
      <c r="F177" t="s">
        <v>20</v>
      </c>
      <c r="G177">
        <v>62500</v>
      </c>
      <c r="H177">
        <v>50000</v>
      </c>
      <c r="I177" s="13">
        <v>0.2857142857142857</v>
      </c>
      <c r="J177" t="s">
        <v>6207</v>
      </c>
      <c r="K177">
        <v>1</v>
      </c>
      <c r="L177">
        <v>1</v>
      </c>
      <c r="M177" t="s">
        <v>58</v>
      </c>
      <c r="V177">
        <v>4</v>
      </c>
      <c r="W177">
        <v>3</v>
      </c>
      <c r="X177">
        <v>0</v>
      </c>
      <c r="Y177">
        <v>0</v>
      </c>
      <c r="Z177">
        <v>2</v>
      </c>
    </row>
    <row r="178" spans="1:26" x14ac:dyDescent="0.2">
      <c r="A178" t="s">
        <v>296</v>
      </c>
      <c r="B178" t="s">
        <v>55</v>
      </c>
      <c r="C178">
        <v>2009</v>
      </c>
      <c r="D178" t="s">
        <v>38</v>
      </c>
      <c r="E178" t="s">
        <v>18</v>
      </c>
      <c r="F178" t="s">
        <v>38</v>
      </c>
      <c r="G178">
        <v>29409</v>
      </c>
      <c r="H178">
        <v>23527.200000000001</v>
      </c>
      <c r="I178" s="13">
        <v>0.5</v>
      </c>
      <c r="J178" t="s">
        <v>6206</v>
      </c>
      <c r="K178">
        <v>0</v>
      </c>
      <c r="L178">
        <v>0</v>
      </c>
      <c r="M178" t="s">
        <v>58</v>
      </c>
      <c r="V178">
        <v>1</v>
      </c>
      <c r="W178">
        <v>2</v>
      </c>
      <c r="X178">
        <v>0</v>
      </c>
      <c r="Y178">
        <v>1</v>
      </c>
      <c r="Z178">
        <v>0</v>
      </c>
    </row>
    <row r="179" spans="1:26" x14ac:dyDescent="0.2">
      <c r="A179" t="s">
        <v>297</v>
      </c>
      <c r="B179" t="s">
        <v>54</v>
      </c>
      <c r="C179">
        <v>2009</v>
      </c>
      <c r="D179" t="s">
        <v>23</v>
      </c>
      <c r="E179" t="s">
        <v>30</v>
      </c>
      <c r="F179" t="s">
        <v>20</v>
      </c>
      <c r="G179">
        <v>62500</v>
      </c>
      <c r="H179">
        <v>50000</v>
      </c>
      <c r="I179" s="13">
        <v>0.33333333333333331</v>
      </c>
      <c r="J179" t="s">
        <v>6206</v>
      </c>
      <c r="K179">
        <v>2</v>
      </c>
      <c r="L179">
        <v>0</v>
      </c>
      <c r="M179" t="s">
        <v>0</v>
      </c>
      <c r="V179">
        <v>0</v>
      </c>
      <c r="W179">
        <v>3</v>
      </c>
      <c r="X179">
        <v>0</v>
      </c>
      <c r="Y179">
        <v>0</v>
      </c>
      <c r="Z179">
        <v>0</v>
      </c>
    </row>
    <row r="180" spans="1:26" x14ac:dyDescent="0.2">
      <c r="A180" t="s">
        <v>298</v>
      </c>
      <c r="B180" t="s">
        <v>29</v>
      </c>
      <c r="C180">
        <v>2009</v>
      </c>
      <c r="D180" t="s">
        <v>31</v>
      </c>
      <c r="E180" t="s">
        <v>51</v>
      </c>
      <c r="F180" t="s">
        <v>20</v>
      </c>
      <c r="G180">
        <v>28500</v>
      </c>
      <c r="H180">
        <v>22800</v>
      </c>
      <c r="I180" s="13">
        <v>1</v>
      </c>
      <c r="J180" t="s">
        <v>6208</v>
      </c>
      <c r="K180">
        <v>0</v>
      </c>
      <c r="L180">
        <v>0</v>
      </c>
      <c r="M180" t="s">
        <v>58</v>
      </c>
      <c r="V180">
        <v>1</v>
      </c>
      <c r="W180">
        <v>0</v>
      </c>
      <c r="X180">
        <v>0</v>
      </c>
      <c r="Y180">
        <v>0</v>
      </c>
      <c r="Z180">
        <v>0</v>
      </c>
    </row>
    <row r="181" spans="1:26" x14ac:dyDescent="0.2">
      <c r="A181" t="s">
        <v>299</v>
      </c>
      <c r="B181" t="s">
        <v>25</v>
      </c>
      <c r="C181">
        <v>2009</v>
      </c>
      <c r="D181" t="s">
        <v>28</v>
      </c>
      <c r="E181" t="s">
        <v>34</v>
      </c>
      <c r="F181" t="s">
        <v>28</v>
      </c>
      <c r="G181">
        <v>21944</v>
      </c>
      <c r="H181">
        <v>17555.2</v>
      </c>
      <c r="I181" s="13">
        <v>0</v>
      </c>
      <c r="J181" t="s">
        <v>6207</v>
      </c>
      <c r="K181">
        <v>1</v>
      </c>
      <c r="L181">
        <v>1</v>
      </c>
      <c r="M181" t="s">
        <v>58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">
      <c r="A182" t="s">
        <v>300</v>
      </c>
      <c r="B182" t="s">
        <v>44</v>
      </c>
      <c r="C182">
        <v>2009</v>
      </c>
      <c r="D182" t="s">
        <v>43</v>
      </c>
      <c r="E182" t="s">
        <v>39</v>
      </c>
      <c r="F182" t="s">
        <v>43</v>
      </c>
      <c r="G182">
        <v>25138</v>
      </c>
      <c r="H182">
        <v>20110.400000000001</v>
      </c>
      <c r="I182" s="13">
        <v>1</v>
      </c>
      <c r="J182" t="s">
        <v>6207</v>
      </c>
      <c r="K182">
        <v>1</v>
      </c>
      <c r="L182">
        <v>1</v>
      </c>
      <c r="M182" t="s">
        <v>58</v>
      </c>
      <c r="V182">
        <v>1</v>
      </c>
      <c r="W182">
        <v>4</v>
      </c>
      <c r="X182">
        <v>0</v>
      </c>
      <c r="Y182">
        <v>0</v>
      </c>
      <c r="Z182">
        <v>0</v>
      </c>
    </row>
    <row r="183" spans="1:26" x14ac:dyDescent="0.2">
      <c r="A183" t="s">
        <v>301</v>
      </c>
      <c r="B183" t="s">
        <v>32</v>
      </c>
      <c r="C183">
        <v>2009</v>
      </c>
      <c r="D183" t="s">
        <v>35</v>
      </c>
      <c r="E183" t="s">
        <v>45</v>
      </c>
      <c r="F183" t="s">
        <v>35</v>
      </c>
      <c r="G183">
        <v>49000</v>
      </c>
      <c r="H183">
        <v>39200</v>
      </c>
      <c r="I183" s="13">
        <v>1</v>
      </c>
      <c r="J183" t="s">
        <v>6207</v>
      </c>
      <c r="K183">
        <v>1</v>
      </c>
      <c r="L183">
        <v>1</v>
      </c>
      <c r="M183" t="s">
        <v>58</v>
      </c>
      <c r="V183">
        <v>1</v>
      </c>
      <c r="W183">
        <v>3</v>
      </c>
      <c r="X183">
        <v>0</v>
      </c>
      <c r="Y183">
        <v>0</v>
      </c>
      <c r="Z183">
        <v>0</v>
      </c>
    </row>
    <row r="184" spans="1:26" x14ac:dyDescent="0.2">
      <c r="A184" t="s">
        <v>302</v>
      </c>
      <c r="B184" t="s">
        <v>50</v>
      </c>
      <c r="C184">
        <v>2009</v>
      </c>
      <c r="D184" t="s">
        <v>40</v>
      </c>
      <c r="E184" t="s">
        <v>27</v>
      </c>
      <c r="F184" t="s">
        <v>49</v>
      </c>
      <c r="G184">
        <v>53400</v>
      </c>
      <c r="H184">
        <v>42720</v>
      </c>
      <c r="I184" s="13">
        <v>1</v>
      </c>
      <c r="J184" t="s">
        <v>6207</v>
      </c>
      <c r="K184">
        <v>2</v>
      </c>
      <c r="L184">
        <v>0</v>
      </c>
      <c r="M184" t="s">
        <v>0</v>
      </c>
      <c r="V184">
        <v>0</v>
      </c>
      <c r="W184">
        <v>2</v>
      </c>
      <c r="X184">
        <v>0</v>
      </c>
      <c r="Y184">
        <v>0</v>
      </c>
      <c r="Z184">
        <v>0</v>
      </c>
    </row>
    <row r="185" spans="1:26" x14ac:dyDescent="0.2">
      <c r="A185" t="s">
        <v>303</v>
      </c>
      <c r="B185" t="s">
        <v>37</v>
      </c>
      <c r="C185">
        <v>2009</v>
      </c>
      <c r="D185" t="s">
        <v>26</v>
      </c>
      <c r="E185" t="s">
        <v>22</v>
      </c>
      <c r="F185" t="s">
        <v>26</v>
      </c>
      <c r="G185">
        <v>61276</v>
      </c>
      <c r="H185">
        <v>49020.800000000003</v>
      </c>
      <c r="I185" s="13">
        <v>0.5</v>
      </c>
      <c r="J185" t="s">
        <v>6206</v>
      </c>
      <c r="K185">
        <v>2</v>
      </c>
      <c r="L185">
        <v>0</v>
      </c>
      <c r="M185" t="s">
        <v>0</v>
      </c>
      <c r="V185">
        <v>0</v>
      </c>
      <c r="W185">
        <v>1</v>
      </c>
      <c r="X185">
        <v>0</v>
      </c>
      <c r="Y185">
        <v>1</v>
      </c>
      <c r="Z185">
        <v>0</v>
      </c>
    </row>
    <row r="186" spans="1:26" x14ac:dyDescent="0.2">
      <c r="A186" t="s">
        <v>304</v>
      </c>
      <c r="B186" t="s">
        <v>52</v>
      </c>
      <c r="C186">
        <v>2009</v>
      </c>
      <c r="D186" t="s">
        <v>46</v>
      </c>
      <c r="E186" t="s">
        <v>42</v>
      </c>
      <c r="F186" t="s">
        <v>20</v>
      </c>
      <c r="G186">
        <v>60704</v>
      </c>
      <c r="H186">
        <v>48563.200000000004</v>
      </c>
      <c r="I186" s="13">
        <v>0.5</v>
      </c>
      <c r="J186" t="s">
        <v>6207</v>
      </c>
      <c r="K186">
        <v>3</v>
      </c>
      <c r="L186">
        <v>0</v>
      </c>
      <c r="M186" t="s">
        <v>0</v>
      </c>
      <c r="V186">
        <v>1</v>
      </c>
      <c r="W186">
        <v>3</v>
      </c>
      <c r="X186">
        <v>0</v>
      </c>
      <c r="Y186">
        <v>0</v>
      </c>
      <c r="Z186">
        <v>0</v>
      </c>
    </row>
    <row r="187" spans="1:26" x14ac:dyDescent="0.2">
      <c r="A187" t="s">
        <v>305</v>
      </c>
      <c r="B187" t="s">
        <v>21</v>
      </c>
      <c r="C187">
        <v>2009</v>
      </c>
      <c r="D187" t="s">
        <v>19</v>
      </c>
      <c r="E187" t="s">
        <v>48</v>
      </c>
      <c r="F187" t="s">
        <v>19</v>
      </c>
      <c r="G187">
        <v>25586</v>
      </c>
      <c r="H187">
        <v>20468.800000000003</v>
      </c>
      <c r="I187" s="13">
        <v>1</v>
      </c>
      <c r="J187" t="s">
        <v>6206</v>
      </c>
      <c r="K187">
        <v>1</v>
      </c>
      <c r="L187">
        <v>3</v>
      </c>
      <c r="M187" t="s">
        <v>1</v>
      </c>
      <c r="V187">
        <v>0</v>
      </c>
      <c r="W187">
        <v>2</v>
      </c>
      <c r="X187">
        <v>0</v>
      </c>
      <c r="Y187">
        <v>0</v>
      </c>
      <c r="Z187">
        <v>1</v>
      </c>
    </row>
    <row r="188" spans="1:26" x14ac:dyDescent="0.2">
      <c r="A188" t="s">
        <v>306</v>
      </c>
      <c r="B188" t="s">
        <v>25</v>
      </c>
      <c r="C188">
        <v>2009</v>
      </c>
      <c r="D188" t="s">
        <v>51</v>
      </c>
      <c r="E188" t="s">
        <v>23</v>
      </c>
      <c r="F188" t="s">
        <v>20</v>
      </c>
      <c r="G188">
        <v>36284</v>
      </c>
      <c r="H188">
        <v>29027.200000000001</v>
      </c>
      <c r="I188" s="13">
        <v>0.8</v>
      </c>
      <c r="J188" t="s">
        <v>6207</v>
      </c>
      <c r="K188">
        <v>2</v>
      </c>
      <c r="L188">
        <v>0</v>
      </c>
      <c r="M188" t="s">
        <v>0</v>
      </c>
      <c r="V188">
        <v>2</v>
      </c>
      <c r="W188">
        <v>3</v>
      </c>
      <c r="X188">
        <v>0</v>
      </c>
      <c r="Y188">
        <v>0</v>
      </c>
      <c r="Z188">
        <v>0</v>
      </c>
    </row>
    <row r="189" spans="1:26" x14ac:dyDescent="0.2">
      <c r="A189" t="s">
        <v>307</v>
      </c>
      <c r="B189" t="s">
        <v>32</v>
      </c>
      <c r="C189">
        <v>2009</v>
      </c>
      <c r="D189" t="s">
        <v>27</v>
      </c>
      <c r="E189" t="s">
        <v>38</v>
      </c>
      <c r="F189" t="s">
        <v>27</v>
      </c>
      <c r="G189">
        <v>30089</v>
      </c>
      <c r="H189">
        <v>24071.200000000001</v>
      </c>
      <c r="I189" s="13">
        <v>0.4</v>
      </c>
      <c r="J189" t="s">
        <v>6207</v>
      </c>
      <c r="K189">
        <v>0</v>
      </c>
      <c r="L189">
        <v>1</v>
      </c>
      <c r="M189" t="s">
        <v>1</v>
      </c>
      <c r="V189">
        <v>2</v>
      </c>
      <c r="W189">
        <v>3</v>
      </c>
      <c r="X189">
        <v>0</v>
      </c>
      <c r="Y189">
        <v>0</v>
      </c>
      <c r="Z189">
        <v>0</v>
      </c>
    </row>
    <row r="190" spans="1:26" x14ac:dyDescent="0.2">
      <c r="A190" t="s">
        <v>308</v>
      </c>
      <c r="B190" t="s">
        <v>56</v>
      </c>
      <c r="C190">
        <v>2009</v>
      </c>
      <c r="D190" t="s">
        <v>45</v>
      </c>
      <c r="E190" t="s">
        <v>28</v>
      </c>
      <c r="F190" t="s">
        <v>26</v>
      </c>
      <c r="G190">
        <v>39572</v>
      </c>
      <c r="H190">
        <v>31657.600000000002</v>
      </c>
      <c r="I190" s="13">
        <v>0.2857142857142857</v>
      </c>
      <c r="J190" t="s">
        <v>6207</v>
      </c>
      <c r="K190">
        <v>2</v>
      </c>
      <c r="L190">
        <v>0</v>
      </c>
      <c r="M190" t="s">
        <v>0</v>
      </c>
      <c r="V190">
        <v>1</v>
      </c>
      <c r="W190">
        <v>5</v>
      </c>
      <c r="X190">
        <v>0</v>
      </c>
      <c r="Y190">
        <v>1</v>
      </c>
      <c r="Z190">
        <v>0</v>
      </c>
    </row>
    <row r="191" spans="1:26" x14ac:dyDescent="0.2">
      <c r="A191" t="s">
        <v>309</v>
      </c>
      <c r="B191" t="s">
        <v>37</v>
      </c>
      <c r="C191">
        <v>2009</v>
      </c>
      <c r="D191" t="s">
        <v>18</v>
      </c>
      <c r="E191" t="s">
        <v>31</v>
      </c>
      <c r="F191" t="s">
        <v>20</v>
      </c>
      <c r="G191">
        <v>40341</v>
      </c>
      <c r="H191">
        <v>32272.800000000003</v>
      </c>
      <c r="I191" s="13">
        <v>0.5</v>
      </c>
      <c r="J191" t="s">
        <v>6206</v>
      </c>
      <c r="K191">
        <v>2</v>
      </c>
      <c r="L191">
        <v>1</v>
      </c>
      <c r="M191" t="s">
        <v>0</v>
      </c>
      <c r="V191">
        <v>1</v>
      </c>
      <c r="W191">
        <v>1</v>
      </c>
      <c r="X191">
        <v>0</v>
      </c>
      <c r="Y191">
        <v>0</v>
      </c>
      <c r="Z191">
        <v>0</v>
      </c>
    </row>
    <row r="192" spans="1:26" x14ac:dyDescent="0.2">
      <c r="A192" t="s">
        <v>310</v>
      </c>
      <c r="B192" t="s">
        <v>41</v>
      </c>
      <c r="C192">
        <v>2009</v>
      </c>
      <c r="D192" t="s">
        <v>39</v>
      </c>
      <c r="E192" t="s">
        <v>35</v>
      </c>
      <c r="F192" t="s">
        <v>39</v>
      </c>
      <c r="G192">
        <v>31367</v>
      </c>
      <c r="H192">
        <v>25093.600000000002</v>
      </c>
      <c r="I192" s="13">
        <v>0.6</v>
      </c>
      <c r="J192" t="s">
        <v>6207</v>
      </c>
      <c r="K192">
        <v>2</v>
      </c>
      <c r="L192">
        <v>2</v>
      </c>
      <c r="M192" t="s">
        <v>58</v>
      </c>
      <c r="V192">
        <v>1</v>
      </c>
      <c r="W192">
        <v>4</v>
      </c>
      <c r="X192">
        <v>0</v>
      </c>
      <c r="Y192">
        <v>0</v>
      </c>
      <c r="Z192">
        <v>0</v>
      </c>
    </row>
    <row r="193" spans="1:26" x14ac:dyDescent="0.2">
      <c r="A193" t="s">
        <v>311</v>
      </c>
      <c r="B193" t="s">
        <v>53</v>
      </c>
      <c r="C193">
        <v>2009</v>
      </c>
      <c r="D193" t="s">
        <v>22</v>
      </c>
      <c r="E193" t="s">
        <v>40</v>
      </c>
      <c r="F193" t="s">
        <v>24</v>
      </c>
      <c r="G193">
        <v>31750</v>
      </c>
      <c r="H193">
        <v>25400</v>
      </c>
      <c r="I193" s="13">
        <v>1</v>
      </c>
      <c r="J193" t="s">
        <v>6207</v>
      </c>
      <c r="K193">
        <v>0</v>
      </c>
      <c r="L193">
        <v>3</v>
      </c>
      <c r="M193" t="s">
        <v>1</v>
      </c>
      <c r="V193">
        <v>3</v>
      </c>
      <c r="W193">
        <v>2</v>
      </c>
      <c r="X193">
        <v>0</v>
      </c>
      <c r="Y193">
        <v>0</v>
      </c>
      <c r="Z193">
        <v>0</v>
      </c>
    </row>
    <row r="194" spans="1:26" x14ac:dyDescent="0.2">
      <c r="A194" t="s">
        <v>312</v>
      </c>
      <c r="B194" t="s">
        <v>54</v>
      </c>
      <c r="C194">
        <v>2009</v>
      </c>
      <c r="D194" t="s">
        <v>42</v>
      </c>
      <c r="E194" t="s">
        <v>26</v>
      </c>
      <c r="F194" t="s">
        <v>38</v>
      </c>
      <c r="G194">
        <v>42918</v>
      </c>
      <c r="H194">
        <v>34334.400000000001</v>
      </c>
      <c r="I194" s="13">
        <v>1</v>
      </c>
      <c r="J194" t="s">
        <v>6206</v>
      </c>
      <c r="K194">
        <v>0</v>
      </c>
      <c r="L194">
        <v>1</v>
      </c>
      <c r="M194" t="s">
        <v>1</v>
      </c>
      <c r="V194">
        <v>1</v>
      </c>
      <c r="W194">
        <v>1</v>
      </c>
      <c r="X194">
        <v>0</v>
      </c>
      <c r="Y194">
        <v>0</v>
      </c>
      <c r="Z194">
        <v>0</v>
      </c>
    </row>
    <row r="195" spans="1:26" x14ac:dyDescent="0.2">
      <c r="A195" t="s">
        <v>313</v>
      </c>
      <c r="B195" t="s">
        <v>52</v>
      </c>
      <c r="C195">
        <v>2009</v>
      </c>
      <c r="D195" t="s">
        <v>34</v>
      </c>
      <c r="E195" t="s">
        <v>19</v>
      </c>
      <c r="F195" t="s">
        <v>36</v>
      </c>
      <c r="G195">
        <v>28723</v>
      </c>
      <c r="H195">
        <v>22978.400000000001</v>
      </c>
      <c r="I195" s="13">
        <v>0.33333333333333331</v>
      </c>
      <c r="J195" t="s">
        <v>6207</v>
      </c>
      <c r="K195">
        <v>2</v>
      </c>
      <c r="L195">
        <v>2</v>
      </c>
      <c r="M195" t="s">
        <v>58</v>
      </c>
      <c r="V195">
        <v>1</v>
      </c>
      <c r="W195">
        <v>2</v>
      </c>
      <c r="X195">
        <v>0</v>
      </c>
      <c r="Y195">
        <v>0</v>
      </c>
      <c r="Z195">
        <v>0</v>
      </c>
    </row>
    <row r="196" spans="1:26" x14ac:dyDescent="0.2">
      <c r="A196" t="s">
        <v>314</v>
      </c>
      <c r="B196" t="s">
        <v>21</v>
      </c>
      <c r="C196">
        <v>2009</v>
      </c>
      <c r="D196" t="s">
        <v>30</v>
      </c>
      <c r="E196" t="s">
        <v>46</v>
      </c>
      <c r="F196" t="s">
        <v>30</v>
      </c>
      <c r="G196">
        <v>20899</v>
      </c>
      <c r="H196">
        <v>16719.2</v>
      </c>
      <c r="I196" s="13">
        <v>0.5</v>
      </c>
      <c r="J196" t="s">
        <v>6206</v>
      </c>
      <c r="K196">
        <v>1</v>
      </c>
      <c r="L196">
        <v>4</v>
      </c>
      <c r="M196" t="s">
        <v>1</v>
      </c>
      <c r="V196">
        <v>2</v>
      </c>
      <c r="W196">
        <v>0</v>
      </c>
      <c r="X196">
        <v>0</v>
      </c>
      <c r="Y196">
        <v>0</v>
      </c>
      <c r="Z196">
        <v>0</v>
      </c>
    </row>
    <row r="197" spans="1:26" x14ac:dyDescent="0.2">
      <c r="A197" t="s">
        <v>315</v>
      </c>
      <c r="B197" t="s">
        <v>50</v>
      </c>
      <c r="C197">
        <v>2009</v>
      </c>
      <c r="D197" t="s">
        <v>48</v>
      </c>
      <c r="E197" t="s">
        <v>43</v>
      </c>
      <c r="F197" t="s">
        <v>49</v>
      </c>
      <c r="G197">
        <v>74197</v>
      </c>
      <c r="H197">
        <v>59357.600000000006</v>
      </c>
      <c r="I197" s="13">
        <v>1</v>
      </c>
      <c r="J197" t="s">
        <v>6207</v>
      </c>
      <c r="K197">
        <v>5</v>
      </c>
      <c r="L197">
        <v>0</v>
      </c>
      <c r="M197" t="s">
        <v>0</v>
      </c>
      <c r="V197">
        <v>0</v>
      </c>
      <c r="W197">
        <v>1</v>
      </c>
      <c r="X197">
        <v>0</v>
      </c>
      <c r="Y197">
        <v>0</v>
      </c>
      <c r="Z197">
        <v>0</v>
      </c>
    </row>
    <row r="198" spans="1:26" x14ac:dyDescent="0.2">
      <c r="A198" t="s">
        <v>316</v>
      </c>
      <c r="B198" t="s">
        <v>44</v>
      </c>
      <c r="C198">
        <v>2009</v>
      </c>
      <c r="D198" t="s">
        <v>27</v>
      </c>
      <c r="E198" t="s">
        <v>31</v>
      </c>
      <c r="F198" t="s">
        <v>27</v>
      </c>
      <c r="G198">
        <v>30089</v>
      </c>
      <c r="H198">
        <v>24071.200000000001</v>
      </c>
      <c r="I198" s="13">
        <v>1</v>
      </c>
      <c r="J198" t="s">
        <v>6207</v>
      </c>
      <c r="K198">
        <v>3</v>
      </c>
      <c r="L198">
        <v>2</v>
      </c>
      <c r="M198" t="s">
        <v>0</v>
      </c>
      <c r="V198">
        <v>1</v>
      </c>
      <c r="W198">
        <v>0</v>
      </c>
      <c r="X198">
        <v>0</v>
      </c>
      <c r="Y198">
        <v>0</v>
      </c>
      <c r="Z198">
        <v>0</v>
      </c>
    </row>
    <row r="199" spans="1:26" x14ac:dyDescent="0.2">
      <c r="A199" t="s">
        <v>317</v>
      </c>
      <c r="B199" t="s">
        <v>55</v>
      </c>
      <c r="C199">
        <v>2009</v>
      </c>
      <c r="D199" t="s">
        <v>46</v>
      </c>
      <c r="E199" t="s">
        <v>45</v>
      </c>
      <c r="F199" t="s">
        <v>20</v>
      </c>
      <c r="G199">
        <v>60704</v>
      </c>
      <c r="H199">
        <v>48563.200000000004</v>
      </c>
      <c r="I199" s="13">
        <v>1</v>
      </c>
      <c r="J199" t="s">
        <v>6206</v>
      </c>
      <c r="K199">
        <v>2</v>
      </c>
      <c r="L199">
        <v>2</v>
      </c>
      <c r="M199" t="s">
        <v>58</v>
      </c>
      <c r="V199">
        <v>1</v>
      </c>
      <c r="W199">
        <v>1</v>
      </c>
      <c r="X199">
        <v>0</v>
      </c>
      <c r="Y199">
        <v>0</v>
      </c>
      <c r="Z199">
        <v>0</v>
      </c>
    </row>
    <row r="200" spans="1:26" x14ac:dyDescent="0.2">
      <c r="A200" t="s">
        <v>318</v>
      </c>
      <c r="B200" t="s">
        <v>44</v>
      </c>
      <c r="C200">
        <v>2009</v>
      </c>
      <c r="D200" t="s">
        <v>38</v>
      </c>
      <c r="E200" t="s">
        <v>48</v>
      </c>
      <c r="F200" t="s">
        <v>38</v>
      </c>
      <c r="G200">
        <v>29409</v>
      </c>
      <c r="H200">
        <v>23527.200000000001</v>
      </c>
      <c r="I200" s="13">
        <v>0.4</v>
      </c>
      <c r="J200" t="s">
        <v>6207</v>
      </c>
      <c r="K200">
        <v>1</v>
      </c>
      <c r="L200">
        <v>1</v>
      </c>
      <c r="M200" t="s">
        <v>58</v>
      </c>
      <c r="V200">
        <v>2</v>
      </c>
      <c r="W200">
        <v>2</v>
      </c>
      <c r="X200">
        <v>0</v>
      </c>
      <c r="Y200">
        <v>1</v>
      </c>
      <c r="Z200">
        <v>0</v>
      </c>
    </row>
    <row r="201" spans="1:26" x14ac:dyDescent="0.2">
      <c r="A201" t="s">
        <v>319</v>
      </c>
      <c r="B201" t="s">
        <v>25</v>
      </c>
      <c r="C201">
        <v>2009</v>
      </c>
      <c r="D201" t="s">
        <v>40</v>
      </c>
      <c r="E201" t="s">
        <v>39</v>
      </c>
      <c r="F201" t="s">
        <v>49</v>
      </c>
      <c r="G201">
        <v>53400</v>
      </c>
      <c r="H201">
        <v>42720</v>
      </c>
      <c r="I201" s="13">
        <v>1</v>
      </c>
      <c r="J201" t="s">
        <v>6207</v>
      </c>
      <c r="K201">
        <v>4</v>
      </c>
      <c r="L201">
        <v>1</v>
      </c>
      <c r="M201" t="s">
        <v>0</v>
      </c>
      <c r="V201">
        <v>1</v>
      </c>
      <c r="W201">
        <v>1</v>
      </c>
      <c r="X201">
        <v>0</v>
      </c>
      <c r="Y201">
        <v>0</v>
      </c>
      <c r="Z201">
        <v>0</v>
      </c>
    </row>
    <row r="202" spans="1:26" x14ac:dyDescent="0.2">
      <c r="A202" t="s">
        <v>320</v>
      </c>
      <c r="B202" t="s">
        <v>50</v>
      </c>
      <c r="C202">
        <v>2009</v>
      </c>
      <c r="D202" t="s">
        <v>27</v>
      </c>
      <c r="E202" t="s">
        <v>26</v>
      </c>
      <c r="F202" t="s">
        <v>27</v>
      </c>
      <c r="G202">
        <v>30089</v>
      </c>
      <c r="H202">
        <v>24071.200000000001</v>
      </c>
      <c r="I202" s="13">
        <v>1</v>
      </c>
      <c r="J202" t="s">
        <v>6207</v>
      </c>
      <c r="K202">
        <v>1</v>
      </c>
      <c r="L202">
        <v>1</v>
      </c>
      <c r="M202" t="s">
        <v>58</v>
      </c>
      <c r="V202">
        <v>1</v>
      </c>
      <c r="W202">
        <v>1</v>
      </c>
      <c r="X202">
        <v>0</v>
      </c>
      <c r="Y202">
        <v>0</v>
      </c>
      <c r="Z202">
        <v>0</v>
      </c>
    </row>
    <row r="203" spans="1:26" x14ac:dyDescent="0.2">
      <c r="A203" t="s">
        <v>321</v>
      </c>
      <c r="B203" t="s">
        <v>56</v>
      </c>
      <c r="C203">
        <v>2009</v>
      </c>
      <c r="D203" t="s">
        <v>22</v>
      </c>
      <c r="E203" t="s">
        <v>43</v>
      </c>
      <c r="F203" t="s">
        <v>24</v>
      </c>
      <c r="G203">
        <v>31750</v>
      </c>
      <c r="H203">
        <v>25400</v>
      </c>
      <c r="I203" s="13">
        <v>0.55555555555555558</v>
      </c>
      <c r="J203" t="s">
        <v>6207</v>
      </c>
      <c r="K203">
        <v>0</v>
      </c>
      <c r="L203">
        <v>2</v>
      </c>
      <c r="M203" t="s">
        <v>1</v>
      </c>
      <c r="V203">
        <v>4</v>
      </c>
      <c r="W203">
        <v>3</v>
      </c>
      <c r="X203">
        <v>1</v>
      </c>
      <c r="Y203">
        <v>1</v>
      </c>
      <c r="Z203">
        <v>0</v>
      </c>
    </row>
    <row r="204" spans="1:26" x14ac:dyDescent="0.2">
      <c r="A204" t="s">
        <v>322</v>
      </c>
      <c r="B204" t="s">
        <v>32</v>
      </c>
      <c r="C204">
        <v>2009</v>
      </c>
      <c r="D204" t="s">
        <v>51</v>
      </c>
      <c r="E204" t="s">
        <v>19</v>
      </c>
      <c r="F204" t="s">
        <v>20</v>
      </c>
      <c r="G204">
        <v>36284</v>
      </c>
      <c r="H204">
        <v>29027.200000000001</v>
      </c>
      <c r="I204" s="13">
        <v>0.33333333333333331</v>
      </c>
      <c r="J204" t="s">
        <v>6207</v>
      </c>
      <c r="K204">
        <v>0</v>
      </c>
      <c r="L204">
        <v>0</v>
      </c>
      <c r="M204" t="s">
        <v>58</v>
      </c>
      <c r="V204">
        <v>4</v>
      </c>
      <c r="W204">
        <v>2</v>
      </c>
      <c r="X204">
        <v>0</v>
      </c>
      <c r="Y204">
        <v>0</v>
      </c>
      <c r="Z204">
        <v>0</v>
      </c>
    </row>
    <row r="205" spans="1:26" x14ac:dyDescent="0.2">
      <c r="A205" t="s">
        <v>323</v>
      </c>
      <c r="B205" t="s">
        <v>54</v>
      </c>
      <c r="C205">
        <v>2009</v>
      </c>
      <c r="D205" t="s">
        <v>48</v>
      </c>
      <c r="E205" t="s">
        <v>28</v>
      </c>
      <c r="F205" t="s">
        <v>49</v>
      </c>
      <c r="G205">
        <v>74197</v>
      </c>
      <c r="H205">
        <v>59357.600000000006</v>
      </c>
      <c r="I205" s="13">
        <v>0</v>
      </c>
      <c r="J205" t="s">
        <v>6206</v>
      </c>
      <c r="K205">
        <v>3</v>
      </c>
      <c r="L205">
        <v>0</v>
      </c>
      <c r="M205" t="s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">
      <c r="A206" t="s">
        <v>324</v>
      </c>
      <c r="B206" t="s">
        <v>25</v>
      </c>
      <c r="C206">
        <v>2009</v>
      </c>
      <c r="D206" t="s">
        <v>18</v>
      </c>
      <c r="E206" t="s">
        <v>35</v>
      </c>
      <c r="F206" t="s">
        <v>20</v>
      </c>
      <c r="G206">
        <v>40341</v>
      </c>
      <c r="H206">
        <v>32272.800000000003</v>
      </c>
      <c r="I206" s="13">
        <v>0</v>
      </c>
      <c r="J206" t="s">
        <v>6207</v>
      </c>
      <c r="K206">
        <v>7</v>
      </c>
      <c r="L206">
        <v>2</v>
      </c>
      <c r="M206" t="s">
        <v>0</v>
      </c>
      <c r="V206">
        <v>0</v>
      </c>
      <c r="W206">
        <v>1</v>
      </c>
      <c r="X206">
        <v>0</v>
      </c>
      <c r="Y206">
        <v>0</v>
      </c>
      <c r="Z206">
        <v>0</v>
      </c>
    </row>
    <row r="207" spans="1:26" x14ac:dyDescent="0.2">
      <c r="A207" t="s">
        <v>325</v>
      </c>
      <c r="B207" t="s">
        <v>37</v>
      </c>
      <c r="C207">
        <v>2009</v>
      </c>
      <c r="D207" t="s">
        <v>45</v>
      </c>
      <c r="E207" t="s">
        <v>40</v>
      </c>
      <c r="F207" t="s">
        <v>26</v>
      </c>
      <c r="G207">
        <v>39572</v>
      </c>
      <c r="H207">
        <v>31657.600000000002</v>
      </c>
      <c r="I207" s="13">
        <v>0</v>
      </c>
      <c r="J207" t="s">
        <v>6206</v>
      </c>
      <c r="K207">
        <v>2</v>
      </c>
      <c r="L207">
        <v>0</v>
      </c>
      <c r="M207" t="s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">
      <c r="A208" t="s">
        <v>326</v>
      </c>
      <c r="B208" t="s">
        <v>53</v>
      </c>
      <c r="C208">
        <v>2009</v>
      </c>
      <c r="D208" t="s">
        <v>42</v>
      </c>
      <c r="E208" t="s">
        <v>23</v>
      </c>
      <c r="F208" t="s">
        <v>38</v>
      </c>
      <c r="G208">
        <v>42918</v>
      </c>
      <c r="H208">
        <v>34334.400000000001</v>
      </c>
      <c r="I208" s="13">
        <v>0.5</v>
      </c>
      <c r="J208" t="s">
        <v>6207</v>
      </c>
      <c r="K208">
        <v>0</v>
      </c>
      <c r="L208">
        <v>0</v>
      </c>
      <c r="M208" t="s">
        <v>58</v>
      </c>
      <c r="V208">
        <v>1</v>
      </c>
      <c r="W208">
        <v>3</v>
      </c>
      <c r="X208">
        <v>0</v>
      </c>
      <c r="Y208">
        <v>0</v>
      </c>
      <c r="Z208">
        <v>0</v>
      </c>
    </row>
    <row r="209" spans="1:26" x14ac:dyDescent="0.2">
      <c r="A209" t="s">
        <v>327</v>
      </c>
      <c r="B209" t="s">
        <v>60</v>
      </c>
      <c r="C209">
        <v>2009</v>
      </c>
      <c r="D209" t="s">
        <v>39</v>
      </c>
      <c r="E209" t="s">
        <v>31</v>
      </c>
      <c r="F209" t="s">
        <v>39</v>
      </c>
      <c r="G209">
        <v>31367</v>
      </c>
      <c r="H209">
        <v>25093.600000000002</v>
      </c>
      <c r="I209" s="13">
        <v>0.75</v>
      </c>
      <c r="J209" t="s">
        <v>6208</v>
      </c>
      <c r="K209">
        <v>2</v>
      </c>
      <c r="L209">
        <v>0</v>
      </c>
      <c r="M209" t="s">
        <v>0</v>
      </c>
      <c r="V209">
        <v>1</v>
      </c>
      <c r="W209">
        <v>3</v>
      </c>
      <c r="X209">
        <v>0</v>
      </c>
      <c r="Y209">
        <v>0</v>
      </c>
      <c r="Z209">
        <v>0</v>
      </c>
    </row>
    <row r="210" spans="1:26" x14ac:dyDescent="0.2">
      <c r="A210" t="s">
        <v>328</v>
      </c>
      <c r="B210" t="s">
        <v>52</v>
      </c>
      <c r="C210">
        <v>2009</v>
      </c>
      <c r="D210" t="s">
        <v>34</v>
      </c>
      <c r="E210" t="s">
        <v>46</v>
      </c>
      <c r="F210" t="s">
        <v>36</v>
      </c>
      <c r="G210">
        <v>28723</v>
      </c>
      <c r="H210">
        <v>22978.400000000001</v>
      </c>
      <c r="I210" s="13">
        <v>0.66666666666666663</v>
      </c>
      <c r="J210" t="s">
        <v>6207</v>
      </c>
      <c r="K210">
        <v>0</v>
      </c>
      <c r="L210">
        <v>2</v>
      </c>
      <c r="M210" t="s">
        <v>1</v>
      </c>
      <c r="V210">
        <v>1</v>
      </c>
      <c r="W210">
        <v>2</v>
      </c>
      <c r="X210">
        <v>0</v>
      </c>
      <c r="Y210">
        <v>0</v>
      </c>
      <c r="Z210">
        <v>0</v>
      </c>
    </row>
    <row r="211" spans="1:26" x14ac:dyDescent="0.2">
      <c r="A211" t="s">
        <v>329</v>
      </c>
      <c r="B211" t="s">
        <v>21</v>
      </c>
      <c r="C211">
        <v>2009</v>
      </c>
      <c r="D211" t="s">
        <v>46</v>
      </c>
      <c r="E211" t="s">
        <v>34</v>
      </c>
      <c r="F211" t="s">
        <v>20</v>
      </c>
      <c r="G211">
        <v>60704</v>
      </c>
      <c r="H211">
        <v>48563.200000000004</v>
      </c>
      <c r="I211" s="13">
        <v>0.33333333333333331</v>
      </c>
      <c r="J211" t="s">
        <v>6206</v>
      </c>
      <c r="K211">
        <v>4</v>
      </c>
      <c r="L211">
        <v>2</v>
      </c>
      <c r="M211" t="s">
        <v>0</v>
      </c>
      <c r="V211">
        <v>1</v>
      </c>
      <c r="W211">
        <v>2</v>
      </c>
      <c r="X211">
        <v>0</v>
      </c>
      <c r="Y211">
        <v>0</v>
      </c>
      <c r="Z211">
        <v>0</v>
      </c>
    </row>
    <row r="212" spans="1:26" x14ac:dyDescent="0.2">
      <c r="A212" t="s">
        <v>330</v>
      </c>
      <c r="B212" t="s">
        <v>56</v>
      </c>
      <c r="C212">
        <v>2009</v>
      </c>
      <c r="D212" t="s">
        <v>26</v>
      </c>
      <c r="E212" t="s">
        <v>51</v>
      </c>
      <c r="F212" t="s">
        <v>26</v>
      </c>
      <c r="G212">
        <v>61276</v>
      </c>
      <c r="H212">
        <v>49020.800000000003</v>
      </c>
      <c r="I212" s="13">
        <v>0.6</v>
      </c>
      <c r="J212" t="s">
        <v>6207</v>
      </c>
      <c r="K212">
        <v>2</v>
      </c>
      <c r="L212">
        <v>0</v>
      </c>
      <c r="M212" t="s">
        <v>0</v>
      </c>
      <c r="V212">
        <v>2</v>
      </c>
      <c r="W212">
        <v>3</v>
      </c>
      <c r="X212">
        <v>0</v>
      </c>
      <c r="Y212">
        <v>0</v>
      </c>
      <c r="Z212">
        <v>1</v>
      </c>
    </row>
    <row r="213" spans="1:26" x14ac:dyDescent="0.2">
      <c r="A213" t="s">
        <v>331</v>
      </c>
      <c r="B213" t="s">
        <v>29</v>
      </c>
      <c r="C213">
        <v>2009</v>
      </c>
      <c r="D213" t="s">
        <v>48</v>
      </c>
      <c r="E213" t="s">
        <v>19</v>
      </c>
      <c r="F213" t="s">
        <v>49</v>
      </c>
      <c r="G213">
        <v>74197</v>
      </c>
      <c r="H213">
        <v>59357.600000000006</v>
      </c>
      <c r="I213" s="13">
        <v>0</v>
      </c>
      <c r="J213" t="s">
        <v>6208</v>
      </c>
      <c r="K213">
        <v>4</v>
      </c>
      <c r="L213">
        <v>0</v>
      </c>
      <c r="M213" t="s">
        <v>0</v>
      </c>
      <c r="V213">
        <v>1</v>
      </c>
      <c r="W213">
        <v>1</v>
      </c>
      <c r="X213">
        <v>0</v>
      </c>
      <c r="Y213">
        <v>0</v>
      </c>
      <c r="Z213">
        <v>0</v>
      </c>
    </row>
    <row r="214" spans="1:26" x14ac:dyDescent="0.2">
      <c r="A214" t="s">
        <v>332</v>
      </c>
      <c r="B214" t="s">
        <v>55</v>
      </c>
      <c r="C214">
        <v>2009</v>
      </c>
      <c r="D214" t="s">
        <v>22</v>
      </c>
      <c r="E214" t="s">
        <v>26</v>
      </c>
      <c r="F214" t="s">
        <v>24</v>
      </c>
      <c r="G214">
        <v>31750</v>
      </c>
      <c r="H214">
        <v>25400</v>
      </c>
      <c r="I214" s="13">
        <v>1</v>
      </c>
      <c r="J214" t="s">
        <v>6206</v>
      </c>
      <c r="K214">
        <v>0</v>
      </c>
      <c r="L214">
        <v>0</v>
      </c>
      <c r="M214" t="s">
        <v>58</v>
      </c>
      <c r="V214">
        <v>0</v>
      </c>
      <c r="W214">
        <v>1</v>
      </c>
      <c r="X214">
        <v>0</v>
      </c>
      <c r="Y214">
        <v>0</v>
      </c>
      <c r="Z214">
        <v>0</v>
      </c>
    </row>
    <row r="215" spans="1:26" x14ac:dyDescent="0.2">
      <c r="A215" t="s">
        <v>333</v>
      </c>
      <c r="B215" t="s">
        <v>37</v>
      </c>
      <c r="C215">
        <v>2009</v>
      </c>
      <c r="D215" t="s">
        <v>30</v>
      </c>
      <c r="E215" t="s">
        <v>23</v>
      </c>
      <c r="F215" t="s">
        <v>30</v>
      </c>
      <c r="G215">
        <v>20899</v>
      </c>
      <c r="H215">
        <v>16719.2</v>
      </c>
      <c r="I215" s="13">
        <v>0.75</v>
      </c>
      <c r="J215" t="s">
        <v>6206</v>
      </c>
      <c r="K215">
        <v>1</v>
      </c>
      <c r="L215">
        <v>1</v>
      </c>
      <c r="M215" t="s">
        <v>58</v>
      </c>
      <c r="V215">
        <v>3</v>
      </c>
      <c r="W215">
        <v>1</v>
      </c>
      <c r="X215">
        <v>0</v>
      </c>
      <c r="Y215">
        <v>0</v>
      </c>
      <c r="Z215">
        <v>0</v>
      </c>
    </row>
    <row r="216" spans="1:26" x14ac:dyDescent="0.2">
      <c r="A216" t="s">
        <v>334</v>
      </c>
      <c r="B216" t="s">
        <v>41</v>
      </c>
      <c r="C216">
        <v>2009</v>
      </c>
      <c r="D216" t="s">
        <v>51</v>
      </c>
      <c r="E216" t="s">
        <v>31</v>
      </c>
      <c r="F216" t="s">
        <v>20</v>
      </c>
      <c r="G216">
        <v>36284</v>
      </c>
      <c r="H216">
        <v>29027.200000000001</v>
      </c>
      <c r="I216" s="13">
        <v>0.5</v>
      </c>
      <c r="J216" t="s">
        <v>6207</v>
      </c>
      <c r="K216">
        <v>2</v>
      </c>
      <c r="L216">
        <v>0</v>
      </c>
      <c r="M216" t="s">
        <v>0</v>
      </c>
      <c r="V216">
        <v>1</v>
      </c>
      <c r="W216">
        <v>1</v>
      </c>
      <c r="X216">
        <v>0</v>
      </c>
      <c r="Y216">
        <v>0</v>
      </c>
      <c r="Z216">
        <v>0</v>
      </c>
    </row>
    <row r="217" spans="1:26" x14ac:dyDescent="0.2">
      <c r="A217" t="s">
        <v>335</v>
      </c>
      <c r="B217" t="s">
        <v>32</v>
      </c>
      <c r="C217">
        <v>2009</v>
      </c>
      <c r="D217" t="s">
        <v>34</v>
      </c>
      <c r="E217" t="s">
        <v>28</v>
      </c>
      <c r="F217" t="s">
        <v>36</v>
      </c>
      <c r="G217">
        <v>28723</v>
      </c>
      <c r="H217">
        <v>22978.400000000001</v>
      </c>
      <c r="I217" s="13">
        <v>0.2</v>
      </c>
      <c r="J217" t="s">
        <v>6207</v>
      </c>
      <c r="K217">
        <v>1</v>
      </c>
      <c r="L217">
        <v>0</v>
      </c>
      <c r="M217" t="s">
        <v>0</v>
      </c>
      <c r="V217">
        <v>3</v>
      </c>
      <c r="W217">
        <v>2</v>
      </c>
      <c r="X217">
        <v>0</v>
      </c>
      <c r="Y217">
        <v>0</v>
      </c>
      <c r="Z217">
        <v>0</v>
      </c>
    </row>
    <row r="218" spans="1:26" x14ac:dyDescent="0.2">
      <c r="A218" t="s">
        <v>336</v>
      </c>
      <c r="B218" t="s">
        <v>29</v>
      </c>
      <c r="C218">
        <v>2009</v>
      </c>
      <c r="D218" t="s">
        <v>18</v>
      </c>
      <c r="E218" t="s">
        <v>38</v>
      </c>
      <c r="F218" t="s">
        <v>20</v>
      </c>
      <c r="G218">
        <v>40341</v>
      </c>
      <c r="H218">
        <v>32272.800000000003</v>
      </c>
      <c r="I218" s="13">
        <v>0</v>
      </c>
      <c r="J218" t="s">
        <v>6208</v>
      </c>
      <c r="K218">
        <v>3</v>
      </c>
      <c r="L218">
        <v>0</v>
      </c>
      <c r="M218" t="s">
        <v>0</v>
      </c>
      <c r="V218">
        <v>0</v>
      </c>
      <c r="W218">
        <v>1</v>
      </c>
      <c r="X218">
        <v>0</v>
      </c>
      <c r="Y218">
        <v>0</v>
      </c>
      <c r="Z218">
        <v>0</v>
      </c>
    </row>
    <row r="219" spans="1:26" x14ac:dyDescent="0.2">
      <c r="A219" t="s">
        <v>337</v>
      </c>
      <c r="B219" t="s">
        <v>54</v>
      </c>
      <c r="C219">
        <v>2009</v>
      </c>
      <c r="D219" t="s">
        <v>42</v>
      </c>
      <c r="E219" t="s">
        <v>46</v>
      </c>
      <c r="F219" t="s">
        <v>38</v>
      </c>
      <c r="G219">
        <v>42918</v>
      </c>
      <c r="H219">
        <v>34334.400000000001</v>
      </c>
      <c r="I219" s="13">
        <v>0.75</v>
      </c>
      <c r="J219" t="s">
        <v>6206</v>
      </c>
      <c r="K219">
        <v>0</v>
      </c>
      <c r="L219">
        <v>0</v>
      </c>
      <c r="M219" t="s">
        <v>58</v>
      </c>
      <c r="V219">
        <v>2</v>
      </c>
      <c r="W219">
        <v>2</v>
      </c>
      <c r="X219">
        <v>0</v>
      </c>
      <c r="Y219">
        <v>0</v>
      </c>
      <c r="Z219">
        <v>0</v>
      </c>
    </row>
    <row r="220" spans="1:26" x14ac:dyDescent="0.2">
      <c r="A220" t="s">
        <v>338</v>
      </c>
      <c r="B220" t="s">
        <v>52</v>
      </c>
      <c r="C220">
        <v>2009</v>
      </c>
      <c r="D220" t="s">
        <v>45</v>
      </c>
      <c r="E220" t="s">
        <v>35</v>
      </c>
      <c r="F220" t="s">
        <v>26</v>
      </c>
      <c r="G220">
        <v>39572</v>
      </c>
      <c r="H220">
        <v>31657.600000000002</v>
      </c>
      <c r="I220" s="13">
        <v>1</v>
      </c>
      <c r="J220" t="s">
        <v>6207</v>
      </c>
      <c r="K220">
        <v>2</v>
      </c>
      <c r="L220">
        <v>0</v>
      </c>
      <c r="M220" t="s">
        <v>0</v>
      </c>
      <c r="V220">
        <v>0</v>
      </c>
      <c r="W220">
        <v>1</v>
      </c>
      <c r="X220">
        <v>0</v>
      </c>
      <c r="Y220">
        <v>0</v>
      </c>
      <c r="Z220">
        <v>0</v>
      </c>
    </row>
    <row r="221" spans="1:26" x14ac:dyDescent="0.2">
      <c r="A221" t="s">
        <v>339</v>
      </c>
      <c r="B221" t="s">
        <v>50</v>
      </c>
      <c r="C221">
        <v>2009</v>
      </c>
      <c r="D221" t="s">
        <v>39</v>
      </c>
      <c r="E221" t="s">
        <v>43</v>
      </c>
      <c r="F221" t="s">
        <v>39</v>
      </c>
      <c r="G221">
        <v>31367</v>
      </c>
      <c r="H221">
        <v>25093.600000000002</v>
      </c>
      <c r="I221" s="13">
        <v>0.75</v>
      </c>
      <c r="J221" t="s">
        <v>6207</v>
      </c>
      <c r="K221">
        <v>2</v>
      </c>
      <c r="L221">
        <v>1</v>
      </c>
      <c r="M221" t="s">
        <v>0</v>
      </c>
      <c r="V221">
        <v>3</v>
      </c>
      <c r="W221">
        <v>1</v>
      </c>
      <c r="X221">
        <v>0</v>
      </c>
      <c r="Y221">
        <v>0</v>
      </c>
      <c r="Z221">
        <v>0</v>
      </c>
    </row>
    <row r="222" spans="1:26" x14ac:dyDescent="0.2">
      <c r="A222" t="s">
        <v>340</v>
      </c>
      <c r="B222" t="s">
        <v>54</v>
      </c>
      <c r="C222">
        <v>2009</v>
      </c>
      <c r="D222" t="s">
        <v>43</v>
      </c>
      <c r="E222" t="s">
        <v>45</v>
      </c>
      <c r="F222" t="s">
        <v>43</v>
      </c>
      <c r="G222">
        <v>25138</v>
      </c>
      <c r="H222">
        <v>20110.400000000001</v>
      </c>
      <c r="I222" s="13">
        <v>0.5</v>
      </c>
      <c r="J222" t="s">
        <v>6206</v>
      </c>
      <c r="K222">
        <v>0</v>
      </c>
      <c r="L222">
        <v>1</v>
      </c>
      <c r="M222" t="s">
        <v>1</v>
      </c>
      <c r="V222">
        <v>0</v>
      </c>
      <c r="W222">
        <v>2</v>
      </c>
      <c r="X222">
        <v>0</v>
      </c>
      <c r="Y222">
        <v>0</v>
      </c>
      <c r="Z222">
        <v>0</v>
      </c>
    </row>
    <row r="223" spans="1:26" x14ac:dyDescent="0.2">
      <c r="A223" t="s">
        <v>341</v>
      </c>
      <c r="B223" t="s">
        <v>55</v>
      </c>
      <c r="C223">
        <v>2009</v>
      </c>
      <c r="D223" t="s">
        <v>23</v>
      </c>
      <c r="E223" t="s">
        <v>39</v>
      </c>
      <c r="F223" t="s">
        <v>20</v>
      </c>
      <c r="G223">
        <v>62500</v>
      </c>
      <c r="H223">
        <v>50000</v>
      </c>
      <c r="I223" s="13">
        <v>1</v>
      </c>
      <c r="J223" t="s">
        <v>6206</v>
      </c>
      <c r="K223">
        <v>0</v>
      </c>
      <c r="L223">
        <v>0</v>
      </c>
      <c r="M223" t="s">
        <v>58</v>
      </c>
      <c r="V223">
        <v>0</v>
      </c>
      <c r="W223">
        <v>1</v>
      </c>
      <c r="X223">
        <v>0</v>
      </c>
      <c r="Y223">
        <v>0</v>
      </c>
      <c r="Z223">
        <v>0</v>
      </c>
    </row>
    <row r="224" spans="1:26" x14ac:dyDescent="0.2">
      <c r="A224" t="s">
        <v>342</v>
      </c>
      <c r="B224" t="s">
        <v>29</v>
      </c>
      <c r="C224">
        <v>2009</v>
      </c>
      <c r="D224" t="s">
        <v>26</v>
      </c>
      <c r="E224" t="s">
        <v>34</v>
      </c>
      <c r="F224" t="s">
        <v>26</v>
      </c>
      <c r="G224">
        <v>61276</v>
      </c>
      <c r="H224">
        <v>49020.800000000003</v>
      </c>
      <c r="I224" s="13">
        <v>0.25</v>
      </c>
      <c r="J224" t="s">
        <v>6208</v>
      </c>
      <c r="K224">
        <v>2</v>
      </c>
      <c r="L224">
        <v>0</v>
      </c>
      <c r="M224" t="s">
        <v>0</v>
      </c>
      <c r="V224">
        <v>1</v>
      </c>
      <c r="W224">
        <v>3</v>
      </c>
      <c r="X224">
        <v>0</v>
      </c>
      <c r="Y224">
        <v>0</v>
      </c>
      <c r="Z224">
        <v>0</v>
      </c>
    </row>
    <row r="225" spans="1:26" x14ac:dyDescent="0.2">
      <c r="A225" t="s">
        <v>343</v>
      </c>
      <c r="B225" t="s">
        <v>41</v>
      </c>
      <c r="C225">
        <v>2009</v>
      </c>
      <c r="D225" t="s">
        <v>19</v>
      </c>
      <c r="E225" t="s">
        <v>22</v>
      </c>
      <c r="F225" t="s">
        <v>19</v>
      </c>
      <c r="G225">
        <v>25586</v>
      </c>
      <c r="H225">
        <v>20468.800000000003</v>
      </c>
      <c r="I225" s="13">
        <v>0.5</v>
      </c>
      <c r="J225" t="s">
        <v>6207</v>
      </c>
      <c r="K225">
        <v>2</v>
      </c>
      <c r="L225">
        <v>2</v>
      </c>
      <c r="M225" t="s">
        <v>58</v>
      </c>
      <c r="V225">
        <v>2</v>
      </c>
      <c r="W225">
        <v>0</v>
      </c>
      <c r="X225">
        <v>0</v>
      </c>
      <c r="Y225">
        <v>0</v>
      </c>
      <c r="Z225">
        <v>1</v>
      </c>
    </row>
    <row r="226" spans="1:26" x14ac:dyDescent="0.2">
      <c r="A226" t="s">
        <v>344</v>
      </c>
      <c r="B226" t="s">
        <v>50</v>
      </c>
      <c r="C226">
        <v>2009</v>
      </c>
      <c r="D226" t="s">
        <v>31</v>
      </c>
      <c r="E226" t="s">
        <v>42</v>
      </c>
      <c r="F226" t="s">
        <v>20</v>
      </c>
      <c r="G226">
        <v>28500</v>
      </c>
      <c r="H226">
        <v>22800</v>
      </c>
      <c r="I226" s="13">
        <v>0</v>
      </c>
      <c r="J226" t="s">
        <v>6207</v>
      </c>
      <c r="K226">
        <v>0</v>
      </c>
      <c r="L226">
        <v>2</v>
      </c>
      <c r="M226" t="s">
        <v>1</v>
      </c>
      <c r="V226">
        <v>0</v>
      </c>
      <c r="W226">
        <v>2</v>
      </c>
      <c r="X226">
        <v>0</v>
      </c>
      <c r="Y226">
        <v>0</v>
      </c>
      <c r="Z226">
        <v>0</v>
      </c>
    </row>
    <row r="227" spans="1:26" x14ac:dyDescent="0.2">
      <c r="A227" t="s">
        <v>345</v>
      </c>
      <c r="B227" t="s">
        <v>59</v>
      </c>
      <c r="C227">
        <v>2009</v>
      </c>
      <c r="D227" t="s">
        <v>38</v>
      </c>
      <c r="E227" t="s">
        <v>51</v>
      </c>
      <c r="F227" t="s">
        <v>38</v>
      </c>
      <c r="G227">
        <v>29409</v>
      </c>
      <c r="H227">
        <v>23527.200000000001</v>
      </c>
      <c r="I227" s="13">
        <v>0.5</v>
      </c>
      <c r="J227" t="s">
        <v>6206</v>
      </c>
      <c r="K227">
        <v>1</v>
      </c>
      <c r="L227">
        <v>1</v>
      </c>
      <c r="M227" t="s">
        <v>58</v>
      </c>
      <c r="V227">
        <v>4</v>
      </c>
      <c r="W227">
        <v>2</v>
      </c>
      <c r="X227">
        <v>0</v>
      </c>
      <c r="Y227">
        <v>0</v>
      </c>
      <c r="Z227">
        <v>0</v>
      </c>
    </row>
    <row r="228" spans="1:26" x14ac:dyDescent="0.2">
      <c r="A228" t="s">
        <v>346</v>
      </c>
      <c r="B228" t="s">
        <v>52</v>
      </c>
      <c r="C228">
        <v>2009</v>
      </c>
      <c r="D228" t="s">
        <v>28</v>
      </c>
      <c r="E228" t="s">
        <v>18</v>
      </c>
      <c r="F228" t="s">
        <v>28</v>
      </c>
      <c r="G228">
        <v>21944</v>
      </c>
      <c r="H228">
        <v>17555.2</v>
      </c>
      <c r="I228" s="13">
        <v>0.5</v>
      </c>
      <c r="J228" t="s">
        <v>6207</v>
      </c>
      <c r="K228">
        <v>1</v>
      </c>
      <c r="L228">
        <v>2</v>
      </c>
      <c r="M228" t="s">
        <v>1</v>
      </c>
      <c r="V228">
        <v>1</v>
      </c>
      <c r="W228">
        <v>1</v>
      </c>
      <c r="X228">
        <v>0</v>
      </c>
      <c r="Y228">
        <v>0</v>
      </c>
      <c r="Z228">
        <v>0</v>
      </c>
    </row>
    <row r="229" spans="1:26" x14ac:dyDescent="0.2">
      <c r="A229" t="s">
        <v>347</v>
      </c>
      <c r="B229" t="s">
        <v>32</v>
      </c>
      <c r="C229">
        <v>2009</v>
      </c>
      <c r="D229" t="s">
        <v>40</v>
      </c>
      <c r="E229" t="s">
        <v>30</v>
      </c>
      <c r="F229" t="s">
        <v>49</v>
      </c>
      <c r="G229">
        <v>53400</v>
      </c>
      <c r="H229">
        <v>42720</v>
      </c>
      <c r="I229" s="13">
        <v>0.75</v>
      </c>
      <c r="J229" t="s">
        <v>6207</v>
      </c>
      <c r="K229">
        <v>2</v>
      </c>
      <c r="L229">
        <v>0</v>
      </c>
      <c r="M229" t="s">
        <v>0</v>
      </c>
      <c r="V229">
        <v>1</v>
      </c>
      <c r="W229">
        <v>3</v>
      </c>
      <c r="X229">
        <v>0</v>
      </c>
      <c r="Y229">
        <v>0</v>
      </c>
      <c r="Z229">
        <v>0</v>
      </c>
    </row>
    <row r="230" spans="1:26" x14ac:dyDescent="0.2">
      <c r="A230" t="s">
        <v>348</v>
      </c>
      <c r="B230" t="s">
        <v>25</v>
      </c>
      <c r="C230">
        <v>2009</v>
      </c>
      <c r="D230" t="s">
        <v>46</v>
      </c>
      <c r="E230" t="s">
        <v>48</v>
      </c>
      <c r="F230" t="s">
        <v>20</v>
      </c>
      <c r="G230">
        <v>60704</v>
      </c>
      <c r="H230">
        <v>48563.200000000004</v>
      </c>
      <c r="I230" s="13">
        <v>1</v>
      </c>
      <c r="J230" t="s">
        <v>6207</v>
      </c>
      <c r="K230">
        <v>1</v>
      </c>
      <c r="L230">
        <v>3</v>
      </c>
      <c r="M230" t="s">
        <v>1</v>
      </c>
      <c r="V230">
        <v>1</v>
      </c>
      <c r="W230">
        <v>0</v>
      </c>
      <c r="X230">
        <v>0</v>
      </c>
      <c r="Y230">
        <v>0</v>
      </c>
      <c r="Z230">
        <v>0</v>
      </c>
    </row>
    <row r="231" spans="1:26" x14ac:dyDescent="0.2">
      <c r="A231" t="s">
        <v>349</v>
      </c>
      <c r="B231" t="s">
        <v>56</v>
      </c>
      <c r="C231">
        <v>2009</v>
      </c>
      <c r="D231" t="s">
        <v>35</v>
      </c>
      <c r="E231" t="s">
        <v>27</v>
      </c>
      <c r="F231" t="s">
        <v>35</v>
      </c>
      <c r="G231">
        <v>49000</v>
      </c>
      <c r="H231">
        <v>39200</v>
      </c>
      <c r="I231" s="13">
        <v>0.4</v>
      </c>
      <c r="J231" t="s">
        <v>6207</v>
      </c>
      <c r="K231">
        <v>0</v>
      </c>
      <c r="L231">
        <v>0</v>
      </c>
      <c r="M231" t="s">
        <v>58</v>
      </c>
      <c r="V231">
        <v>2</v>
      </c>
      <c r="W231">
        <v>3</v>
      </c>
      <c r="X231">
        <v>0</v>
      </c>
      <c r="Y231">
        <v>0</v>
      </c>
      <c r="Z231">
        <v>0</v>
      </c>
    </row>
    <row r="232" spans="1:26" x14ac:dyDescent="0.2">
      <c r="A232" t="s">
        <v>350</v>
      </c>
      <c r="B232" t="s">
        <v>44</v>
      </c>
      <c r="C232">
        <v>2009</v>
      </c>
      <c r="D232" t="s">
        <v>19</v>
      </c>
      <c r="E232" t="s">
        <v>18</v>
      </c>
      <c r="F232" t="s">
        <v>19</v>
      </c>
      <c r="G232">
        <v>25586</v>
      </c>
      <c r="H232">
        <v>20468.800000000003</v>
      </c>
      <c r="I232" s="13">
        <v>0.75</v>
      </c>
      <c r="J232" t="s">
        <v>6207</v>
      </c>
      <c r="K232">
        <v>1</v>
      </c>
      <c r="L232">
        <v>1</v>
      </c>
      <c r="M232" t="s">
        <v>58</v>
      </c>
      <c r="V232">
        <v>1</v>
      </c>
      <c r="W232">
        <v>3</v>
      </c>
      <c r="X232">
        <v>0</v>
      </c>
      <c r="Y232">
        <v>0</v>
      </c>
      <c r="Z232">
        <v>0</v>
      </c>
    </row>
    <row r="233" spans="1:26" x14ac:dyDescent="0.2">
      <c r="A233" t="s">
        <v>351</v>
      </c>
      <c r="B233" t="s">
        <v>61</v>
      </c>
      <c r="C233">
        <v>2009</v>
      </c>
      <c r="D233" t="s">
        <v>31</v>
      </c>
      <c r="E233" t="s">
        <v>30</v>
      </c>
      <c r="F233" t="s">
        <v>20</v>
      </c>
      <c r="G233">
        <v>28500</v>
      </c>
      <c r="H233">
        <v>22800</v>
      </c>
      <c r="I233" s="13">
        <v>1</v>
      </c>
      <c r="J233" t="s">
        <v>6207</v>
      </c>
      <c r="K233">
        <v>1</v>
      </c>
      <c r="L233">
        <v>0</v>
      </c>
      <c r="M233" t="s">
        <v>0</v>
      </c>
      <c r="V233">
        <v>0</v>
      </c>
      <c r="W233">
        <v>1</v>
      </c>
      <c r="X233">
        <v>0</v>
      </c>
      <c r="Y233">
        <v>0</v>
      </c>
      <c r="Z233">
        <v>0</v>
      </c>
    </row>
    <row r="234" spans="1:26" x14ac:dyDescent="0.2">
      <c r="A234" t="s">
        <v>352</v>
      </c>
      <c r="B234" t="s">
        <v>32</v>
      </c>
      <c r="C234">
        <v>2009</v>
      </c>
      <c r="D234" t="s">
        <v>26</v>
      </c>
      <c r="E234" t="s">
        <v>45</v>
      </c>
      <c r="F234" t="s">
        <v>26</v>
      </c>
      <c r="G234">
        <v>61276</v>
      </c>
      <c r="H234">
        <v>49020.800000000003</v>
      </c>
      <c r="I234" s="13">
        <v>0.625</v>
      </c>
      <c r="J234" t="s">
        <v>6207</v>
      </c>
      <c r="K234">
        <v>1</v>
      </c>
      <c r="L234">
        <v>0</v>
      </c>
      <c r="M234" t="s">
        <v>0</v>
      </c>
      <c r="V234">
        <v>3</v>
      </c>
      <c r="W234">
        <v>3</v>
      </c>
      <c r="X234">
        <v>1</v>
      </c>
      <c r="Y234">
        <v>1</v>
      </c>
      <c r="Z234">
        <v>0</v>
      </c>
    </row>
    <row r="235" spans="1:26" x14ac:dyDescent="0.2">
      <c r="A235" t="s">
        <v>353</v>
      </c>
      <c r="B235" t="s">
        <v>59</v>
      </c>
      <c r="C235">
        <v>2009</v>
      </c>
      <c r="D235" t="s">
        <v>35</v>
      </c>
      <c r="E235" t="s">
        <v>43</v>
      </c>
      <c r="F235" t="s">
        <v>35</v>
      </c>
      <c r="G235">
        <v>49000</v>
      </c>
      <c r="H235">
        <v>39200</v>
      </c>
      <c r="I235" s="13">
        <v>0.66666666666666663</v>
      </c>
      <c r="J235" t="s">
        <v>6206</v>
      </c>
      <c r="K235">
        <v>1</v>
      </c>
      <c r="L235">
        <v>1</v>
      </c>
      <c r="M235" t="s">
        <v>58</v>
      </c>
      <c r="V235">
        <v>4</v>
      </c>
      <c r="W235">
        <v>5</v>
      </c>
      <c r="X235">
        <v>0</v>
      </c>
      <c r="Y235">
        <v>0</v>
      </c>
      <c r="Z235">
        <v>0</v>
      </c>
    </row>
    <row r="236" spans="1:26" x14ac:dyDescent="0.2">
      <c r="A236" t="s">
        <v>354</v>
      </c>
      <c r="B236" t="s">
        <v>29</v>
      </c>
      <c r="C236">
        <v>2009</v>
      </c>
      <c r="D236" t="s">
        <v>27</v>
      </c>
      <c r="E236" t="s">
        <v>39</v>
      </c>
      <c r="F236" t="s">
        <v>27</v>
      </c>
      <c r="G236">
        <v>30089</v>
      </c>
      <c r="H236">
        <v>24071.200000000001</v>
      </c>
      <c r="I236" s="13">
        <v>0.66666666666666663</v>
      </c>
      <c r="J236" t="s">
        <v>6208</v>
      </c>
      <c r="K236">
        <v>3</v>
      </c>
      <c r="L236">
        <v>0</v>
      </c>
      <c r="M236" t="s">
        <v>0</v>
      </c>
      <c r="V236">
        <v>2</v>
      </c>
      <c r="W236">
        <v>3</v>
      </c>
      <c r="X236">
        <v>0</v>
      </c>
      <c r="Y236">
        <v>1</v>
      </c>
      <c r="Z236">
        <v>0</v>
      </c>
    </row>
    <row r="237" spans="1:26" x14ac:dyDescent="0.2">
      <c r="A237" t="s">
        <v>355</v>
      </c>
      <c r="B237" t="s">
        <v>50</v>
      </c>
      <c r="C237">
        <v>2009</v>
      </c>
      <c r="D237" t="s">
        <v>48</v>
      </c>
      <c r="E237" t="s">
        <v>30</v>
      </c>
      <c r="F237" t="s">
        <v>49</v>
      </c>
      <c r="G237">
        <v>74197</v>
      </c>
      <c r="H237">
        <v>59357.600000000006</v>
      </c>
      <c r="I237" s="13">
        <v>0.6</v>
      </c>
      <c r="J237" t="s">
        <v>6207</v>
      </c>
      <c r="K237">
        <v>5</v>
      </c>
      <c r="L237">
        <v>0</v>
      </c>
      <c r="M237" t="s">
        <v>0</v>
      </c>
      <c r="V237">
        <v>1</v>
      </c>
      <c r="W237">
        <v>4</v>
      </c>
      <c r="X237">
        <v>0</v>
      </c>
      <c r="Y237">
        <v>0</v>
      </c>
      <c r="Z237">
        <v>0</v>
      </c>
    </row>
    <row r="238" spans="1:26" x14ac:dyDescent="0.2">
      <c r="A238" t="s">
        <v>356</v>
      </c>
      <c r="B238" t="s">
        <v>52</v>
      </c>
      <c r="C238">
        <v>2009</v>
      </c>
      <c r="D238" t="s">
        <v>19</v>
      </c>
      <c r="E238" t="s">
        <v>40</v>
      </c>
      <c r="F238" t="s">
        <v>19</v>
      </c>
      <c r="G238">
        <v>25586</v>
      </c>
      <c r="H238">
        <v>20468.800000000003</v>
      </c>
      <c r="I238" s="13">
        <v>0.66666666666666663</v>
      </c>
      <c r="J238" t="s">
        <v>6207</v>
      </c>
      <c r="K238">
        <v>2</v>
      </c>
      <c r="L238">
        <v>1</v>
      </c>
      <c r="M238" t="s">
        <v>0</v>
      </c>
      <c r="V238">
        <v>2</v>
      </c>
      <c r="W238">
        <v>4</v>
      </c>
      <c r="X238">
        <v>0</v>
      </c>
      <c r="Y238">
        <v>0</v>
      </c>
      <c r="Z238">
        <v>0</v>
      </c>
    </row>
    <row r="239" spans="1:26" x14ac:dyDescent="0.2">
      <c r="A239" t="s">
        <v>357</v>
      </c>
      <c r="B239" t="s">
        <v>56</v>
      </c>
      <c r="C239">
        <v>2009</v>
      </c>
      <c r="D239" t="s">
        <v>28</v>
      </c>
      <c r="E239" t="s">
        <v>23</v>
      </c>
      <c r="F239" t="s">
        <v>28</v>
      </c>
      <c r="G239">
        <v>21944</v>
      </c>
      <c r="H239">
        <v>17555.2</v>
      </c>
      <c r="I239" s="13">
        <v>0</v>
      </c>
      <c r="J239" t="s">
        <v>6207</v>
      </c>
      <c r="K239">
        <v>2</v>
      </c>
      <c r="L239">
        <v>1</v>
      </c>
      <c r="M239" t="s">
        <v>0</v>
      </c>
      <c r="V239">
        <v>2</v>
      </c>
      <c r="W239">
        <v>1</v>
      </c>
      <c r="X239">
        <v>0</v>
      </c>
      <c r="Y239">
        <v>0</v>
      </c>
      <c r="Z239">
        <v>0</v>
      </c>
    </row>
    <row r="240" spans="1:26" x14ac:dyDescent="0.2">
      <c r="A240" t="s">
        <v>358</v>
      </c>
      <c r="B240" t="s">
        <v>44</v>
      </c>
      <c r="C240">
        <v>2009</v>
      </c>
      <c r="D240" t="s">
        <v>34</v>
      </c>
      <c r="E240" t="s">
        <v>31</v>
      </c>
      <c r="F240" t="s">
        <v>36</v>
      </c>
      <c r="G240">
        <v>28723</v>
      </c>
      <c r="H240">
        <v>22978.400000000001</v>
      </c>
      <c r="I240" s="13">
        <v>0</v>
      </c>
      <c r="J240" t="s">
        <v>6207</v>
      </c>
      <c r="K240">
        <v>0</v>
      </c>
      <c r="L240">
        <v>0</v>
      </c>
      <c r="M240" t="s">
        <v>58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">
      <c r="A241" t="s">
        <v>359</v>
      </c>
      <c r="B241" t="s">
        <v>25</v>
      </c>
      <c r="C241">
        <v>2009</v>
      </c>
      <c r="D241" t="s">
        <v>51</v>
      </c>
      <c r="E241" t="s">
        <v>42</v>
      </c>
      <c r="F241" t="s">
        <v>20</v>
      </c>
      <c r="G241">
        <v>36284</v>
      </c>
      <c r="H241">
        <v>29027.200000000001</v>
      </c>
      <c r="I241" s="13">
        <v>0</v>
      </c>
      <c r="J241" t="s">
        <v>6207</v>
      </c>
      <c r="K241">
        <v>0</v>
      </c>
      <c r="L241">
        <v>0</v>
      </c>
      <c r="M241" t="s">
        <v>58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">
      <c r="A242" t="s">
        <v>360</v>
      </c>
      <c r="B242" t="s">
        <v>54</v>
      </c>
      <c r="C242">
        <v>2009</v>
      </c>
      <c r="D242" t="s">
        <v>38</v>
      </c>
      <c r="E242" t="s">
        <v>22</v>
      </c>
      <c r="F242" t="s">
        <v>38</v>
      </c>
      <c r="G242">
        <v>29409</v>
      </c>
      <c r="H242">
        <v>23527.200000000001</v>
      </c>
      <c r="I242" s="13">
        <v>0.22222222222222221</v>
      </c>
      <c r="J242" t="s">
        <v>6206</v>
      </c>
      <c r="K242">
        <v>2</v>
      </c>
      <c r="L242">
        <v>1</v>
      </c>
      <c r="M242" t="s">
        <v>0</v>
      </c>
      <c r="V242">
        <v>5</v>
      </c>
      <c r="W242">
        <v>4</v>
      </c>
      <c r="X242">
        <v>0</v>
      </c>
      <c r="Y242">
        <v>0</v>
      </c>
      <c r="Z242">
        <v>0</v>
      </c>
    </row>
    <row r="243" spans="1:26" x14ac:dyDescent="0.2">
      <c r="A243" t="s">
        <v>361</v>
      </c>
      <c r="B243" t="s">
        <v>41</v>
      </c>
      <c r="C243">
        <v>2009</v>
      </c>
      <c r="D243" t="s">
        <v>18</v>
      </c>
      <c r="E243" t="s">
        <v>46</v>
      </c>
      <c r="F243" t="s">
        <v>20</v>
      </c>
      <c r="G243">
        <v>40341</v>
      </c>
      <c r="H243">
        <v>32272.800000000003</v>
      </c>
      <c r="I243" s="13">
        <v>0.75</v>
      </c>
      <c r="J243" t="s">
        <v>6207</v>
      </c>
      <c r="K243">
        <v>2</v>
      </c>
      <c r="L243">
        <v>0</v>
      </c>
      <c r="M243" t="s">
        <v>0</v>
      </c>
      <c r="V243">
        <v>2</v>
      </c>
      <c r="W243">
        <v>2</v>
      </c>
      <c r="X243">
        <v>0</v>
      </c>
      <c r="Y243">
        <v>0</v>
      </c>
      <c r="Z243">
        <v>0</v>
      </c>
    </row>
    <row r="244" spans="1:26" x14ac:dyDescent="0.2">
      <c r="A244" t="s">
        <v>362</v>
      </c>
      <c r="B244" t="s">
        <v>37</v>
      </c>
      <c r="C244">
        <v>2009</v>
      </c>
      <c r="D244" t="s">
        <v>43</v>
      </c>
      <c r="E244" t="s">
        <v>27</v>
      </c>
      <c r="F244" t="s">
        <v>43</v>
      </c>
      <c r="G244">
        <v>25138</v>
      </c>
      <c r="H244">
        <v>20110.400000000001</v>
      </c>
      <c r="I244" s="13">
        <v>0.4</v>
      </c>
      <c r="J244" t="s">
        <v>6206</v>
      </c>
      <c r="K244">
        <v>1</v>
      </c>
      <c r="L244">
        <v>1</v>
      </c>
      <c r="M244" t="s">
        <v>58</v>
      </c>
      <c r="V244">
        <v>2</v>
      </c>
      <c r="W244">
        <v>3</v>
      </c>
      <c r="X244">
        <v>0</v>
      </c>
      <c r="Y244">
        <v>0</v>
      </c>
      <c r="Z244">
        <v>0</v>
      </c>
    </row>
    <row r="245" spans="1:26" x14ac:dyDescent="0.2">
      <c r="A245" t="s">
        <v>363</v>
      </c>
      <c r="B245" t="s">
        <v>60</v>
      </c>
      <c r="C245">
        <v>2009</v>
      </c>
      <c r="D245" t="s">
        <v>30</v>
      </c>
      <c r="E245" t="s">
        <v>35</v>
      </c>
      <c r="F245" t="s">
        <v>30</v>
      </c>
      <c r="G245">
        <v>20899</v>
      </c>
      <c r="H245">
        <v>16719.2</v>
      </c>
      <c r="I245" s="13">
        <v>0.7142857142857143</v>
      </c>
      <c r="J245" t="s">
        <v>6208</v>
      </c>
      <c r="K245">
        <v>1</v>
      </c>
      <c r="L245">
        <v>1</v>
      </c>
      <c r="M245" t="s">
        <v>58</v>
      </c>
      <c r="V245">
        <v>3</v>
      </c>
      <c r="W245">
        <v>1</v>
      </c>
      <c r="X245">
        <v>1</v>
      </c>
      <c r="Y245">
        <v>2</v>
      </c>
      <c r="Z245">
        <v>1</v>
      </c>
    </row>
    <row r="246" spans="1:26" x14ac:dyDescent="0.2">
      <c r="A246" t="s">
        <v>364</v>
      </c>
      <c r="B246" t="s">
        <v>53</v>
      </c>
      <c r="C246">
        <v>2009</v>
      </c>
      <c r="D246" t="s">
        <v>40</v>
      </c>
      <c r="E246" t="s">
        <v>34</v>
      </c>
      <c r="F246" t="s">
        <v>49</v>
      </c>
      <c r="G246">
        <v>53400</v>
      </c>
      <c r="H246">
        <v>42720</v>
      </c>
      <c r="I246" s="13">
        <v>0</v>
      </c>
      <c r="J246" t="s">
        <v>6207</v>
      </c>
      <c r="K246">
        <v>2</v>
      </c>
      <c r="L246">
        <v>0</v>
      </c>
      <c r="M246" t="s">
        <v>0</v>
      </c>
      <c r="V246">
        <v>0</v>
      </c>
      <c r="W246">
        <v>2</v>
      </c>
      <c r="X246">
        <v>0</v>
      </c>
      <c r="Y246">
        <v>0</v>
      </c>
      <c r="Z246">
        <v>1</v>
      </c>
    </row>
    <row r="247" spans="1:26" x14ac:dyDescent="0.2">
      <c r="A247" t="s">
        <v>365</v>
      </c>
      <c r="B247" t="s">
        <v>25</v>
      </c>
      <c r="C247">
        <v>2009</v>
      </c>
      <c r="D247" t="s">
        <v>31</v>
      </c>
      <c r="E247" t="s">
        <v>28</v>
      </c>
      <c r="F247" t="s">
        <v>20</v>
      </c>
      <c r="G247">
        <v>28500</v>
      </c>
      <c r="H247">
        <v>22800</v>
      </c>
      <c r="I247" s="13">
        <v>1</v>
      </c>
      <c r="J247" t="s">
        <v>6207</v>
      </c>
      <c r="K247">
        <v>3</v>
      </c>
      <c r="L247">
        <v>0</v>
      </c>
      <c r="M247" t="s">
        <v>0</v>
      </c>
      <c r="V247">
        <v>1</v>
      </c>
      <c r="W247">
        <v>0</v>
      </c>
      <c r="X247">
        <v>0</v>
      </c>
      <c r="Y247">
        <v>0</v>
      </c>
      <c r="Z247">
        <v>0</v>
      </c>
    </row>
    <row r="248" spans="1:26" x14ac:dyDescent="0.2">
      <c r="A248" t="s">
        <v>366</v>
      </c>
      <c r="B248" t="s">
        <v>44</v>
      </c>
      <c r="C248">
        <v>2009</v>
      </c>
      <c r="D248" t="s">
        <v>22</v>
      </c>
      <c r="E248" t="s">
        <v>51</v>
      </c>
      <c r="F248" t="s">
        <v>24</v>
      </c>
      <c r="G248">
        <v>31750</v>
      </c>
      <c r="H248">
        <v>25400</v>
      </c>
      <c r="I248" s="13">
        <v>1</v>
      </c>
      <c r="J248" t="s">
        <v>6207</v>
      </c>
      <c r="K248">
        <v>1</v>
      </c>
      <c r="L248">
        <v>0</v>
      </c>
      <c r="M248" t="s">
        <v>0</v>
      </c>
      <c r="V248">
        <v>2</v>
      </c>
      <c r="W248">
        <v>1</v>
      </c>
      <c r="X248">
        <v>0</v>
      </c>
      <c r="Y248">
        <v>0</v>
      </c>
      <c r="Z248">
        <v>0</v>
      </c>
    </row>
    <row r="249" spans="1:26" x14ac:dyDescent="0.2">
      <c r="A249" t="s">
        <v>367</v>
      </c>
      <c r="B249" t="s">
        <v>41</v>
      </c>
      <c r="C249">
        <v>2009</v>
      </c>
      <c r="D249" t="s">
        <v>23</v>
      </c>
      <c r="E249" t="s">
        <v>38</v>
      </c>
      <c r="F249" t="s">
        <v>20</v>
      </c>
      <c r="G249">
        <v>62500</v>
      </c>
      <c r="H249">
        <v>50000</v>
      </c>
      <c r="I249" s="13">
        <v>0</v>
      </c>
      <c r="J249" t="s">
        <v>6207</v>
      </c>
      <c r="K249">
        <v>2</v>
      </c>
      <c r="L249">
        <v>0</v>
      </c>
      <c r="M249" t="s">
        <v>0</v>
      </c>
      <c r="V249">
        <v>1</v>
      </c>
      <c r="W249">
        <v>2</v>
      </c>
      <c r="X249">
        <v>0</v>
      </c>
      <c r="Y249">
        <v>0</v>
      </c>
      <c r="Z249">
        <v>0</v>
      </c>
    </row>
    <row r="250" spans="1:26" x14ac:dyDescent="0.2">
      <c r="A250" t="s">
        <v>368</v>
      </c>
      <c r="B250" t="s">
        <v>55</v>
      </c>
      <c r="C250">
        <v>2009</v>
      </c>
      <c r="D250" t="s">
        <v>42</v>
      </c>
      <c r="E250" t="s">
        <v>48</v>
      </c>
      <c r="F250" t="s">
        <v>38</v>
      </c>
      <c r="G250">
        <v>42918</v>
      </c>
      <c r="H250">
        <v>34334.400000000001</v>
      </c>
      <c r="I250" s="13">
        <v>0.5</v>
      </c>
      <c r="J250" t="s">
        <v>6206</v>
      </c>
      <c r="K250">
        <v>1</v>
      </c>
      <c r="L250">
        <v>1</v>
      </c>
      <c r="M250" t="s">
        <v>58</v>
      </c>
      <c r="V250">
        <v>0</v>
      </c>
      <c r="W250">
        <v>1</v>
      </c>
      <c r="X250">
        <v>0</v>
      </c>
      <c r="Y250">
        <v>1</v>
      </c>
      <c r="Z250">
        <v>0</v>
      </c>
    </row>
    <row r="251" spans="1:26" x14ac:dyDescent="0.2">
      <c r="A251" t="s">
        <v>369</v>
      </c>
      <c r="B251" t="s">
        <v>56</v>
      </c>
      <c r="C251">
        <v>2009</v>
      </c>
      <c r="D251" t="s">
        <v>46</v>
      </c>
      <c r="E251" t="s">
        <v>26</v>
      </c>
      <c r="F251" t="s">
        <v>20</v>
      </c>
      <c r="G251">
        <v>60704</v>
      </c>
      <c r="H251">
        <v>48563.200000000004</v>
      </c>
      <c r="I251" s="13">
        <v>1</v>
      </c>
      <c r="J251" t="s">
        <v>6207</v>
      </c>
      <c r="K251">
        <v>1</v>
      </c>
      <c r="L251">
        <v>0</v>
      </c>
      <c r="M251" t="s">
        <v>0</v>
      </c>
      <c r="V251">
        <v>3</v>
      </c>
      <c r="W251">
        <v>2</v>
      </c>
      <c r="X251">
        <v>0</v>
      </c>
      <c r="Y251">
        <v>0</v>
      </c>
      <c r="Z251">
        <v>0</v>
      </c>
    </row>
    <row r="252" spans="1:26" x14ac:dyDescent="0.2">
      <c r="A252" t="s">
        <v>370</v>
      </c>
      <c r="B252" t="s">
        <v>21</v>
      </c>
      <c r="C252">
        <v>2009</v>
      </c>
      <c r="D252" t="s">
        <v>45</v>
      </c>
      <c r="E252" t="s">
        <v>18</v>
      </c>
      <c r="F252" t="s">
        <v>26</v>
      </c>
      <c r="G252">
        <v>39572</v>
      </c>
      <c r="H252">
        <v>31657.600000000002</v>
      </c>
      <c r="I252" s="13">
        <v>1</v>
      </c>
      <c r="J252" t="s">
        <v>6206</v>
      </c>
      <c r="K252">
        <v>2</v>
      </c>
      <c r="L252">
        <v>1</v>
      </c>
      <c r="M252" t="s">
        <v>0</v>
      </c>
      <c r="V252">
        <v>1</v>
      </c>
      <c r="W252">
        <v>2</v>
      </c>
      <c r="X252">
        <v>0</v>
      </c>
      <c r="Y252">
        <v>0</v>
      </c>
      <c r="Z252">
        <v>0</v>
      </c>
    </row>
    <row r="253" spans="1:26" x14ac:dyDescent="0.2">
      <c r="A253" t="s">
        <v>371</v>
      </c>
      <c r="B253" t="s">
        <v>54</v>
      </c>
      <c r="C253">
        <v>2009</v>
      </c>
      <c r="D253" t="s">
        <v>39</v>
      </c>
      <c r="E253" t="s">
        <v>19</v>
      </c>
      <c r="F253" t="s">
        <v>39</v>
      </c>
      <c r="G253">
        <v>31367</v>
      </c>
      <c r="H253">
        <v>25093.600000000002</v>
      </c>
      <c r="I253" s="13">
        <v>0.8</v>
      </c>
      <c r="J253" t="s">
        <v>6206</v>
      </c>
      <c r="K253">
        <v>1</v>
      </c>
      <c r="L253">
        <v>0</v>
      </c>
      <c r="M253" t="s">
        <v>0</v>
      </c>
      <c r="V253">
        <v>1</v>
      </c>
      <c r="W253">
        <v>3</v>
      </c>
      <c r="X253">
        <v>0</v>
      </c>
      <c r="Y253">
        <v>1</v>
      </c>
      <c r="Z253">
        <v>0</v>
      </c>
    </row>
    <row r="254" spans="1:26" x14ac:dyDescent="0.2">
      <c r="A254" t="s">
        <v>372</v>
      </c>
      <c r="B254" t="s">
        <v>21</v>
      </c>
      <c r="C254">
        <v>2009</v>
      </c>
      <c r="D254" t="s">
        <v>27</v>
      </c>
      <c r="E254" t="s">
        <v>40</v>
      </c>
      <c r="F254" t="s">
        <v>27</v>
      </c>
      <c r="G254">
        <v>30089</v>
      </c>
      <c r="H254">
        <v>24071.200000000001</v>
      </c>
      <c r="I254" s="13">
        <v>0.7142857142857143</v>
      </c>
      <c r="J254" t="s">
        <v>6206</v>
      </c>
      <c r="K254">
        <v>1</v>
      </c>
      <c r="L254">
        <v>1</v>
      </c>
      <c r="M254" t="s">
        <v>58</v>
      </c>
      <c r="V254">
        <v>3</v>
      </c>
      <c r="W254">
        <v>3</v>
      </c>
      <c r="X254">
        <v>1</v>
      </c>
      <c r="Y254">
        <v>0</v>
      </c>
      <c r="Z254">
        <v>0</v>
      </c>
    </row>
    <row r="255" spans="1:26" x14ac:dyDescent="0.2">
      <c r="A255" t="s">
        <v>373</v>
      </c>
      <c r="B255" t="s">
        <v>56</v>
      </c>
      <c r="C255">
        <v>2009</v>
      </c>
      <c r="D255" t="s">
        <v>43</v>
      </c>
      <c r="E255" t="s">
        <v>34</v>
      </c>
      <c r="F255" t="s">
        <v>43</v>
      </c>
      <c r="G255">
        <v>25138</v>
      </c>
      <c r="H255">
        <v>20110.400000000001</v>
      </c>
      <c r="I255" s="13">
        <v>0</v>
      </c>
      <c r="J255" t="s">
        <v>6207</v>
      </c>
      <c r="K255">
        <v>0</v>
      </c>
      <c r="L255">
        <v>0</v>
      </c>
      <c r="M255" t="s">
        <v>58</v>
      </c>
      <c r="V255">
        <v>0</v>
      </c>
      <c r="W255">
        <v>1</v>
      </c>
      <c r="X255">
        <v>0</v>
      </c>
      <c r="Y255">
        <v>0</v>
      </c>
      <c r="Z255">
        <v>0</v>
      </c>
    </row>
    <row r="256" spans="1:26" x14ac:dyDescent="0.2">
      <c r="A256" t="s">
        <v>374</v>
      </c>
      <c r="B256" t="s">
        <v>56</v>
      </c>
      <c r="C256">
        <v>2009</v>
      </c>
      <c r="D256" t="s">
        <v>45</v>
      </c>
      <c r="E256" t="s">
        <v>48</v>
      </c>
      <c r="F256" t="s">
        <v>26</v>
      </c>
      <c r="G256">
        <v>39572</v>
      </c>
      <c r="H256">
        <v>31657.600000000002</v>
      </c>
      <c r="I256" s="13">
        <v>0.5</v>
      </c>
      <c r="J256" t="s">
        <v>6207</v>
      </c>
      <c r="K256">
        <v>3</v>
      </c>
      <c r="L256">
        <v>1</v>
      </c>
      <c r="M256" t="s">
        <v>0</v>
      </c>
      <c r="V256">
        <v>5</v>
      </c>
      <c r="W256">
        <v>1</v>
      </c>
      <c r="X256">
        <v>0</v>
      </c>
      <c r="Y256">
        <v>0</v>
      </c>
      <c r="Z256">
        <v>0</v>
      </c>
    </row>
    <row r="257" spans="1:26" x14ac:dyDescent="0.2">
      <c r="A257" t="s">
        <v>375</v>
      </c>
      <c r="B257" t="s">
        <v>60</v>
      </c>
      <c r="C257">
        <v>2009</v>
      </c>
      <c r="D257" t="s">
        <v>22</v>
      </c>
      <c r="E257" t="s">
        <v>18</v>
      </c>
      <c r="F257" t="s">
        <v>24</v>
      </c>
      <c r="G257">
        <v>31750</v>
      </c>
      <c r="H257">
        <v>25400</v>
      </c>
      <c r="I257" s="13">
        <v>1</v>
      </c>
      <c r="J257" t="s">
        <v>6208</v>
      </c>
      <c r="K257">
        <v>0</v>
      </c>
      <c r="L257">
        <v>2</v>
      </c>
      <c r="M257" t="s">
        <v>1</v>
      </c>
      <c r="V257">
        <v>0</v>
      </c>
      <c r="W257">
        <v>1</v>
      </c>
      <c r="X257">
        <v>0</v>
      </c>
      <c r="Y257">
        <v>0</v>
      </c>
      <c r="Z257">
        <v>0</v>
      </c>
    </row>
    <row r="258" spans="1:26" x14ac:dyDescent="0.2">
      <c r="A258" t="s">
        <v>376</v>
      </c>
      <c r="B258" t="s">
        <v>32</v>
      </c>
      <c r="C258">
        <v>2009</v>
      </c>
      <c r="D258" t="s">
        <v>23</v>
      </c>
      <c r="E258" t="s">
        <v>19</v>
      </c>
      <c r="F258" t="s">
        <v>20</v>
      </c>
      <c r="G258">
        <v>62500</v>
      </c>
      <c r="H258">
        <v>50000</v>
      </c>
      <c r="I258" s="13">
        <v>0</v>
      </c>
      <c r="J258" t="s">
        <v>6207</v>
      </c>
      <c r="K258">
        <v>3</v>
      </c>
      <c r="L258">
        <v>0</v>
      </c>
      <c r="M258" t="s">
        <v>0</v>
      </c>
      <c r="V258">
        <v>1</v>
      </c>
      <c r="W258">
        <v>1</v>
      </c>
      <c r="X258">
        <v>0</v>
      </c>
      <c r="Y258">
        <v>1</v>
      </c>
      <c r="Z258">
        <v>0</v>
      </c>
    </row>
    <row r="259" spans="1:26" x14ac:dyDescent="0.2">
      <c r="A259" t="s">
        <v>377</v>
      </c>
      <c r="B259" t="s">
        <v>29</v>
      </c>
      <c r="C259">
        <v>2009</v>
      </c>
      <c r="D259" t="s">
        <v>46</v>
      </c>
      <c r="E259" t="s">
        <v>35</v>
      </c>
      <c r="F259" t="s">
        <v>20</v>
      </c>
      <c r="G259">
        <v>60704</v>
      </c>
      <c r="H259">
        <v>48563.200000000004</v>
      </c>
      <c r="I259" s="13">
        <v>0.66666666666666663</v>
      </c>
      <c r="J259" t="s">
        <v>6208</v>
      </c>
      <c r="K259">
        <v>2</v>
      </c>
      <c r="L259">
        <v>0</v>
      </c>
      <c r="M259" t="s">
        <v>0</v>
      </c>
      <c r="V259">
        <v>1</v>
      </c>
      <c r="W259">
        <v>5</v>
      </c>
      <c r="X259">
        <v>0</v>
      </c>
      <c r="Y259">
        <v>0</v>
      </c>
      <c r="Z259">
        <v>1</v>
      </c>
    </row>
    <row r="260" spans="1:26" x14ac:dyDescent="0.2">
      <c r="A260" t="s">
        <v>378</v>
      </c>
      <c r="B260" t="s">
        <v>41</v>
      </c>
      <c r="C260">
        <v>2009</v>
      </c>
      <c r="D260" t="s">
        <v>30</v>
      </c>
      <c r="E260" t="s">
        <v>27</v>
      </c>
      <c r="F260" t="s">
        <v>30</v>
      </c>
      <c r="G260">
        <v>20899</v>
      </c>
      <c r="H260">
        <v>16719.2</v>
      </c>
      <c r="I260" s="13">
        <v>0</v>
      </c>
      <c r="J260" t="s">
        <v>6207</v>
      </c>
      <c r="K260">
        <v>1</v>
      </c>
      <c r="L260">
        <v>2</v>
      </c>
      <c r="M260" t="s">
        <v>1</v>
      </c>
      <c r="V260">
        <v>2</v>
      </c>
      <c r="W260">
        <v>1</v>
      </c>
      <c r="X260">
        <v>0</v>
      </c>
      <c r="Y260">
        <v>1</v>
      </c>
      <c r="Z260">
        <v>0</v>
      </c>
    </row>
    <row r="261" spans="1:26" x14ac:dyDescent="0.2">
      <c r="A261" t="s">
        <v>379</v>
      </c>
      <c r="B261" t="s">
        <v>25</v>
      </c>
      <c r="C261">
        <v>2009</v>
      </c>
      <c r="D261" t="s">
        <v>39</v>
      </c>
      <c r="E261" t="s">
        <v>34</v>
      </c>
      <c r="F261" t="s">
        <v>39</v>
      </c>
      <c r="G261">
        <v>31367</v>
      </c>
      <c r="H261">
        <v>25093.600000000002</v>
      </c>
      <c r="I261" s="13">
        <v>1</v>
      </c>
      <c r="J261" t="s">
        <v>6207</v>
      </c>
      <c r="K261">
        <v>3</v>
      </c>
      <c r="L261">
        <v>0</v>
      </c>
      <c r="M261" t="s">
        <v>0</v>
      </c>
      <c r="V261">
        <v>0</v>
      </c>
      <c r="W261">
        <v>1</v>
      </c>
      <c r="X261">
        <v>0</v>
      </c>
      <c r="Y261">
        <v>0</v>
      </c>
      <c r="Z261">
        <v>0</v>
      </c>
    </row>
    <row r="262" spans="1:26" x14ac:dyDescent="0.2">
      <c r="A262" t="s">
        <v>380</v>
      </c>
      <c r="B262" t="s">
        <v>59</v>
      </c>
      <c r="C262">
        <v>2009</v>
      </c>
      <c r="D262" t="s">
        <v>42</v>
      </c>
      <c r="E262" t="s">
        <v>28</v>
      </c>
      <c r="F262" t="s">
        <v>38</v>
      </c>
      <c r="G262">
        <v>42918</v>
      </c>
      <c r="H262">
        <v>34334.400000000001</v>
      </c>
      <c r="I262" s="13">
        <v>0.33333333333333331</v>
      </c>
      <c r="J262" t="s">
        <v>6206</v>
      </c>
      <c r="K262">
        <v>5</v>
      </c>
      <c r="L262">
        <v>2</v>
      </c>
      <c r="M262" t="s">
        <v>0</v>
      </c>
      <c r="V262">
        <v>0</v>
      </c>
      <c r="W262">
        <v>3</v>
      </c>
      <c r="X262">
        <v>0</v>
      </c>
      <c r="Y262">
        <v>0</v>
      </c>
      <c r="Z262">
        <v>0</v>
      </c>
    </row>
    <row r="263" spans="1:26" x14ac:dyDescent="0.2">
      <c r="A263" t="s">
        <v>381</v>
      </c>
      <c r="B263" t="s">
        <v>55</v>
      </c>
      <c r="C263">
        <v>2009</v>
      </c>
      <c r="D263" t="s">
        <v>40</v>
      </c>
      <c r="E263" t="s">
        <v>26</v>
      </c>
      <c r="F263" t="s">
        <v>49</v>
      </c>
      <c r="G263">
        <v>53400</v>
      </c>
      <c r="H263">
        <v>42720</v>
      </c>
      <c r="I263" s="13">
        <v>0.7142857142857143</v>
      </c>
      <c r="J263" t="s">
        <v>6206</v>
      </c>
      <c r="K263">
        <v>0</v>
      </c>
      <c r="L263">
        <v>0</v>
      </c>
      <c r="M263" t="s">
        <v>58</v>
      </c>
      <c r="V263">
        <v>1</v>
      </c>
      <c r="W263">
        <v>6</v>
      </c>
      <c r="X263">
        <v>0</v>
      </c>
      <c r="Y263">
        <v>0</v>
      </c>
      <c r="Z263">
        <v>0</v>
      </c>
    </row>
    <row r="264" spans="1:26" x14ac:dyDescent="0.2">
      <c r="A264" t="s">
        <v>382</v>
      </c>
      <c r="B264" t="s">
        <v>52</v>
      </c>
      <c r="C264">
        <v>2009</v>
      </c>
      <c r="D264" t="s">
        <v>31</v>
      </c>
      <c r="E264" t="s">
        <v>38</v>
      </c>
      <c r="F264" t="s">
        <v>20</v>
      </c>
      <c r="G264">
        <v>28500</v>
      </c>
      <c r="H264">
        <v>22800</v>
      </c>
      <c r="I264" s="13">
        <v>0.5</v>
      </c>
      <c r="J264" t="s">
        <v>6207</v>
      </c>
      <c r="K264">
        <v>2</v>
      </c>
      <c r="L264">
        <v>1</v>
      </c>
      <c r="M264" t="s">
        <v>0</v>
      </c>
      <c r="V264">
        <v>1</v>
      </c>
      <c r="W264">
        <v>1</v>
      </c>
      <c r="X264">
        <v>0</v>
      </c>
      <c r="Y264">
        <v>0</v>
      </c>
      <c r="Z264">
        <v>0</v>
      </c>
    </row>
    <row r="265" spans="1:26" x14ac:dyDescent="0.2">
      <c r="A265" t="s">
        <v>383</v>
      </c>
      <c r="B265" t="s">
        <v>21</v>
      </c>
      <c r="C265">
        <v>2009</v>
      </c>
      <c r="D265" t="s">
        <v>43</v>
      </c>
      <c r="E265" t="s">
        <v>51</v>
      </c>
      <c r="F265" t="s">
        <v>43</v>
      </c>
      <c r="G265">
        <v>25138</v>
      </c>
      <c r="H265">
        <v>20110.400000000001</v>
      </c>
      <c r="I265" s="13">
        <v>0.42857142857142855</v>
      </c>
      <c r="J265" t="s">
        <v>6206</v>
      </c>
      <c r="K265">
        <v>0</v>
      </c>
      <c r="L265">
        <v>3</v>
      </c>
      <c r="M265" t="s">
        <v>1</v>
      </c>
      <c r="V265">
        <v>3</v>
      </c>
      <c r="W265">
        <v>4</v>
      </c>
      <c r="X265">
        <v>0</v>
      </c>
      <c r="Y265">
        <v>0</v>
      </c>
      <c r="Z265">
        <v>0</v>
      </c>
    </row>
    <row r="266" spans="1:26" x14ac:dyDescent="0.2">
      <c r="A266" t="s">
        <v>384</v>
      </c>
      <c r="B266" t="s">
        <v>21</v>
      </c>
      <c r="C266">
        <v>2009</v>
      </c>
      <c r="D266" t="s">
        <v>48</v>
      </c>
      <c r="E266" t="s">
        <v>23</v>
      </c>
      <c r="F266" t="s">
        <v>49</v>
      </c>
      <c r="G266">
        <v>74197</v>
      </c>
      <c r="H266">
        <v>59357.600000000006</v>
      </c>
      <c r="I266" s="13">
        <v>1</v>
      </c>
      <c r="J266" t="s">
        <v>6206</v>
      </c>
      <c r="K266">
        <v>3</v>
      </c>
      <c r="L266">
        <v>0</v>
      </c>
      <c r="M266" t="s">
        <v>0</v>
      </c>
      <c r="V266">
        <v>0</v>
      </c>
      <c r="W266">
        <v>1</v>
      </c>
      <c r="X266">
        <v>0</v>
      </c>
      <c r="Y266">
        <v>0</v>
      </c>
      <c r="Z266">
        <v>0</v>
      </c>
    </row>
    <row r="267" spans="1:26" x14ac:dyDescent="0.2">
      <c r="A267" t="s">
        <v>385</v>
      </c>
      <c r="B267" t="s">
        <v>41</v>
      </c>
      <c r="C267">
        <v>2009</v>
      </c>
      <c r="D267" t="s">
        <v>18</v>
      </c>
      <c r="E267" t="s">
        <v>40</v>
      </c>
      <c r="F267" t="s">
        <v>20</v>
      </c>
      <c r="G267">
        <v>40341</v>
      </c>
      <c r="H267">
        <v>32272.800000000003</v>
      </c>
      <c r="I267" s="13">
        <v>0.66666666666666663</v>
      </c>
      <c r="J267" t="s">
        <v>6207</v>
      </c>
      <c r="K267">
        <v>2</v>
      </c>
      <c r="L267">
        <v>4</v>
      </c>
      <c r="M267" t="s">
        <v>1</v>
      </c>
      <c r="V267">
        <v>3</v>
      </c>
      <c r="W267">
        <v>1</v>
      </c>
      <c r="X267">
        <v>2</v>
      </c>
      <c r="Y267">
        <v>0</v>
      </c>
      <c r="Z267">
        <v>2</v>
      </c>
    </row>
    <row r="268" spans="1:26" x14ac:dyDescent="0.2">
      <c r="A268" t="s">
        <v>386</v>
      </c>
      <c r="B268" t="s">
        <v>44</v>
      </c>
      <c r="C268">
        <v>2009</v>
      </c>
      <c r="D268" t="s">
        <v>28</v>
      </c>
      <c r="E268" t="s">
        <v>30</v>
      </c>
      <c r="F268" t="s">
        <v>28</v>
      </c>
      <c r="G268">
        <v>21944</v>
      </c>
      <c r="H268">
        <v>17555.2</v>
      </c>
      <c r="I268" s="13">
        <v>0.5</v>
      </c>
      <c r="J268" t="s">
        <v>6207</v>
      </c>
      <c r="K268">
        <v>1</v>
      </c>
      <c r="L268">
        <v>2</v>
      </c>
      <c r="M268" t="s">
        <v>1</v>
      </c>
      <c r="V268">
        <v>1</v>
      </c>
      <c r="W268">
        <v>2</v>
      </c>
      <c r="X268">
        <v>0</v>
      </c>
      <c r="Y268">
        <v>1</v>
      </c>
      <c r="Z268">
        <v>1</v>
      </c>
    </row>
    <row r="269" spans="1:26" x14ac:dyDescent="0.2">
      <c r="A269" t="s">
        <v>387</v>
      </c>
      <c r="B269" t="s">
        <v>37</v>
      </c>
      <c r="C269">
        <v>2009</v>
      </c>
      <c r="D269" t="s">
        <v>34</v>
      </c>
      <c r="E269" t="s">
        <v>22</v>
      </c>
      <c r="F269" t="s">
        <v>36</v>
      </c>
      <c r="G269">
        <v>28723</v>
      </c>
      <c r="H269">
        <v>22978.400000000001</v>
      </c>
      <c r="I269" s="13">
        <v>0.5</v>
      </c>
      <c r="J269" t="s">
        <v>6206</v>
      </c>
      <c r="K269">
        <v>1</v>
      </c>
      <c r="L269">
        <v>0</v>
      </c>
      <c r="M269" t="s">
        <v>0</v>
      </c>
      <c r="V269">
        <v>0</v>
      </c>
      <c r="W269">
        <v>2</v>
      </c>
      <c r="X269">
        <v>0</v>
      </c>
      <c r="Y269">
        <v>0</v>
      </c>
      <c r="Z269">
        <v>0</v>
      </c>
    </row>
    <row r="270" spans="1:26" x14ac:dyDescent="0.2">
      <c r="A270" t="s">
        <v>388</v>
      </c>
      <c r="B270" t="s">
        <v>61</v>
      </c>
      <c r="C270">
        <v>2009</v>
      </c>
      <c r="D270" t="s">
        <v>38</v>
      </c>
      <c r="E270" t="s">
        <v>43</v>
      </c>
      <c r="F270" t="s">
        <v>38</v>
      </c>
      <c r="G270">
        <v>29409</v>
      </c>
      <c r="H270">
        <v>23527.200000000001</v>
      </c>
      <c r="I270" s="13">
        <v>0.5</v>
      </c>
      <c r="J270" t="s">
        <v>6207</v>
      </c>
      <c r="K270">
        <v>1</v>
      </c>
      <c r="L270">
        <v>0</v>
      </c>
      <c r="M270" t="s">
        <v>0</v>
      </c>
      <c r="V270">
        <v>1</v>
      </c>
      <c r="W270">
        <v>3</v>
      </c>
      <c r="X270">
        <v>0</v>
      </c>
      <c r="Y270">
        <v>0</v>
      </c>
      <c r="Z270">
        <v>1</v>
      </c>
    </row>
    <row r="271" spans="1:26" x14ac:dyDescent="0.2">
      <c r="A271" t="s">
        <v>389</v>
      </c>
      <c r="B271" t="s">
        <v>55</v>
      </c>
      <c r="C271">
        <v>2009</v>
      </c>
      <c r="D271" t="s">
        <v>27</v>
      </c>
      <c r="E271" t="s">
        <v>46</v>
      </c>
      <c r="F271" t="s">
        <v>27</v>
      </c>
      <c r="G271">
        <v>30089</v>
      </c>
      <c r="H271">
        <v>24071.200000000001</v>
      </c>
      <c r="I271" s="13">
        <v>0.5</v>
      </c>
      <c r="J271" t="s">
        <v>6206</v>
      </c>
      <c r="K271">
        <v>1</v>
      </c>
      <c r="L271">
        <v>3</v>
      </c>
      <c r="M271" t="s">
        <v>1</v>
      </c>
      <c r="V271">
        <v>0</v>
      </c>
      <c r="W271">
        <v>1</v>
      </c>
      <c r="X271">
        <v>1</v>
      </c>
      <c r="Y271">
        <v>0</v>
      </c>
      <c r="Z271">
        <v>1</v>
      </c>
    </row>
    <row r="272" spans="1:26" x14ac:dyDescent="0.2">
      <c r="A272" t="s">
        <v>390</v>
      </c>
      <c r="B272" t="s">
        <v>29</v>
      </c>
      <c r="C272">
        <v>2009</v>
      </c>
      <c r="D272" t="s">
        <v>51</v>
      </c>
      <c r="E272" t="s">
        <v>45</v>
      </c>
      <c r="F272" t="s">
        <v>20</v>
      </c>
      <c r="G272">
        <v>36284</v>
      </c>
      <c r="H272">
        <v>29027.200000000001</v>
      </c>
      <c r="I272" s="13">
        <v>0.8</v>
      </c>
      <c r="J272" t="s">
        <v>6208</v>
      </c>
      <c r="K272">
        <v>2</v>
      </c>
      <c r="L272">
        <v>1</v>
      </c>
      <c r="M272" t="s">
        <v>0</v>
      </c>
      <c r="V272">
        <v>1</v>
      </c>
      <c r="W272">
        <v>4</v>
      </c>
      <c r="X272">
        <v>0</v>
      </c>
      <c r="Y272">
        <v>0</v>
      </c>
      <c r="Z272">
        <v>0</v>
      </c>
    </row>
    <row r="273" spans="1:26" x14ac:dyDescent="0.2">
      <c r="A273" t="s">
        <v>391</v>
      </c>
      <c r="B273" t="s">
        <v>32</v>
      </c>
      <c r="C273">
        <v>2009</v>
      </c>
      <c r="D273" t="s">
        <v>35</v>
      </c>
      <c r="E273" t="s">
        <v>31</v>
      </c>
      <c r="F273" t="s">
        <v>35</v>
      </c>
      <c r="G273">
        <v>49000</v>
      </c>
      <c r="H273">
        <v>39200</v>
      </c>
      <c r="I273" s="13">
        <v>0.16666666666666666</v>
      </c>
      <c r="J273" t="s">
        <v>6207</v>
      </c>
      <c r="K273">
        <v>0</v>
      </c>
      <c r="L273">
        <v>0</v>
      </c>
      <c r="M273" t="s">
        <v>58</v>
      </c>
      <c r="V273">
        <v>3</v>
      </c>
      <c r="W273">
        <v>3</v>
      </c>
      <c r="X273">
        <v>0</v>
      </c>
      <c r="Y273">
        <v>0</v>
      </c>
      <c r="Z273">
        <v>0</v>
      </c>
    </row>
    <row r="274" spans="1:26" x14ac:dyDescent="0.2">
      <c r="A274" t="s">
        <v>392</v>
      </c>
      <c r="B274" t="s">
        <v>21</v>
      </c>
      <c r="C274">
        <v>2009</v>
      </c>
      <c r="D274" t="s">
        <v>26</v>
      </c>
      <c r="E274" t="s">
        <v>39</v>
      </c>
      <c r="F274" t="s">
        <v>26</v>
      </c>
      <c r="G274">
        <v>61276</v>
      </c>
      <c r="H274">
        <v>49020.800000000003</v>
      </c>
      <c r="I274" s="13">
        <v>1</v>
      </c>
      <c r="J274" t="s">
        <v>6206</v>
      </c>
      <c r="K274">
        <v>2</v>
      </c>
      <c r="L274">
        <v>1</v>
      </c>
      <c r="M274" t="s">
        <v>0</v>
      </c>
      <c r="V274">
        <v>1</v>
      </c>
      <c r="W274">
        <v>5</v>
      </c>
      <c r="X274">
        <v>0</v>
      </c>
      <c r="Y274">
        <v>0</v>
      </c>
      <c r="Z274">
        <v>0</v>
      </c>
    </row>
    <row r="275" spans="1:26" x14ac:dyDescent="0.2">
      <c r="A275" t="s">
        <v>393</v>
      </c>
      <c r="B275" t="s">
        <v>54</v>
      </c>
      <c r="C275">
        <v>2009</v>
      </c>
      <c r="D275" t="s">
        <v>23</v>
      </c>
      <c r="E275" t="s">
        <v>34</v>
      </c>
      <c r="F275" t="s">
        <v>20</v>
      </c>
      <c r="G275">
        <v>62500</v>
      </c>
      <c r="H275">
        <v>50000</v>
      </c>
      <c r="I275" s="13">
        <v>0.5</v>
      </c>
      <c r="J275" t="s">
        <v>6206</v>
      </c>
      <c r="K275">
        <v>1</v>
      </c>
      <c r="L275">
        <v>2</v>
      </c>
      <c r="M275" t="s">
        <v>1</v>
      </c>
      <c r="V275">
        <v>2</v>
      </c>
      <c r="W275">
        <v>5</v>
      </c>
      <c r="X275">
        <v>0</v>
      </c>
      <c r="Y275">
        <v>1</v>
      </c>
      <c r="Z275">
        <v>0</v>
      </c>
    </row>
    <row r="276" spans="1:26" x14ac:dyDescent="0.2">
      <c r="A276" t="s">
        <v>394</v>
      </c>
      <c r="B276" t="s">
        <v>25</v>
      </c>
      <c r="C276">
        <v>2009</v>
      </c>
      <c r="D276" t="s">
        <v>46</v>
      </c>
      <c r="E276" t="s">
        <v>28</v>
      </c>
      <c r="F276" t="s">
        <v>20</v>
      </c>
      <c r="G276">
        <v>60704</v>
      </c>
      <c r="H276">
        <v>48563.200000000004</v>
      </c>
      <c r="I276" s="13">
        <v>0</v>
      </c>
      <c r="J276" t="s">
        <v>6207</v>
      </c>
      <c r="K276">
        <v>3</v>
      </c>
      <c r="L276">
        <v>1</v>
      </c>
      <c r="M276" t="s">
        <v>0</v>
      </c>
      <c r="V276">
        <v>0</v>
      </c>
      <c r="W276">
        <v>4</v>
      </c>
      <c r="X276">
        <v>0</v>
      </c>
      <c r="Y276">
        <v>0</v>
      </c>
      <c r="Z276">
        <v>0</v>
      </c>
    </row>
    <row r="277" spans="1:26" x14ac:dyDescent="0.2">
      <c r="A277" t="s">
        <v>395</v>
      </c>
      <c r="B277" t="s">
        <v>55</v>
      </c>
      <c r="C277">
        <v>2009</v>
      </c>
      <c r="D277" t="s">
        <v>22</v>
      </c>
      <c r="E277" t="s">
        <v>48</v>
      </c>
      <c r="F277" t="s">
        <v>24</v>
      </c>
      <c r="G277">
        <v>31750</v>
      </c>
      <c r="H277">
        <v>25400</v>
      </c>
      <c r="I277" s="13">
        <v>0.33333333333333331</v>
      </c>
      <c r="J277" t="s">
        <v>6206</v>
      </c>
      <c r="K277">
        <v>0</v>
      </c>
      <c r="L277">
        <v>1</v>
      </c>
      <c r="M277" t="s">
        <v>1</v>
      </c>
      <c r="V277">
        <v>2</v>
      </c>
      <c r="W277">
        <v>1</v>
      </c>
      <c r="X277">
        <v>0</v>
      </c>
      <c r="Y277">
        <v>0</v>
      </c>
      <c r="Z277">
        <v>0</v>
      </c>
    </row>
    <row r="278" spans="1:26" x14ac:dyDescent="0.2">
      <c r="A278" t="s">
        <v>396</v>
      </c>
      <c r="B278" t="s">
        <v>50</v>
      </c>
      <c r="C278">
        <v>2009</v>
      </c>
      <c r="D278" t="s">
        <v>45</v>
      </c>
      <c r="E278" t="s">
        <v>19</v>
      </c>
      <c r="F278" t="s">
        <v>26</v>
      </c>
      <c r="G278">
        <v>39572</v>
      </c>
      <c r="H278">
        <v>31657.600000000002</v>
      </c>
      <c r="I278" s="13">
        <v>1</v>
      </c>
      <c r="J278" t="s">
        <v>6207</v>
      </c>
      <c r="K278">
        <v>5</v>
      </c>
      <c r="L278">
        <v>1</v>
      </c>
      <c r="M278" t="s">
        <v>0</v>
      </c>
      <c r="V278">
        <v>0</v>
      </c>
      <c r="W278">
        <v>1</v>
      </c>
      <c r="X278">
        <v>0</v>
      </c>
      <c r="Y278">
        <v>0</v>
      </c>
      <c r="Z278">
        <v>0</v>
      </c>
    </row>
    <row r="279" spans="1:26" x14ac:dyDescent="0.2">
      <c r="A279" t="s">
        <v>397</v>
      </c>
      <c r="B279" t="s">
        <v>37</v>
      </c>
      <c r="C279">
        <v>2009</v>
      </c>
      <c r="D279" t="s">
        <v>43</v>
      </c>
      <c r="E279" t="s">
        <v>26</v>
      </c>
      <c r="F279" t="s">
        <v>43</v>
      </c>
      <c r="G279">
        <v>25138</v>
      </c>
      <c r="H279">
        <v>20110.400000000001</v>
      </c>
      <c r="I279" s="13">
        <v>0.66666666666666663</v>
      </c>
      <c r="J279" t="s">
        <v>6206</v>
      </c>
      <c r="K279">
        <v>1</v>
      </c>
      <c r="L279">
        <v>0</v>
      </c>
      <c r="M279" t="s">
        <v>0</v>
      </c>
      <c r="V279">
        <v>1</v>
      </c>
      <c r="W279">
        <v>5</v>
      </c>
      <c r="X279">
        <v>0</v>
      </c>
      <c r="Y279">
        <v>0</v>
      </c>
      <c r="Z279">
        <v>0</v>
      </c>
    </row>
    <row r="280" spans="1:26" x14ac:dyDescent="0.2">
      <c r="A280" t="s">
        <v>398</v>
      </c>
      <c r="B280" t="s">
        <v>21</v>
      </c>
      <c r="C280">
        <v>2009</v>
      </c>
      <c r="D280" t="s">
        <v>35</v>
      </c>
      <c r="E280" t="s">
        <v>34</v>
      </c>
      <c r="F280" t="s">
        <v>35</v>
      </c>
      <c r="G280">
        <v>49000</v>
      </c>
      <c r="H280">
        <v>39200</v>
      </c>
      <c r="I280" s="13">
        <v>0.2</v>
      </c>
      <c r="J280" t="s">
        <v>6206</v>
      </c>
      <c r="K280">
        <v>4</v>
      </c>
      <c r="L280">
        <v>0</v>
      </c>
      <c r="M280" t="s">
        <v>0</v>
      </c>
      <c r="V280">
        <v>2</v>
      </c>
      <c r="W280">
        <v>2</v>
      </c>
      <c r="X280">
        <v>0</v>
      </c>
      <c r="Y280">
        <v>1</v>
      </c>
      <c r="Z280">
        <v>1</v>
      </c>
    </row>
    <row r="281" spans="1:26" x14ac:dyDescent="0.2">
      <c r="A281" t="s">
        <v>399</v>
      </c>
      <c r="B281" t="s">
        <v>53</v>
      </c>
      <c r="C281">
        <v>2009</v>
      </c>
      <c r="D281" t="s">
        <v>30</v>
      </c>
      <c r="E281" t="s">
        <v>38</v>
      </c>
      <c r="F281" t="s">
        <v>30</v>
      </c>
      <c r="G281">
        <v>20899</v>
      </c>
      <c r="H281">
        <v>16719.2</v>
      </c>
      <c r="I281" s="13">
        <v>1</v>
      </c>
      <c r="J281" t="s">
        <v>6207</v>
      </c>
      <c r="K281">
        <v>1</v>
      </c>
      <c r="L281">
        <v>2</v>
      </c>
      <c r="M281" t="s">
        <v>1</v>
      </c>
      <c r="V281">
        <v>1</v>
      </c>
      <c r="W281">
        <v>2</v>
      </c>
      <c r="X281">
        <v>0</v>
      </c>
      <c r="Y281">
        <v>0</v>
      </c>
      <c r="Z281">
        <v>0</v>
      </c>
    </row>
    <row r="282" spans="1:26" x14ac:dyDescent="0.2">
      <c r="A282" t="s">
        <v>400</v>
      </c>
      <c r="B282" t="s">
        <v>56</v>
      </c>
      <c r="C282">
        <v>2009</v>
      </c>
      <c r="D282" t="s">
        <v>28</v>
      </c>
      <c r="E282" t="s">
        <v>27</v>
      </c>
      <c r="F282" t="s">
        <v>28</v>
      </c>
      <c r="G282">
        <v>21944</v>
      </c>
      <c r="H282">
        <v>17555.2</v>
      </c>
      <c r="I282" s="13">
        <v>0</v>
      </c>
      <c r="J282" t="s">
        <v>6207</v>
      </c>
      <c r="K282">
        <v>1</v>
      </c>
      <c r="L282">
        <v>1</v>
      </c>
      <c r="M282" t="s">
        <v>58</v>
      </c>
      <c r="V282">
        <v>2</v>
      </c>
      <c r="W282">
        <v>0</v>
      </c>
      <c r="X282">
        <v>0</v>
      </c>
      <c r="Y282">
        <v>0</v>
      </c>
      <c r="Z282">
        <v>0</v>
      </c>
    </row>
    <row r="283" spans="1:26" x14ac:dyDescent="0.2">
      <c r="A283" t="s">
        <v>401</v>
      </c>
      <c r="B283" t="s">
        <v>56</v>
      </c>
      <c r="C283">
        <v>2009</v>
      </c>
      <c r="D283" t="s">
        <v>51</v>
      </c>
      <c r="E283" t="s">
        <v>39</v>
      </c>
      <c r="F283" t="s">
        <v>20</v>
      </c>
      <c r="G283">
        <v>36284</v>
      </c>
      <c r="H283">
        <v>29027.200000000001</v>
      </c>
      <c r="I283" s="13">
        <v>0</v>
      </c>
      <c r="J283" t="s">
        <v>6207</v>
      </c>
      <c r="K283">
        <v>3</v>
      </c>
      <c r="L283">
        <v>1</v>
      </c>
      <c r="M283" t="s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">
      <c r="A284" t="s">
        <v>402</v>
      </c>
      <c r="B284" t="s">
        <v>60</v>
      </c>
      <c r="C284">
        <v>2009</v>
      </c>
      <c r="D284" t="s">
        <v>27</v>
      </c>
      <c r="E284" t="s">
        <v>42</v>
      </c>
      <c r="F284" t="s">
        <v>27</v>
      </c>
      <c r="G284">
        <v>30089</v>
      </c>
      <c r="H284">
        <v>24071.200000000001</v>
      </c>
      <c r="I284" s="13">
        <v>0.5</v>
      </c>
      <c r="J284" t="s">
        <v>6208</v>
      </c>
      <c r="K284">
        <v>0</v>
      </c>
      <c r="L284">
        <v>0</v>
      </c>
      <c r="M284" t="s">
        <v>58</v>
      </c>
      <c r="V284">
        <v>0</v>
      </c>
      <c r="W284">
        <v>4</v>
      </c>
      <c r="X284">
        <v>0</v>
      </c>
      <c r="Y284">
        <v>0</v>
      </c>
      <c r="Z284">
        <v>0</v>
      </c>
    </row>
    <row r="285" spans="1:26" x14ac:dyDescent="0.2">
      <c r="A285" t="s">
        <v>403</v>
      </c>
      <c r="B285" t="s">
        <v>44</v>
      </c>
      <c r="C285">
        <v>2009</v>
      </c>
      <c r="D285" t="s">
        <v>18</v>
      </c>
      <c r="E285" t="s">
        <v>23</v>
      </c>
      <c r="F285" t="s">
        <v>20</v>
      </c>
      <c r="G285">
        <v>40341</v>
      </c>
      <c r="H285">
        <v>32272.800000000003</v>
      </c>
      <c r="I285" s="13">
        <v>1</v>
      </c>
      <c r="J285" t="s">
        <v>6207</v>
      </c>
      <c r="K285">
        <v>4</v>
      </c>
      <c r="L285">
        <v>1</v>
      </c>
      <c r="M285" t="s">
        <v>0</v>
      </c>
      <c r="V285">
        <v>0</v>
      </c>
      <c r="W285">
        <v>1</v>
      </c>
      <c r="X285">
        <v>0</v>
      </c>
      <c r="Y285">
        <v>0</v>
      </c>
      <c r="Z285">
        <v>0</v>
      </c>
    </row>
    <row r="286" spans="1:26" x14ac:dyDescent="0.2">
      <c r="A286" t="s">
        <v>404</v>
      </c>
      <c r="B286" t="s">
        <v>29</v>
      </c>
      <c r="C286">
        <v>2009</v>
      </c>
      <c r="D286" t="s">
        <v>28</v>
      </c>
      <c r="E286" t="s">
        <v>22</v>
      </c>
      <c r="F286" t="s">
        <v>28</v>
      </c>
      <c r="G286">
        <v>21944</v>
      </c>
      <c r="H286">
        <v>17555.2</v>
      </c>
      <c r="I286" s="13">
        <v>0.8</v>
      </c>
      <c r="J286" t="s">
        <v>6208</v>
      </c>
      <c r="K286">
        <v>1</v>
      </c>
      <c r="L286">
        <v>2</v>
      </c>
      <c r="M286" t="s">
        <v>1</v>
      </c>
      <c r="V286">
        <v>1</v>
      </c>
      <c r="W286">
        <v>4</v>
      </c>
      <c r="X286">
        <v>0</v>
      </c>
      <c r="Y286">
        <v>0</v>
      </c>
      <c r="Z286">
        <v>0</v>
      </c>
    </row>
    <row r="287" spans="1:26" x14ac:dyDescent="0.2">
      <c r="A287" t="s">
        <v>405</v>
      </c>
      <c r="B287" t="s">
        <v>41</v>
      </c>
      <c r="C287">
        <v>2009</v>
      </c>
      <c r="D287" t="s">
        <v>34</v>
      </c>
      <c r="E287" t="s">
        <v>43</v>
      </c>
      <c r="F287" t="s">
        <v>36</v>
      </c>
      <c r="G287">
        <v>28723</v>
      </c>
      <c r="H287">
        <v>22978.400000000001</v>
      </c>
      <c r="I287" s="13">
        <v>1</v>
      </c>
      <c r="J287" t="s">
        <v>6207</v>
      </c>
      <c r="K287">
        <v>4</v>
      </c>
      <c r="L287">
        <v>0</v>
      </c>
      <c r="M287" t="s">
        <v>0</v>
      </c>
      <c r="V287">
        <v>1</v>
      </c>
      <c r="W287">
        <v>2</v>
      </c>
      <c r="X287">
        <v>0</v>
      </c>
      <c r="Y287">
        <v>0</v>
      </c>
      <c r="Z287">
        <v>1</v>
      </c>
    </row>
    <row r="288" spans="1:26" x14ac:dyDescent="0.2">
      <c r="A288" t="s">
        <v>406</v>
      </c>
      <c r="B288" t="s">
        <v>54</v>
      </c>
      <c r="C288">
        <v>2009</v>
      </c>
      <c r="D288" t="s">
        <v>38</v>
      </c>
      <c r="E288" t="s">
        <v>45</v>
      </c>
      <c r="F288" t="s">
        <v>38</v>
      </c>
      <c r="G288">
        <v>29409</v>
      </c>
      <c r="H288">
        <v>23527.200000000001</v>
      </c>
      <c r="I288" s="13">
        <v>0.5</v>
      </c>
      <c r="J288" t="s">
        <v>6206</v>
      </c>
      <c r="K288">
        <v>2</v>
      </c>
      <c r="L288">
        <v>2</v>
      </c>
      <c r="M288" t="s">
        <v>58</v>
      </c>
      <c r="V288">
        <v>1</v>
      </c>
      <c r="W288">
        <v>1</v>
      </c>
      <c r="X288">
        <v>0</v>
      </c>
      <c r="Y288">
        <v>0</v>
      </c>
      <c r="Z288">
        <v>0</v>
      </c>
    </row>
    <row r="289" spans="1:26" x14ac:dyDescent="0.2">
      <c r="A289" t="s">
        <v>407</v>
      </c>
      <c r="B289" t="s">
        <v>37</v>
      </c>
      <c r="C289">
        <v>2009</v>
      </c>
      <c r="D289" t="s">
        <v>19</v>
      </c>
      <c r="E289" t="s">
        <v>46</v>
      </c>
      <c r="F289" t="s">
        <v>19</v>
      </c>
      <c r="G289">
        <v>25586</v>
      </c>
      <c r="H289">
        <v>20468.800000000003</v>
      </c>
      <c r="I289" s="13">
        <v>0.4</v>
      </c>
      <c r="J289" t="s">
        <v>6206</v>
      </c>
      <c r="K289">
        <v>1</v>
      </c>
      <c r="L289">
        <v>2</v>
      </c>
      <c r="M289" t="s">
        <v>1</v>
      </c>
      <c r="V289">
        <v>2</v>
      </c>
      <c r="W289">
        <v>2</v>
      </c>
      <c r="X289">
        <v>1</v>
      </c>
      <c r="Y289">
        <v>0</v>
      </c>
      <c r="Z289">
        <v>1</v>
      </c>
    </row>
    <row r="290" spans="1:26" x14ac:dyDescent="0.2">
      <c r="A290" t="s">
        <v>408</v>
      </c>
      <c r="B290" t="s">
        <v>53</v>
      </c>
      <c r="C290">
        <v>2009</v>
      </c>
      <c r="D290" t="s">
        <v>48</v>
      </c>
      <c r="E290" t="s">
        <v>31</v>
      </c>
      <c r="F290" t="s">
        <v>49</v>
      </c>
      <c r="G290">
        <v>74197</v>
      </c>
      <c r="H290">
        <v>59357.600000000006</v>
      </c>
      <c r="I290" s="13">
        <v>1</v>
      </c>
      <c r="J290" t="s">
        <v>6207</v>
      </c>
      <c r="K290">
        <v>3</v>
      </c>
      <c r="L290">
        <v>0</v>
      </c>
      <c r="M290" t="s">
        <v>0</v>
      </c>
      <c r="V290">
        <v>1</v>
      </c>
      <c r="W290">
        <v>1</v>
      </c>
      <c r="X290">
        <v>0</v>
      </c>
      <c r="Y290">
        <v>0</v>
      </c>
      <c r="Z290">
        <v>0</v>
      </c>
    </row>
    <row r="291" spans="1:26" x14ac:dyDescent="0.2">
      <c r="A291" t="s">
        <v>409</v>
      </c>
      <c r="B291" t="s">
        <v>25</v>
      </c>
      <c r="C291">
        <v>2009</v>
      </c>
      <c r="D291" t="s">
        <v>35</v>
      </c>
      <c r="E291" t="s">
        <v>40</v>
      </c>
      <c r="F291" t="s">
        <v>35</v>
      </c>
      <c r="G291">
        <v>49000</v>
      </c>
      <c r="H291">
        <v>39200</v>
      </c>
      <c r="I291" s="13">
        <v>0.33333333333333331</v>
      </c>
      <c r="J291" t="s">
        <v>6207</v>
      </c>
      <c r="K291">
        <v>1</v>
      </c>
      <c r="L291">
        <v>1</v>
      </c>
      <c r="M291" t="s">
        <v>58</v>
      </c>
      <c r="V291">
        <v>2</v>
      </c>
      <c r="W291">
        <v>4</v>
      </c>
      <c r="X291">
        <v>0</v>
      </c>
      <c r="Y291">
        <v>0</v>
      </c>
      <c r="Z291">
        <v>0</v>
      </c>
    </row>
    <row r="292" spans="1:26" x14ac:dyDescent="0.2">
      <c r="A292" t="s">
        <v>410</v>
      </c>
      <c r="B292" t="s">
        <v>59</v>
      </c>
      <c r="C292">
        <v>2009</v>
      </c>
      <c r="D292" t="s">
        <v>26</v>
      </c>
      <c r="E292" t="s">
        <v>30</v>
      </c>
      <c r="F292" t="s">
        <v>26</v>
      </c>
      <c r="G292">
        <v>61276</v>
      </c>
      <c r="H292">
        <v>49020.800000000003</v>
      </c>
      <c r="I292" s="13">
        <v>1</v>
      </c>
      <c r="J292" t="s">
        <v>6206</v>
      </c>
      <c r="K292">
        <v>4</v>
      </c>
      <c r="L292">
        <v>1</v>
      </c>
      <c r="M292" t="s">
        <v>0</v>
      </c>
      <c r="V292">
        <v>0</v>
      </c>
      <c r="W292">
        <v>2</v>
      </c>
      <c r="X292">
        <v>0</v>
      </c>
      <c r="Y292">
        <v>0</v>
      </c>
      <c r="Z292">
        <v>0</v>
      </c>
    </row>
    <row r="293" spans="1:26" x14ac:dyDescent="0.2">
      <c r="A293" t="s">
        <v>411</v>
      </c>
      <c r="B293" t="s">
        <v>29</v>
      </c>
      <c r="C293">
        <v>2009</v>
      </c>
      <c r="D293" t="s">
        <v>43</v>
      </c>
      <c r="E293" t="s">
        <v>42</v>
      </c>
      <c r="F293" t="s">
        <v>43</v>
      </c>
      <c r="G293">
        <v>25138</v>
      </c>
      <c r="H293">
        <v>20110.400000000001</v>
      </c>
      <c r="I293" s="13">
        <v>0.66666666666666663</v>
      </c>
      <c r="J293" t="s">
        <v>6208</v>
      </c>
      <c r="K293">
        <v>1</v>
      </c>
      <c r="L293">
        <v>2</v>
      </c>
      <c r="M293" t="s">
        <v>1</v>
      </c>
      <c r="V293">
        <v>2</v>
      </c>
      <c r="W293">
        <v>1</v>
      </c>
      <c r="X293">
        <v>0</v>
      </c>
      <c r="Y293">
        <v>0</v>
      </c>
      <c r="Z293">
        <v>0</v>
      </c>
    </row>
    <row r="294" spans="1:26" x14ac:dyDescent="0.2">
      <c r="A294" t="s">
        <v>412</v>
      </c>
      <c r="B294" t="s">
        <v>44</v>
      </c>
      <c r="C294">
        <v>2009</v>
      </c>
      <c r="D294" t="s">
        <v>42</v>
      </c>
      <c r="E294" t="s">
        <v>22</v>
      </c>
      <c r="F294" t="s">
        <v>38</v>
      </c>
      <c r="G294">
        <v>42918</v>
      </c>
      <c r="H294">
        <v>34334.400000000001</v>
      </c>
      <c r="I294" s="13">
        <v>1</v>
      </c>
      <c r="J294" t="s">
        <v>6207</v>
      </c>
      <c r="K294">
        <v>2</v>
      </c>
      <c r="L294">
        <v>2</v>
      </c>
      <c r="M294" t="s">
        <v>58</v>
      </c>
      <c r="V294">
        <v>1</v>
      </c>
      <c r="W294">
        <v>2</v>
      </c>
      <c r="X294">
        <v>0</v>
      </c>
      <c r="Y294">
        <v>0</v>
      </c>
      <c r="Z294">
        <v>0</v>
      </c>
    </row>
    <row r="295" spans="1:26" x14ac:dyDescent="0.2">
      <c r="A295" t="s">
        <v>413</v>
      </c>
      <c r="B295" t="s">
        <v>53</v>
      </c>
      <c r="C295">
        <v>2009</v>
      </c>
      <c r="D295" t="s">
        <v>43</v>
      </c>
      <c r="E295" t="s">
        <v>28</v>
      </c>
      <c r="F295" t="s">
        <v>43</v>
      </c>
      <c r="G295">
        <v>25138</v>
      </c>
      <c r="H295">
        <v>20110.400000000001</v>
      </c>
      <c r="I295" s="13">
        <v>0</v>
      </c>
      <c r="J295" t="s">
        <v>6207</v>
      </c>
      <c r="K295">
        <v>1</v>
      </c>
      <c r="L295">
        <v>0</v>
      </c>
      <c r="M295" t="s">
        <v>0</v>
      </c>
      <c r="V295">
        <v>1</v>
      </c>
      <c r="W295">
        <v>3</v>
      </c>
      <c r="X295">
        <v>0</v>
      </c>
      <c r="Y295">
        <v>0</v>
      </c>
      <c r="Z295">
        <v>0</v>
      </c>
    </row>
    <row r="296" spans="1:26" x14ac:dyDescent="0.2">
      <c r="A296" t="s">
        <v>414</v>
      </c>
      <c r="B296" t="s">
        <v>55</v>
      </c>
      <c r="C296">
        <v>2009</v>
      </c>
      <c r="D296" t="s">
        <v>35</v>
      </c>
      <c r="E296" t="s">
        <v>38</v>
      </c>
      <c r="F296" t="s">
        <v>35</v>
      </c>
      <c r="G296">
        <v>49000</v>
      </c>
      <c r="H296">
        <v>39200</v>
      </c>
      <c r="I296" s="13">
        <v>0</v>
      </c>
      <c r="J296" t="s">
        <v>6206</v>
      </c>
      <c r="K296">
        <v>3</v>
      </c>
      <c r="L296">
        <v>1</v>
      </c>
      <c r="M296" t="s">
        <v>0</v>
      </c>
      <c r="V296">
        <v>0</v>
      </c>
      <c r="W296">
        <v>1</v>
      </c>
      <c r="X296">
        <v>0</v>
      </c>
      <c r="Y296">
        <v>0</v>
      </c>
      <c r="Z296">
        <v>0</v>
      </c>
    </row>
    <row r="297" spans="1:26" x14ac:dyDescent="0.2">
      <c r="A297" t="s">
        <v>415</v>
      </c>
      <c r="B297" t="s">
        <v>41</v>
      </c>
      <c r="C297">
        <v>2009</v>
      </c>
      <c r="D297" t="s">
        <v>27</v>
      </c>
      <c r="E297" t="s">
        <v>51</v>
      </c>
      <c r="F297" t="s">
        <v>27</v>
      </c>
      <c r="G297">
        <v>30089</v>
      </c>
      <c r="H297">
        <v>24071.200000000001</v>
      </c>
      <c r="I297" s="13">
        <v>0.4</v>
      </c>
      <c r="J297" t="s">
        <v>6207</v>
      </c>
      <c r="K297">
        <v>1</v>
      </c>
      <c r="L297">
        <v>2</v>
      </c>
      <c r="M297" t="s">
        <v>1</v>
      </c>
      <c r="V297">
        <v>2</v>
      </c>
      <c r="W297">
        <v>2</v>
      </c>
      <c r="X297">
        <v>1</v>
      </c>
      <c r="Y297">
        <v>0</v>
      </c>
      <c r="Z297">
        <v>1</v>
      </c>
    </row>
    <row r="298" spans="1:26" x14ac:dyDescent="0.2">
      <c r="A298" t="s">
        <v>416</v>
      </c>
      <c r="B298" t="s">
        <v>52</v>
      </c>
      <c r="C298">
        <v>2009</v>
      </c>
      <c r="D298" t="s">
        <v>30</v>
      </c>
      <c r="E298" t="s">
        <v>19</v>
      </c>
      <c r="F298" t="s">
        <v>30</v>
      </c>
      <c r="G298">
        <v>20899</v>
      </c>
      <c r="H298">
        <v>16719.2</v>
      </c>
      <c r="I298" s="13">
        <v>0</v>
      </c>
      <c r="J298" t="s">
        <v>6207</v>
      </c>
      <c r="K298">
        <v>3</v>
      </c>
      <c r="L298">
        <v>2</v>
      </c>
      <c r="M298" t="s">
        <v>0</v>
      </c>
      <c r="V298">
        <v>1</v>
      </c>
      <c r="W298">
        <v>1</v>
      </c>
      <c r="X298">
        <v>0</v>
      </c>
      <c r="Y298">
        <v>0</v>
      </c>
      <c r="Z298">
        <v>0</v>
      </c>
    </row>
    <row r="299" spans="1:26" x14ac:dyDescent="0.2">
      <c r="A299" t="s">
        <v>417</v>
      </c>
      <c r="B299" t="s">
        <v>21</v>
      </c>
      <c r="C299">
        <v>2009</v>
      </c>
      <c r="D299" t="s">
        <v>45</v>
      </c>
      <c r="E299" t="s">
        <v>34</v>
      </c>
      <c r="F299" t="s">
        <v>26</v>
      </c>
      <c r="G299">
        <v>39572</v>
      </c>
      <c r="H299">
        <v>31657.600000000002</v>
      </c>
      <c r="I299" s="13">
        <v>0.66666666666666663</v>
      </c>
      <c r="J299" t="s">
        <v>6206</v>
      </c>
      <c r="K299">
        <v>2</v>
      </c>
      <c r="L299">
        <v>0</v>
      </c>
      <c r="M299" t="s">
        <v>0</v>
      </c>
      <c r="V299">
        <v>1</v>
      </c>
      <c r="W299">
        <v>1</v>
      </c>
      <c r="X299">
        <v>0</v>
      </c>
      <c r="Y299">
        <v>1</v>
      </c>
      <c r="Z299">
        <v>0</v>
      </c>
    </row>
    <row r="300" spans="1:26" x14ac:dyDescent="0.2">
      <c r="A300" t="s">
        <v>418</v>
      </c>
      <c r="B300" t="s">
        <v>32</v>
      </c>
      <c r="C300">
        <v>2009</v>
      </c>
      <c r="D300" t="s">
        <v>46</v>
      </c>
      <c r="E300" t="s">
        <v>23</v>
      </c>
      <c r="F300" t="s">
        <v>20</v>
      </c>
      <c r="G300">
        <v>60704</v>
      </c>
      <c r="H300">
        <v>48563.200000000004</v>
      </c>
      <c r="I300" s="13">
        <v>0.66666666666666663</v>
      </c>
      <c r="J300" t="s">
        <v>6207</v>
      </c>
      <c r="K300">
        <v>2</v>
      </c>
      <c r="L300">
        <v>0</v>
      </c>
      <c r="M300" t="s">
        <v>0</v>
      </c>
      <c r="V300">
        <v>1</v>
      </c>
      <c r="W300">
        <v>4</v>
      </c>
      <c r="X300">
        <v>1</v>
      </c>
      <c r="Y300">
        <v>0</v>
      </c>
      <c r="Z300">
        <v>1</v>
      </c>
    </row>
    <row r="301" spans="1:26" x14ac:dyDescent="0.2">
      <c r="A301" t="s">
        <v>419</v>
      </c>
      <c r="B301" t="s">
        <v>56</v>
      </c>
      <c r="C301">
        <v>2009</v>
      </c>
      <c r="D301" t="s">
        <v>48</v>
      </c>
      <c r="E301" t="s">
        <v>26</v>
      </c>
      <c r="F301" t="s">
        <v>49</v>
      </c>
      <c r="G301">
        <v>74197</v>
      </c>
      <c r="H301">
        <v>59357.600000000006</v>
      </c>
      <c r="I301" s="13">
        <v>0.8</v>
      </c>
      <c r="J301" t="s">
        <v>6207</v>
      </c>
      <c r="K301">
        <v>2</v>
      </c>
      <c r="L301">
        <v>1</v>
      </c>
      <c r="M301" t="s">
        <v>0</v>
      </c>
      <c r="V301">
        <v>2</v>
      </c>
      <c r="W301">
        <v>3</v>
      </c>
      <c r="X301">
        <v>0</v>
      </c>
      <c r="Y301">
        <v>0</v>
      </c>
      <c r="Z301">
        <v>0</v>
      </c>
    </row>
    <row r="302" spans="1:26" x14ac:dyDescent="0.2">
      <c r="A302" t="s">
        <v>420</v>
      </c>
      <c r="B302" t="s">
        <v>54</v>
      </c>
      <c r="C302">
        <v>2009</v>
      </c>
      <c r="D302" t="s">
        <v>31</v>
      </c>
      <c r="E302" t="s">
        <v>40</v>
      </c>
      <c r="F302" t="s">
        <v>20</v>
      </c>
      <c r="G302">
        <v>28500</v>
      </c>
      <c r="H302">
        <v>22800</v>
      </c>
      <c r="I302" s="13">
        <v>0</v>
      </c>
      <c r="J302" t="s">
        <v>6206</v>
      </c>
      <c r="K302">
        <v>1</v>
      </c>
      <c r="L302">
        <v>2</v>
      </c>
      <c r="M302" t="s">
        <v>1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 x14ac:dyDescent="0.2">
      <c r="A303" t="s">
        <v>421</v>
      </c>
      <c r="B303" t="s">
        <v>29</v>
      </c>
      <c r="C303">
        <v>2009</v>
      </c>
      <c r="D303" t="s">
        <v>39</v>
      </c>
      <c r="E303" t="s">
        <v>18</v>
      </c>
      <c r="F303" t="s">
        <v>39</v>
      </c>
      <c r="G303">
        <v>31367</v>
      </c>
      <c r="H303">
        <v>25093.600000000002</v>
      </c>
      <c r="I303" s="13">
        <v>1</v>
      </c>
      <c r="J303" t="s">
        <v>6208</v>
      </c>
      <c r="K303">
        <v>1</v>
      </c>
      <c r="L303">
        <v>1</v>
      </c>
      <c r="M303" t="s">
        <v>58</v>
      </c>
      <c r="V303">
        <v>0</v>
      </c>
      <c r="W303">
        <v>1</v>
      </c>
      <c r="X303">
        <v>0</v>
      </c>
      <c r="Y303">
        <v>0</v>
      </c>
      <c r="Z303">
        <v>0</v>
      </c>
    </row>
    <row r="304" spans="1:26" x14ac:dyDescent="0.2">
      <c r="A304" t="s">
        <v>422</v>
      </c>
      <c r="B304" t="s">
        <v>52</v>
      </c>
      <c r="C304">
        <v>2009</v>
      </c>
      <c r="D304" t="s">
        <v>23</v>
      </c>
      <c r="E304" t="s">
        <v>22</v>
      </c>
      <c r="F304" t="s">
        <v>20</v>
      </c>
      <c r="G304">
        <v>62500</v>
      </c>
      <c r="H304">
        <v>50000</v>
      </c>
      <c r="I304" s="13">
        <v>1</v>
      </c>
      <c r="J304" t="s">
        <v>6207</v>
      </c>
      <c r="K304">
        <v>1</v>
      </c>
      <c r="L304">
        <v>3</v>
      </c>
      <c r="M304" t="s">
        <v>1</v>
      </c>
      <c r="V304">
        <v>0</v>
      </c>
      <c r="W304">
        <v>2</v>
      </c>
      <c r="X304">
        <v>0</v>
      </c>
      <c r="Y304">
        <v>0</v>
      </c>
      <c r="Z304">
        <v>0</v>
      </c>
    </row>
    <row r="305" spans="1:26" x14ac:dyDescent="0.2">
      <c r="A305" t="s">
        <v>423</v>
      </c>
      <c r="B305" t="s">
        <v>50</v>
      </c>
      <c r="C305">
        <v>2009</v>
      </c>
      <c r="D305" t="s">
        <v>30</v>
      </c>
      <c r="E305" t="s">
        <v>18</v>
      </c>
      <c r="F305" t="s">
        <v>30</v>
      </c>
      <c r="G305">
        <v>20899</v>
      </c>
      <c r="H305">
        <v>16719.2</v>
      </c>
      <c r="I305" s="13">
        <v>0.25</v>
      </c>
      <c r="J305" t="s">
        <v>6207</v>
      </c>
      <c r="K305">
        <v>0</v>
      </c>
      <c r="L305">
        <v>5</v>
      </c>
      <c r="M305" t="s">
        <v>1</v>
      </c>
      <c r="V305">
        <v>3</v>
      </c>
      <c r="W305">
        <v>1</v>
      </c>
      <c r="X305">
        <v>0</v>
      </c>
      <c r="Y305">
        <v>0</v>
      </c>
      <c r="Z305">
        <v>0</v>
      </c>
    </row>
    <row r="306" spans="1:26" x14ac:dyDescent="0.2">
      <c r="A306" t="s">
        <v>424</v>
      </c>
      <c r="B306" t="s">
        <v>55</v>
      </c>
      <c r="C306">
        <v>2009</v>
      </c>
      <c r="D306" t="s">
        <v>40</v>
      </c>
      <c r="E306" t="s">
        <v>45</v>
      </c>
      <c r="F306" t="s">
        <v>49</v>
      </c>
      <c r="G306">
        <v>53400</v>
      </c>
      <c r="H306">
        <v>42720</v>
      </c>
      <c r="I306" s="13">
        <v>0.8</v>
      </c>
      <c r="J306" t="s">
        <v>6206</v>
      </c>
      <c r="K306">
        <v>0</v>
      </c>
      <c r="L306">
        <v>2</v>
      </c>
      <c r="M306" t="s">
        <v>1</v>
      </c>
      <c r="V306">
        <v>3</v>
      </c>
      <c r="W306">
        <v>2</v>
      </c>
      <c r="X306">
        <v>0</v>
      </c>
      <c r="Y306">
        <v>0</v>
      </c>
      <c r="Z306">
        <v>0</v>
      </c>
    </row>
    <row r="307" spans="1:26" x14ac:dyDescent="0.2">
      <c r="A307" t="s">
        <v>425</v>
      </c>
      <c r="B307" t="s">
        <v>41</v>
      </c>
      <c r="C307">
        <v>2009</v>
      </c>
      <c r="D307" t="s">
        <v>42</v>
      </c>
      <c r="E307" t="s">
        <v>35</v>
      </c>
      <c r="F307" t="s">
        <v>38</v>
      </c>
      <c r="G307">
        <v>42918</v>
      </c>
      <c r="H307">
        <v>34334.400000000001</v>
      </c>
      <c r="I307" s="13">
        <v>0</v>
      </c>
      <c r="J307" t="s">
        <v>6207</v>
      </c>
      <c r="K307">
        <v>1</v>
      </c>
      <c r="L307">
        <v>1</v>
      </c>
      <c r="M307" t="s">
        <v>58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">
      <c r="A308" t="s">
        <v>426</v>
      </c>
      <c r="B308" t="s">
        <v>44</v>
      </c>
      <c r="C308">
        <v>2009</v>
      </c>
      <c r="D308" t="s">
        <v>39</v>
      </c>
      <c r="E308" t="s">
        <v>38</v>
      </c>
      <c r="F308" t="s">
        <v>39</v>
      </c>
      <c r="G308">
        <v>31367</v>
      </c>
      <c r="H308">
        <v>25093.600000000002</v>
      </c>
      <c r="I308" s="13">
        <v>0.66666666666666663</v>
      </c>
      <c r="J308" t="s">
        <v>6207</v>
      </c>
      <c r="K308">
        <v>2</v>
      </c>
      <c r="L308">
        <v>1</v>
      </c>
      <c r="M308" t="s">
        <v>0</v>
      </c>
      <c r="V308">
        <v>2</v>
      </c>
      <c r="W308">
        <v>1</v>
      </c>
      <c r="X308">
        <v>0</v>
      </c>
      <c r="Y308">
        <v>0</v>
      </c>
      <c r="Z308">
        <v>0</v>
      </c>
    </row>
    <row r="309" spans="1:26" x14ac:dyDescent="0.2">
      <c r="A309" t="s">
        <v>427</v>
      </c>
      <c r="B309" t="s">
        <v>53</v>
      </c>
      <c r="C309">
        <v>2009</v>
      </c>
      <c r="D309" t="s">
        <v>22</v>
      </c>
      <c r="E309" t="s">
        <v>45</v>
      </c>
      <c r="F309" t="s">
        <v>24</v>
      </c>
      <c r="G309">
        <v>31750</v>
      </c>
      <c r="H309">
        <v>25400</v>
      </c>
      <c r="I309" s="13">
        <v>0.5</v>
      </c>
      <c r="J309" t="s">
        <v>6207</v>
      </c>
      <c r="K309">
        <v>0</v>
      </c>
      <c r="L309">
        <v>0</v>
      </c>
      <c r="M309" t="s">
        <v>58</v>
      </c>
      <c r="V309">
        <v>1</v>
      </c>
      <c r="W309">
        <v>1</v>
      </c>
      <c r="X309">
        <v>0</v>
      </c>
      <c r="Y309">
        <v>0</v>
      </c>
      <c r="Z309">
        <v>0</v>
      </c>
    </row>
    <row r="310" spans="1:26" x14ac:dyDescent="0.2">
      <c r="A310" t="s">
        <v>428</v>
      </c>
      <c r="B310" t="s">
        <v>37</v>
      </c>
      <c r="C310">
        <v>2009</v>
      </c>
      <c r="D310" t="s">
        <v>23</v>
      </c>
      <c r="E310" t="s">
        <v>27</v>
      </c>
      <c r="F310" t="s">
        <v>20</v>
      </c>
      <c r="G310">
        <v>62500</v>
      </c>
      <c r="H310">
        <v>50000</v>
      </c>
      <c r="I310" s="13">
        <v>1</v>
      </c>
      <c r="J310" t="s">
        <v>6206</v>
      </c>
      <c r="K310">
        <v>0</v>
      </c>
      <c r="L310">
        <v>1</v>
      </c>
      <c r="M310" t="s">
        <v>1</v>
      </c>
      <c r="V310">
        <v>0</v>
      </c>
      <c r="W310">
        <v>2</v>
      </c>
      <c r="X310">
        <v>0</v>
      </c>
      <c r="Y310">
        <v>0</v>
      </c>
      <c r="Z310">
        <v>0</v>
      </c>
    </row>
    <row r="311" spans="1:26" x14ac:dyDescent="0.2">
      <c r="A311" t="s">
        <v>429</v>
      </c>
      <c r="B311" t="s">
        <v>60</v>
      </c>
      <c r="C311">
        <v>2009</v>
      </c>
      <c r="D311" t="s">
        <v>51</v>
      </c>
      <c r="E311" t="s">
        <v>30</v>
      </c>
      <c r="F311" t="s">
        <v>20</v>
      </c>
      <c r="G311">
        <v>36284</v>
      </c>
      <c r="H311">
        <v>29027.200000000001</v>
      </c>
      <c r="I311" s="13">
        <v>0</v>
      </c>
      <c r="J311" t="s">
        <v>6208</v>
      </c>
      <c r="K311">
        <v>2</v>
      </c>
      <c r="L311">
        <v>0</v>
      </c>
      <c r="M311" t="s">
        <v>0</v>
      </c>
      <c r="V311">
        <v>0</v>
      </c>
      <c r="W311">
        <v>1</v>
      </c>
      <c r="X311">
        <v>0</v>
      </c>
      <c r="Y311">
        <v>0</v>
      </c>
      <c r="Z311">
        <v>0</v>
      </c>
    </row>
    <row r="312" spans="1:26" x14ac:dyDescent="0.2">
      <c r="A312" t="s">
        <v>430</v>
      </c>
      <c r="B312" t="s">
        <v>25</v>
      </c>
      <c r="C312">
        <v>2009</v>
      </c>
      <c r="D312" t="s">
        <v>19</v>
      </c>
      <c r="E312" t="s">
        <v>31</v>
      </c>
      <c r="F312" t="s">
        <v>19</v>
      </c>
      <c r="G312">
        <v>25586</v>
      </c>
      <c r="H312">
        <v>20468.800000000003</v>
      </c>
      <c r="I312" s="13">
        <v>0.66666666666666663</v>
      </c>
      <c r="J312" t="s">
        <v>6207</v>
      </c>
      <c r="K312">
        <v>2</v>
      </c>
      <c r="L312">
        <v>0</v>
      </c>
      <c r="M312" t="s">
        <v>0</v>
      </c>
      <c r="V312">
        <v>2</v>
      </c>
      <c r="W312">
        <v>4</v>
      </c>
      <c r="X312">
        <v>0</v>
      </c>
      <c r="Y312">
        <v>0</v>
      </c>
      <c r="Z312">
        <v>0</v>
      </c>
    </row>
    <row r="313" spans="1:26" x14ac:dyDescent="0.2">
      <c r="A313" t="s">
        <v>431</v>
      </c>
      <c r="B313" t="s">
        <v>55</v>
      </c>
      <c r="C313">
        <v>2009</v>
      </c>
      <c r="D313" t="s">
        <v>18</v>
      </c>
      <c r="E313" t="s">
        <v>42</v>
      </c>
      <c r="F313" t="s">
        <v>20</v>
      </c>
      <c r="G313">
        <v>40341</v>
      </c>
      <c r="H313">
        <v>32272.800000000003</v>
      </c>
      <c r="I313" s="13">
        <v>1</v>
      </c>
      <c r="J313" t="s">
        <v>6206</v>
      </c>
      <c r="K313">
        <v>7</v>
      </c>
      <c r="L313">
        <v>1</v>
      </c>
      <c r="M313" t="s">
        <v>0</v>
      </c>
      <c r="V313">
        <v>3</v>
      </c>
      <c r="W313">
        <v>2</v>
      </c>
      <c r="X313">
        <v>0</v>
      </c>
      <c r="Y313">
        <v>0</v>
      </c>
      <c r="Z313">
        <v>2</v>
      </c>
    </row>
    <row r="314" spans="1:26" x14ac:dyDescent="0.2">
      <c r="A314" t="s">
        <v>432</v>
      </c>
      <c r="B314" t="s">
        <v>56</v>
      </c>
      <c r="C314">
        <v>2009</v>
      </c>
      <c r="D314" t="s">
        <v>38</v>
      </c>
      <c r="E314" t="s">
        <v>46</v>
      </c>
      <c r="F314" t="s">
        <v>38</v>
      </c>
      <c r="G314">
        <v>29409</v>
      </c>
      <c r="H314">
        <v>23527.200000000001</v>
      </c>
      <c r="I314" s="13">
        <v>0.6</v>
      </c>
      <c r="J314" t="s">
        <v>6207</v>
      </c>
      <c r="K314">
        <v>1</v>
      </c>
      <c r="L314">
        <v>1</v>
      </c>
      <c r="M314" t="s">
        <v>58</v>
      </c>
      <c r="V314">
        <v>3</v>
      </c>
      <c r="W314">
        <v>2</v>
      </c>
      <c r="X314">
        <v>0</v>
      </c>
      <c r="Y314">
        <v>0</v>
      </c>
      <c r="Z314">
        <v>0</v>
      </c>
    </row>
    <row r="315" spans="1:26" x14ac:dyDescent="0.2">
      <c r="A315" t="s">
        <v>433</v>
      </c>
      <c r="B315" t="s">
        <v>32</v>
      </c>
      <c r="C315">
        <v>2009</v>
      </c>
      <c r="D315" t="s">
        <v>34</v>
      </c>
      <c r="E315" t="s">
        <v>48</v>
      </c>
      <c r="F315" t="s">
        <v>36</v>
      </c>
      <c r="G315">
        <v>28723</v>
      </c>
      <c r="H315">
        <v>22978.400000000001</v>
      </c>
      <c r="I315" s="13">
        <v>0</v>
      </c>
      <c r="J315" t="s">
        <v>6207</v>
      </c>
      <c r="K315">
        <v>0</v>
      </c>
      <c r="L315">
        <v>4</v>
      </c>
      <c r="M315" t="s">
        <v>1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">
      <c r="A316" t="s">
        <v>434</v>
      </c>
      <c r="B316" t="s">
        <v>41</v>
      </c>
      <c r="C316">
        <v>2009</v>
      </c>
      <c r="D316" t="s">
        <v>28</v>
      </c>
      <c r="E316" t="s">
        <v>39</v>
      </c>
      <c r="F316" t="s">
        <v>28</v>
      </c>
      <c r="G316">
        <v>21944</v>
      </c>
      <c r="H316">
        <v>17555.2</v>
      </c>
      <c r="I316" s="13">
        <v>0.4</v>
      </c>
      <c r="J316" t="s">
        <v>6207</v>
      </c>
      <c r="K316">
        <v>0</v>
      </c>
      <c r="L316">
        <v>1</v>
      </c>
      <c r="M316" t="s">
        <v>1</v>
      </c>
      <c r="V316">
        <v>3</v>
      </c>
      <c r="W316">
        <v>2</v>
      </c>
      <c r="X316">
        <v>0</v>
      </c>
      <c r="Y316">
        <v>0</v>
      </c>
      <c r="Z316">
        <v>1</v>
      </c>
    </row>
    <row r="317" spans="1:26" x14ac:dyDescent="0.2">
      <c r="A317" t="s">
        <v>435</v>
      </c>
      <c r="B317" t="s">
        <v>52</v>
      </c>
      <c r="C317">
        <v>2009</v>
      </c>
      <c r="D317" t="s">
        <v>26</v>
      </c>
      <c r="E317" t="s">
        <v>35</v>
      </c>
      <c r="F317" t="s">
        <v>26</v>
      </c>
      <c r="G317">
        <v>61276</v>
      </c>
      <c r="H317">
        <v>49020.800000000003</v>
      </c>
      <c r="I317" s="13">
        <v>0</v>
      </c>
      <c r="J317" t="s">
        <v>6207</v>
      </c>
      <c r="K317">
        <v>3</v>
      </c>
      <c r="L317">
        <v>0</v>
      </c>
      <c r="M317" t="s">
        <v>0</v>
      </c>
      <c r="V317">
        <v>0</v>
      </c>
      <c r="W317">
        <v>1</v>
      </c>
      <c r="X317">
        <v>0</v>
      </c>
      <c r="Y317">
        <v>0</v>
      </c>
      <c r="Z317">
        <v>0</v>
      </c>
    </row>
    <row r="318" spans="1:26" x14ac:dyDescent="0.2">
      <c r="A318" t="s">
        <v>436</v>
      </c>
      <c r="B318" t="s">
        <v>59</v>
      </c>
      <c r="C318">
        <v>2009</v>
      </c>
      <c r="D318" t="s">
        <v>40</v>
      </c>
      <c r="E318" t="s">
        <v>43</v>
      </c>
      <c r="F318" t="s">
        <v>49</v>
      </c>
      <c r="G318">
        <v>53400</v>
      </c>
      <c r="H318">
        <v>42720</v>
      </c>
      <c r="I318" s="13">
        <v>0.66666666666666663</v>
      </c>
      <c r="J318" t="s">
        <v>6206</v>
      </c>
      <c r="K318">
        <v>3</v>
      </c>
      <c r="L318">
        <v>0</v>
      </c>
      <c r="M318" t="s">
        <v>0</v>
      </c>
      <c r="V318">
        <v>3</v>
      </c>
      <c r="W318">
        <v>2</v>
      </c>
      <c r="X318">
        <v>0</v>
      </c>
      <c r="Y318">
        <v>1</v>
      </c>
      <c r="Z318">
        <v>0</v>
      </c>
    </row>
    <row r="319" spans="1:26" x14ac:dyDescent="0.2">
      <c r="A319" t="s">
        <v>437</v>
      </c>
      <c r="B319" t="s">
        <v>41</v>
      </c>
      <c r="C319">
        <v>2009</v>
      </c>
      <c r="D319" t="s">
        <v>48</v>
      </c>
      <c r="E319" t="s">
        <v>18</v>
      </c>
      <c r="F319" t="s">
        <v>49</v>
      </c>
      <c r="G319">
        <v>74197</v>
      </c>
      <c r="H319">
        <v>59357.600000000006</v>
      </c>
      <c r="I319" s="13">
        <v>0.2</v>
      </c>
      <c r="J319" t="s">
        <v>6207</v>
      </c>
      <c r="K319">
        <v>1</v>
      </c>
      <c r="L319">
        <v>2</v>
      </c>
      <c r="M319" t="s">
        <v>1</v>
      </c>
      <c r="V319">
        <v>3</v>
      </c>
      <c r="W319">
        <v>2</v>
      </c>
      <c r="X319">
        <v>0</v>
      </c>
      <c r="Y319">
        <v>0</v>
      </c>
      <c r="Z319">
        <v>0</v>
      </c>
    </row>
    <row r="320" spans="1:26" x14ac:dyDescent="0.2">
      <c r="A320" t="s">
        <v>438</v>
      </c>
      <c r="B320" t="s">
        <v>50</v>
      </c>
      <c r="C320">
        <v>2009</v>
      </c>
      <c r="D320" t="s">
        <v>35</v>
      </c>
      <c r="E320" t="s">
        <v>51</v>
      </c>
      <c r="F320" t="s">
        <v>35</v>
      </c>
      <c r="G320">
        <v>49000</v>
      </c>
      <c r="H320">
        <v>39200</v>
      </c>
      <c r="I320" s="13">
        <v>0.5</v>
      </c>
      <c r="J320" t="s">
        <v>6207</v>
      </c>
      <c r="K320">
        <v>3</v>
      </c>
      <c r="L320">
        <v>1</v>
      </c>
      <c r="M320" t="s">
        <v>0</v>
      </c>
      <c r="V320">
        <v>2</v>
      </c>
      <c r="W320">
        <v>0</v>
      </c>
      <c r="X320">
        <v>0</v>
      </c>
      <c r="Y320">
        <v>0</v>
      </c>
      <c r="Z320">
        <v>1</v>
      </c>
    </row>
    <row r="321" spans="1:26" x14ac:dyDescent="0.2">
      <c r="A321" t="s">
        <v>439</v>
      </c>
      <c r="B321" t="s">
        <v>54</v>
      </c>
      <c r="C321">
        <v>2009</v>
      </c>
      <c r="D321" t="s">
        <v>27</v>
      </c>
      <c r="E321" t="s">
        <v>19</v>
      </c>
      <c r="F321" t="s">
        <v>27</v>
      </c>
      <c r="G321">
        <v>30089</v>
      </c>
      <c r="H321">
        <v>24071.200000000001</v>
      </c>
      <c r="I321" s="13">
        <v>0.8</v>
      </c>
      <c r="J321" t="s">
        <v>6206</v>
      </c>
      <c r="K321">
        <v>2</v>
      </c>
      <c r="L321">
        <v>0</v>
      </c>
      <c r="M321" t="s">
        <v>0</v>
      </c>
      <c r="V321">
        <v>3</v>
      </c>
      <c r="W321">
        <v>2</v>
      </c>
      <c r="X321">
        <v>0</v>
      </c>
      <c r="Y321">
        <v>0</v>
      </c>
      <c r="Z321">
        <v>0</v>
      </c>
    </row>
    <row r="322" spans="1:26" x14ac:dyDescent="0.2">
      <c r="A322" t="s">
        <v>440</v>
      </c>
      <c r="B322" t="s">
        <v>29</v>
      </c>
      <c r="C322">
        <v>2009</v>
      </c>
      <c r="D322" t="s">
        <v>30</v>
      </c>
      <c r="E322" t="s">
        <v>39</v>
      </c>
      <c r="F322" t="s">
        <v>30</v>
      </c>
      <c r="G322">
        <v>20899</v>
      </c>
      <c r="H322">
        <v>16719.2</v>
      </c>
      <c r="I322" s="13">
        <v>0.25</v>
      </c>
      <c r="J322" t="s">
        <v>6208</v>
      </c>
      <c r="K322">
        <v>0</v>
      </c>
      <c r="L322">
        <v>0</v>
      </c>
      <c r="M322" t="s">
        <v>58</v>
      </c>
      <c r="V322">
        <v>2</v>
      </c>
      <c r="W322">
        <v>1</v>
      </c>
      <c r="X322">
        <v>1</v>
      </c>
      <c r="Y322">
        <v>0</v>
      </c>
      <c r="Z322">
        <v>0</v>
      </c>
    </row>
    <row r="323" spans="1:26" x14ac:dyDescent="0.2">
      <c r="A323" t="s">
        <v>441</v>
      </c>
      <c r="B323" t="s">
        <v>53</v>
      </c>
      <c r="C323">
        <v>2009</v>
      </c>
      <c r="D323" t="s">
        <v>34</v>
      </c>
      <c r="E323" t="s">
        <v>42</v>
      </c>
      <c r="F323" t="s">
        <v>36</v>
      </c>
      <c r="G323">
        <v>28723</v>
      </c>
      <c r="H323">
        <v>22978.400000000001</v>
      </c>
      <c r="I323" s="13">
        <v>0.5</v>
      </c>
      <c r="J323" t="s">
        <v>6207</v>
      </c>
      <c r="K323">
        <v>0</v>
      </c>
      <c r="L323">
        <v>1</v>
      </c>
      <c r="M323" t="s">
        <v>1</v>
      </c>
      <c r="V323">
        <v>2</v>
      </c>
      <c r="W323">
        <v>0</v>
      </c>
      <c r="X323">
        <v>0</v>
      </c>
      <c r="Y323">
        <v>0</v>
      </c>
      <c r="Z323">
        <v>0</v>
      </c>
    </row>
    <row r="324" spans="1:26" x14ac:dyDescent="0.2">
      <c r="A324" t="s">
        <v>442</v>
      </c>
      <c r="B324" t="s">
        <v>37</v>
      </c>
      <c r="C324">
        <v>2009</v>
      </c>
      <c r="D324" t="s">
        <v>46</v>
      </c>
      <c r="E324" t="s">
        <v>22</v>
      </c>
      <c r="F324" t="s">
        <v>20</v>
      </c>
      <c r="G324">
        <v>60704</v>
      </c>
      <c r="H324">
        <v>48563.200000000004</v>
      </c>
      <c r="I324" s="13">
        <v>0.33333333333333331</v>
      </c>
      <c r="J324" t="s">
        <v>6206</v>
      </c>
      <c r="K324">
        <v>1</v>
      </c>
      <c r="L324">
        <v>0</v>
      </c>
      <c r="M324" t="s">
        <v>0</v>
      </c>
      <c r="V324">
        <v>0</v>
      </c>
      <c r="W324">
        <v>2</v>
      </c>
      <c r="X324">
        <v>0</v>
      </c>
      <c r="Y324">
        <v>1</v>
      </c>
      <c r="Z324">
        <v>0</v>
      </c>
    </row>
    <row r="325" spans="1:26" x14ac:dyDescent="0.2">
      <c r="A325" t="s">
        <v>443</v>
      </c>
      <c r="B325" t="s">
        <v>21</v>
      </c>
      <c r="C325">
        <v>2009</v>
      </c>
      <c r="D325" t="s">
        <v>28</v>
      </c>
      <c r="E325" t="s">
        <v>40</v>
      </c>
      <c r="F325" t="s">
        <v>28</v>
      </c>
      <c r="G325">
        <v>21944</v>
      </c>
      <c r="H325">
        <v>17555.2</v>
      </c>
      <c r="I325" s="13">
        <v>0</v>
      </c>
      <c r="J325" t="s">
        <v>6206</v>
      </c>
      <c r="K325">
        <v>1</v>
      </c>
      <c r="L325">
        <v>6</v>
      </c>
      <c r="M325" t="s">
        <v>1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">
      <c r="A326" t="s">
        <v>444</v>
      </c>
      <c r="B326" t="s">
        <v>44</v>
      </c>
      <c r="C326">
        <v>2009</v>
      </c>
      <c r="D326" t="s">
        <v>31</v>
      </c>
      <c r="E326" t="s">
        <v>43</v>
      </c>
      <c r="F326" t="s">
        <v>20</v>
      </c>
      <c r="G326">
        <v>28500</v>
      </c>
      <c r="H326">
        <v>22800</v>
      </c>
      <c r="I326" s="13">
        <v>1</v>
      </c>
      <c r="J326" t="s">
        <v>6207</v>
      </c>
      <c r="K326">
        <v>2</v>
      </c>
      <c r="L326">
        <v>1</v>
      </c>
      <c r="M326" t="s">
        <v>0</v>
      </c>
      <c r="V326">
        <v>1</v>
      </c>
      <c r="W326">
        <v>2</v>
      </c>
      <c r="X326">
        <v>0</v>
      </c>
      <c r="Y326">
        <v>0</v>
      </c>
      <c r="Z326">
        <v>0</v>
      </c>
    </row>
    <row r="327" spans="1:26" x14ac:dyDescent="0.2">
      <c r="A327" t="s">
        <v>445</v>
      </c>
      <c r="B327" t="s">
        <v>32</v>
      </c>
      <c r="C327">
        <v>2009</v>
      </c>
      <c r="D327" t="s">
        <v>38</v>
      </c>
      <c r="E327" t="s">
        <v>26</v>
      </c>
      <c r="F327" t="s">
        <v>38</v>
      </c>
      <c r="G327">
        <v>29409</v>
      </c>
      <c r="H327">
        <v>23527.200000000001</v>
      </c>
      <c r="I327" s="13">
        <v>0.66666666666666663</v>
      </c>
      <c r="J327" t="s">
        <v>6207</v>
      </c>
      <c r="K327">
        <v>1</v>
      </c>
      <c r="L327">
        <v>1</v>
      </c>
      <c r="M327" t="s">
        <v>58</v>
      </c>
      <c r="V327">
        <v>2</v>
      </c>
      <c r="W327">
        <v>1</v>
      </c>
      <c r="X327">
        <v>0</v>
      </c>
      <c r="Y327">
        <v>0</v>
      </c>
      <c r="Z327">
        <v>0</v>
      </c>
    </row>
    <row r="328" spans="1:26" x14ac:dyDescent="0.2">
      <c r="A328" t="s">
        <v>446</v>
      </c>
      <c r="B328" t="s">
        <v>56</v>
      </c>
      <c r="C328">
        <v>2009</v>
      </c>
      <c r="D328" t="s">
        <v>45</v>
      </c>
      <c r="E328" t="s">
        <v>23</v>
      </c>
      <c r="F328" t="s">
        <v>26</v>
      </c>
      <c r="G328">
        <v>39572</v>
      </c>
      <c r="H328">
        <v>31657.600000000002</v>
      </c>
      <c r="I328" s="13">
        <v>0.6</v>
      </c>
      <c r="J328" t="s">
        <v>6207</v>
      </c>
      <c r="K328">
        <v>2</v>
      </c>
      <c r="L328">
        <v>2</v>
      </c>
      <c r="M328" t="s">
        <v>58</v>
      </c>
      <c r="V328">
        <v>2</v>
      </c>
      <c r="W328">
        <v>3</v>
      </c>
      <c r="X328">
        <v>0</v>
      </c>
      <c r="Y328">
        <v>0</v>
      </c>
      <c r="Z328">
        <v>1</v>
      </c>
    </row>
    <row r="329" spans="1:26" x14ac:dyDescent="0.2">
      <c r="A329" t="s">
        <v>447</v>
      </c>
      <c r="B329" t="s">
        <v>53</v>
      </c>
      <c r="C329">
        <v>2009</v>
      </c>
      <c r="D329" t="s">
        <v>23</v>
      </c>
      <c r="E329" t="s">
        <v>35</v>
      </c>
      <c r="F329" t="s">
        <v>20</v>
      </c>
      <c r="G329">
        <v>62500</v>
      </c>
      <c r="H329">
        <v>50000</v>
      </c>
      <c r="I329" s="13">
        <v>0.25</v>
      </c>
      <c r="J329" t="s">
        <v>6207</v>
      </c>
      <c r="K329">
        <v>1</v>
      </c>
      <c r="L329">
        <v>0</v>
      </c>
      <c r="M329" t="s">
        <v>0</v>
      </c>
      <c r="V329">
        <v>1</v>
      </c>
      <c r="W329">
        <v>3</v>
      </c>
      <c r="X329">
        <v>0</v>
      </c>
      <c r="Y329">
        <v>0</v>
      </c>
      <c r="Z329">
        <v>0</v>
      </c>
    </row>
    <row r="330" spans="1:26" x14ac:dyDescent="0.2">
      <c r="A330" t="s">
        <v>448</v>
      </c>
      <c r="B330" t="s">
        <v>32</v>
      </c>
      <c r="C330">
        <v>2009</v>
      </c>
      <c r="D330" t="s">
        <v>19</v>
      </c>
      <c r="E330" t="s">
        <v>28</v>
      </c>
      <c r="F330" t="s">
        <v>19</v>
      </c>
      <c r="G330">
        <v>25586</v>
      </c>
      <c r="H330">
        <v>20468.800000000003</v>
      </c>
      <c r="I330" s="13">
        <v>0.5</v>
      </c>
      <c r="J330" t="s">
        <v>6207</v>
      </c>
      <c r="K330">
        <v>1</v>
      </c>
      <c r="L330">
        <v>4</v>
      </c>
      <c r="M330" t="s">
        <v>1</v>
      </c>
      <c r="V330">
        <v>5</v>
      </c>
      <c r="W330">
        <v>1</v>
      </c>
      <c r="X330">
        <v>0</v>
      </c>
      <c r="Y330">
        <v>0</v>
      </c>
      <c r="Z330">
        <v>2</v>
      </c>
    </row>
    <row r="331" spans="1:26" x14ac:dyDescent="0.2">
      <c r="A331" t="s">
        <v>449</v>
      </c>
      <c r="B331" t="s">
        <v>25</v>
      </c>
      <c r="C331">
        <v>2009</v>
      </c>
      <c r="D331" t="s">
        <v>22</v>
      </c>
      <c r="E331" t="s">
        <v>27</v>
      </c>
      <c r="F331" t="s">
        <v>24</v>
      </c>
      <c r="G331">
        <v>31750</v>
      </c>
      <c r="H331">
        <v>25400</v>
      </c>
      <c r="I331" s="13">
        <v>0</v>
      </c>
      <c r="J331" t="s">
        <v>6207</v>
      </c>
      <c r="K331">
        <v>0</v>
      </c>
      <c r="L331">
        <v>0</v>
      </c>
      <c r="M331" t="s">
        <v>58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">
      <c r="A332" t="s">
        <v>450</v>
      </c>
      <c r="B332" t="s">
        <v>55</v>
      </c>
      <c r="C332">
        <v>2009</v>
      </c>
      <c r="D332" t="s">
        <v>39</v>
      </c>
      <c r="E332" t="s">
        <v>48</v>
      </c>
      <c r="F332" t="s">
        <v>39</v>
      </c>
      <c r="G332">
        <v>31367</v>
      </c>
      <c r="H332">
        <v>25093.600000000002</v>
      </c>
      <c r="I332" s="13">
        <v>0.66666666666666663</v>
      </c>
      <c r="J332" t="s">
        <v>6206</v>
      </c>
      <c r="K332">
        <v>0</v>
      </c>
      <c r="L332">
        <v>0</v>
      </c>
      <c r="M332" t="s">
        <v>58</v>
      </c>
      <c r="V332">
        <v>1</v>
      </c>
      <c r="W332">
        <v>2</v>
      </c>
      <c r="X332">
        <v>0</v>
      </c>
      <c r="Y332">
        <v>0</v>
      </c>
      <c r="Z332">
        <v>0</v>
      </c>
    </row>
    <row r="333" spans="1:26" x14ac:dyDescent="0.2">
      <c r="A333" t="s">
        <v>451</v>
      </c>
      <c r="B333" t="s">
        <v>37</v>
      </c>
      <c r="C333">
        <v>2009</v>
      </c>
      <c r="D333" t="s">
        <v>26</v>
      </c>
      <c r="E333" t="s">
        <v>31</v>
      </c>
      <c r="F333" t="s">
        <v>26</v>
      </c>
      <c r="G333">
        <v>61276</v>
      </c>
      <c r="H333">
        <v>49020.800000000003</v>
      </c>
      <c r="I333" s="13">
        <v>0.5</v>
      </c>
      <c r="J333" t="s">
        <v>6206</v>
      </c>
      <c r="K333">
        <v>0</v>
      </c>
      <c r="L333">
        <v>0</v>
      </c>
      <c r="M333" t="s">
        <v>58</v>
      </c>
      <c r="V333">
        <v>1</v>
      </c>
      <c r="W333">
        <v>3</v>
      </c>
      <c r="X333">
        <v>0</v>
      </c>
      <c r="Y333">
        <v>0</v>
      </c>
      <c r="Z333">
        <v>0</v>
      </c>
    </row>
    <row r="334" spans="1:26" x14ac:dyDescent="0.2">
      <c r="A334" t="s">
        <v>452</v>
      </c>
      <c r="B334" t="s">
        <v>52</v>
      </c>
      <c r="C334">
        <v>2009</v>
      </c>
      <c r="D334" t="s">
        <v>40</v>
      </c>
      <c r="E334" t="s">
        <v>38</v>
      </c>
      <c r="F334" t="s">
        <v>49</v>
      </c>
      <c r="G334">
        <v>53400</v>
      </c>
      <c r="H334">
        <v>42720</v>
      </c>
      <c r="I334" s="13">
        <v>0.66666666666666663</v>
      </c>
      <c r="J334" t="s">
        <v>6207</v>
      </c>
      <c r="K334">
        <v>5</v>
      </c>
      <c r="L334">
        <v>1</v>
      </c>
      <c r="M334" t="s">
        <v>0</v>
      </c>
      <c r="V334">
        <v>0</v>
      </c>
      <c r="W334">
        <v>3</v>
      </c>
      <c r="X334">
        <v>0</v>
      </c>
      <c r="Y334">
        <v>0</v>
      </c>
      <c r="Z334">
        <v>1</v>
      </c>
    </row>
    <row r="335" spans="1:26" x14ac:dyDescent="0.2">
      <c r="A335" t="s">
        <v>453</v>
      </c>
      <c r="B335" t="s">
        <v>54</v>
      </c>
      <c r="C335">
        <v>2009</v>
      </c>
      <c r="D335" t="s">
        <v>18</v>
      </c>
      <c r="E335" t="s">
        <v>34</v>
      </c>
      <c r="F335" t="s">
        <v>20</v>
      </c>
      <c r="G335">
        <v>40341</v>
      </c>
      <c r="H335">
        <v>32272.800000000003</v>
      </c>
      <c r="I335" s="13">
        <v>0.4</v>
      </c>
      <c r="J335" t="s">
        <v>6206</v>
      </c>
      <c r="K335">
        <v>1</v>
      </c>
      <c r="L335">
        <v>0</v>
      </c>
      <c r="M335" t="s">
        <v>0</v>
      </c>
      <c r="V335">
        <v>1</v>
      </c>
      <c r="W335">
        <v>4</v>
      </c>
      <c r="X335">
        <v>0</v>
      </c>
      <c r="Y335">
        <v>0</v>
      </c>
      <c r="Z335">
        <v>0</v>
      </c>
    </row>
    <row r="336" spans="1:26" x14ac:dyDescent="0.2">
      <c r="A336" t="s">
        <v>454</v>
      </c>
      <c r="B336" t="s">
        <v>41</v>
      </c>
      <c r="C336">
        <v>2009</v>
      </c>
      <c r="D336" t="s">
        <v>43</v>
      </c>
      <c r="E336" t="s">
        <v>30</v>
      </c>
      <c r="F336" t="s">
        <v>43</v>
      </c>
      <c r="G336">
        <v>25138</v>
      </c>
      <c r="H336">
        <v>20110.400000000001</v>
      </c>
      <c r="I336" s="13">
        <v>0.66666666666666663</v>
      </c>
      <c r="J336" t="s">
        <v>6207</v>
      </c>
      <c r="K336">
        <v>0</v>
      </c>
      <c r="L336">
        <v>0</v>
      </c>
      <c r="M336" t="s">
        <v>58</v>
      </c>
      <c r="V336">
        <v>2</v>
      </c>
      <c r="W336">
        <v>1</v>
      </c>
      <c r="X336">
        <v>0</v>
      </c>
      <c r="Y336">
        <v>0</v>
      </c>
      <c r="Z336">
        <v>0</v>
      </c>
    </row>
    <row r="337" spans="1:26" x14ac:dyDescent="0.2">
      <c r="A337" t="s">
        <v>455</v>
      </c>
      <c r="B337" t="s">
        <v>32</v>
      </c>
      <c r="C337">
        <v>2009</v>
      </c>
      <c r="D337" t="s">
        <v>42</v>
      </c>
      <c r="E337" t="s">
        <v>45</v>
      </c>
      <c r="F337" t="s">
        <v>38</v>
      </c>
      <c r="G337">
        <v>42918</v>
      </c>
      <c r="H337">
        <v>34334.400000000001</v>
      </c>
      <c r="I337" s="13">
        <v>0.75</v>
      </c>
      <c r="J337" t="s">
        <v>6207</v>
      </c>
      <c r="K337">
        <v>2</v>
      </c>
      <c r="L337">
        <v>2</v>
      </c>
      <c r="M337" t="s">
        <v>58</v>
      </c>
      <c r="V337">
        <v>2</v>
      </c>
      <c r="W337">
        <v>2</v>
      </c>
      <c r="X337">
        <v>0</v>
      </c>
      <c r="Y337">
        <v>0</v>
      </c>
      <c r="Z337">
        <v>0</v>
      </c>
    </row>
    <row r="338" spans="1:26" x14ac:dyDescent="0.2">
      <c r="A338" t="s">
        <v>456</v>
      </c>
      <c r="B338" t="s">
        <v>44</v>
      </c>
      <c r="C338">
        <v>2009</v>
      </c>
      <c r="D338" t="s">
        <v>51</v>
      </c>
      <c r="E338" t="s">
        <v>46</v>
      </c>
      <c r="F338" t="s">
        <v>20</v>
      </c>
      <c r="G338">
        <v>36284</v>
      </c>
      <c r="H338">
        <v>29027.200000000001</v>
      </c>
      <c r="I338" s="13">
        <v>1</v>
      </c>
      <c r="J338" t="s">
        <v>6207</v>
      </c>
      <c r="K338">
        <v>2</v>
      </c>
      <c r="L338">
        <v>1</v>
      </c>
      <c r="M338" t="s">
        <v>0</v>
      </c>
      <c r="V338">
        <v>2</v>
      </c>
      <c r="W338">
        <v>1</v>
      </c>
      <c r="X338">
        <v>0</v>
      </c>
      <c r="Y338">
        <v>0</v>
      </c>
      <c r="Z338">
        <v>0</v>
      </c>
    </row>
    <row r="339" spans="1:26" x14ac:dyDescent="0.2">
      <c r="A339" t="s">
        <v>457</v>
      </c>
      <c r="B339" t="s">
        <v>32</v>
      </c>
      <c r="C339">
        <v>2009</v>
      </c>
      <c r="D339" t="s">
        <v>40</v>
      </c>
      <c r="E339" t="s">
        <v>48</v>
      </c>
      <c r="F339" t="s">
        <v>49</v>
      </c>
      <c r="G339">
        <v>53400</v>
      </c>
      <c r="H339">
        <v>42720</v>
      </c>
      <c r="I339" s="13">
        <v>0.66666666666666663</v>
      </c>
      <c r="J339" t="s">
        <v>6207</v>
      </c>
      <c r="K339">
        <v>0</v>
      </c>
      <c r="L339">
        <v>1</v>
      </c>
      <c r="M339" t="s">
        <v>1</v>
      </c>
      <c r="V339">
        <v>2</v>
      </c>
      <c r="W339">
        <v>1</v>
      </c>
      <c r="X339">
        <v>0</v>
      </c>
      <c r="Y339">
        <v>0</v>
      </c>
      <c r="Z339">
        <v>0</v>
      </c>
    </row>
    <row r="340" spans="1:26" x14ac:dyDescent="0.2">
      <c r="A340" t="s">
        <v>458</v>
      </c>
      <c r="B340" t="s">
        <v>56</v>
      </c>
      <c r="C340">
        <v>2009</v>
      </c>
      <c r="D340" t="s">
        <v>35</v>
      </c>
      <c r="E340" t="s">
        <v>28</v>
      </c>
      <c r="F340" t="s">
        <v>35</v>
      </c>
      <c r="G340">
        <v>49000</v>
      </c>
      <c r="H340">
        <v>39200</v>
      </c>
      <c r="I340" s="13">
        <v>0.6</v>
      </c>
      <c r="J340" t="s">
        <v>6207</v>
      </c>
      <c r="K340">
        <v>2</v>
      </c>
      <c r="L340">
        <v>1</v>
      </c>
      <c r="M340" t="s">
        <v>0</v>
      </c>
      <c r="V340">
        <v>3</v>
      </c>
      <c r="W340">
        <v>2</v>
      </c>
      <c r="X340">
        <v>0</v>
      </c>
      <c r="Y340">
        <v>0</v>
      </c>
      <c r="Z340">
        <v>0</v>
      </c>
    </row>
    <row r="341" spans="1:26" x14ac:dyDescent="0.2">
      <c r="A341" t="s">
        <v>459</v>
      </c>
      <c r="B341" t="s">
        <v>59</v>
      </c>
      <c r="C341">
        <v>2009</v>
      </c>
      <c r="D341" t="s">
        <v>27</v>
      </c>
      <c r="E341" t="s">
        <v>34</v>
      </c>
      <c r="F341" t="s">
        <v>27</v>
      </c>
      <c r="G341">
        <v>30089</v>
      </c>
      <c r="H341">
        <v>24071.200000000001</v>
      </c>
      <c r="I341" s="13">
        <v>0.33333333333333331</v>
      </c>
      <c r="J341" t="s">
        <v>6206</v>
      </c>
      <c r="K341">
        <v>1</v>
      </c>
      <c r="L341">
        <v>2</v>
      </c>
      <c r="M341" t="s">
        <v>1</v>
      </c>
      <c r="V341">
        <v>1</v>
      </c>
      <c r="W341">
        <v>2</v>
      </c>
      <c r="X341">
        <v>0</v>
      </c>
      <c r="Y341">
        <v>0</v>
      </c>
      <c r="Z341">
        <v>0</v>
      </c>
    </row>
    <row r="342" spans="1:26" x14ac:dyDescent="0.2">
      <c r="A342" t="s">
        <v>460</v>
      </c>
      <c r="B342" t="s">
        <v>41</v>
      </c>
      <c r="C342">
        <v>2009</v>
      </c>
      <c r="D342" t="s">
        <v>31</v>
      </c>
      <c r="E342" t="s">
        <v>22</v>
      </c>
      <c r="F342" t="s">
        <v>20</v>
      </c>
      <c r="G342">
        <v>28500</v>
      </c>
      <c r="H342">
        <v>22800</v>
      </c>
      <c r="I342" s="13">
        <v>0</v>
      </c>
      <c r="J342" t="s">
        <v>6207</v>
      </c>
      <c r="K342">
        <v>0</v>
      </c>
      <c r="L342">
        <v>0</v>
      </c>
      <c r="M342" t="s">
        <v>58</v>
      </c>
      <c r="V342">
        <v>1</v>
      </c>
      <c r="W342">
        <v>0</v>
      </c>
      <c r="X342">
        <v>0</v>
      </c>
      <c r="Y342">
        <v>0</v>
      </c>
      <c r="Z342">
        <v>0</v>
      </c>
    </row>
    <row r="343" spans="1:26" x14ac:dyDescent="0.2">
      <c r="A343" t="s">
        <v>461</v>
      </c>
      <c r="B343" t="s">
        <v>37</v>
      </c>
      <c r="C343">
        <v>2009</v>
      </c>
      <c r="D343" t="s">
        <v>39</v>
      </c>
      <c r="E343" t="s">
        <v>45</v>
      </c>
      <c r="F343" t="s">
        <v>39</v>
      </c>
      <c r="G343">
        <v>31367</v>
      </c>
      <c r="H343">
        <v>25093.600000000002</v>
      </c>
      <c r="I343" s="13">
        <v>1</v>
      </c>
      <c r="J343" t="s">
        <v>6206</v>
      </c>
      <c r="K343">
        <v>2</v>
      </c>
      <c r="L343">
        <v>3</v>
      </c>
      <c r="M343" t="s">
        <v>1</v>
      </c>
      <c r="V343">
        <v>3</v>
      </c>
      <c r="W343">
        <v>2</v>
      </c>
      <c r="X343">
        <v>0</v>
      </c>
      <c r="Y343">
        <v>0</v>
      </c>
      <c r="Z343">
        <v>1</v>
      </c>
    </row>
    <row r="344" spans="1:26" x14ac:dyDescent="0.2">
      <c r="A344" t="s">
        <v>462</v>
      </c>
      <c r="B344" t="s">
        <v>44</v>
      </c>
      <c r="C344">
        <v>2009</v>
      </c>
      <c r="D344" t="s">
        <v>38</v>
      </c>
      <c r="E344" t="s">
        <v>19</v>
      </c>
      <c r="F344" t="s">
        <v>38</v>
      </c>
      <c r="G344">
        <v>29409</v>
      </c>
      <c r="H344">
        <v>23527.200000000001</v>
      </c>
      <c r="I344" s="13">
        <v>0</v>
      </c>
      <c r="J344" t="s">
        <v>6207</v>
      </c>
      <c r="K344">
        <v>0</v>
      </c>
      <c r="L344">
        <v>0</v>
      </c>
      <c r="M344" t="s">
        <v>58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">
      <c r="A345" t="s">
        <v>463</v>
      </c>
      <c r="B345" t="s">
        <v>52</v>
      </c>
      <c r="C345">
        <v>2009</v>
      </c>
      <c r="D345" t="s">
        <v>51</v>
      </c>
      <c r="E345" t="s">
        <v>18</v>
      </c>
      <c r="F345" t="s">
        <v>20</v>
      </c>
      <c r="G345">
        <v>36284</v>
      </c>
      <c r="H345">
        <v>29027.200000000001</v>
      </c>
      <c r="I345" s="13">
        <v>0.5714285714285714</v>
      </c>
      <c r="J345" t="s">
        <v>6207</v>
      </c>
      <c r="K345">
        <v>2</v>
      </c>
      <c r="L345">
        <v>1</v>
      </c>
      <c r="M345" t="s">
        <v>0</v>
      </c>
      <c r="V345">
        <v>2</v>
      </c>
      <c r="W345">
        <v>4</v>
      </c>
      <c r="X345">
        <v>0</v>
      </c>
      <c r="Y345">
        <v>1</v>
      </c>
      <c r="Z345">
        <v>1</v>
      </c>
    </row>
    <row r="346" spans="1:26" x14ac:dyDescent="0.2">
      <c r="A346" t="s">
        <v>464</v>
      </c>
      <c r="B346" t="s">
        <v>50</v>
      </c>
      <c r="C346">
        <v>2009</v>
      </c>
      <c r="D346" t="s">
        <v>43</v>
      </c>
      <c r="E346" t="s">
        <v>46</v>
      </c>
      <c r="F346" t="s">
        <v>43</v>
      </c>
      <c r="G346">
        <v>25138</v>
      </c>
      <c r="H346">
        <v>20110.400000000001</v>
      </c>
      <c r="I346" s="13">
        <v>0.66666666666666663</v>
      </c>
      <c r="J346" t="s">
        <v>6207</v>
      </c>
      <c r="K346">
        <v>3</v>
      </c>
      <c r="L346">
        <v>2</v>
      </c>
      <c r="M346" t="s">
        <v>0</v>
      </c>
      <c r="V346">
        <v>2</v>
      </c>
      <c r="W346">
        <v>1</v>
      </c>
      <c r="X346">
        <v>0</v>
      </c>
      <c r="Y346">
        <v>0</v>
      </c>
      <c r="Z346">
        <v>0</v>
      </c>
    </row>
    <row r="347" spans="1:26" x14ac:dyDescent="0.2">
      <c r="A347" t="s">
        <v>465</v>
      </c>
      <c r="B347" t="s">
        <v>54</v>
      </c>
      <c r="C347">
        <v>2009</v>
      </c>
      <c r="D347" t="s">
        <v>30</v>
      </c>
      <c r="E347" t="s">
        <v>42</v>
      </c>
      <c r="F347" t="s">
        <v>30</v>
      </c>
      <c r="G347">
        <v>20899</v>
      </c>
      <c r="H347">
        <v>16719.2</v>
      </c>
      <c r="I347" s="13">
        <v>0</v>
      </c>
      <c r="J347" t="s">
        <v>6206</v>
      </c>
      <c r="K347">
        <v>1</v>
      </c>
      <c r="L347">
        <v>2</v>
      </c>
      <c r="M347" t="s">
        <v>1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 x14ac:dyDescent="0.2">
      <c r="A348" t="s">
        <v>466</v>
      </c>
      <c r="B348" t="s">
        <v>55</v>
      </c>
      <c r="C348">
        <v>2009</v>
      </c>
      <c r="D348" t="s">
        <v>26</v>
      </c>
      <c r="E348" t="s">
        <v>23</v>
      </c>
      <c r="F348" t="s">
        <v>26</v>
      </c>
      <c r="G348">
        <v>61276</v>
      </c>
      <c r="H348">
        <v>49020.800000000003</v>
      </c>
      <c r="I348" s="13">
        <v>1</v>
      </c>
      <c r="J348" t="s">
        <v>6206</v>
      </c>
      <c r="K348">
        <v>3</v>
      </c>
      <c r="L348">
        <v>0</v>
      </c>
      <c r="M348" t="s">
        <v>0</v>
      </c>
      <c r="V348">
        <v>0</v>
      </c>
      <c r="W348">
        <v>2</v>
      </c>
      <c r="X348">
        <v>0</v>
      </c>
      <c r="Y348">
        <v>0</v>
      </c>
      <c r="Z348">
        <v>0</v>
      </c>
    </row>
    <row r="349" spans="1:26" x14ac:dyDescent="0.2">
      <c r="A349" t="s">
        <v>467</v>
      </c>
      <c r="B349" t="s">
        <v>41</v>
      </c>
      <c r="C349">
        <v>2009</v>
      </c>
      <c r="D349" t="s">
        <v>19</v>
      </c>
      <c r="E349" t="s">
        <v>42</v>
      </c>
      <c r="F349" t="s">
        <v>19</v>
      </c>
      <c r="G349">
        <v>25586</v>
      </c>
      <c r="H349">
        <v>20468.800000000003</v>
      </c>
      <c r="I349" s="13">
        <v>0.25</v>
      </c>
      <c r="J349" t="s">
        <v>6207</v>
      </c>
      <c r="K349">
        <v>0</v>
      </c>
      <c r="L349">
        <v>2</v>
      </c>
      <c r="M349" t="s">
        <v>1</v>
      </c>
      <c r="V349">
        <v>2</v>
      </c>
      <c r="W349">
        <v>2</v>
      </c>
      <c r="X349">
        <v>0</v>
      </c>
      <c r="Y349">
        <v>0</v>
      </c>
      <c r="Z349">
        <v>1</v>
      </c>
    </row>
    <row r="350" spans="1:26" x14ac:dyDescent="0.2">
      <c r="A350" t="s">
        <v>468</v>
      </c>
      <c r="B350" t="s">
        <v>37</v>
      </c>
      <c r="C350">
        <v>2009</v>
      </c>
      <c r="D350" t="s">
        <v>48</v>
      </c>
      <c r="E350" t="s">
        <v>51</v>
      </c>
      <c r="F350" t="s">
        <v>49</v>
      </c>
      <c r="G350">
        <v>74197</v>
      </c>
      <c r="H350">
        <v>59357.600000000006</v>
      </c>
      <c r="I350" s="13">
        <v>1</v>
      </c>
      <c r="J350" t="s">
        <v>6206</v>
      </c>
      <c r="K350">
        <v>3</v>
      </c>
      <c r="L350">
        <v>1</v>
      </c>
      <c r="M350" t="s">
        <v>0</v>
      </c>
      <c r="V350">
        <v>1</v>
      </c>
      <c r="W350">
        <v>0</v>
      </c>
      <c r="X350">
        <v>0</v>
      </c>
      <c r="Y350">
        <v>0</v>
      </c>
      <c r="Z350">
        <v>2</v>
      </c>
    </row>
    <row r="351" spans="1:26" x14ac:dyDescent="0.2">
      <c r="A351" t="s">
        <v>469</v>
      </c>
      <c r="B351" t="s">
        <v>44</v>
      </c>
      <c r="C351">
        <v>2009</v>
      </c>
      <c r="D351" t="s">
        <v>22</v>
      </c>
      <c r="E351" t="s">
        <v>39</v>
      </c>
      <c r="F351" t="s">
        <v>24</v>
      </c>
      <c r="G351">
        <v>31750</v>
      </c>
      <c r="H351">
        <v>25400</v>
      </c>
      <c r="I351" s="13">
        <v>1</v>
      </c>
      <c r="J351" t="s">
        <v>6207</v>
      </c>
      <c r="K351">
        <v>1</v>
      </c>
      <c r="L351">
        <v>1</v>
      </c>
      <c r="M351" t="s">
        <v>58</v>
      </c>
      <c r="V351">
        <v>0</v>
      </c>
      <c r="W351">
        <v>1</v>
      </c>
      <c r="X351">
        <v>0</v>
      </c>
      <c r="Y351">
        <v>0</v>
      </c>
      <c r="Z351">
        <v>0</v>
      </c>
    </row>
    <row r="352" spans="1:26" x14ac:dyDescent="0.2">
      <c r="A352" t="s">
        <v>470</v>
      </c>
      <c r="B352" t="s">
        <v>21</v>
      </c>
      <c r="C352">
        <v>2009</v>
      </c>
      <c r="D352" t="s">
        <v>23</v>
      </c>
      <c r="E352" t="s">
        <v>43</v>
      </c>
      <c r="F352" t="s">
        <v>20</v>
      </c>
      <c r="G352">
        <v>62500</v>
      </c>
      <c r="H352">
        <v>50000</v>
      </c>
      <c r="I352" s="13">
        <v>0.66666666666666663</v>
      </c>
      <c r="J352" t="s">
        <v>6206</v>
      </c>
      <c r="K352">
        <v>3</v>
      </c>
      <c r="L352">
        <v>2</v>
      </c>
      <c r="M352" t="s">
        <v>0</v>
      </c>
      <c r="V352">
        <v>1</v>
      </c>
      <c r="W352">
        <v>2</v>
      </c>
      <c r="X352">
        <v>0</v>
      </c>
      <c r="Y352">
        <v>0</v>
      </c>
      <c r="Z352">
        <v>0</v>
      </c>
    </row>
    <row r="353" spans="1:26" x14ac:dyDescent="0.2">
      <c r="A353" t="s">
        <v>471</v>
      </c>
      <c r="B353" t="s">
        <v>54</v>
      </c>
      <c r="C353">
        <v>2009</v>
      </c>
      <c r="D353" t="s">
        <v>19</v>
      </c>
      <c r="E353" t="s">
        <v>35</v>
      </c>
      <c r="F353" t="s">
        <v>19</v>
      </c>
      <c r="G353">
        <v>25586</v>
      </c>
      <c r="H353">
        <v>20468.800000000003</v>
      </c>
      <c r="I353" s="13">
        <v>0.5</v>
      </c>
      <c r="J353" t="s">
        <v>6206</v>
      </c>
      <c r="K353">
        <v>0</v>
      </c>
      <c r="L353">
        <v>1</v>
      </c>
      <c r="M353" t="s">
        <v>1</v>
      </c>
      <c r="V353">
        <v>1</v>
      </c>
      <c r="W353">
        <v>3</v>
      </c>
      <c r="X353">
        <v>1</v>
      </c>
      <c r="Y353">
        <v>1</v>
      </c>
      <c r="Z353">
        <v>0</v>
      </c>
    </row>
    <row r="354" spans="1:26" x14ac:dyDescent="0.2">
      <c r="A354" t="s">
        <v>472</v>
      </c>
      <c r="B354" t="s">
        <v>56</v>
      </c>
      <c r="C354">
        <v>2009</v>
      </c>
      <c r="D354" t="s">
        <v>34</v>
      </c>
      <c r="E354" t="s">
        <v>30</v>
      </c>
      <c r="F354" t="s">
        <v>36</v>
      </c>
      <c r="G354">
        <v>28723</v>
      </c>
      <c r="H354">
        <v>22978.400000000001</v>
      </c>
      <c r="I354" s="13">
        <v>0</v>
      </c>
      <c r="J354" t="s">
        <v>6207</v>
      </c>
      <c r="K354">
        <v>2</v>
      </c>
      <c r="L354">
        <v>2</v>
      </c>
      <c r="M354" t="s">
        <v>58</v>
      </c>
      <c r="V354">
        <v>1</v>
      </c>
      <c r="W354">
        <v>1</v>
      </c>
      <c r="X354">
        <v>0</v>
      </c>
      <c r="Y354">
        <v>0</v>
      </c>
      <c r="Z354">
        <v>0</v>
      </c>
    </row>
    <row r="355" spans="1:26" x14ac:dyDescent="0.2">
      <c r="A355" t="s">
        <v>473</v>
      </c>
      <c r="B355" t="s">
        <v>41</v>
      </c>
      <c r="C355">
        <v>2009</v>
      </c>
      <c r="D355" t="s">
        <v>46</v>
      </c>
      <c r="E355" t="s">
        <v>40</v>
      </c>
      <c r="F355" t="s">
        <v>20</v>
      </c>
      <c r="G355">
        <v>60704</v>
      </c>
      <c r="H355">
        <v>48563.200000000004</v>
      </c>
      <c r="I355" s="13">
        <v>0.66666666666666663</v>
      </c>
      <c r="J355" t="s">
        <v>6207</v>
      </c>
      <c r="K355">
        <v>0</v>
      </c>
      <c r="L355">
        <v>0</v>
      </c>
      <c r="M355" t="s">
        <v>58</v>
      </c>
      <c r="V355">
        <v>4</v>
      </c>
      <c r="W355">
        <v>2</v>
      </c>
      <c r="X355">
        <v>0</v>
      </c>
      <c r="Y355">
        <v>0</v>
      </c>
      <c r="Z355">
        <v>0</v>
      </c>
    </row>
    <row r="356" spans="1:26" x14ac:dyDescent="0.2">
      <c r="A356" t="s">
        <v>474</v>
      </c>
      <c r="B356" t="s">
        <v>25</v>
      </c>
      <c r="C356">
        <v>2009</v>
      </c>
      <c r="D356" t="s">
        <v>42</v>
      </c>
      <c r="E356" t="s">
        <v>38</v>
      </c>
      <c r="F356" t="s">
        <v>38</v>
      </c>
      <c r="G356">
        <v>42918</v>
      </c>
      <c r="H356">
        <v>34334.400000000001</v>
      </c>
      <c r="I356" s="13">
        <v>0.8</v>
      </c>
      <c r="J356" t="s">
        <v>6207</v>
      </c>
      <c r="K356">
        <v>1</v>
      </c>
      <c r="L356">
        <v>0</v>
      </c>
      <c r="M356" t="s">
        <v>0</v>
      </c>
      <c r="V356">
        <v>1</v>
      </c>
      <c r="W356">
        <v>4</v>
      </c>
      <c r="X356">
        <v>0</v>
      </c>
      <c r="Y356">
        <v>0</v>
      </c>
      <c r="Z356">
        <v>1</v>
      </c>
    </row>
    <row r="357" spans="1:26" x14ac:dyDescent="0.2">
      <c r="A357" t="s">
        <v>475</v>
      </c>
      <c r="B357" t="s">
        <v>50</v>
      </c>
      <c r="C357">
        <v>2009</v>
      </c>
      <c r="D357" t="s">
        <v>45</v>
      </c>
      <c r="E357" t="s">
        <v>31</v>
      </c>
      <c r="F357" t="s">
        <v>26</v>
      </c>
      <c r="G357">
        <v>39572</v>
      </c>
      <c r="H357">
        <v>31657.600000000002</v>
      </c>
      <c r="I357" s="13">
        <v>1</v>
      </c>
      <c r="J357" t="s">
        <v>6207</v>
      </c>
      <c r="K357">
        <v>2</v>
      </c>
      <c r="L357">
        <v>1</v>
      </c>
      <c r="M357" t="s">
        <v>0</v>
      </c>
      <c r="V357">
        <v>0</v>
      </c>
      <c r="W357">
        <v>1</v>
      </c>
      <c r="X357">
        <v>0</v>
      </c>
      <c r="Y357">
        <v>0</v>
      </c>
      <c r="Z357">
        <v>1</v>
      </c>
    </row>
    <row r="358" spans="1:26" x14ac:dyDescent="0.2">
      <c r="A358" t="s">
        <v>476</v>
      </c>
      <c r="B358" t="s">
        <v>52</v>
      </c>
      <c r="C358">
        <v>2009</v>
      </c>
      <c r="D358" t="s">
        <v>28</v>
      </c>
      <c r="E358" t="s">
        <v>26</v>
      </c>
      <c r="F358" t="s">
        <v>28</v>
      </c>
      <c r="G358">
        <v>21944</v>
      </c>
      <c r="H358">
        <v>17555.2</v>
      </c>
      <c r="I358" s="13">
        <v>0</v>
      </c>
      <c r="J358" t="s">
        <v>6207</v>
      </c>
      <c r="K358">
        <v>0</v>
      </c>
      <c r="L358">
        <v>4</v>
      </c>
      <c r="M358" t="s">
        <v>1</v>
      </c>
      <c r="V358">
        <v>2</v>
      </c>
      <c r="W358">
        <v>1</v>
      </c>
      <c r="X358">
        <v>0</v>
      </c>
      <c r="Y358">
        <v>0</v>
      </c>
      <c r="Z358">
        <v>0</v>
      </c>
    </row>
    <row r="359" spans="1:26" x14ac:dyDescent="0.2">
      <c r="A359" t="s">
        <v>477</v>
      </c>
      <c r="B359" t="s">
        <v>29</v>
      </c>
      <c r="C359">
        <v>2009</v>
      </c>
      <c r="D359" t="s">
        <v>18</v>
      </c>
      <c r="E359" t="s">
        <v>27</v>
      </c>
      <c r="F359" t="s">
        <v>20</v>
      </c>
      <c r="G359">
        <v>40341</v>
      </c>
      <c r="H359">
        <v>32272.800000000003</v>
      </c>
      <c r="I359" s="13">
        <v>0.66666666666666663</v>
      </c>
      <c r="J359" t="s">
        <v>6208</v>
      </c>
      <c r="K359">
        <v>7</v>
      </c>
      <c r="L359">
        <v>0</v>
      </c>
      <c r="M359" t="s">
        <v>0</v>
      </c>
      <c r="V359">
        <v>0</v>
      </c>
      <c r="W359">
        <v>3</v>
      </c>
      <c r="X359">
        <v>0</v>
      </c>
      <c r="Y359">
        <v>0</v>
      </c>
      <c r="Z359">
        <v>1</v>
      </c>
    </row>
    <row r="360" spans="1:26" x14ac:dyDescent="0.2">
      <c r="A360" t="s">
        <v>478</v>
      </c>
      <c r="B360" t="s">
        <v>55</v>
      </c>
      <c r="C360">
        <v>2009</v>
      </c>
      <c r="D360" t="s">
        <v>38</v>
      </c>
      <c r="E360" t="s">
        <v>28</v>
      </c>
      <c r="F360" t="s">
        <v>38</v>
      </c>
      <c r="G360">
        <v>29409</v>
      </c>
      <c r="H360">
        <v>23527.200000000001</v>
      </c>
      <c r="I360" s="13">
        <v>0.33333333333333331</v>
      </c>
      <c r="J360" t="s">
        <v>6206</v>
      </c>
      <c r="K360">
        <v>2</v>
      </c>
      <c r="L360">
        <v>1</v>
      </c>
      <c r="M360" t="s">
        <v>0</v>
      </c>
      <c r="V360">
        <v>2</v>
      </c>
      <c r="W360">
        <v>1</v>
      </c>
      <c r="X360">
        <v>0</v>
      </c>
      <c r="Y360">
        <v>0</v>
      </c>
      <c r="Z360">
        <v>0</v>
      </c>
    </row>
    <row r="361" spans="1:26" x14ac:dyDescent="0.2">
      <c r="A361" t="s">
        <v>479</v>
      </c>
      <c r="B361" t="s">
        <v>25</v>
      </c>
      <c r="C361">
        <v>2009</v>
      </c>
      <c r="D361" t="s">
        <v>51</v>
      </c>
      <c r="E361" t="s">
        <v>34</v>
      </c>
      <c r="F361" t="s">
        <v>20</v>
      </c>
      <c r="G361">
        <v>36284</v>
      </c>
      <c r="H361">
        <v>29027.200000000001</v>
      </c>
      <c r="I361" s="13">
        <v>0</v>
      </c>
      <c r="J361" t="s">
        <v>6207</v>
      </c>
      <c r="K361">
        <v>1</v>
      </c>
      <c r="L361">
        <v>0</v>
      </c>
      <c r="M361" t="s">
        <v>0</v>
      </c>
      <c r="V361">
        <v>0</v>
      </c>
      <c r="W361">
        <v>3</v>
      </c>
      <c r="X361">
        <v>0</v>
      </c>
      <c r="Y361">
        <v>0</v>
      </c>
      <c r="Z361">
        <v>0</v>
      </c>
    </row>
    <row r="362" spans="1:26" x14ac:dyDescent="0.2">
      <c r="A362" t="s">
        <v>480</v>
      </c>
      <c r="B362" t="s">
        <v>56</v>
      </c>
      <c r="C362">
        <v>2009</v>
      </c>
      <c r="D362" t="s">
        <v>27</v>
      </c>
      <c r="E362" t="s">
        <v>45</v>
      </c>
      <c r="F362" t="s">
        <v>27</v>
      </c>
      <c r="G362">
        <v>30089</v>
      </c>
      <c r="H362">
        <v>24071.200000000001</v>
      </c>
      <c r="I362" s="13">
        <v>0</v>
      </c>
      <c r="J362" t="s">
        <v>6207</v>
      </c>
      <c r="K362">
        <v>0</v>
      </c>
      <c r="L362">
        <v>0</v>
      </c>
      <c r="M362" t="s">
        <v>58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">
      <c r="A363" t="s">
        <v>481</v>
      </c>
      <c r="B363" t="s">
        <v>53</v>
      </c>
      <c r="C363">
        <v>2009</v>
      </c>
      <c r="D363" t="s">
        <v>30</v>
      </c>
      <c r="E363" t="s">
        <v>22</v>
      </c>
      <c r="F363" t="s">
        <v>30</v>
      </c>
      <c r="G363">
        <v>20899</v>
      </c>
      <c r="H363">
        <v>16719.2</v>
      </c>
      <c r="I363" s="13">
        <v>0</v>
      </c>
      <c r="J363" t="s">
        <v>6207</v>
      </c>
      <c r="K363">
        <v>3</v>
      </c>
      <c r="L363">
        <v>1</v>
      </c>
      <c r="M363" t="s">
        <v>0</v>
      </c>
      <c r="V363">
        <v>0</v>
      </c>
      <c r="W363">
        <v>1</v>
      </c>
      <c r="X363">
        <v>0</v>
      </c>
      <c r="Y363">
        <v>0</v>
      </c>
      <c r="Z363">
        <v>0</v>
      </c>
    </row>
    <row r="364" spans="1:26" x14ac:dyDescent="0.2">
      <c r="A364" t="s">
        <v>482</v>
      </c>
      <c r="B364" t="s">
        <v>44</v>
      </c>
      <c r="C364">
        <v>2009</v>
      </c>
      <c r="D364" t="s">
        <v>40</v>
      </c>
      <c r="E364" t="s">
        <v>42</v>
      </c>
      <c r="F364" t="s">
        <v>49</v>
      </c>
      <c r="G364">
        <v>53400</v>
      </c>
      <c r="H364">
        <v>42720</v>
      </c>
      <c r="I364" s="13">
        <v>0.66666666666666663</v>
      </c>
      <c r="J364" t="s">
        <v>6207</v>
      </c>
      <c r="K364">
        <v>3</v>
      </c>
      <c r="L364">
        <v>1</v>
      </c>
      <c r="M364" t="s">
        <v>0</v>
      </c>
      <c r="V364">
        <v>1</v>
      </c>
      <c r="W364">
        <v>2</v>
      </c>
      <c r="X364">
        <v>0</v>
      </c>
      <c r="Y364">
        <v>0</v>
      </c>
      <c r="Z364">
        <v>1</v>
      </c>
    </row>
    <row r="365" spans="1:26" x14ac:dyDescent="0.2">
      <c r="A365" t="s">
        <v>483</v>
      </c>
      <c r="B365" t="s">
        <v>21</v>
      </c>
      <c r="C365">
        <v>2009</v>
      </c>
      <c r="D365" t="s">
        <v>26</v>
      </c>
      <c r="E365" t="s">
        <v>18</v>
      </c>
      <c r="F365" t="s">
        <v>26</v>
      </c>
      <c r="G365">
        <v>61276</v>
      </c>
      <c r="H365">
        <v>49020.800000000003</v>
      </c>
      <c r="I365" s="13">
        <v>1</v>
      </c>
      <c r="J365" t="s">
        <v>6206</v>
      </c>
      <c r="K365">
        <v>0</v>
      </c>
      <c r="L365">
        <v>2</v>
      </c>
      <c r="M365" t="s">
        <v>1</v>
      </c>
      <c r="V365">
        <v>1</v>
      </c>
      <c r="W365">
        <v>2</v>
      </c>
      <c r="X365">
        <v>0</v>
      </c>
      <c r="Y365">
        <v>0</v>
      </c>
      <c r="Z365">
        <v>0</v>
      </c>
    </row>
    <row r="366" spans="1:26" x14ac:dyDescent="0.2">
      <c r="A366" t="s">
        <v>484</v>
      </c>
      <c r="B366" t="s">
        <v>37</v>
      </c>
      <c r="C366">
        <v>2009</v>
      </c>
      <c r="D366" t="s">
        <v>31</v>
      </c>
      <c r="E366" t="s">
        <v>23</v>
      </c>
      <c r="F366" t="s">
        <v>20</v>
      </c>
      <c r="G366">
        <v>28500</v>
      </c>
      <c r="H366">
        <v>22800</v>
      </c>
      <c r="I366" s="13">
        <v>0</v>
      </c>
      <c r="J366" t="s">
        <v>6206</v>
      </c>
      <c r="K366">
        <v>3</v>
      </c>
      <c r="L366">
        <v>2</v>
      </c>
      <c r="M366" t="s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">
      <c r="A367" t="s">
        <v>485</v>
      </c>
      <c r="B367" t="s">
        <v>29</v>
      </c>
      <c r="C367">
        <v>2009</v>
      </c>
      <c r="D367" t="s">
        <v>35</v>
      </c>
      <c r="E367" t="s">
        <v>48</v>
      </c>
      <c r="F367" t="s">
        <v>35</v>
      </c>
      <c r="G367">
        <v>49000</v>
      </c>
      <c r="H367">
        <v>39200</v>
      </c>
      <c r="I367" s="13">
        <v>0.4</v>
      </c>
      <c r="J367" t="s">
        <v>6208</v>
      </c>
      <c r="K367">
        <v>0</v>
      </c>
      <c r="L367">
        <v>1</v>
      </c>
      <c r="M367" t="s">
        <v>1</v>
      </c>
      <c r="V367">
        <v>3</v>
      </c>
      <c r="W367">
        <v>2</v>
      </c>
      <c r="X367">
        <v>0</v>
      </c>
      <c r="Y367">
        <v>0</v>
      </c>
      <c r="Z367">
        <v>0</v>
      </c>
    </row>
    <row r="368" spans="1:26" x14ac:dyDescent="0.2">
      <c r="A368" t="s">
        <v>486</v>
      </c>
      <c r="B368" t="s">
        <v>52</v>
      </c>
      <c r="C368">
        <v>2009</v>
      </c>
      <c r="D368" t="s">
        <v>43</v>
      </c>
      <c r="E368" t="s">
        <v>19</v>
      </c>
      <c r="F368" t="s">
        <v>43</v>
      </c>
      <c r="G368">
        <v>25138</v>
      </c>
      <c r="H368">
        <v>20110.400000000001</v>
      </c>
      <c r="I368" s="13">
        <v>1</v>
      </c>
      <c r="J368" t="s">
        <v>6207</v>
      </c>
      <c r="K368">
        <v>2</v>
      </c>
      <c r="L368">
        <v>2</v>
      </c>
      <c r="M368" t="s">
        <v>58</v>
      </c>
      <c r="V368">
        <v>2</v>
      </c>
      <c r="W368">
        <v>0</v>
      </c>
      <c r="X368">
        <v>0</v>
      </c>
      <c r="Y368">
        <v>0</v>
      </c>
      <c r="Z368">
        <v>0</v>
      </c>
    </row>
    <row r="369" spans="1:26" x14ac:dyDescent="0.2">
      <c r="A369" t="s">
        <v>487</v>
      </c>
      <c r="B369" t="s">
        <v>32</v>
      </c>
      <c r="C369">
        <v>2009</v>
      </c>
      <c r="D369" t="s">
        <v>39</v>
      </c>
      <c r="E369" t="s">
        <v>46</v>
      </c>
      <c r="F369" t="s">
        <v>39</v>
      </c>
      <c r="G369">
        <v>31367</v>
      </c>
      <c r="H369">
        <v>25093.600000000002</v>
      </c>
      <c r="I369" s="13">
        <v>0.75</v>
      </c>
      <c r="J369" t="s">
        <v>6207</v>
      </c>
      <c r="K369">
        <v>2</v>
      </c>
      <c r="L369">
        <v>1</v>
      </c>
      <c r="M369" t="s">
        <v>0</v>
      </c>
      <c r="V369">
        <v>2</v>
      </c>
      <c r="W369">
        <v>2</v>
      </c>
      <c r="X369">
        <v>0</v>
      </c>
      <c r="Y369">
        <v>0</v>
      </c>
      <c r="Z369">
        <v>0</v>
      </c>
    </row>
    <row r="370" spans="1:26" x14ac:dyDescent="0.2">
      <c r="A370" t="s">
        <v>488</v>
      </c>
      <c r="B370" t="s">
        <v>29</v>
      </c>
      <c r="C370">
        <v>2009</v>
      </c>
      <c r="D370" t="s">
        <v>40</v>
      </c>
      <c r="E370" t="s">
        <v>51</v>
      </c>
      <c r="F370" t="s">
        <v>49</v>
      </c>
      <c r="G370">
        <v>53400</v>
      </c>
      <c r="H370">
        <v>42720</v>
      </c>
      <c r="I370" s="13">
        <v>0.33333333333333331</v>
      </c>
      <c r="J370" t="s">
        <v>6208</v>
      </c>
      <c r="K370">
        <v>0</v>
      </c>
      <c r="L370">
        <v>1</v>
      </c>
      <c r="M370" t="s">
        <v>1</v>
      </c>
      <c r="V370">
        <v>0</v>
      </c>
      <c r="W370">
        <v>3</v>
      </c>
      <c r="X370">
        <v>0</v>
      </c>
      <c r="Y370">
        <v>0</v>
      </c>
      <c r="Z370">
        <v>0</v>
      </c>
    </row>
    <row r="371" spans="1:26" x14ac:dyDescent="0.2">
      <c r="A371" t="s">
        <v>489</v>
      </c>
      <c r="B371" t="s">
        <v>55</v>
      </c>
      <c r="C371">
        <v>2009</v>
      </c>
      <c r="D371" t="s">
        <v>31</v>
      </c>
      <c r="E371" t="s">
        <v>27</v>
      </c>
      <c r="F371" t="s">
        <v>20</v>
      </c>
      <c r="G371">
        <v>28500</v>
      </c>
      <c r="H371">
        <v>22800</v>
      </c>
      <c r="I371" s="13">
        <v>0.5</v>
      </c>
      <c r="J371" t="s">
        <v>6206</v>
      </c>
      <c r="K371">
        <v>0</v>
      </c>
      <c r="L371">
        <v>1</v>
      </c>
      <c r="M371" t="s">
        <v>1</v>
      </c>
      <c r="V371">
        <v>1</v>
      </c>
      <c r="W371">
        <v>3</v>
      </c>
      <c r="X371">
        <v>0</v>
      </c>
      <c r="Y371">
        <v>0</v>
      </c>
      <c r="Z371">
        <v>0</v>
      </c>
    </row>
    <row r="372" spans="1:26" x14ac:dyDescent="0.2">
      <c r="A372" t="s">
        <v>490</v>
      </c>
      <c r="B372" t="s">
        <v>50</v>
      </c>
      <c r="C372">
        <v>2009</v>
      </c>
      <c r="D372" t="s">
        <v>22</v>
      </c>
      <c r="E372" t="s">
        <v>35</v>
      </c>
      <c r="F372" t="s">
        <v>24</v>
      </c>
      <c r="G372">
        <v>31750</v>
      </c>
      <c r="H372">
        <v>25400</v>
      </c>
      <c r="I372" s="13">
        <v>0.2</v>
      </c>
      <c r="J372" t="s">
        <v>6207</v>
      </c>
      <c r="K372">
        <v>2</v>
      </c>
      <c r="L372">
        <v>1</v>
      </c>
      <c r="M372" t="s">
        <v>0</v>
      </c>
      <c r="V372">
        <v>1</v>
      </c>
      <c r="W372">
        <v>2</v>
      </c>
      <c r="X372">
        <v>0</v>
      </c>
      <c r="Y372">
        <v>2</v>
      </c>
      <c r="Z372">
        <v>1</v>
      </c>
    </row>
    <row r="373" spans="1:26" x14ac:dyDescent="0.2">
      <c r="A373" t="s">
        <v>491</v>
      </c>
      <c r="B373" t="s">
        <v>56</v>
      </c>
      <c r="C373">
        <v>2009</v>
      </c>
      <c r="D373" t="s">
        <v>23</v>
      </c>
      <c r="E373" t="s">
        <v>40</v>
      </c>
      <c r="F373" t="s">
        <v>20</v>
      </c>
      <c r="G373">
        <v>62500</v>
      </c>
      <c r="H373">
        <v>50000</v>
      </c>
      <c r="I373" s="13">
        <v>1</v>
      </c>
      <c r="J373" t="s">
        <v>6207</v>
      </c>
      <c r="K373">
        <v>1</v>
      </c>
      <c r="L373">
        <v>1</v>
      </c>
      <c r="M373" t="s">
        <v>58</v>
      </c>
      <c r="V373">
        <v>2</v>
      </c>
      <c r="W373">
        <v>0</v>
      </c>
      <c r="X373">
        <v>0</v>
      </c>
      <c r="Y373">
        <v>0</v>
      </c>
      <c r="Z373">
        <v>0</v>
      </c>
    </row>
    <row r="374" spans="1:26" x14ac:dyDescent="0.2">
      <c r="A374" t="s">
        <v>492</v>
      </c>
      <c r="B374" t="s">
        <v>44</v>
      </c>
      <c r="C374">
        <v>2009</v>
      </c>
      <c r="D374" t="s">
        <v>48</v>
      </c>
      <c r="E374" t="s">
        <v>27</v>
      </c>
      <c r="F374" t="s">
        <v>49</v>
      </c>
      <c r="G374">
        <v>74197</v>
      </c>
      <c r="H374">
        <v>59357.600000000006</v>
      </c>
      <c r="I374" s="13">
        <v>0.5</v>
      </c>
      <c r="J374" t="s">
        <v>6207</v>
      </c>
      <c r="K374">
        <v>4</v>
      </c>
      <c r="L374">
        <v>0</v>
      </c>
      <c r="M374" t="s">
        <v>0</v>
      </c>
      <c r="V374">
        <v>2</v>
      </c>
      <c r="W374">
        <v>0</v>
      </c>
      <c r="X374">
        <v>0</v>
      </c>
      <c r="Y374">
        <v>0</v>
      </c>
      <c r="Z374">
        <v>0</v>
      </c>
    </row>
    <row r="375" spans="1:26" x14ac:dyDescent="0.2">
      <c r="A375" t="s">
        <v>493</v>
      </c>
      <c r="B375" t="s">
        <v>37</v>
      </c>
      <c r="C375">
        <v>2009</v>
      </c>
      <c r="D375" t="s">
        <v>19</v>
      </c>
      <c r="E375" t="s">
        <v>26</v>
      </c>
      <c r="F375" t="s">
        <v>19</v>
      </c>
      <c r="G375">
        <v>25586</v>
      </c>
      <c r="H375">
        <v>20468.800000000003</v>
      </c>
      <c r="I375" s="13">
        <v>0</v>
      </c>
      <c r="J375" t="s">
        <v>6206</v>
      </c>
      <c r="K375">
        <v>0</v>
      </c>
      <c r="L375">
        <v>0</v>
      </c>
      <c r="M375" t="s">
        <v>58</v>
      </c>
      <c r="V375">
        <v>1</v>
      </c>
      <c r="W375">
        <v>0</v>
      </c>
      <c r="X375">
        <v>0</v>
      </c>
      <c r="Y375">
        <v>0</v>
      </c>
      <c r="Z375">
        <v>0</v>
      </c>
    </row>
    <row r="376" spans="1:26" x14ac:dyDescent="0.2">
      <c r="A376" t="s">
        <v>494</v>
      </c>
      <c r="B376" t="s">
        <v>55</v>
      </c>
      <c r="C376">
        <v>2009</v>
      </c>
      <c r="D376" t="s">
        <v>45</v>
      </c>
      <c r="E376" t="s">
        <v>30</v>
      </c>
      <c r="F376" t="s">
        <v>26</v>
      </c>
      <c r="G376">
        <v>39572</v>
      </c>
      <c r="H376">
        <v>31657.600000000002</v>
      </c>
      <c r="I376" s="13">
        <v>0</v>
      </c>
      <c r="J376" t="s">
        <v>6206</v>
      </c>
      <c r="K376">
        <v>1</v>
      </c>
      <c r="L376">
        <v>0</v>
      </c>
      <c r="M376" t="s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">
      <c r="A377" t="s">
        <v>495</v>
      </c>
      <c r="B377" t="s">
        <v>32</v>
      </c>
      <c r="C377">
        <v>2009</v>
      </c>
      <c r="D377" t="s">
        <v>18</v>
      </c>
      <c r="E377" t="s">
        <v>43</v>
      </c>
      <c r="F377" t="s">
        <v>20</v>
      </c>
      <c r="G377">
        <v>40341</v>
      </c>
      <c r="H377">
        <v>32272.800000000003</v>
      </c>
      <c r="I377" s="13">
        <v>0.8</v>
      </c>
      <c r="J377" t="s">
        <v>6207</v>
      </c>
      <c r="K377">
        <v>8</v>
      </c>
      <c r="L377">
        <v>0</v>
      </c>
      <c r="M377" t="s">
        <v>0</v>
      </c>
      <c r="V377">
        <v>2</v>
      </c>
      <c r="W377">
        <v>2</v>
      </c>
      <c r="X377">
        <v>0</v>
      </c>
      <c r="Y377">
        <v>1</v>
      </c>
      <c r="Z377">
        <v>1</v>
      </c>
    </row>
    <row r="378" spans="1:26" x14ac:dyDescent="0.2">
      <c r="A378" t="s">
        <v>496</v>
      </c>
      <c r="B378" t="s">
        <v>41</v>
      </c>
      <c r="C378">
        <v>2009</v>
      </c>
      <c r="D378" t="s">
        <v>28</v>
      </c>
      <c r="E378" t="s">
        <v>51</v>
      </c>
      <c r="F378" t="s">
        <v>28</v>
      </c>
      <c r="G378">
        <v>21944</v>
      </c>
      <c r="H378">
        <v>17555.2</v>
      </c>
      <c r="I378" s="13">
        <v>0</v>
      </c>
      <c r="J378" t="s">
        <v>6207</v>
      </c>
      <c r="K378">
        <v>4</v>
      </c>
      <c r="L378">
        <v>2</v>
      </c>
      <c r="M378" t="s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">
      <c r="A379" t="s">
        <v>497</v>
      </c>
      <c r="B379" t="s">
        <v>60</v>
      </c>
      <c r="C379">
        <v>2009</v>
      </c>
      <c r="D379" t="s">
        <v>34</v>
      </c>
      <c r="E379" t="s">
        <v>38</v>
      </c>
      <c r="F379" t="s">
        <v>36</v>
      </c>
      <c r="G379">
        <v>28723</v>
      </c>
      <c r="H379">
        <v>22978.400000000001</v>
      </c>
      <c r="I379" s="13">
        <v>0.5714285714285714</v>
      </c>
      <c r="J379" t="s">
        <v>6208</v>
      </c>
      <c r="K379">
        <v>2</v>
      </c>
      <c r="L379">
        <v>1</v>
      </c>
      <c r="M379" t="s">
        <v>0</v>
      </c>
      <c r="V379">
        <v>2</v>
      </c>
      <c r="W379">
        <v>5</v>
      </c>
      <c r="X379">
        <v>0</v>
      </c>
      <c r="Y379">
        <v>0</v>
      </c>
      <c r="Z379">
        <v>0</v>
      </c>
    </row>
    <row r="380" spans="1:26" x14ac:dyDescent="0.2">
      <c r="A380" t="s">
        <v>498</v>
      </c>
      <c r="B380" t="s">
        <v>29</v>
      </c>
      <c r="C380">
        <v>2009</v>
      </c>
      <c r="D380" t="s">
        <v>42</v>
      </c>
      <c r="E380" t="s">
        <v>39</v>
      </c>
      <c r="F380" t="s">
        <v>38</v>
      </c>
      <c r="G380">
        <v>42918</v>
      </c>
      <c r="H380">
        <v>34334.400000000001</v>
      </c>
      <c r="I380" s="13">
        <v>0.33333333333333331</v>
      </c>
      <c r="J380" t="s">
        <v>6208</v>
      </c>
      <c r="K380">
        <v>0</v>
      </c>
      <c r="L380">
        <v>1</v>
      </c>
      <c r="M380" t="s">
        <v>1</v>
      </c>
      <c r="V380">
        <v>2</v>
      </c>
      <c r="W380">
        <v>1</v>
      </c>
      <c r="X380">
        <v>0</v>
      </c>
      <c r="Y380">
        <v>0</v>
      </c>
      <c r="Z380">
        <v>0</v>
      </c>
    </row>
    <row r="381" spans="1:26" x14ac:dyDescent="0.2">
      <c r="A381" t="s">
        <v>499</v>
      </c>
      <c r="B381" t="s">
        <v>53</v>
      </c>
      <c r="C381">
        <v>2009</v>
      </c>
      <c r="D381" t="s">
        <v>46</v>
      </c>
      <c r="E381" t="s">
        <v>31</v>
      </c>
      <c r="F381" t="s">
        <v>20</v>
      </c>
      <c r="G381">
        <v>60704</v>
      </c>
      <c r="H381">
        <v>48563.200000000004</v>
      </c>
      <c r="I381" s="13">
        <v>1</v>
      </c>
      <c r="J381" t="s">
        <v>6207</v>
      </c>
      <c r="K381">
        <v>4</v>
      </c>
      <c r="L381">
        <v>0</v>
      </c>
      <c r="M381" t="s">
        <v>0</v>
      </c>
      <c r="V381">
        <v>2</v>
      </c>
      <c r="W381">
        <v>2</v>
      </c>
      <c r="X381">
        <v>0</v>
      </c>
      <c r="Y381">
        <v>0</v>
      </c>
      <c r="Z381">
        <v>0</v>
      </c>
    </row>
    <row r="382" spans="1:26" x14ac:dyDescent="0.2">
      <c r="A382" t="s">
        <v>500</v>
      </c>
      <c r="B382" t="s">
        <v>37</v>
      </c>
      <c r="C382">
        <v>2010</v>
      </c>
      <c r="D382" t="s">
        <v>51</v>
      </c>
      <c r="E382" t="s">
        <v>40</v>
      </c>
      <c r="F382" t="s">
        <v>20</v>
      </c>
      <c r="G382">
        <v>36284</v>
      </c>
      <c r="H382">
        <v>29027.200000000001</v>
      </c>
      <c r="I382" s="13">
        <v>1</v>
      </c>
      <c r="J382" t="s">
        <v>6206</v>
      </c>
      <c r="K382">
        <v>0</v>
      </c>
      <c r="L382">
        <v>0</v>
      </c>
      <c r="M382" t="s">
        <v>58</v>
      </c>
      <c r="V382">
        <v>0</v>
      </c>
      <c r="W382">
        <v>2</v>
      </c>
      <c r="X382">
        <v>0</v>
      </c>
      <c r="Y382">
        <v>0</v>
      </c>
      <c r="Z382">
        <v>0</v>
      </c>
    </row>
    <row r="383" spans="1:26" x14ac:dyDescent="0.2">
      <c r="A383" t="s">
        <v>501</v>
      </c>
      <c r="B383" t="s">
        <v>54</v>
      </c>
      <c r="C383">
        <v>2010</v>
      </c>
      <c r="D383" t="s">
        <v>22</v>
      </c>
      <c r="E383" t="s">
        <v>27</v>
      </c>
      <c r="F383" t="s">
        <v>24</v>
      </c>
      <c r="G383">
        <v>31750</v>
      </c>
      <c r="H383">
        <v>25400</v>
      </c>
      <c r="I383" s="13">
        <v>0.5</v>
      </c>
      <c r="J383" t="s">
        <v>6206</v>
      </c>
      <c r="K383">
        <v>2</v>
      </c>
      <c r="L383">
        <v>1</v>
      </c>
      <c r="M383" t="s">
        <v>0</v>
      </c>
      <c r="V383">
        <v>0</v>
      </c>
      <c r="W383">
        <v>2</v>
      </c>
      <c r="X383">
        <v>0</v>
      </c>
      <c r="Y383">
        <v>0</v>
      </c>
      <c r="Z383">
        <v>0</v>
      </c>
    </row>
    <row r="384" spans="1:26" x14ac:dyDescent="0.2">
      <c r="A384" t="s">
        <v>502</v>
      </c>
      <c r="B384" t="s">
        <v>47</v>
      </c>
      <c r="C384">
        <v>2010</v>
      </c>
      <c r="D384" t="s">
        <v>43</v>
      </c>
      <c r="E384" t="s">
        <v>62</v>
      </c>
      <c r="F384" t="s">
        <v>43</v>
      </c>
      <c r="G384">
        <v>25138</v>
      </c>
      <c r="H384">
        <v>20110.400000000001</v>
      </c>
      <c r="I384" s="13">
        <v>0.5</v>
      </c>
      <c r="J384" t="s">
        <v>6208</v>
      </c>
      <c r="K384">
        <v>0</v>
      </c>
      <c r="L384">
        <v>4</v>
      </c>
      <c r="M384" t="s">
        <v>1</v>
      </c>
      <c r="V384">
        <v>1</v>
      </c>
      <c r="W384">
        <v>1</v>
      </c>
      <c r="X384">
        <v>0</v>
      </c>
      <c r="Y384">
        <v>0</v>
      </c>
      <c r="Z384">
        <v>0</v>
      </c>
    </row>
    <row r="385" spans="1:26" x14ac:dyDescent="0.2">
      <c r="A385" t="s">
        <v>503</v>
      </c>
      <c r="B385" t="s">
        <v>61</v>
      </c>
      <c r="C385">
        <v>2010</v>
      </c>
      <c r="D385" t="s">
        <v>35</v>
      </c>
      <c r="E385" t="s">
        <v>38</v>
      </c>
      <c r="F385" t="s">
        <v>35</v>
      </c>
      <c r="G385">
        <v>49000</v>
      </c>
      <c r="H385">
        <v>39200</v>
      </c>
      <c r="I385" s="13">
        <v>0.2857142857142857</v>
      </c>
      <c r="J385" t="s">
        <v>6207</v>
      </c>
      <c r="K385">
        <v>2</v>
      </c>
      <c r="L385">
        <v>2</v>
      </c>
      <c r="M385" t="s">
        <v>58</v>
      </c>
      <c r="V385">
        <v>3</v>
      </c>
      <c r="W385">
        <v>3</v>
      </c>
      <c r="X385">
        <v>1</v>
      </c>
      <c r="Y385">
        <v>0</v>
      </c>
      <c r="Z385">
        <v>1</v>
      </c>
    </row>
    <row r="386" spans="1:26" x14ac:dyDescent="0.2">
      <c r="A386" t="s">
        <v>504</v>
      </c>
      <c r="B386" t="s">
        <v>59</v>
      </c>
      <c r="C386">
        <v>2010</v>
      </c>
      <c r="D386" t="s">
        <v>34</v>
      </c>
      <c r="E386" t="s">
        <v>31</v>
      </c>
      <c r="F386" t="s">
        <v>36</v>
      </c>
      <c r="G386">
        <v>28723</v>
      </c>
      <c r="H386">
        <v>22978.400000000001</v>
      </c>
      <c r="I386" s="13">
        <v>0.5</v>
      </c>
      <c r="J386" t="s">
        <v>6206</v>
      </c>
      <c r="K386">
        <v>0</v>
      </c>
      <c r="L386">
        <v>0</v>
      </c>
      <c r="M386" t="s">
        <v>58</v>
      </c>
      <c r="V386">
        <v>1</v>
      </c>
      <c r="W386">
        <v>3</v>
      </c>
      <c r="X386">
        <v>0</v>
      </c>
      <c r="Y386">
        <v>0</v>
      </c>
      <c r="Z386">
        <v>0</v>
      </c>
    </row>
    <row r="387" spans="1:26" x14ac:dyDescent="0.2">
      <c r="A387" t="s">
        <v>505</v>
      </c>
      <c r="B387" t="s">
        <v>52</v>
      </c>
      <c r="C387">
        <v>2010</v>
      </c>
      <c r="D387" t="s">
        <v>39</v>
      </c>
      <c r="E387" t="s">
        <v>45</v>
      </c>
      <c r="F387" t="s">
        <v>39</v>
      </c>
      <c r="G387">
        <v>31367</v>
      </c>
      <c r="H387">
        <v>25093.600000000002</v>
      </c>
      <c r="I387" s="13">
        <v>1</v>
      </c>
      <c r="J387" t="s">
        <v>6207</v>
      </c>
      <c r="K387">
        <v>1</v>
      </c>
      <c r="L387">
        <v>0</v>
      </c>
      <c r="M387" t="s">
        <v>0</v>
      </c>
      <c r="V387">
        <v>2</v>
      </c>
      <c r="W387">
        <v>1</v>
      </c>
      <c r="X387">
        <v>0</v>
      </c>
      <c r="Y387">
        <v>0</v>
      </c>
      <c r="Z387">
        <v>0</v>
      </c>
    </row>
    <row r="388" spans="1:26" x14ac:dyDescent="0.2">
      <c r="A388" t="s">
        <v>506</v>
      </c>
      <c r="B388" t="s">
        <v>41</v>
      </c>
      <c r="C388">
        <v>2010</v>
      </c>
      <c r="D388" t="s">
        <v>42</v>
      </c>
      <c r="E388" t="s">
        <v>23</v>
      </c>
      <c r="F388" t="s">
        <v>38</v>
      </c>
      <c r="G388">
        <v>42918</v>
      </c>
      <c r="H388">
        <v>34334.400000000001</v>
      </c>
      <c r="I388" s="13">
        <v>0.33333333333333331</v>
      </c>
      <c r="J388" t="s">
        <v>6207</v>
      </c>
      <c r="K388">
        <v>3</v>
      </c>
      <c r="L388">
        <v>0</v>
      </c>
      <c r="M388" t="s">
        <v>0</v>
      </c>
      <c r="V388">
        <v>1</v>
      </c>
      <c r="W388">
        <v>2</v>
      </c>
      <c r="X388">
        <v>0</v>
      </c>
      <c r="Y388">
        <v>0</v>
      </c>
      <c r="Z388">
        <v>0</v>
      </c>
    </row>
    <row r="389" spans="1:26" x14ac:dyDescent="0.2">
      <c r="A389" t="s">
        <v>507</v>
      </c>
      <c r="B389" t="s">
        <v>44</v>
      </c>
      <c r="C389">
        <v>2010</v>
      </c>
      <c r="D389" t="s">
        <v>18</v>
      </c>
      <c r="E389" t="s">
        <v>63</v>
      </c>
      <c r="F389" t="s">
        <v>20</v>
      </c>
      <c r="G389">
        <v>40341</v>
      </c>
      <c r="H389">
        <v>32272.800000000003</v>
      </c>
      <c r="I389" s="13">
        <v>1</v>
      </c>
      <c r="J389" t="s">
        <v>6207</v>
      </c>
      <c r="K389">
        <v>6</v>
      </c>
      <c r="L389">
        <v>0</v>
      </c>
      <c r="M389" t="s">
        <v>0</v>
      </c>
      <c r="V389">
        <v>1</v>
      </c>
      <c r="W389">
        <v>0</v>
      </c>
      <c r="X389">
        <v>0</v>
      </c>
      <c r="Y389">
        <v>0</v>
      </c>
      <c r="Z389">
        <v>0</v>
      </c>
    </row>
    <row r="390" spans="1:26" x14ac:dyDescent="0.2">
      <c r="A390" t="s">
        <v>508</v>
      </c>
      <c r="B390" t="s">
        <v>32</v>
      </c>
      <c r="C390">
        <v>2010</v>
      </c>
      <c r="D390" t="s">
        <v>26</v>
      </c>
      <c r="E390" t="s">
        <v>46</v>
      </c>
      <c r="F390" t="s">
        <v>26</v>
      </c>
      <c r="G390">
        <v>61276</v>
      </c>
      <c r="H390">
        <v>49020.800000000003</v>
      </c>
      <c r="I390" s="13">
        <v>0.33333333333333331</v>
      </c>
      <c r="J390" t="s">
        <v>6207</v>
      </c>
      <c r="K390">
        <v>1</v>
      </c>
      <c r="L390">
        <v>1</v>
      </c>
      <c r="M390" t="s">
        <v>58</v>
      </c>
      <c r="V390">
        <v>1</v>
      </c>
      <c r="W390">
        <v>3</v>
      </c>
      <c r="X390">
        <v>1</v>
      </c>
      <c r="Y390">
        <v>1</v>
      </c>
      <c r="Z390">
        <v>0</v>
      </c>
    </row>
    <row r="391" spans="1:26" x14ac:dyDescent="0.2">
      <c r="A391" t="s">
        <v>509</v>
      </c>
      <c r="B391" t="s">
        <v>25</v>
      </c>
      <c r="C391">
        <v>2010</v>
      </c>
      <c r="D391" t="s">
        <v>48</v>
      </c>
      <c r="E391" t="s">
        <v>64</v>
      </c>
      <c r="F391" t="s">
        <v>49</v>
      </c>
      <c r="G391">
        <v>74197</v>
      </c>
      <c r="H391">
        <v>59357.600000000006</v>
      </c>
      <c r="I391" s="13">
        <v>0</v>
      </c>
      <c r="J391" t="s">
        <v>6207</v>
      </c>
      <c r="K391">
        <v>3</v>
      </c>
      <c r="L391">
        <v>0</v>
      </c>
      <c r="M391" t="s">
        <v>0</v>
      </c>
      <c r="V391">
        <v>2</v>
      </c>
      <c r="W391">
        <v>2</v>
      </c>
      <c r="X391">
        <v>0</v>
      </c>
      <c r="Y391">
        <v>0</v>
      </c>
      <c r="Z391">
        <v>0</v>
      </c>
    </row>
    <row r="392" spans="1:26" x14ac:dyDescent="0.2">
      <c r="A392" t="s">
        <v>510</v>
      </c>
      <c r="B392" t="s">
        <v>37</v>
      </c>
      <c r="C392">
        <v>2010</v>
      </c>
      <c r="D392" t="s">
        <v>23</v>
      </c>
      <c r="E392" t="s">
        <v>34</v>
      </c>
      <c r="F392" t="s">
        <v>20</v>
      </c>
      <c r="G392">
        <v>62500</v>
      </c>
      <c r="H392">
        <v>50000</v>
      </c>
      <c r="I392" s="13">
        <v>0.33333333333333331</v>
      </c>
      <c r="J392" t="s">
        <v>6206</v>
      </c>
      <c r="K392">
        <v>1</v>
      </c>
      <c r="L392">
        <v>3</v>
      </c>
      <c r="M392" t="s">
        <v>1</v>
      </c>
      <c r="V392">
        <v>2</v>
      </c>
      <c r="W392">
        <v>4</v>
      </c>
      <c r="X392">
        <v>0</v>
      </c>
      <c r="Y392">
        <v>0</v>
      </c>
      <c r="Z392">
        <v>1</v>
      </c>
    </row>
    <row r="393" spans="1:26" x14ac:dyDescent="0.2">
      <c r="A393" t="s">
        <v>511</v>
      </c>
      <c r="B393" t="s">
        <v>60</v>
      </c>
      <c r="C393">
        <v>2010</v>
      </c>
      <c r="D393" t="s">
        <v>63</v>
      </c>
      <c r="E393" t="s">
        <v>35</v>
      </c>
      <c r="F393" t="s">
        <v>65</v>
      </c>
      <c r="G393">
        <v>26804</v>
      </c>
      <c r="H393">
        <v>21443.200000000001</v>
      </c>
      <c r="I393" s="13">
        <v>0.6</v>
      </c>
      <c r="J393" t="s">
        <v>6208</v>
      </c>
      <c r="K393">
        <v>1</v>
      </c>
      <c r="L393">
        <v>0</v>
      </c>
      <c r="M393" t="s">
        <v>0</v>
      </c>
      <c r="V393">
        <v>3</v>
      </c>
      <c r="W393">
        <v>2</v>
      </c>
      <c r="X393">
        <v>0</v>
      </c>
      <c r="Y393">
        <v>0</v>
      </c>
      <c r="Z393">
        <v>0</v>
      </c>
    </row>
    <row r="394" spans="1:26" x14ac:dyDescent="0.2">
      <c r="A394" t="s">
        <v>512</v>
      </c>
      <c r="B394" t="s">
        <v>25</v>
      </c>
      <c r="C394">
        <v>2010</v>
      </c>
      <c r="D394" t="s">
        <v>27</v>
      </c>
      <c r="E394" t="s">
        <v>51</v>
      </c>
      <c r="F394" t="s">
        <v>27</v>
      </c>
      <c r="G394">
        <v>30089</v>
      </c>
      <c r="H394">
        <v>24071.200000000001</v>
      </c>
      <c r="I394" s="13">
        <v>0.5</v>
      </c>
      <c r="J394" t="s">
        <v>6207</v>
      </c>
      <c r="K394">
        <v>1</v>
      </c>
      <c r="L394">
        <v>2</v>
      </c>
      <c r="M394" t="s">
        <v>1</v>
      </c>
      <c r="V394">
        <v>3</v>
      </c>
      <c r="W394">
        <v>1</v>
      </c>
      <c r="X394">
        <v>0</v>
      </c>
      <c r="Y394">
        <v>0</v>
      </c>
      <c r="Z394">
        <v>0</v>
      </c>
    </row>
    <row r="395" spans="1:26" x14ac:dyDescent="0.2">
      <c r="A395" t="s">
        <v>513</v>
      </c>
      <c r="B395" t="s">
        <v>50</v>
      </c>
      <c r="C395">
        <v>2010</v>
      </c>
      <c r="D395" t="s">
        <v>45</v>
      </c>
      <c r="E395" t="s">
        <v>22</v>
      </c>
      <c r="F395" t="s">
        <v>26</v>
      </c>
      <c r="G395">
        <v>39572</v>
      </c>
      <c r="H395">
        <v>31657.600000000002</v>
      </c>
      <c r="I395" s="13">
        <v>0.66666666666666663</v>
      </c>
      <c r="J395" t="s">
        <v>6207</v>
      </c>
      <c r="K395">
        <v>1</v>
      </c>
      <c r="L395">
        <v>1</v>
      </c>
      <c r="M395" t="s">
        <v>58</v>
      </c>
      <c r="V395">
        <v>1</v>
      </c>
      <c r="W395">
        <v>2</v>
      </c>
      <c r="X395">
        <v>0</v>
      </c>
      <c r="Y395">
        <v>0</v>
      </c>
      <c r="Z395">
        <v>0</v>
      </c>
    </row>
    <row r="396" spans="1:26" x14ac:dyDescent="0.2">
      <c r="A396" t="s">
        <v>514</v>
      </c>
      <c r="B396" t="s">
        <v>66</v>
      </c>
      <c r="C396">
        <v>2010</v>
      </c>
      <c r="D396" t="s">
        <v>38</v>
      </c>
      <c r="E396" t="s">
        <v>39</v>
      </c>
      <c r="F396" t="s">
        <v>38</v>
      </c>
      <c r="G396">
        <v>29409</v>
      </c>
      <c r="H396">
        <v>23527.200000000001</v>
      </c>
      <c r="I396" s="13">
        <v>1</v>
      </c>
      <c r="J396" t="s">
        <v>6207</v>
      </c>
      <c r="K396">
        <v>2</v>
      </c>
      <c r="L396">
        <v>1</v>
      </c>
      <c r="M396" t="s">
        <v>0</v>
      </c>
      <c r="V396">
        <v>2</v>
      </c>
      <c r="W396">
        <v>3</v>
      </c>
      <c r="X396">
        <v>0</v>
      </c>
      <c r="Y396">
        <v>0</v>
      </c>
      <c r="Z396">
        <v>0</v>
      </c>
    </row>
    <row r="397" spans="1:26" x14ac:dyDescent="0.2">
      <c r="A397" t="s">
        <v>515</v>
      </c>
      <c r="B397" t="s">
        <v>53</v>
      </c>
      <c r="C397">
        <v>2010</v>
      </c>
      <c r="D397" t="s">
        <v>46</v>
      </c>
      <c r="E397" t="s">
        <v>62</v>
      </c>
      <c r="F397" t="s">
        <v>20</v>
      </c>
      <c r="G397">
        <v>60704</v>
      </c>
      <c r="H397">
        <v>48563.200000000004</v>
      </c>
      <c r="I397" s="13">
        <v>0</v>
      </c>
      <c r="J397" t="s">
        <v>6207</v>
      </c>
      <c r="K397">
        <v>6</v>
      </c>
      <c r="L397">
        <v>0</v>
      </c>
      <c r="M397" t="s">
        <v>0</v>
      </c>
      <c r="V397">
        <v>0</v>
      </c>
      <c r="W397">
        <v>0</v>
      </c>
      <c r="X397">
        <v>0</v>
      </c>
      <c r="Y397">
        <v>1</v>
      </c>
      <c r="Z397">
        <v>1</v>
      </c>
    </row>
    <row r="398" spans="1:26" x14ac:dyDescent="0.2">
      <c r="A398" t="s">
        <v>516</v>
      </c>
      <c r="B398" t="s">
        <v>41</v>
      </c>
      <c r="C398">
        <v>2010</v>
      </c>
      <c r="D398" t="s">
        <v>43</v>
      </c>
      <c r="E398" t="s">
        <v>18</v>
      </c>
      <c r="F398" t="s">
        <v>43</v>
      </c>
      <c r="G398">
        <v>25138</v>
      </c>
      <c r="H398">
        <v>20110.400000000001</v>
      </c>
      <c r="I398" s="13">
        <v>0.66666666666666663</v>
      </c>
      <c r="J398" t="s">
        <v>6207</v>
      </c>
      <c r="K398">
        <v>0</v>
      </c>
      <c r="L398">
        <v>6</v>
      </c>
      <c r="M398" t="s">
        <v>1</v>
      </c>
      <c r="V398">
        <v>1</v>
      </c>
      <c r="W398">
        <v>2</v>
      </c>
      <c r="X398">
        <v>0</v>
      </c>
      <c r="Y398">
        <v>0</v>
      </c>
      <c r="Z398">
        <v>0</v>
      </c>
    </row>
    <row r="399" spans="1:26" x14ac:dyDescent="0.2">
      <c r="A399" t="s">
        <v>517</v>
      </c>
      <c r="B399" t="s">
        <v>32</v>
      </c>
      <c r="C399">
        <v>2010</v>
      </c>
      <c r="D399" t="s">
        <v>64</v>
      </c>
      <c r="E399" t="s">
        <v>42</v>
      </c>
      <c r="F399" t="s">
        <v>64</v>
      </c>
      <c r="G399">
        <v>52264</v>
      </c>
      <c r="H399">
        <v>41811.200000000004</v>
      </c>
      <c r="I399" s="13">
        <v>0</v>
      </c>
      <c r="J399" t="s">
        <v>6207</v>
      </c>
      <c r="K399">
        <v>6</v>
      </c>
      <c r="L399">
        <v>0</v>
      </c>
      <c r="M399" t="s">
        <v>0</v>
      </c>
      <c r="V399">
        <v>3</v>
      </c>
      <c r="W399">
        <v>1</v>
      </c>
      <c r="X399">
        <v>0</v>
      </c>
      <c r="Y399">
        <v>0</v>
      </c>
      <c r="Z399">
        <v>0</v>
      </c>
    </row>
    <row r="400" spans="1:26" x14ac:dyDescent="0.2">
      <c r="A400" t="s">
        <v>518</v>
      </c>
      <c r="B400" t="s">
        <v>55</v>
      </c>
      <c r="C400">
        <v>2010</v>
      </c>
      <c r="D400" t="s">
        <v>31</v>
      </c>
      <c r="E400" t="s">
        <v>48</v>
      </c>
      <c r="F400" t="s">
        <v>20</v>
      </c>
      <c r="G400">
        <v>28500</v>
      </c>
      <c r="H400">
        <v>22800</v>
      </c>
      <c r="I400" s="13">
        <v>0.5</v>
      </c>
      <c r="J400" t="s">
        <v>6206</v>
      </c>
      <c r="K400">
        <v>2</v>
      </c>
      <c r="L400">
        <v>2</v>
      </c>
      <c r="M400" t="s">
        <v>58</v>
      </c>
      <c r="V400">
        <v>2</v>
      </c>
      <c r="W400">
        <v>2</v>
      </c>
      <c r="X400">
        <v>0</v>
      </c>
      <c r="Y400">
        <v>0</v>
      </c>
      <c r="Z400">
        <v>0</v>
      </c>
    </row>
    <row r="401" spans="1:26" x14ac:dyDescent="0.2">
      <c r="A401" t="s">
        <v>519</v>
      </c>
      <c r="B401" t="s">
        <v>52</v>
      </c>
      <c r="C401">
        <v>2010</v>
      </c>
      <c r="D401" t="s">
        <v>40</v>
      </c>
      <c r="E401" t="s">
        <v>26</v>
      </c>
      <c r="F401" t="s">
        <v>49</v>
      </c>
      <c r="G401">
        <v>53400</v>
      </c>
      <c r="H401">
        <v>42720</v>
      </c>
      <c r="I401" s="13">
        <v>0.5</v>
      </c>
      <c r="J401" t="s">
        <v>6207</v>
      </c>
      <c r="K401">
        <v>3</v>
      </c>
      <c r="L401">
        <v>0</v>
      </c>
      <c r="M401" t="s">
        <v>0</v>
      </c>
      <c r="V401">
        <v>1</v>
      </c>
      <c r="W401">
        <v>1</v>
      </c>
      <c r="X401">
        <v>0</v>
      </c>
      <c r="Y401">
        <v>0</v>
      </c>
      <c r="Z401">
        <v>1</v>
      </c>
    </row>
    <row r="402" spans="1:26" x14ac:dyDescent="0.2">
      <c r="A402" t="s">
        <v>520</v>
      </c>
      <c r="B402" t="s">
        <v>25</v>
      </c>
      <c r="C402">
        <v>2010</v>
      </c>
      <c r="D402" t="s">
        <v>39</v>
      </c>
      <c r="E402" t="s">
        <v>46</v>
      </c>
      <c r="F402" t="s">
        <v>39</v>
      </c>
      <c r="G402">
        <v>31367</v>
      </c>
      <c r="H402">
        <v>25093.600000000002</v>
      </c>
      <c r="I402" s="13">
        <v>1</v>
      </c>
      <c r="J402" t="s">
        <v>6207</v>
      </c>
      <c r="K402">
        <v>1</v>
      </c>
      <c r="L402">
        <v>2</v>
      </c>
      <c r="M402" t="s">
        <v>1</v>
      </c>
      <c r="V402">
        <v>1</v>
      </c>
      <c r="W402">
        <v>0</v>
      </c>
      <c r="X402">
        <v>0</v>
      </c>
      <c r="Y402">
        <v>0</v>
      </c>
      <c r="Z402">
        <v>0</v>
      </c>
    </row>
    <row r="403" spans="1:26" x14ac:dyDescent="0.2">
      <c r="A403" t="s">
        <v>521</v>
      </c>
      <c r="B403" t="s">
        <v>59</v>
      </c>
      <c r="C403">
        <v>2010</v>
      </c>
      <c r="D403" t="s">
        <v>22</v>
      </c>
      <c r="E403" t="s">
        <v>64</v>
      </c>
      <c r="F403" t="s">
        <v>24</v>
      </c>
      <c r="G403">
        <v>31750</v>
      </c>
      <c r="H403">
        <v>25400</v>
      </c>
      <c r="I403" s="13">
        <v>0.41666666666666669</v>
      </c>
      <c r="J403" t="s">
        <v>6206</v>
      </c>
      <c r="K403">
        <v>1</v>
      </c>
      <c r="L403">
        <v>1</v>
      </c>
      <c r="M403" t="s">
        <v>58</v>
      </c>
      <c r="V403">
        <v>7</v>
      </c>
      <c r="W403">
        <v>5</v>
      </c>
      <c r="X403">
        <v>0</v>
      </c>
      <c r="Y403">
        <v>0</v>
      </c>
      <c r="Z403">
        <v>0</v>
      </c>
    </row>
    <row r="404" spans="1:26" x14ac:dyDescent="0.2">
      <c r="A404" t="s">
        <v>522</v>
      </c>
      <c r="B404" t="s">
        <v>52</v>
      </c>
      <c r="C404">
        <v>2010</v>
      </c>
      <c r="D404" t="s">
        <v>51</v>
      </c>
      <c r="E404" t="s">
        <v>43</v>
      </c>
      <c r="F404" t="s">
        <v>20</v>
      </c>
      <c r="G404">
        <v>36284</v>
      </c>
      <c r="H404">
        <v>29027.200000000001</v>
      </c>
      <c r="I404" s="13">
        <v>0.6</v>
      </c>
      <c r="J404" t="s">
        <v>6207</v>
      </c>
      <c r="K404">
        <v>0</v>
      </c>
      <c r="L404">
        <v>1</v>
      </c>
      <c r="M404" t="s">
        <v>1</v>
      </c>
      <c r="V404">
        <v>3</v>
      </c>
      <c r="W404">
        <v>2</v>
      </c>
      <c r="X404">
        <v>0</v>
      </c>
      <c r="Y404">
        <v>0</v>
      </c>
      <c r="Z404">
        <v>0</v>
      </c>
    </row>
    <row r="405" spans="1:26" x14ac:dyDescent="0.2">
      <c r="A405" t="s">
        <v>523</v>
      </c>
      <c r="B405" t="s">
        <v>32</v>
      </c>
      <c r="C405">
        <v>2010</v>
      </c>
      <c r="D405" t="s">
        <v>18</v>
      </c>
      <c r="E405" t="s">
        <v>27</v>
      </c>
      <c r="F405" t="s">
        <v>20</v>
      </c>
      <c r="G405">
        <v>40341</v>
      </c>
      <c r="H405">
        <v>32272.800000000003</v>
      </c>
      <c r="I405" s="13">
        <v>0</v>
      </c>
      <c r="J405" t="s">
        <v>6207</v>
      </c>
      <c r="K405">
        <v>2</v>
      </c>
      <c r="L405">
        <v>0</v>
      </c>
      <c r="M405" t="s">
        <v>0</v>
      </c>
      <c r="V405">
        <v>0</v>
      </c>
      <c r="W405">
        <v>2</v>
      </c>
      <c r="X405">
        <v>0</v>
      </c>
      <c r="Y405">
        <v>0</v>
      </c>
      <c r="Z405">
        <v>0</v>
      </c>
    </row>
    <row r="406" spans="1:26" x14ac:dyDescent="0.2">
      <c r="A406" t="s">
        <v>524</v>
      </c>
      <c r="B406" t="s">
        <v>66</v>
      </c>
      <c r="C406">
        <v>2010</v>
      </c>
      <c r="D406" t="s">
        <v>62</v>
      </c>
      <c r="E406" t="s">
        <v>31</v>
      </c>
      <c r="F406" t="s">
        <v>62</v>
      </c>
      <c r="G406">
        <v>17338</v>
      </c>
      <c r="H406">
        <v>13870.400000000001</v>
      </c>
      <c r="I406" s="13">
        <v>0</v>
      </c>
      <c r="J406" t="s">
        <v>6207</v>
      </c>
      <c r="K406">
        <v>2</v>
      </c>
      <c r="L406">
        <v>2</v>
      </c>
      <c r="M406" t="s">
        <v>58</v>
      </c>
      <c r="V406">
        <v>1</v>
      </c>
      <c r="W406">
        <v>0</v>
      </c>
      <c r="X406">
        <v>0</v>
      </c>
      <c r="Y406">
        <v>0</v>
      </c>
      <c r="Z406">
        <v>0</v>
      </c>
    </row>
    <row r="407" spans="1:26" x14ac:dyDescent="0.2">
      <c r="A407" t="s">
        <v>525</v>
      </c>
      <c r="B407" t="s">
        <v>44</v>
      </c>
      <c r="C407">
        <v>2010</v>
      </c>
      <c r="D407" t="s">
        <v>48</v>
      </c>
      <c r="E407" t="s">
        <v>23</v>
      </c>
      <c r="F407" t="s">
        <v>49</v>
      </c>
      <c r="G407">
        <v>74197</v>
      </c>
      <c r="H407">
        <v>59357.600000000006</v>
      </c>
      <c r="I407" s="13">
        <v>0.33333333333333331</v>
      </c>
      <c r="J407" t="s">
        <v>6207</v>
      </c>
      <c r="K407">
        <v>3</v>
      </c>
      <c r="L407">
        <v>0</v>
      </c>
      <c r="M407" t="s">
        <v>0</v>
      </c>
      <c r="V407">
        <v>1</v>
      </c>
      <c r="W407">
        <v>2</v>
      </c>
      <c r="X407">
        <v>0</v>
      </c>
      <c r="Y407">
        <v>0</v>
      </c>
      <c r="Z407">
        <v>0</v>
      </c>
    </row>
    <row r="408" spans="1:26" x14ac:dyDescent="0.2">
      <c r="A408" t="s">
        <v>526</v>
      </c>
      <c r="B408" t="s">
        <v>60</v>
      </c>
      <c r="C408">
        <v>2010</v>
      </c>
      <c r="D408" t="s">
        <v>34</v>
      </c>
      <c r="E408" t="s">
        <v>38</v>
      </c>
      <c r="F408" t="s">
        <v>36</v>
      </c>
      <c r="G408">
        <v>28723</v>
      </c>
      <c r="H408">
        <v>22978.400000000001</v>
      </c>
      <c r="I408" s="13">
        <v>0.5</v>
      </c>
      <c r="J408" t="s">
        <v>6208</v>
      </c>
      <c r="K408">
        <v>2</v>
      </c>
      <c r="L408">
        <v>2</v>
      </c>
      <c r="M408" t="s">
        <v>58</v>
      </c>
      <c r="V408">
        <v>2</v>
      </c>
      <c r="W408">
        <v>3</v>
      </c>
      <c r="X408">
        <v>1</v>
      </c>
      <c r="Y408">
        <v>0</v>
      </c>
      <c r="Z408">
        <v>1</v>
      </c>
    </row>
    <row r="409" spans="1:26" x14ac:dyDescent="0.2">
      <c r="A409" t="s">
        <v>527</v>
      </c>
      <c r="B409" t="s">
        <v>41</v>
      </c>
      <c r="C409">
        <v>2010</v>
      </c>
      <c r="D409" t="s">
        <v>35</v>
      </c>
      <c r="E409" t="s">
        <v>40</v>
      </c>
      <c r="F409" t="s">
        <v>35</v>
      </c>
      <c r="G409">
        <v>49000</v>
      </c>
      <c r="H409">
        <v>39200</v>
      </c>
      <c r="I409" s="13">
        <v>0.33333333333333331</v>
      </c>
      <c r="J409" t="s">
        <v>6207</v>
      </c>
      <c r="K409">
        <v>1</v>
      </c>
      <c r="L409">
        <v>0</v>
      </c>
      <c r="M409" t="s">
        <v>0</v>
      </c>
      <c r="V409">
        <v>0</v>
      </c>
      <c r="W409">
        <v>3</v>
      </c>
      <c r="X409">
        <v>0</v>
      </c>
      <c r="Y409">
        <v>0</v>
      </c>
      <c r="Z409">
        <v>1</v>
      </c>
    </row>
    <row r="410" spans="1:26" x14ac:dyDescent="0.2">
      <c r="A410" t="s">
        <v>528</v>
      </c>
      <c r="B410" t="s">
        <v>54</v>
      </c>
      <c r="C410">
        <v>2010</v>
      </c>
      <c r="D410" t="s">
        <v>26</v>
      </c>
      <c r="E410" t="s">
        <v>63</v>
      </c>
      <c r="F410" t="s">
        <v>26</v>
      </c>
      <c r="G410">
        <v>61276</v>
      </c>
      <c r="H410">
        <v>49020.800000000003</v>
      </c>
      <c r="I410" s="13">
        <v>0</v>
      </c>
      <c r="J410" t="s">
        <v>6206</v>
      </c>
      <c r="K410">
        <v>1</v>
      </c>
      <c r="L410">
        <v>0</v>
      </c>
      <c r="M410" t="s">
        <v>0</v>
      </c>
      <c r="V410">
        <v>0</v>
      </c>
      <c r="W410">
        <v>0</v>
      </c>
      <c r="X410">
        <v>0</v>
      </c>
      <c r="Y410">
        <v>1</v>
      </c>
      <c r="Z410">
        <v>0</v>
      </c>
    </row>
    <row r="411" spans="1:26" x14ac:dyDescent="0.2">
      <c r="A411" t="s">
        <v>529</v>
      </c>
      <c r="B411" t="s">
        <v>53</v>
      </c>
      <c r="C411">
        <v>2010</v>
      </c>
      <c r="D411" t="s">
        <v>42</v>
      </c>
      <c r="E411" t="s">
        <v>45</v>
      </c>
      <c r="F411" t="s">
        <v>38</v>
      </c>
      <c r="G411">
        <v>42918</v>
      </c>
      <c r="H411">
        <v>34334.400000000001</v>
      </c>
      <c r="I411" s="13">
        <v>0.5</v>
      </c>
      <c r="J411" t="s">
        <v>6207</v>
      </c>
      <c r="K411">
        <v>1</v>
      </c>
      <c r="L411">
        <v>0</v>
      </c>
      <c r="M411" t="s">
        <v>0</v>
      </c>
      <c r="V411">
        <v>4</v>
      </c>
      <c r="W411">
        <v>0</v>
      </c>
      <c r="X411">
        <v>0</v>
      </c>
      <c r="Y411">
        <v>0</v>
      </c>
      <c r="Z411">
        <v>0</v>
      </c>
    </row>
    <row r="412" spans="1:26" x14ac:dyDescent="0.2">
      <c r="A412" t="s">
        <v>530</v>
      </c>
      <c r="B412" t="s">
        <v>32</v>
      </c>
      <c r="C412">
        <v>2010</v>
      </c>
      <c r="D412" t="s">
        <v>45</v>
      </c>
      <c r="E412" t="s">
        <v>48</v>
      </c>
      <c r="F412" t="s">
        <v>26</v>
      </c>
      <c r="G412">
        <v>39572</v>
      </c>
      <c r="H412">
        <v>31657.600000000002</v>
      </c>
      <c r="I412" s="13">
        <v>0.5</v>
      </c>
      <c r="J412" t="s">
        <v>6207</v>
      </c>
      <c r="K412">
        <v>3</v>
      </c>
      <c r="L412">
        <v>3</v>
      </c>
      <c r="M412" t="s">
        <v>58</v>
      </c>
      <c r="V412">
        <v>1</v>
      </c>
      <c r="W412">
        <v>1</v>
      </c>
      <c r="X412">
        <v>0</v>
      </c>
      <c r="Y412">
        <v>0</v>
      </c>
      <c r="Z412">
        <v>0</v>
      </c>
    </row>
    <row r="413" spans="1:26" x14ac:dyDescent="0.2">
      <c r="A413" t="s">
        <v>531</v>
      </c>
      <c r="B413" t="s">
        <v>37</v>
      </c>
      <c r="C413">
        <v>2010</v>
      </c>
      <c r="D413" t="s">
        <v>43</v>
      </c>
      <c r="E413" t="s">
        <v>35</v>
      </c>
      <c r="F413" t="s">
        <v>43</v>
      </c>
      <c r="G413">
        <v>25138</v>
      </c>
      <c r="H413">
        <v>20110.400000000001</v>
      </c>
      <c r="I413" s="13">
        <v>0.5714285714285714</v>
      </c>
      <c r="J413" t="s">
        <v>6206</v>
      </c>
      <c r="K413">
        <v>1</v>
      </c>
      <c r="L413">
        <v>1</v>
      </c>
      <c r="M413" t="s">
        <v>58</v>
      </c>
      <c r="V413">
        <v>4</v>
      </c>
      <c r="W413">
        <v>2</v>
      </c>
      <c r="X413">
        <v>0</v>
      </c>
      <c r="Y413">
        <v>1</v>
      </c>
      <c r="Z413">
        <v>0</v>
      </c>
    </row>
    <row r="414" spans="1:26" x14ac:dyDescent="0.2">
      <c r="A414" t="s">
        <v>532</v>
      </c>
      <c r="B414" t="s">
        <v>25</v>
      </c>
      <c r="C414">
        <v>2010</v>
      </c>
      <c r="D414" t="s">
        <v>23</v>
      </c>
      <c r="E414" t="s">
        <v>18</v>
      </c>
      <c r="F414" t="s">
        <v>20</v>
      </c>
      <c r="G414">
        <v>62500</v>
      </c>
      <c r="H414">
        <v>50000</v>
      </c>
      <c r="I414" s="13">
        <v>0.25</v>
      </c>
      <c r="J414" t="s">
        <v>6207</v>
      </c>
      <c r="K414">
        <v>1</v>
      </c>
      <c r="L414">
        <v>3</v>
      </c>
      <c r="M414" t="s">
        <v>1</v>
      </c>
      <c r="V414">
        <v>2</v>
      </c>
      <c r="W414">
        <v>2</v>
      </c>
      <c r="X414">
        <v>0</v>
      </c>
      <c r="Y414">
        <v>0</v>
      </c>
      <c r="Z414">
        <v>0</v>
      </c>
    </row>
    <row r="415" spans="1:26" x14ac:dyDescent="0.2">
      <c r="A415" t="s">
        <v>533</v>
      </c>
      <c r="B415" t="s">
        <v>56</v>
      </c>
      <c r="C415">
        <v>2010</v>
      </c>
      <c r="D415" t="s">
        <v>63</v>
      </c>
      <c r="E415" t="s">
        <v>51</v>
      </c>
      <c r="F415" t="s">
        <v>65</v>
      </c>
      <c r="G415">
        <v>26804</v>
      </c>
      <c r="H415">
        <v>21443.200000000001</v>
      </c>
      <c r="I415" s="13">
        <v>0.66666666666666663</v>
      </c>
      <c r="J415" t="s">
        <v>6207</v>
      </c>
      <c r="K415">
        <v>1</v>
      </c>
      <c r="L415">
        <v>1</v>
      </c>
      <c r="M415" t="s">
        <v>58</v>
      </c>
      <c r="V415">
        <v>2</v>
      </c>
      <c r="W415">
        <v>1</v>
      </c>
      <c r="X415">
        <v>0</v>
      </c>
      <c r="Y415">
        <v>0</v>
      </c>
      <c r="Z415">
        <v>0</v>
      </c>
    </row>
    <row r="416" spans="1:26" x14ac:dyDescent="0.2">
      <c r="A416" t="s">
        <v>534</v>
      </c>
      <c r="B416" t="s">
        <v>47</v>
      </c>
      <c r="C416">
        <v>2010</v>
      </c>
      <c r="D416" t="s">
        <v>64</v>
      </c>
      <c r="E416" t="s">
        <v>62</v>
      </c>
      <c r="F416" t="s">
        <v>64</v>
      </c>
      <c r="G416">
        <v>52264</v>
      </c>
      <c r="H416">
        <v>41811.200000000004</v>
      </c>
      <c r="I416" s="13">
        <v>0.2</v>
      </c>
      <c r="J416" t="s">
        <v>6208</v>
      </c>
      <c r="K416">
        <v>0</v>
      </c>
      <c r="L416">
        <v>2</v>
      </c>
      <c r="M416" t="s">
        <v>1</v>
      </c>
      <c r="V416">
        <v>2</v>
      </c>
      <c r="W416">
        <v>3</v>
      </c>
      <c r="X416">
        <v>0</v>
      </c>
      <c r="Y416">
        <v>0</v>
      </c>
      <c r="Z416">
        <v>1</v>
      </c>
    </row>
    <row r="417" spans="1:26" x14ac:dyDescent="0.2">
      <c r="A417" t="s">
        <v>535</v>
      </c>
      <c r="B417" t="s">
        <v>44</v>
      </c>
      <c r="C417">
        <v>2010</v>
      </c>
      <c r="D417" t="s">
        <v>40</v>
      </c>
      <c r="E417" t="s">
        <v>39</v>
      </c>
      <c r="F417" t="s">
        <v>49</v>
      </c>
      <c r="G417">
        <v>53400</v>
      </c>
      <c r="H417">
        <v>42720</v>
      </c>
      <c r="I417" s="13">
        <v>1</v>
      </c>
      <c r="J417" t="s">
        <v>6207</v>
      </c>
      <c r="K417">
        <v>1</v>
      </c>
      <c r="L417">
        <v>1</v>
      </c>
      <c r="M417" t="s">
        <v>58</v>
      </c>
      <c r="V417">
        <v>2</v>
      </c>
      <c r="W417">
        <v>1</v>
      </c>
      <c r="X417">
        <v>0</v>
      </c>
      <c r="Y417">
        <v>0</v>
      </c>
      <c r="Z417">
        <v>0</v>
      </c>
    </row>
    <row r="418" spans="1:26" x14ac:dyDescent="0.2">
      <c r="A418" t="s">
        <v>536</v>
      </c>
      <c r="B418" t="s">
        <v>52</v>
      </c>
      <c r="C418">
        <v>2010</v>
      </c>
      <c r="D418" t="s">
        <v>31</v>
      </c>
      <c r="E418" t="s">
        <v>22</v>
      </c>
      <c r="F418" t="s">
        <v>20</v>
      </c>
      <c r="G418">
        <v>28500</v>
      </c>
      <c r="H418">
        <v>22800</v>
      </c>
      <c r="I418" s="13">
        <v>0.5</v>
      </c>
      <c r="J418" t="s">
        <v>6207</v>
      </c>
      <c r="K418">
        <v>2</v>
      </c>
      <c r="L418">
        <v>1</v>
      </c>
      <c r="M418" t="s">
        <v>0</v>
      </c>
      <c r="V418">
        <v>3</v>
      </c>
      <c r="W418">
        <v>6</v>
      </c>
      <c r="X418">
        <v>0</v>
      </c>
      <c r="Y418">
        <v>1</v>
      </c>
      <c r="Z418">
        <v>0</v>
      </c>
    </row>
    <row r="419" spans="1:26" x14ac:dyDescent="0.2">
      <c r="A419" t="s">
        <v>537</v>
      </c>
      <c r="B419" t="s">
        <v>59</v>
      </c>
      <c r="C419">
        <v>2010</v>
      </c>
      <c r="D419" t="s">
        <v>46</v>
      </c>
      <c r="E419" t="s">
        <v>34</v>
      </c>
      <c r="F419" t="s">
        <v>20</v>
      </c>
      <c r="G419">
        <v>60704</v>
      </c>
      <c r="H419">
        <v>48563.200000000004</v>
      </c>
      <c r="I419" s="13">
        <v>0.4</v>
      </c>
      <c r="J419" t="s">
        <v>6206</v>
      </c>
      <c r="K419">
        <v>4</v>
      </c>
      <c r="L419">
        <v>1</v>
      </c>
      <c r="M419" t="s">
        <v>0</v>
      </c>
      <c r="V419">
        <v>2</v>
      </c>
      <c r="W419">
        <v>2</v>
      </c>
      <c r="X419">
        <v>0</v>
      </c>
      <c r="Y419">
        <v>1</v>
      </c>
      <c r="Z419">
        <v>0</v>
      </c>
    </row>
    <row r="420" spans="1:26" x14ac:dyDescent="0.2">
      <c r="A420" t="s">
        <v>538</v>
      </c>
      <c r="B420" t="s">
        <v>47</v>
      </c>
      <c r="C420">
        <v>2010</v>
      </c>
      <c r="D420" t="s">
        <v>38</v>
      </c>
      <c r="E420" t="s">
        <v>26</v>
      </c>
      <c r="F420" t="s">
        <v>38</v>
      </c>
      <c r="G420">
        <v>29409</v>
      </c>
      <c r="H420">
        <v>23527.200000000001</v>
      </c>
      <c r="I420" s="13">
        <v>0</v>
      </c>
      <c r="J420" t="s">
        <v>6208</v>
      </c>
      <c r="K420">
        <v>0</v>
      </c>
      <c r="L420">
        <v>0</v>
      </c>
      <c r="M420" t="s">
        <v>58</v>
      </c>
      <c r="V420">
        <v>1</v>
      </c>
      <c r="W420">
        <v>0</v>
      </c>
      <c r="X420">
        <v>0</v>
      </c>
      <c r="Y420">
        <v>0</v>
      </c>
      <c r="Z420">
        <v>0</v>
      </c>
    </row>
    <row r="421" spans="1:26" x14ac:dyDescent="0.2">
      <c r="A421" t="s">
        <v>539</v>
      </c>
      <c r="B421" t="s">
        <v>54</v>
      </c>
      <c r="C421">
        <v>2010</v>
      </c>
      <c r="D421" t="s">
        <v>27</v>
      </c>
      <c r="E421" t="s">
        <v>42</v>
      </c>
      <c r="F421" t="s">
        <v>27</v>
      </c>
      <c r="G421">
        <v>30089</v>
      </c>
      <c r="H421">
        <v>24071.200000000001</v>
      </c>
      <c r="I421" s="13">
        <v>0</v>
      </c>
      <c r="J421" t="s">
        <v>6206</v>
      </c>
      <c r="K421">
        <v>2</v>
      </c>
      <c r="L421">
        <v>1</v>
      </c>
      <c r="M421" t="s">
        <v>0</v>
      </c>
      <c r="V421">
        <v>1</v>
      </c>
      <c r="W421">
        <v>1</v>
      </c>
      <c r="X421">
        <v>0</v>
      </c>
      <c r="Y421">
        <v>0</v>
      </c>
      <c r="Z421">
        <v>0</v>
      </c>
    </row>
    <row r="422" spans="1:26" x14ac:dyDescent="0.2">
      <c r="A422" t="s">
        <v>540</v>
      </c>
      <c r="B422" t="s">
        <v>50</v>
      </c>
      <c r="C422">
        <v>2010</v>
      </c>
      <c r="D422" t="s">
        <v>27</v>
      </c>
      <c r="E422" t="s">
        <v>23</v>
      </c>
      <c r="F422" t="s">
        <v>27</v>
      </c>
      <c r="G422">
        <v>30089</v>
      </c>
      <c r="H422">
        <v>24071.200000000001</v>
      </c>
      <c r="I422" s="13">
        <v>0.4</v>
      </c>
      <c r="J422" t="s">
        <v>6207</v>
      </c>
      <c r="K422">
        <v>1</v>
      </c>
      <c r="L422">
        <v>1</v>
      </c>
      <c r="M422" t="s">
        <v>58</v>
      </c>
      <c r="V422">
        <v>3</v>
      </c>
      <c r="W422">
        <v>2</v>
      </c>
      <c r="X422">
        <v>0</v>
      </c>
      <c r="Y422">
        <v>0</v>
      </c>
      <c r="Z422">
        <v>0</v>
      </c>
    </row>
    <row r="423" spans="1:26" x14ac:dyDescent="0.2">
      <c r="A423" t="s">
        <v>541</v>
      </c>
      <c r="B423" t="s">
        <v>25</v>
      </c>
      <c r="C423">
        <v>2010</v>
      </c>
      <c r="D423" t="s">
        <v>63</v>
      </c>
      <c r="E423" t="s">
        <v>38</v>
      </c>
      <c r="F423" t="s">
        <v>65</v>
      </c>
      <c r="G423">
        <v>26804</v>
      </c>
      <c r="H423">
        <v>21443.200000000001</v>
      </c>
      <c r="I423" s="13">
        <v>0.5</v>
      </c>
      <c r="J423" t="s">
        <v>6207</v>
      </c>
      <c r="K423">
        <v>3</v>
      </c>
      <c r="L423">
        <v>1</v>
      </c>
      <c r="M423" t="s">
        <v>0</v>
      </c>
      <c r="V423">
        <v>1</v>
      </c>
      <c r="W423">
        <v>1</v>
      </c>
      <c r="X423">
        <v>0</v>
      </c>
      <c r="Y423">
        <v>0</v>
      </c>
      <c r="Z423">
        <v>0</v>
      </c>
    </row>
    <row r="424" spans="1:26" x14ac:dyDescent="0.2">
      <c r="A424" t="s">
        <v>542</v>
      </c>
      <c r="B424" t="s">
        <v>53</v>
      </c>
      <c r="C424">
        <v>2010</v>
      </c>
      <c r="D424" t="s">
        <v>51</v>
      </c>
      <c r="E424" t="s">
        <v>22</v>
      </c>
      <c r="F424" t="s">
        <v>20</v>
      </c>
      <c r="G424">
        <v>36284</v>
      </c>
      <c r="H424">
        <v>29027.200000000001</v>
      </c>
      <c r="I424" s="13">
        <v>0.83333333333333337</v>
      </c>
      <c r="J424" t="s">
        <v>6207</v>
      </c>
      <c r="K424">
        <v>3</v>
      </c>
      <c r="L424">
        <v>1</v>
      </c>
      <c r="M424" t="s">
        <v>0</v>
      </c>
      <c r="V424">
        <v>3</v>
      </c>
      <c r="W424">
        <v>3</v>
      </c>
      <c r="X424">
        <v>0</v>
      </c>
      <c r="Y424">
        <v>0</v>
      </c>
      <c r="Z424">
        <v>0</v>
      </c>
    </row>
    <row r="425" spans="1:26" x14ac:dyDescent="0.2">
      <c r="A425" t="s">
        <v>543</v>
      </c>
      <c r="B425" t="s">
        <v>37</v>
      </c>
      <c r="C425">
        <v>2010</v>
      </c>
      <c r="D425" t="s">
        <v>45</v>
      </c>
      <c r="E425" t="s">
        <v>64</v>
      </c>
      <c r="F425" t="s">
        <v>26</v>
      </c>
      <c r="G425">
        <v>39572</v>
      </c>
      <c r="H425">
        <v>31657.600000000002</v>
      </c>
      <c r="I425" s="13">
        <v>0.6</v>
      </c>
      <c r="J425" t="s">
        <v>6206</v>
      </c>
      <c r="K425">
        <v>0</v>
      </c>
      <c r="L425">
        <v>1</v>
      </c>
      <c r="M425" t="s">
        <v>1</v>
      </c>
      <c r="V425">
        <v>2</v>
      </c>
      <c r="W425">
        <v>3</v>
      </c>
      <c r="X425">
        <v>0</v>
      </c>
      <c r="Y425">
        <v>0</v>
      </c>
      <c r="Z425">
        <v>0</v>
      </c>
    </row>
    <row r="426" spans="1:26" x14ac:dyDescent="0.2">
      <c r="A426" t="s">
        <v>544</v>
      </c>
      <c r="B426" t="s">
        <v>61</v>
      </c>
      <c r="C426">
        <v>2010</v>
      </c>
      <c r="D426" t="s">
        <v>39</v>
      </c>
      <c r="E426" t="s">
        <v>31</v>
      </c>
      <c r="F426" t="s">
        <v>39</v>
      </c>
      <c r="G426">
        <v>31367</v>
      </c>
      <c r="H426">
        <v>25093.600000000002</v>
      </c>
      <c r="I426" s="13">
        <v>1</v>
      </c>
      <c r="J426" t="s">
        <v>6207</v>
      </c>
      <c r="K426">
        <v>1</v>
      </c>
      <c r="L426">
        <v>1</v>
      </c>
      <c r="M426" t="s">
        <v>58</v>
      </c>
      <c r="V426">
        <v>0</v>
      </c>
      <c r="W426">
        <v>1</v>
      </c>
      <c r="X426">
        <v>0</v>
      </c>
      <c r="Y426">
        <v>0</v>
      </c>
      <c r="Z426">
        <v>0</v>
      </c>
    </row>
    <row r="427" spans="1:26" x14ac:dyDescent="0.2">
      <c r="A427" t="s">
        <v>545</v>
      </c>
      <c r="B427" t="s">
        <v>41</v>
      </c>
      <c r="C427">
        <v>2010</v>
      </c>
      <c r="D427" t="s">
        <v>42</v>
      </c>
      <c r="E427" t="s">
        <v>34</v>
      </c>
      <c r="F427" t="s">
        <v>38</v>
      </c>
      <c r="G427">
        <v>42918</v>
      </c>
      <c r="H427">
        <v>34334.400000000001</v>
      </c>
      <c r="I427" s="13">
        <v>0</v>
      </c>
      <c r="J427" t="s">
        <v>6207</v>
      </c>
      <c r="K427">
        <v>1</v>
      </c>
      <c r="L427">
        <v>1</v>
      </c>
      <c r="M427" t="s">
        <v>58</v>
      </c>
      <c r="V427">
        <v>1</v>
      </c>
      <c r="W427">
        <v>2</v>
      </c>
      <c r="X427">
        <v>0</v>
      </c>
      <c r="Y427">
        <v>0</v>
      </c>
      <c r="Z427">
        <v>0</v>
      </c>
    </row>
    <row r="428" spans="1:26" x14ac:dyDescent="0.2">
      <c r="A428" t="s">
        <v>546</v>
      </c>
      <c r="B428" t="s">
        <v>52</v>
      </c>
      <c r="C428">
        <v>2010</v>
      </c>
      <c r="D428" t="s">
        <v>35</v>
      </c>
      <c r="E428" t="s">
        <v>46</v>
      </c>
      <c r="F428" t="s">
        <v>35</v>
      </c>
      <c r="G428">
        <v>49000</v>
      </c>
      <c r="H428">
        <v>39200</v>
      </c>
      <c r="I428" s="13">
        <v>0.5</v>
      </c>
      <c r="J428" t="s">
        <v>6207</v>
      </c>
      <c r="K428">
        <v>1</v>
      </c>
      <c r="L428">
        <v>1</v>
      </c>
      <c r="M428" t="s">
        <v>58</v>
      </c>
      <c r="V428">
        <v>3</v>
      </c>
      <c r="W428">
        <v>2</v>
      </c>
      <c r="X428">
        <v>0</v>
      </c>
      <c r="Y428">
        <v>1</v>
      </c>
      <c r="Z428">
        <v>0</v>
      </c>
    </row>
    <row r="429" spans="1:26" x14ac:dyDescent="0.2">
      <c r="A429" t="s">
        <v>547</v>
      </c>
      <c r="B429" t="s">
        <v>56</v>
      </c>
      <c r="C429">
        <v>2010</v>
      </c>
      <c r="D429" t="s">
        <v>48</v>
      </c>
      <c r="E429" t="s">
        <v>26</v>
      </c>
      <c r="F429" t="s">
        <v>49</v>
      </c>
      <c r="G429">
        <v>74197</v>
      </c>
      <c r="H429">
        <v>59357.600000000006</v>
      </c>
      <c r="I429" s="13">
        <v>0.2</v>
      </c>
      <c r="J429" t="s">
        <v>6207</v>
      </c>
      <c r="K429">
        <v>3</v>
      </c>
      <c r="L429">
        <v>2</v>
      </c>
      <c r="M429" t="s">
        <v>0</v>
      </c>
      <c r="V429">
        <v>4</v>
      </c>
      <c r="W429">
        <v>1</v>
      </c>
      <c r="X429">
        <v>0</v>
      </c>
      <c r="Y429">
        <v>0</v>
      </c>
      <c r="Z429">
        <v>1</v>
      </c>
    </row>
    <row r="430" spans="1:26" x14ac:dyDescent="0.2">
      <c r="A430" t="s">
        <v>548</v>
      </c>
      <c r="B430" t="s">
        <v>54</v>
      </c>
      <c r="C430">
        <v>2010</v>
      </c>
      <c r="D430" t="s">
        <v>43</v>
      </c>
      <c r="E430" t="s">
        <v>40</v>
      </c>
      <c r="F430" t="s">
        <v>43</v>
      </c>
      <c r="G430">
        <v>25138</v>
      </c>
      <c r="H430">
        <v>20110.400000000001</v>
      </c>
      <c r="I430" s="13">
        <v>0.66666666666666663</v>
      </c>
      <c r="J430" t="s">
        <v>6206</v>
      </c>
      <c r="K430">
        <v>0</v>
      </c>
      <c r="L430">
        <v>2</v>
      </c>
      <c r="M430" t="s">
        <v>1</v>
      </c>
      <c r="V430">
        <v>1</v>
      </c>
      <c r="W430">
        <v>2</v>
      </c>
      <c r="X430">
        <v>0</v>
      </c>
      <c r="Y430">
        <v>0</v>
      </c>
      <c r="Z430">
        <v>0</v>
      </c>
    </row>
    <row r="431" spans="1:26" x14ac:dyDescent="0.2">
      <c r="A431" t="s">
        <v>549</v>
      </c>
      <c r="B431" t="s">
        <v>44</v>
      </c>
      <c r="C431">
        <v>2010</v>
      </c>
      <c r="D431" t="s">
        <v>18</v>
      </c>
      <c r="E431" t="s">
        <v>62</v>
      </c>
      <c r="F431" t="s">
        <v>20</v>
      </c>
      <c r="G431">
        <v>40341</v>
      </c>
      <c r="H431">
        <v>32272.800000000003</v>
      </c>
      <c r="I431" s="13">
        <v>0.33333333333333331</v>
      </c>
      <c r="J431" t="s">
        <v>6207</v>
      </c>
      <c r="K431">
        <v>4</v>
      </c>
      <c r="L431">
        <v>0</v>
      </c>
      <c r="M431" t="s">
        <v>0</v>
      </c>
      <c r="V431">
        <v>1</v>
      </c>
      <c r="W431">
        <v>2</v>
      </c>
      <c r="X431">
        <v>0</v>
      </c>
      <c r="Y431">
        <v>0</v>
      </c>
      <c r="Z431">
        <v>0</v>
      </c>
    </row>
    <row r="432" spans="1:26" x14ac:dyDescent="0.2">
      <c r="A432" t="s">
        <v>550</v>
      </c>
      <c r="B432" t="s">
        <v>37</v>
      </c>
      <c r="C432">
        <v>2010</v>
      </c>
      <c r="D432" t="s">
        <v>40</v>
      </c>
      <c r="E432" t="s">
        <v>18</v>
      </c>
      <c r="F432" t="s">
        <v>49</v>
      </c>
      <c r="G432">
        <v>53400</v>
      </c>
      <c r="H432">
        <v>42720</v>
      </c>
      <c r="I432" s="13">
        <v>1</v>
      </c>
      <c r="J432" t="s">
        <v>6206</v>
      </c>
      <c r="K432">
        <v>1</v>
      </c>
      <c r="L432">
        <v>0</v>
      </c>
      <c r="M432" t="s">
        <v>0</v>
      </c>
      <c r="V432">
        <v>2</v>
      </c>
      <c r="W432">
        <v>3</v>
      </c>
      <c r="X432">
        <v>0</v>
      </c>
      <c r="Y432">
        <v>0</v>
      </c>
      <c r="Z432">
        <v>0</v>
      </c>
    </row>
    <row r="433" spans="1:26" x14ac:dyDescent="0.2">
      <c r="A433" t="s">
        <v>551</v>
      </c>
      <c r="B433" t="s">
        <v>32</v>
      </c>
      <c r="C433">
        <v>2010</v>
      </c>
      <c r="D433" t="s">
        <v>23</v>
      </c>
      <c r="E433" t="s">
        <v>51</v>
      </c>
      <c r="F433" t="s">
        <v>20</v>
      </c>
      <c r="G433">
        <v>62500</v>
      </c>
      <c r="H433">
        <v>50000</v>
      </c>
      <c r="I433" s="13">
        <v>0.5</v>
      </c>
      <c r="J433" t="s">
        <v>6207</v>
      </c>
      <c r="K433">
        <v>1</v>
      </c>
      <c r="L433">
        <v>0</v>
      </c>
      <c r="M433" t="s">
        <v>0</v>
      </c>
      <c r="V433">
        <v>2</v>
      </c>
      <c r="W433">
        <v>0</v>
      </c>
      <c r="X433">
        <v>0</v>
      </c>
      <c r="Y433">
        <v>0</v>
      </c>
      <c r="Z433">
        <v>0</v>
      </c>
    </row>
    <row r="434" spans="1:26" x14ac:dyDescent="0.2">
      <c r="A434" t="s">
        <v>552</v>
      </c>
      <c r="B434" t="s">
        <v>59</v>
      </c>
      <c r="C434">
        <v>2010</v>
      </c>
      <c r="D434" t="s">
        <v>26</v>
      </c>
      <c r="E434" t="s">
        <v>35</v>
      </c>
      <c r="F434" t="s">
        <v>26</v>
      </c>
      <c r="G434">
        <v>61276</v>
      </c>
      <c r="H434">
        <v>49020.800000000003</v>
      </c>
      <c r="I434" s="13">
        <v>0.75</v>
      </c>
      <c r="J434" t="s">
        <v>6206</v>
      </c>
      <c r="K434">
        <v>2</v>
      </c>
      <c r="L434">
        <v>2</v>
      </c>
      <c r="M434" t="s">
        <v>58</v>
      </c>
      <c r="V434">
        <v>3</v>
      </c>
      <c r="W434">
        <v>1</v>
      </c>
      <c r="X434">
        <v>0</v>
      </c>
      <c r="Y434">
        <v>0</v>
      </c>
      <c r="Z434">
        <v>1</v>
      </c>
    </row>
    <row r="435" spans="1:26" x14ac:dyDescent="0.2">
      <c r="A435" t="s">
        <v>553</v>
      </c>
      <c r="B435" t="s">
        <v>56</v>
      </c>
      <c r="C435">
        <v>2010</v>
      </c>
      <c r="D435" t="s">
        <v>31</v>
      </c>
      <c r="E435" t="s">
        <v>45</v>
      </c>
      <c r="F435" t="s">
        <v>20</v>
      </c>
      <c r="G435">
        <v>28500</v>
      </c>
      <c r="H435">
        <v>22800</v>
      </c>
      <c r="I435" s="13">
        <v>1</v>
      </c>
      <c r="J435" t="s">
        <v>6207</v>
      </c>
      <c r="K435">
        <v>0</v>
      </c>
      <c r="L435">
        <v>0</v>
      </c>
      <c r="M435" t="s">
        <v>58</v>
      </c>
      <c r="V435">
        <v>2</v>
      </c>
      <c r="W435">
        <v>1</v>
      </c>
      <c r="X435">
        <v>0</v>
      </c>
      <c r="Y435">
        <v>0</v>
      </c>
      <c r="Z435">
        <v>0</v>
      </c>
    </row>
    <row r="436" spans="1:26" x14ac:dyDescent="0.2">
      <c r="A436" t="s">
        <v>554</v>
      </c>
      <c r="B436" t="s">
        <v>41</v>
      </c>
      <c r="C436">
        <v>2010</v>
      </c>
      <c r="D436" t="s">
        <v>62</v>
      </c>
      <c r="E436" t="s">
        <v>39</v>
      </c>
      <c r="F436" t="s">
        <v>62</v>
      </c>
      <c r="G436">
        <v>17338</v>
      </c>
      <c r="H436">
        <v>13870.400000000001</v>
      </c>
      <c r="I436" s="13">
        <v>0.33333333333333331</v>
      </c>
      <c r="J436" t="s">
        <v>6207</v>
      </c>
      <c r="K436">
        <v>1</v>
      </c>
      <c r="L436">
        <v>2</v>
      </c>
      <c r="M436" t="s">
        <v>1</v>
      </c>
      <c r="V436">
        <v>2</v>
      </c>
      <c r="W436">
        <v>1</v>
      </c>
      <c r="X436">
        <v>0</v>
      </c>
      <c r="Y436">
        <v>0</v>
      </c>
      <c r="Z436">
        <v>0</v>
      </c>
    </row>
    <row r="437" spans="1:26" x14ac:dyDescent="0.2">
      <c r="A437" t="s">
        <v>555</v>
      </c>
      <c r="B437" t="s">
        <v>44</v>
      </c>
      <c r="C437">
        <v>2010</v>
      </c>
      <c r="D437" t="s">
        <v>38</v>
      </c>
      <c r="E437" t="s">
        <v>43</v>
      </c>
      <c r="F437" t="s">
        <v>38</v>
      </c>
      <c r="G437">
        <v>29409</v>
      </c>
      <c r="H437">
        <v>23527.200000000001</v>
      </c>
      <c r="I437" s="13">
        <v>0.66666666666666663</v>
      </c>
      <c r="J437" t="s">
        <v>6207</v>
      </c>
      <c r="K437">
        <v>0</v>
      </c>
      <c r="L437">
        <v>0</v>
      </c>
      <c r="M437" t="s">
        <v>58</v>
      </c>
      <c r="V437">
        <v>2</v>
      </c>
      <c r="W437">
        <v>3</v>
      </c>
      <c r="X437">
        <v>1</v>
      </c>
      <c r="Y437">
        <v>0</v>
      </c>
      <c r="Z437">
        <v>0</v>
      </c>
    </row>
    <row r="438" spans="1:26" x14ac:dyDescent="0.2">
      <c r="A438" t="s">
        <v>556</v>
      </c>
      <c r="B438" t="s">
        <v>66</v>
      </c>
      <c r="C438">
        <v>2010</v>
      </c>
      <c r="D438" t="s">
        <v>46</v>
      </c>
      <c r="E438" t="s">
        <v>63</v>
      </c>
      <c r="F438" t="s">
        <v>20</v>
      </c>
      <c r="G438">
        <v>60704</v>
      </c>
      <c r="H438">
        <v>48563.200000000004</v>
      </c>
      <c r="I438" s="13">
        <v>1</v>
      </c>
      <c r="J438" t="s">
        <v>6207</v>
      </c>
      <c r="K438">
        <v>2</v>
      </c>
      <c r="L438">
        <v>3</v>
      </c>
      <c r="M438" t="s">
        <v>1</v>
      </c>
      <c r="V438">
        <v>4</v>
      </c>
      <c r="W438">
        <v>3</v>
      </c>
      <c r="X438">
        <v>0</v>
      </c>
      <c r="Y438">
        <v>0</v>
      </c>
      <c r="Z438">
        <v>0</v>
      </c>
    </row>
    <row r="439" spans="1:26" x14ac:dyDescent="0.2">
      <c r="A439" t="s">
        <v>557</v>
      </c>
      <c r="B439" t="s">
        <v>52</v>
      </c>
      <c r="C439">
        <v>2010</v>
      </c>
      <c r="D439" t="s">
        <v>34</v>
      </c>
      <c r="E439" t="s">
        <v>48</v>
      </c>
      <c r="F439" t="s">
        <v>36</v>
      </c>
      <c r="G439">
        <v>28723</v>
      </c>
      <c r="H439">
        <v>22978.400000000001</v>
      </c>
      <c r="I439" s="13">
        <v>0.33333333333333331</v>
      </c>
      <c r="J439" t="s">
        <v>6207</v>
      </c>
      <c r="K439">
        <v>2</v>
      </c>
      <c r="L439">
        <v>2</v>
      </c>
      <c r="M439" t="s">
        <v>58</v>
      </c>
      <c r="V439">
        <v>1</v>
      </c>
      <c r="W439">
        <v>2</v>
      </c>
      <c r="X439">
        <v>0</v>
      </c>
      <c r="Y439">
        <v>0</v>
      </c>
      <c r="Z439">
        <v>0</v>
      </c>
    </row>
    <row r="440" spans="1:26" x14ac:dyDescent="0.2">
      <c r="A440" t="s">
        <v>558</v>
      </c>
      <c r="B440" t="s">
        <v>47</v>
      </c>
      <c r="C440">
        <v>2010</v>
      </c>
      <c r="D440" t="s">
        <v>22</v>
      </c>
      <c r="E440" t="s">
        <v>42</v>
      </c>
      <c r="F440" t="s">
        <v>24</v>
      </c>
      <c r="G440">
        <v>31750</v>
      </c>
      <c r="H440">
        <v>25400</v>
      </c>
      <c r="I440" s="13">
        <v>0</v>
      </c>
      <c r="J440" t="s">
        <v>6208</v>
      </c>
      <c r="K440">
        <v>1</v>
      </c>
      <c r="L440">
        <v>2</v>
      </c>
      <c r="M440" t="s">
        <v>1</v>
      </c>
      <c r="V440">
        <v>1</v>
      </c>
      <c r="W440">
        <v>2</v>
      </c>
      <c r="X440">
        <v>0</v>
      </c>
      <c r="Y440">
        <v>0</v>
      </c>
      <c r="Z440">
        <v>0</v>
      </c>
    </row>
    <row r="441" spans="1:26" x14ac:dyDescent="0.2">
      <c r="A441" t="s">
        <v>559</v>
      </c>
      <c r="B441" t="s">
        <v>53</v>
      </c>
      <c r="C441">
        <v>2010</v>
      </c>
      <c r="D441" t="s">
        <v>64</v>
      </c>
      <c r="E441" t="s">
        <v>27</v>
      </c>
      <c r="F441" t="s">
        <v>64</v>
      </c>
      <c r="G441">
        <v>52264</v>
      </c>
      <c r="H441">
        <v>41811.200000000004</v>
      </c>
      <c r="I441" s="13">
        <v>1</v>
      </c>
      <c r="J441" t="s">
        <v>6207</v>
      </c>
      <c r="K441">
        <v>1</v>
      </c>
      <c r="L441">
        <v>2</v>
      </c>
      <c r="M441" t="s">
        <v>1</v>
      </c>
      <c r="V441">
        <v>0</v>
      </c>
      <c r="W441">
        <v>1</v>
      </c>
      <c r="X441">
        <v>0</v>
      </c>
      <c r="Y441">
        <v>0</v>
      </c>
      <c r="Z441">
        <v>0</v>
      </c>
    </row>
    <row r="442" spans="1:26" x14ac:dyDescent="0.2">
      <c r="A442" t="s">
        <v>560</v>
      </c>
      <c r="B442" t="s">
        <v>50</v>
      </c>
      <c r="C442">
        <v>2010</v>
      </c>
      <c r="D442" t="s">
        <v>43</v>
      </c>
      <c r="E442" t="s">
        <v>22</v>
      </c>
      <c r="F442" t="s">
        <v>43</v>
      </c>
      <c r="G442">
        <v>25138</v>
      </c>
      <c r="H442">
        <v>20110.400000000001</v>
      </c>
      <c r="I442" s="13">
        <v>0.25</v>
      </c>
      <c r="J442" t="s">
        <v>6207</v>
      </c>
      <c r="K442">
        <v>2</v>
      </c>
      <c r="L442">
        <v>0</v>
      </c>
      <c r="M442" t="s">
        <v>0</v>
      </c>
      <c r="V442">
        <v>1</v>
      </c>
      <c r="W442">
        <v>2</v>
      </c>
      <c r="X442">
        <v>0</v>
      </c>
      <c r="Y442">
        <v>1</v>
      </c>
      <c r="Z442">
        <v>0</v>
      </c>
    </row>
    <row r="443" spans="1:26" x14ac:dyDescent="0.2">
      <c r="A443" t="s">
        <v>561</v>
      </c>
      <c r="B443" t="s">
        <v>37</v>
      </c>
      <c r="C443">
        <v>2010</v>
      </c>
      <c r="D443" t="s">
        <v>23</v>
      </c>
      <c r="E443" t="s">
        <v>31</v>
      </c>
      <c r="F443" t="s">
        <v>20</v>
      </c>
      <c r="G443">
        <v>62500</v>
      </c>
      <c r="H443">
        <v>50000</v>
      </c>
      <c r="I443" s="13">
        <v>0.25</v>
      </c>
      <c r="J443" t="s">
        <v>6206</v>
      </c>
      <c r="K443">
        <v>1</v>
      </c>
      <c r="L443">
        <v>1</v>
      </c>
      <c r="M443" t="s">
        <v>58</v>
      </c>
      <c r="V443">
        <v>3</v>
      </c>
      <c r="W443">
        <v>1</v>
      </c>
      <c r="X443">
        <v>0</v>
      </c>
      <c r="Y443">
        <v>0</v>
      </c>
      <c r="Z443">
        <v>0</v>
      </c>
    </row>
    <row r="444" spans="1:26" x14ac:dyDescent="0.2">
      <c r="A444" t="s">
        <v>562</v>
      </c>
      <c r="B444" t="s">
        <v>55</v>
      </c>
      <c r="C444">
        <v>2010</v>
      </c>
      <c r="D444" t="s">
        <v>63</v>
      </c>
      <c r="E444" t="s">
        <v>34</v>
      </c>
      <c r="F444" t="s">
        <v>65</v>
      </c>
      <c r="G444">
        <v>26804</v>
      </c>
      <c r="H444">
        <v>21443.200000000001</v>
      </c>
      <c r="I444" s="13">
        <v>0.6</v>
      </c>
      <c r="J444" t="s">
        <v>6206</v>
      </c>
      <c r="K444">
        <v>1</v>
      </c>
      <c r="L444">
        <v>1</v>
      </c>
      <c r="M444" t="s">
        <v>58</v>
      </c>
      <c r="V444">
        <v>3</v>
      </c>
      <c r="W444">
        <v>2</v>
      </c>
      <c r="X444">
        <v>0</v>
      </c>
      <c r="Y444">
        <v>0</v>
      </c>
      <c r="Z444">
        <v>0</v>
      </c>
    </row>
    <row r="445" spans="1:26" x14ac:dyDescent="0.2">
      <c r="A445" t="s">
        <v>563</v>
      </c>
      <c r="B445" t="s">
        <v>44</v>
      </c>
      <c r="C445">
        <v>2010</v>
      </c>
      <c r="D445" t="s">
        <v>51</v>
      </c>
      <c r="E445" t="s">
        <v>42</v>
      </c>
      <c r="F445" t="s">
        <v>20</v>
      </c>
      <c r="G445">
        <v>36284</v>
      </c>
      <c r="H445">
        <v>29027.200000000001</v>
      </c>
      <c r="I445" s="13">
        <v>0</v>
      </c>
      <c r="J445" t="s">
        <v>6207</v>
      </c>
      <c r="K445">
        <v>2</v>
      </c>
      <c r="L445">
        <v>1</v>
      </c>
      <c r="M445" t="s">
        <v>0</v>
      </c>
      <c r="V445">
        <v>1</v>
      </c>
      <c r="W445">
        <v>3</v>
      </c>
      <c r="X445">
        <v>0</v>
      </c>
      <c r="Y445">
        <v>0</v>
      </c>
      <c r="Z445">
        <v>0</v>
      </c>
    </row>
    <row r="446" spans="1:26" x14ac:dyDescent="0.2">
      <c r="A446" t="s">
        <v>564</v>
      </c>
      <c r="B446" t="s">
        <v>25</v>
      </c>
      <c r="C446">
        <v>2010</v>
      </c>
      <c r="D446" t="s">
        <v>35</v>
      </c>
      <c r="E446" t="s">
        <v>48</v>
      </c>
      <c r="F446" t="s">
        <v>35</v>
      </c>
      <c r="G446">
        <v>49000</v>
      </c>
      <c r="H446">
        <v>39200</v>
      </c>
      <c r="I446" s="13">
        <v>1</v>
      </c>
      <c r="J446" t="s">
        <v>6207</v>
      </c>
      <c r="K446">
        <v>0</v>
      </c>
      <c r="L446">
        <v>0</v>
      </c>
      <c r="M446" t="s">
        <v>58</v>
      </c>
      <c r="V446">
        <v>1</v>
      </c>
      <c r="W446">
        <v>2</v>
      </c>
      <c r="X446">
        <v>0</v>
      </c>
      <c r="Y446">
        <v>0</v>
      </c>
      <c r="Z446">
        <v>0</v>
      </c>
    </row>
    <row r="447" spans="1:26" x14ac:dyDescent="0.2">
      <c r="A447" t="s">
        <v>565</v>
      </c>
      <c r="B447" t="s">
        <v>56</v>
      </c>
      <c r="C447">
        <v>2010</v>
      </c>
      <c r="D447" t="s">
        <v>27</v>
      </c>
      <c r="E447" t="s">
        <v>39</v>
      </c>
      <c r="F447" t="s">
        <v>27</v>
      </c>
      <c r="G447">
        <v>30089</v>
      </c>
      <c r="H447">
        <v>24071.200000000001</v>
      </c>
      <c r="I447" s="13">
        <v>1</v>
      </c>
      <c r="J447" t="s">
        <v>6207</v>
      </c>
      <c r="K447">
        <v>1</v>
      </c>
      <c r="L447">
        <v>0</v>
      </c>
      <c r="M447" t="s">
        <v>0</v>
      </c>
      <c r="V447">
        <v>2</v>
      </c>
      <c r="W447">
        <v>3</v>
      </c>
      <c r="X447">
        <v>0</v>
      </c>
      <c r="Y447">
        <v>0</v>
      </c>
      <c r="Z447">
        <v>0</v>
      </c>
    </row>
    <row r="448" spans="1:26" x14ac:dyDescent="0.2">
      <c r="A448" t="s">
        <v>566</v>
      </c>
      <c r="B448" t="s">
        <v>52</v>
      </c>
      <c r="C448">
        <v>2010</v>
      </c>
      <c r="D448" t="s">
        <v>38</v>
      </c>
      <c r="E448" t="s">
        <v>45</v>
      </c>
      <c r="F448" t="s">
        <v>38</v>
      </c>
      <c r="G448">
        <v>29409</v>
      </c>
      <c r="H448">
        <v>23527.200000000001</v>
      </c>
      <c r="I448" s="13">
        <v>0</v>
      </c>
      <c r="J448" t="s">
        <v>6207</v>
      </c>
      <c r="K448">
        <v>0</v>
      </c>
      <c r="L448">
        <v>2</v>
      </c>
      <c r="M448" t="s">
        <v>1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">
      <c r="A449" t="s">
        <v>567</v>
      </c>
      <c r="B449" t="s">
        <v>32</v>
      </c>
      <c r="C449">
        <v>2010</v>
      </c>
      <c r="D449" t="s">
        <v>40</v>
      </c>
      <c r="E449" t="s">
        <v>64</v>
      </c>
      <c r="F449" t="s">
        <v>49</v>
      </c>
      <c r="G449">
        <v>53400</v>
      </c>
      <c r="H449">
        <v>42720</v>
      </c>
      <c r="I449" s="13">
        <v>0.8</v>
      </c>
      <c r="J449" t="s">
        <v>6207</v>
      </c>
      <c r="K449">
        <v>2</v>
      </c>
      <c r="L449">
        <v>1</v>
      </c>
      <c r="M449" t="s">
        <v>0</v>
      </c>
      <c r="V449">
        <v>3</v>
      </c>
      <c r="W449">
        <v>2</v>
      </c>
      <c r="X449">
        <v>0</v>
      </c>
      <c r="Y449">
        <v>0</v>
      </c>
      <c r="Z449">
        <v>1</v>
      </c>
    </row>
    <row r="450" spans="1:26" x14ac:dyDescent="0.2">
      <c r="A450" t="s">
        <v>568</v>
      </c>
      <c r="B450" t="s">
        <v>53</v>
      </c>
      <c r="C450">
        <v>2010</v>
      </c>
      <c r="D450" t="s">
        <v>26</v>
      </c>
      <c r="E450" t="s">
        <v>62</v>
      </c>
      <c r="F450" t="s">
        <v>26</v>
      </c>
      <c r="G450">
        <v>61276</v>
      </c>
      <c r="H450">
        <v>49020.800000000003</v>
      </c>
      <c r="I450" s="13">
        <v>0.66666666666666663</v>
      </c>
      <c r="J450" t="s">
        <v>6207</v>
      </c>
      <c r="K450">
        <v>1</v>
      </c>
      <c r="L450">
        <v>2</v>
      </c>
      <c r="M450" t="s">
        <v>1</v>
      </c>
      <c r="V450">
        <v>2</v>
      </c>
      <c r="W450">
        <v>1</v>
      </c>
      <c r="X450">
        <v>0</v>
      </c>
      <c r="Y450">
        <v>0</v>
      </c>
      <c r="Z450">
        <v>1</v>
      </c>
    </row>
    <row r="451" spans="1:26" x14ac:dyDescent="0.2">
      <c r="A451" t="s">
        <v>569</v>
      </c>
      <c r="B451" t="s">
        <v>41</v>
      </c>
      <c r="C451">
        <v>2010</v>
      </c>
      <c r="D451" t="s">
        <v>18</v>
      </c>
      <c r="E451" t="s">
        <v>46</v>
      </c>
      <c r="F451" t="s">
        <v>20</v>
      </c>
      <c r="G451">
        <v>40341</v>
      </c>
      <c r="H451">
        <v>32272.800000000003</v>
      </c>
      <c r="I451" s="13">
        <v>1</v>
      </c>
      <c r="J451" t="s">
        <v>6207</v>
      </c>
      <c r="K451">
        <v>2</v>
      </c>
      <c r="L451">
        <v>0</v>
      </c>
      <c r="M451" t="s">
        <v>0</v>
      </c>
      <c r="V451">
        <v>1</v>
      </c>
      <c r="W451">
        <v>1</v>
      </c>
      <c r="X451">
        <v>0</v>
      </c>
      <c r="Y451">
        <v>0</v>
      </c>
      <c r="Z451">
        <v>0</v>
      </c>
    </row>
    <row r="452" spans="1:26" x14ac:dyDescent="0.2">
      <c r="A452" t="s">
        <v>570</v>
      </c>
      <c r="B452" t="s">
        <v>44</v>
      </c>
      <c r="C452">
        <v>2010</v>
      </c>
      <c r="D452" t="s">
        <v>22</v>
      </c>
      <c r="E452" t="s">
        <v>23</v>
      </c>
      <c r="F452" t="s">
        <v>24</v>
      </c>
      <c r="G452">
        <v>31750</v>
      </c>
      <c r="H452">
        <v>25400</v>
      </c>
      <c r="I452" s="13">
        <v>1</v>
      </c>
      <c r="J452" t="s">
        <v>6207</v>
      </c>
      <c r="K452">
        <v>1</v>
      </c>
      <c r="L452">
        <v>1</v>
      </c>
      <c r="M452" t="s">
        <v>58</v>
      </c>
      <c r="V452">
        <v>0</v>
      </c>
      <c r="W452">
        <v>1</v>
      </c>
      <c r="X452">
        <v>0</v>
      </c>
      <c r="Y452">
        <v>0</v>
      </c>
      <c r="Z452">
        <v>1</v>
      </c>
    </row>
    <row r="453" spans="1:26" x14ac:dyDescent="0.2">
      <c r="A453" t="s">
        <v>571</v>
      </c>
      <c r="B453" t="s">
        <v>47</v>
      </c>
      <c r="C453">
        <v>2010</v>
      </c>
      <c r="D453" t="s">
        <v>64</v>
      </c>
      <c r="E453" t="s">
        <v>43</v>
      </c>
      <c r="F453" t="s">
        <v>64</v>
      </c>
      <c r="G453">
        <v>52264</v>
      </c>
      <c r="H453">
        <v>41811.200000000004</v>
      </c>
      <c r="I453" s="13">
        <v>0.66666666666666663</v>
      </c>
      <c r="J453" t="s">
        <v>6208</v>
      </c>
      <c r="K453">
        <v>2</v>
      </c>
      <c r="L453">
        <v>2</v>
      </c>
      <c r="M453" t="s">
        <v>58</v>
      </c>
      <c r="V453">
        <v>2</v>
      </c>
      <c r="W453">
        <v>1</v>
      </c>
      <c r="X453">
        <v>0</v>
      </c>
      <c r="Y453">
        <v>0</v>
      </c>
      <c r="Z453">
        <v>0</v>
      </c>
    </row>
    <row r="454" spans="1:26" x14ac:dyDescent="0.2">
      <c r="A454" t="s">
        <v>572</v>
      </c>
      <c r="B454" t="s">
        <v>53</v>
      </c>
      <c r="C454">
        <v>2010</v>
      </c>
      <c r="D454" t="s">
        <v>48</v>
      </c>
      <c r="E454" t="s">
        <v>63</v>
      </c>
      <c r="F454" t="s">
        <v>49</v>
      </c>
      <c r="G454">
        <v>74197</v>
      </c>
      <c r="H454">
        <v>59357.600000000006</v>
      </c>
      <c r="I454" s="13">
        <v>0.33333333333333331</v>
      </c>
      <c r="J454" t="s">
        <v>6207</v>
      </c>
      <c r="K454">
        <v>2</v>
      </c>
      <c r="L454">
        <v>2</v>
      </c>
      <c r="M454" t="s">
        <v>58</v>
      </c>
      <c r="V454">
        <v>1</v>
      </c>
      <c r="W454">
        <v>2</v>
      </c>
      <c r="X454">
        <v>0</v>
      </c>
      <c r="Y454">
        <v>0</v>
      </c>
      <c r="Z454">
        <v>0</v>
      </c>
    </row>
    <row r="455" spans="1:26" x14ac:dyDescent="0.2">
      <c r="A455" t="s">
        <v>573</v>
      </c>
      <c r="B455" t="s">
        <v>41</v>
      </c>
      <c r="C455">
        <v>2010</v>
      </c>
      <c r="D455" t="s">
        <v>31</v>
      </c>
      <c r="E455" t="s">
        <v>51</v>
      </c>
      <c r="F455" t="s">
        <v>20</v>
      </c>
      <c r="G455">
        <v>28500</v>
      </c>
      <c r="H455">
        <v>22800</v>
      </c>
      <c r="I455" s="13">
        <v>1</v>
      </c>
      <c r="J455" t="s">
        <v>6207</v>
      </c>
      <c r="K455">
        <v>1</v>
      </c>
      <c r="L455">
        <v>2</v>
      </c>
      <c r="M455" t="s">
        <v>1</v>
      </c>
      <c r="V455">
        <v>1</v>
      </c>
      <c r="W455">
        <v>1</v>
      </c>
      <c r="X455">
        <v>0</v>
      </c>
      <c r="Y455">
        <v>0</v>
      </c>
      <c r="Z455">
        <v>0</v>
      </c>
    </row>
    <row r="456" spans="1:26" x14ac:dyDescent="0.2">
      <c r="A456" t="s">
        <v>574</v>
      </c>
      <c r="B456" t="s">
        <v>55</v>
      </c>
      <c r="C456">
        <v>2010</v>
      </c>
      <c r="D456" t="s">
        <v>34</v>
      </c>
      <c r="E456" t="s">
        <v>27</v>
      </c>
      <c r="F456" t="s">
        <v>36</v>
      </c>
      <c r="G456">
        <v>28723</v>
      </c>
      <c r="H456">
        <v>22978.400000000001</v>
      </c>
      <c r="I456" s="13">
        <v>0.6</v>
      </c>
      <c r="J456" t="s">
        <v>6206</v>
      </c>
      <c r="K456">
        <v>2</v>
      </c>
      <c r="L456">
        <v>1</v>
      </c>
      <c r="M456" t="s">
        <v>0</v>
      </c>
      <c r="V456">
        <v>2</v>
      </c>
      <c r="W456">
        <v>2</v>
      </c>
      <c r="X456">
        <v>1</v>
      </c>
      <c r="Y456">
        <v>0</v>
      </c>
      <c r="Z456">
        <v>0</v>
      </c>
    </row>
    <row r="457" spans="1:26" x14ac:dyDescent="0.2">
      <c r="A457" t="s">
        <v>575</v>
      </c>
      <c r="B457" t="s">
        <v>32</v>
      </c>
      <c r="C457">
        <v>2010</v>
      </c>
      <c r="D457" t="s">
        <v>46</v>
      </c>
      <c r="E457" t="s">
        <v>38</v>
      </c>
      <c r="F457" t="s">
        <v>20</v>
      </c>
      <c r="G457">
        <v>60704</v>
      </c>
      <c r="H457">
        <v>48563.200000000004</v>
      </c>
      <c r="I457" s="13">
        <v>0.6</v>
      </c>
      <c r="J457" t="s">
        <v>6207</v>
      </c>
      <c r="K457">
        <v>2</v>
      </c>
      <c r="L457">
        <v>1</v>
      </c>
      <c r="M457" t="s">
        <v>0</v>
      </c>
      <c r="V457">
        <v>2</v>
      </c>
      <c r="W457">
        <v>2</v>
      </c>
      <c r="X457">
        <v>1</v>
      </c>
      <c r="Y457">
        <v>0</v>
      </c>
      <c r="Z457">
        <v>1</v>
      </c>
    </row>
    <row r="458" spans="1:26" x14ac:dyDescent="0.2">
      <c r="A458" t="s">
        <v>576</v>
      </c>
      <c r="B458" t="s">
        <v>50</v>
      </c>
      <c r="C458">
        <v>2010</v>
      </c>
      <c r="D458" t="s">
        <v>42</v>
      </c>
      <c r="E458" t="s">
        <v>18</v>
      </c>
      <c r="F458" t="s">
        <v>38</v>
      </c>
      <c r="G458">
        <v>42918</v>
      </c>
      <c r="H458">
        <v>34334.400000000001</v>
      </c>
      <c r="I458" s="13">
        <v>0.42857142857142855</v>
      </c>
      <c r="J458" t="s">
        <v>6207</v>
      </c>
      <c r="K458">
        <v>0</v>
      </c>
      <c r="L458">
        <v>0</v>
      </c>
      <c r="M458" t="s">
        <v>58</v>
      </c>
      <c r="V458">
        <v>4</v>
      </c>
      <c r="W458">
        <v>3</v>
      </c>
      <c r="X458">
        <v>0</v>
      </c>
      <c r="Y458">
        <v>0</v>
      </c>
      <c r="Z458">
        <v>0</v>
      </c>
    </row>
    <row r="459" spans="1:26" x14ac:dyDescent="0.2">
      <c r="A459" t="s">
        <v>577</v>
      </c>
      <c r="B459" t="s">
        <v>56</v>
      </c>
      <c r="C459">
        <v>2010</v>
      </c>
      <c r="D459" t="s">
        <v>45</v>
      </c>
      <c r="E459" t="s">
        <v>26</v>
      </c>
      <c r="F459" t="s">
        <v>26</v>
      </c>
      <c r="G459">
        <v>39572</v>
      </c>
      <c r="H459">
        <v>31657.600000000002</v>
      </c>
      <c r="I459" s="13">
        <v>1</v>
      </c>
      <c r="J459" t="s">
        <v>6207</v>
      </c>
      <c r="K459">
        <v>2</v>
      </c>
      <c r="L459">
        <v>0</v>
      </c>
      <c r="M459" t="s">
        <v>0</v>
      </c>
      <c r="V459">
        <v>2</v>
      </c>
      <c r="W459">
        <v>3</v>
      </c>
      <c r="X459">
        <v>0</v>
      </c>
      <c r="Y459">
        <v>0</v>
      </c>
      <c r="Z459">
        <v>0</v>
      </c>
    </row>
    <row r="460" spans="1:26" x14ac:dyDescent="0.2">
      <c r="A460" t="s">
        <v>578</v>
      </c>
      <c r="B460" t="s">
        <v>52</v>
      </c>
      <c r="C460">
        <v>2010</v>
      </c>
      <c r="D460" t="s">
        <v>62</v>
      </c>
      <c r="E460" t="s">
        <v>40</v>
      </c>
      <c r="F460" t="s">
        <v>62</v>
      </c>
      <c r="G460">
        <v>17338</v>
      </c>
      <c r="H460">
        <v>13870.400000000001</v>
      </c>
      <c r="I460" s="13">
        <v>1</v>
      </c>
      <c r="J460" t="s">
        <v>6207</v>
      </c>
      <c r="K460">
        <v>2</v>
      </c>
      <c r="L460">
        <v>3</v>
      </c>
      <c r="M460" t="s">
        <v>1</v>
      </c>
      <c r="V460">
        <v>0</v>
      </c>
      <c r="W460">
        <v>2</v>
      </c>
      <c r="X460">
        <v>0</v>
      </c>
      <c r="Y460">
        <v>0</v>
      </c>
      <c r="Z460">
        <v>0</v>
      </c>
    </row>
    <row r="461" spans="1:26" x14ac:dyDescent="0.2">
      <c r="A461" t="s">
        <v>579</v>
      </c>
      <c r="B461" t="s">
        <v>54</v>
      </c>
      <c r="C461">
        <v>2010</v>
      </c>
      <c r="D461" t="s">
        <v>39</v>
      </c>
      <c r="E461" t="s">
        <v>35</v>
      </c>
      <c r="F461" t="s">
        <v>39</v>
      </c>
      <c r="G461">
        <v>31367</v>
      </c>
      <c r="H461">
        <v>25093.600000000002</v>
      </c>
      <c r="I461" s="13">
        <v>1</v>
      </c>
      <c r="J461" t="s">
        <v>6206</v>
      </c>
      <c r="K461">
        <v>0</v>
      </c>
      <c r="L461">
        <v>0</v>
      </c>
      <c r="M461" t="s">
        <v>58</v>
      </c>
      <c r="V461">
        <v>2</v>
      </c>
      <c r="W461">
        <v>1</v>
      </c>
      <c r="X461">
        <v>1</v>
      </c>
      <c r="Y461">
        <v>0</v>
      </c>
      <c r="Z461">
        <v>0</v>
      </c>
    </row>
    <row r="462" spans="1:26" x14ac:dyDescent="0.2">
      <c r="A462" t="s">
        <v>580</v>
      </c>
      <c r="B462" t="s">
        <v>53</v>
      </c>
      <c r="C462">
        <v>2010</v>
      </c>
      <c r="D462" t="s">
        <v>51</v>
      </c>
      <c r="E462" t="s">
        <v>45</v>
      </c>
      <c r="F462" t="s">
        <v>20</v>
      </c>
      <c r="G462">
        <v>36284</v>
      </c>
      <c r="H462">
        <v>29027.200000000001</v>
      </c>
      <c r="I462" s="13">
        <v>1</v>
      </c>
      <c r="J462" t="s">
        <v>6207</v>
      </c>
      <c r="K462">
        <v>1</v>
      </c>
      <c r="L462">
        <v>1</v>
      </c>
      <c r="M462" t="s">
        <v>58</v>
      </c>
      <c r="V462">
        <v>3</v>
      </c>
      <c r="W462">
        <v>1</v>
      </c>
      <c r="X462">
        <v>0</v>
      </c>
      <c r="Y462">
        <v>0</v>
      </c>
      <c r="Z462">
        <v>0</v>
      </c>
    </row>
    <row r="463" spans="1:26" x14ac:dyDescent="0.2">
      <c r="A463" t="s">
        <v>581</v>
      </c>
      <c r="B463" t="s">
        <v>56</v>
      </c>
      <c r="C463">
        <v>2010</v>
      </c>
      <c r="D463" t="s">
        <v>43</v>
      </c>
      <c r="E463" t="s">
        <v>34</v>
      </c>
      <c r="F463" t="s">
        <v>43</v>
      </c>
      <c r="G463">
        <v>25138</v>
      </c>
      <c r="H463">
        <v>20110.400000000001</v>
      </c>
      <c r="I463" s="13">
        <v>0</v>
      </c>
      <c r="J463" t="s">
        <v>6207</v>
      </c>
      <c r="K463">
        <v>1</v>
      </c>
      <c r="L463">
        <v>1</v>
      </c>
      <c r="M463" t="s">
        <v>58</v>
      </c>
      <c r="V463">
        <v>0</v>
      </c>
      <c r="W463">
        <v>2</v>
      </c>
      <c r="X463">
        <v>0</v>
      </c>
      <c r="Y463">
        <v>0</v>
      </c>
      <c r="Z463">
        <v>0</v>
      </c>
    </row>
    <row r="464" spans="1:26" x14ac:dyDescent="0.2">
      <c r="A464" t="s">
        <v>582</v>
      </c>
      <c r="B464" t="s">
        <v>60</v>
      </c>
      <c r="C464">
        <v>2010</v>
      </c>
      <c r="D464" t="s">
        <v>63</v>
      </c>
      <c r="E464" t="s">
        <v>31</v>
      </c>
      <c r="F464" t="s">
        <v>65</v>
      </c>
      <c r="G464">
        <v>26804</v>
      </c>
      <c r="H464">
        <v>21443.200000000001</v>
      </c>
      <c r="I464" s="13">
        <v>0</v>
      </c>
      <c r="J464" t="s">
        <v>6208</v>
      </c>
      <c r="K464">
        <v>2</v>
      </c>
      <c r="L464">
        <v>1</v>
      </c>
      <c r="M464" t="s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">
      <c r="A465" t="s">
        <v>583</v>
      </c>
      <c r="B465" t="s">
        <v>47</v>
      </c>
      <c r="C465">
        <v>2010</v>
      </c>
      <c r="D465" t="s">
        <v>35</v>
      </c>
      <c r="E465" t="s">
        <v>42</v>
      </c>
      <c r="F465" t="s">
        <v>35</v>
      </c>
      <c r="G465">
        <v>49000</v>
      </c>
      <c r="H465">
        <v>39200</v>
      </c>
      <c r="I465" s="13">
        <v>0</v>
      </c>
      <c r="J465" t="s">
        <v>6208</v>
      </c>
      <c r="K465">
        <v>1</v>
      </c>
      <c r="L465">
        <v>0</v>
      </c>
      <c r="M465" t="s">
        <v>0</v>
      </c>
      <c r="V465">
        <v>1</v>
      </c>
      <c r="W465">
        <v>2</v>
      </c>
      <c r="X465">
        <v>0</v>
      </c>
      <c r="Y465">
        <v>0</v>
      </c>
      <c r="Z465">
        <v>0</v>
      </c>
    </row>
    <row r="466" spans="1:26" x14ac:dyDescent="0.2">
      <c r="A466" t="s">
        <v>584</v>
      </c>
      <c r="B466" t="s">
        <v>54</v>
      </c>
      <c r="C466">
        <v>2010</v>
      </c>
      <c r="D466" t="s">
        <v>18</v>
      </c>
      <c r="E466" t="s">
        <v>22</v>
      </c>
      <c r="F466" t="s">
        <v>20</v>
      </c>
      <c r="G466">
        <v>40341</v>
      </c>
      <c r="H466">
        <v>32272.800000000003</v>
      </c>
      <c r="I466" s="13">
        <v>0.33333333333333331</v>
      </c>
      <c r="J466" t="s">
        <v>6206</v>
      </c>
      <c r="K466">
        <v>2</v>
      </c>
      <c r="L466">
        <v>0</v>
      </c>
      <c r="M466" t="s">
        <v>0</v>
      </c>
      <c r="V466">
        <v>1</v>
      </c>
      <c r="W466">
        <v>2</v>
      </c>
      <c r="X466">
        <v>0</v>
      </c>
      <c r="Y466">
        <v>0</v>
      </c>
      <c r="Z466">
        <v>0</v>
      </c>
    </row>
    <row r="467" spans="1:26" x14ac:dyDescent="0.2">
      <c r="A467" t="s">
        <v>585</v>
      </c>
      <c r="B467" t="s">
        <v>61</v>
      </c>
      <c r="C467">
        <v>2010</v>
      </c>
      <c r="D467" t="s">
        <v>38</v>
      </c>
      <c r="E467" t="s">
        <v>62</v>
      </c>
      <c r="F467" t="s">
        <v>38</v>
      </c>
      <c r="G467">
        <v>29409</v>
      </c>
      <c r="H467">
        <v>23527.200000000001</v>
      </c>
      <c r="I467" s="13">
        <v>0.5</v>
      </c>
      <c r="J467" t="s">
        <v>6207</v>
      </c>
      <c r="K467">
        <v>2</v>
      </c>
      <c r="L467">
        <v>0</v>
      </c>
      <c r="M467" t="s">
        <v>0</v>
      </c>
      <c r="V467">
        <v>1</v>
      </c>
      <c r="W467">
        <v>1</v>
      </c>
      <c r="X467">
        <v>0</v>
      </c>
      <c r="Y467">
        <v>0</v>
      </c>
      <c r="Z467">
        <v>0</v>
      </c>
    </row>
    <row r="468" spans="1:26" x14ac:dyDescent="0.2">
      <c r="A468" t="s">
        <v>586</v>
      </c>
      <c r="B468" t="s">
        <v>25</v>
      </c>
      <c r="C468">
        <v>2010</v>
      </c>
      <c r="D468" t="s">
        <v>23</v>
      </c>
      <c r="E468" t="s">
        <v>64</v>
      </c>
      <c r="F468" t="s">
        <v>20</v>
      </c>
      <c r="G468">
        <v>62500</v>
      </c>
      <c r="H468">
        <v>50000</v>
      </c>
      <c r="I468" s="13">
        <v>0</v>
      </c>
      <c r="J468" t="s">
        <v>6207</v>
      </c>
      <c r="K468">
        <v>1</v>
      </c>
      <c r="L468">
        <v>2</v>
      </c>
      <c r="M468" t="s">
        <v>1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">
      <c r="A469" t="s">
        <v>587</v>
      </c>
      <c r="B469" t="s">
        <v>37</v>
      </c>
      <c r="C469">
        <v>2010</v>
      </c>
      <c r="D469" t="s">
        <v>27</v>
      </c>
      <c r="E469" t="s">
        <v>48</v>
      </c>
      <c r="F469" t="s">
        <v>27</v>
      </c>
      <c r="G469">
        <v>30089</v>
      </c>
      <c r="H469">
        <v>24071.200000000001</v>
      </c>
      <c r="I469" s="13">
        <v>0.25</v>
      </c>
      <c r="J469" t="s">
        <v>6206</v>
      </c>
      <c r="K469">
        <v>1</v>
      </c>
      <c r="L469">
        <v>2</v>
      </c>
      <c r="M469" t="s">
        <v>1</v>
      </c>
      <c r="V469">
        <v>2</v>
      </c>
      <c r="W469">
        <v>2</v>
      </c>
      <c r="X469">
        <v>0</v>
      </c>
      <c r="Y469">
        <v>0</v>
      </c>
      <c r="Z469">
        <v>0</v>
      </c>
    </row>
    <row r="470" spans="1:26" x14ac:dyDescent="0.2">
      <c r="A470" t="s">
        <v>588</v>
      </c>
      <c r="B470" t="s">
        <v>52</v>
      </c>
      <c r="C470">
        <v>2010</v>
      </c>
      <c r="D470" t="s">
        <v>26</v>
      </c>
      <c r="E470" t="s">
        <v>39</v>
      </c>
      <c r="F470" t="s">
        <v>26</v>
      </c>
      <c r="G470">
        <v>61276</v>
      </c>
      <c r="H470">
        <v>49020.800000000003</v>
      </c>
      <c r="I470" s="13">
        <v>1</v>
      </c>
      <c r="J470" t="s">
        <v>6207</v>
      </c>
      <c r="K470">
        <v>2</v>
      </c>
      <c r="L470">
        <v>1</v>
      </c>
      <c r="M470" t="s">
        <v>0</v>
      </c>
      <c r="V470">
        <v>2</v>
      </c>
      <c r="W470">
        <v>3</v>
      </c>
      <c r="X470">
        <v>0</v>
      </c>
      <c r="Y470">
        <v>0</v>
      </c>
      <c r="Z470">
        <v>0</v>
      </c>
    </row>
    <row r="471" spans="1:26" x14ac:dyDescent="0.2">
      <c r="A471" t="s">
        <v>589</v>
      </c>
      <c r="B471" t="s">
        <v>44</v>
      </c>
      <c r="C471">
        <v>2010</v>
      </c>
      <c r="D471" t="s">
        <v>40</v>
      </c>
      <c r="E471" t="s">
        <v>46</v>
      </c>
      <c r="F471" t="s">
        <v>49</v>
      </c>
      <c r="G471">
        <v>53400</v>
      </c>
      <c r="H471">
        <v>42720</v>
      </c>
      <c r="I471" s="13">
        <v>0.8571428571428571</v>
      </c>
      <c r="J471" t="s">
        <v>6207</v>
      </c>
      <c r="K471">
        <v>0</v>
      </c>
      <c r="L471">
        <v>3</v>
      </c>
      <c r="M471" t="s">
        <v>1</v>
      </c>
      <c r="V471">
        <v>2</v>
      </c>
      <c r="W471">
        <v>4</v>
      </c>
      <c r="X471">
        <v>1</v>
      </c>
      <c r="Y471">
        <v>0</v>
      </c>
      <c r="Z471">
        <v>0</v>
      </c>
    </row>
    <row r="472" spans="1:26" x14ac:dyDescent="0.2">
      <c r="A472" t="s">
        <v>590</v>
      </c>
      <c r="B472" t="s">
        <v>41</v>
      </c>
      <c r="C472">
        <v>2010</v>
      </c>
      <c r="D472" t="s">
        <v>22</v>
      </c>
      <c r="E472" t="s">
        <v>40</v>
      </c>
      <c r="F472" t="s">
        <v>24</v>
      </c>
      <c r="G472">
        <v>31750</v>
      </c>
      <c r="H472">
        <v>25400</v>
      </c>
      <c r="I472" s="13">
        <v>1</v>
      </c>
      <c r="J472" t="s">
        <v>6207</v>
      </c>
      <c r="K472">
        <v>2</v>
      </c>
      <c r="L472">
        <v>1</v>
      </c>
      <c r="M472" t="s">
        <v>0</v>
      </c>
      <c r="V472">
        <v>1</v>
      </c>
      <c r="W472">
        <v>2</v>
      </c>
      <c r="X472">
        <v>0</v>
      </c>
      <c r="Y472">
        <v>0</v>
      </c>
      <c r="Z472">
        <v>1</v>
      </c>
    </row>
    <row r="473" spans="1:26" x14ac:dyDescent="0.2">
      <c r="A473" t="s">
        <v>591</v>
      </c>
      <c r="B473" t="s">
        <v>37</v>
      </c>
      <c r="C473">
        <v>2010</v>
      </c>
      <c r="D473" t="s">
        <v>31</v>
      </c>
      <c r="E473" t="s">
        <v>43</v>
      </c>
      <c r="F473" t="s">
        <v>20</v>
      </c>
      <c r="G473">
        <v>28500</v>
      </c>
      <c r="H473">
        <v>22800</v>
      </c>
      <c r="I473" s="13">
        <v>0</v>
      </c>
      <c r="J473" t="s">
        <v>6206</v>
      </c>
      <c r="K473">
        <v>2</v>
      </c>
      <c r="L473">
        <v>0</v>
      </c>
      <c r="M473" t="s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">
      <c r="A474" t="s">
        <v>592</v>
      </c>
      <c r="B474" t="s">
        <v>54</v>
      </c>
      <c r="C474">
        <v>2010</v>
      </c>
      <c r="D474" t="s">
        <v>45</v>
      </c>
      <c r="E474" t="s">
        <v>27</v>
      </c>
      <c r="F474" t="s">
        <v>26</v>
      </c>
      <c r="G474">
        <v>39572</v>
      </c>
      <c r="H474">
        <v>31657.600000000002</v>
      </c>
      <c r="I474" s="13">
        <v>0.5</v>
      </c>
      <c r="J474" t="s">
        <v>6206</v>
      </c>
      <c r="K474">
        <v>1</v>
      </c>
      <c r="L474">
        <v>0</v>
      </c>
      <c r="M474" t="s">
        <v>0</v>
      </c>
      <c r="V474">
        <v>1</v>
      </c>
      <c r="W474">
        <v>1</v>
      </c>
      <c r="X474">
        <v>0</v>
      </c>
      <c r="Y474">
        <v>0</v>
      </c>
      <c r="Z474">
        <v>0</v>
      </c>
    </row>
    <row r="475" spans="1:26" x14ac:dyDescent="0.2">
      <c r="A475" t="s">
        <v>593</v>
      </c>
      <c r="B475" t="s">
        <v>55</v>
      </c>
      <c r="C475">
        <v>2010</v>
      </c>
      <c r="D475" t="s">
        <v>39</v>
      </c>
      <c r="E475" t="s">
        <v>18</v>
      </c>
      <c r="F475" t="s">
        <v>39</v>
      </c>
      <c r="G475">
        <v>31367</v>
      </c>
      <c r="H475">
        <v>25093.600000000002</v>
      </c>
      <c r="I475" s="13">
        <v>1</v>
      </c>
      <c r="J475" t="s">
        <v>6206</v>
      </c>
      <c r="K475">
        <v>1</v>
      </c>
      <c r="L475">
        <v>2</v>
      </c>
      <c r="M475" t="s">
        <v>1</v>
      </c>
      <c r="V475">
        <v>2</v>
      </c>
      <c r="W475">
        <v>2</v>
      </c>
      <c r="X475">
        <v>0</v>
      </c>
      <c r="Y475">
        <v>0</v>
      </c>
      <c r="Z475">
        <v>0</v>
      </c>
    </row>
    <row r="476" spans="1:26" x14ac:dyDescent="0.2">
      <c r="A476" t="s">
        <v>594</v>
      </c>
      <c r="B476" t="s">
        <v>53</v>
      </c>
      <c r="C476">
        <v>2010</v>
      </c>
      <c r="D476" t="s">
        <v>46</v>
      </c>
      <c r="E476" t="s">
        <v>23</v>
      </c>
      <c r="F476" t="s">
        <v>20</v>
      </c>
      <c r="G476">
        <v>60704</v>
      </c>
      <c r="H476">
        <v>48563.200000000004</v>
      </c>
      <c r="I476" s="13">
        <v>1</v>
      </c>
      <c r="J476" t="s">
        <v>6207</v>
      </c>
      <c r="K476">
        <v>1</v>
      </c>
      <c r="L476">
        <v>0</v>
      </c>
      <c r="M476" t="s">
        <v>0</v>
      </c>
      <c r="V476">
        <v>2</v>
      </c>
      <c r="W476">
        <v>2</v>
      </c>
      <c r="X476">
        <v>0</v>
      </c>
      <c r="Y476">
        <v>0</v>
      </c>
      <c r="Z476">
        <v>0</v>
      </c>
    </row>
    <row r="477" spans="1:26" x14ac:dyDescent="0.2">
      <c r="A477" t="s">
        <v>595</v>
      </c>
      <c r="B477" t="s">
        <v>44</v>
      </c>
      <c r="C477">
        <v>2010</v>
      </c>
      <c r="D477" t="s">
        <v>48</v>
      </c>
      <c r="E477" t="s">
        <v>51</v>
      </c>
      <c r="F477" t="s">
        <v>49</v>
      </c>
      <c r="G477">
        <v>74197</v>
      </c>
      <c r="H477">
        <v>59357.600000000006</v>
      </c>
      <c r="I477" s="13">
        <v>1</v>
      </c>
      <c r="J477" t="s">
        <v>6207</v>
      </c>
      <c r="K477">
        <v>2</v>
      </c>
      <c r="L477">
        <v>0</v>
      </c>
      <c r="M477" t="s">
        <v>0</v>
      </c>
      <c r="V477">
        <v>0</v>
      </c>
      <c r="W477">
        <v>3</v>
      </c>
      <c r="X477">
        <v>0</v>
      </c>
      <c r="Y477">
        <v>0</v>
      </c>
      <c r="Z477">
        <v>0</v>
      </c>
    </row>
    <row r="478" spans="1:26" x14ac:dyDescent="0.2">
      <c r="A478" t="s">
        <v>596</v>
      </c>
      <c r="B478" t="s">
        <v>56</v>
      </c>
      <c r="C478">
        <v>2010</v>
      </c>
      <c r="D478" t="s">
        <v>42</v>
      </c>
      <c r="E478" t="s">
        <v>38</v>
      </c>
      <c r="F478" t="s">
        <v>38</v>
      </c>
      <c r="G478">
        <v>42918</v>
      </c>
      <c r="H478">
        <v>34334.400000000001</v>
      </c>
      <c r="I478" s="13">
        <v>0.2</v>
      </c>
      <c r="J478" t="s">
        <v>6207</v>
      </c>
      <c r="K478">
        <v>0</v>
      </c>
      <c r="L478">
        <v>0</v>
      </c>
      <c r="M478" t="s">
        <v>58</v>
      </c>
      <c r="V478">
        <v>2</v>
      </c>
      <c r="W478">
        <v>3</v>
      </c>
      <c r="X478">
        <v>0</v>
      </c>
      <c r="Y478">
        <v>0</v>
      </c>
      <c r="Z478">
        <v>0</v>
      </c>
    </row>
    <row r="479" spans="1:26" x14ac:dyDescent="0.2">
      <c r="A479" t="s">
        <v>597</v>
      </c>
      <c r="B479" t="s">
        <v>52</v>
      </c>
      <c r="C479">
        <v>2010</v>
      </c>
      <c r="D479" t="s">
        <v>64</v>
      </c>
      <c r="E479" t="s">
        <v>35</v>
      </c>
      <c r="F479" t="s">
        <v>64</v>
      </c>
      <c r="G479">
        <v>52264</v>
      </c>
      <c r="H479">
        <v>41811.200000000004</v>
      </c>
      <c r="I479" s="13">
        <v>0.4</v>
      </c>
      <c r="J479" t="s">
        <v>6207</v>
      </c>
      <c r="K479">
        <v>5</v>
      </c>
      <c r="L479">
        <v>1</v>
      </c>
      <c r="M479" t="s">
        <v>0</v>
      </c>
      <c r="V479">
        <v>3</v>
      </c>
      <c r="W479">
        <v>6</v>
      </c>
      <c r="X479">
        <v>0</v>
      </c>
      <c r="Y479">
        <v>1</v>
      </c>
      <c r="Z479">
        <v>1</v>
      </c>
    </row>
    <row r="480" spans="1:26" x14ac:dyDescent="0.2">
      <c r="A480" t="s">
        <v>598</v>
      </c>
      <c r="B480" t="s">
        <v>32</v>
      </c>
      <c r="C480">
        <v>2010</v>
      </c>
      <c r="D480" t="s">
        <v>34</v>
      </c>
      <c r="E480" t="s">
        <v>26</v>
      </c>
      <c r="F480" t="s">
        <v>36</v>
      </c>
      <c r="G480">
        <v>28723</v>
      </c>
      <c r="H480">
        <v>22978.400000000001</v>
      </c>
      <c r="I480" s="13">
        <v>0.5</v>
      </c>
      <c r="J480" t="s">
        <v>6207</v>
      </c>
      <c r="K480">
        <v>0</v>
      </c>
      <c r="L480">
        <v>1</v>
      </c>
      <c r="M480" t="s">
        <v>1</v>
      </c>
      <c r="V480">
        <v>2</v>
      </c>
      <c r="W480">
        <v>2</v>
      </c>
      <c r="X480">
        <v>0</v>
      </c>
      <c r="Y480">
        <v>0</v>
      </c>
      <c r="Z480">
        <v>0</v>
      </c>
    </row>
    <row r="481" spans="1:26" x14ac:dyDescent="0.2">
      <c r="A481" t="s">
        <v>599</v>
      </c>
      <c r="B481" t="s">
        <v>66</v>
      </c>
      <c r="C481">
        <v>2010</v>
      </c>
      <c r="D481" t="s">
        <v>62</v>
      </c>
      <c r="E481" t="s">
        <v>63</v>
      </c>
      <c r="F481" t="s">
        <v>62</v>
      </c>
      <c r="G481">
        <v>17338</v>
      </c>
      <c r="H481">
        <v>13870.400000000001</v>
      </c>
      <c r="I481" s="13">
        <v>0.8571428571428571</v>
      </c>
      <c r="J481" t="s">
        <v>6207</v>
      </c>
      <c r="K481">
        <v>2</v>
      </c>
      <c r="L481">
        <v>1</v>
      </c>
      <c r="M481" t="s">
        <v>0</v>
      </c>
      <c r="V481">
        <v>2</v>
      </c>
      <c r="W481">
        <v>3</v>
      </c>
      <c r="X481">
        <v>0</v>
      </c>
      <c r="Y481">
        <v>2</v>
      </c>
      <c r="Z481">
        <v>1</v>
      </c>
    </row>
    <row r="482" spans="1:26" x14ac:dyDescent="0.2">
      <c r="A482" t="s">
        <v>600</v>
      </c>
      <c r="B482" t="s">
        <v>25</v>
      </c>
      <c r="C482">
        <v>2010</v>
      </c>
      <c r="D482" t="s">
        <v>34</v>
      </c>
      <c r="E482" t="s">
        <v>51</v>
      </c>
      <c r="F482" t="s">
        <v>36</v>
      </c>
      <c r="G482">
        <v>28723</v>
      </c>
      <c r="H482">
        <v>22978.400000000001</v>
      </c>
      <c r="I482" s="13">
        <v>0</v>
      </c>
      <c r="J482" t="s">
        <v>6207</v>
      </c>
      <c r="K482">
        <v>4</v>
      </c>
      <c r="L482">
        <v>2</v>
      </c>
      <c r="M482" t="s">
        <v>0</v>
      </c>
      <c r="V482">
        <v>1</v>
      </c>
      <c r="W482">
        <v>0</v>
      </c>
      <c r="X482">
        <v>0</v>
      </c>
      <c r="Y482">
        <v>0</v>
      </c>
      <c r="Z482">
        <v>1</v>
      </c>
    </row>
    <row r="483" spans="1:26" x14ac:dyDescent="0.2">
      <c r="A483" t="s">
        <v>601</v>
      </c>
      <c r="B483" t="s">
        <v>32</v>
      </c>
      <c r="C483">
        <v>2010</v>
      </c>
      <c r="D483" t="s">
        <v>35</v>
      </c>
      <c r="E483" t="s">
        <v>27</v>
      </c>
      <c r="F483" t="s">
        <v>35</v>
      </c>
      <c r="G483">
        <v>49000</v>
      </c>
      <c r="H483">
        <v>39200</v>
      </c>
      <c r="I483" s="13">
        <v>0.66666666666666663</v>
      </c>
      <c r="J483" t="s">
        <v>6207</v>
      </c>
      <c r="K483">
        <v>2</v>
      </c>
      <c r="L483">
        <v>0</v>
      </c>
      <c r="M483" t="s">
        <v>0</v>
      </c>
      <c r="V483">
        <v>0</v>
      </c>
      <c r="W483">
        <v>5</v>
      </c>
      <c r="X483">
        <v>0</v>
      </c>
      <c r="Y483">
        <v>1</v>
      </c>
      <c r="Z483">
        <v>0</v>
      </c>
    </row>
    <row r="484" spans="1:26" x14ac:dyDescent="0.2">
      <c r="A484" t="s">
        <v>602</v>
      </c>
      <c r="B484" t="s">
        <v>52</v>
      </c>
      <c r="C484">
        <v>2010</v>
      </c>
      <c r="D484" t="s">
        <v>48</v>
      </c>
      <c r="E484" t="s">
        <v>22</v>
      </c>
      <c r="F484" t="s">
        <v>49</v>
      </c>
      <c r="G484">
        <v>74197</v>
      </c>
      <c r="H484">
        <v>59357.600000000006</v>
      </c>
      <c r="I484" s="13">
        <v>1</v>
      </c>
      <c r="J484" t="s">
        <v>6207</v>
      </c>
      <c r="K484">
        <v>2</v>
      </c>
      <c r="L484">
        <v>1</v>
      </c>
      <c r="M484" t="s">
        <v>0</v>
      </c>
      <c r="V484">
        <v>1</v>
      </c>
      <c r="W484">
        <v>0</v>
      </c>
      <c r="X484">
        <v>0</v>
      </c>
      <c r="Y484">
        <v>0</v>
      </c>
      <c r="Z484">
        <v>0</v>
      </c>
    </row>
    <row r="485" spans="1:26" x14ac:dyDescent="0.2">
      <c r="A485" t="s">
        <v>603</v>
      </c>
      <c r="B485" t="s">
        <v>55</v>
      </c>
      <c r="C485">
        <v>2010</v>
      </c>
      <c r="D485" t="s">
        <v>31</v>
      </c>
      <c r="E485" t="s">
        <v>42</v>
      </c>
      <c r="F485" t="s">
        <v>20</v>
      </c>
      <c r="G485">
        <v>28500</v>
      </c>
      <c r="H485">
        <v>22800</v>
      </c>
      <c r="I485" s="13">
        <v>1</v>
      </c>
      <c r="J485" t="s">
        <v>6206</v>
      </c>
      <c r="K485">
        <v>1</v>
      </c>
      <c r="L485">
        <v>1</v>
      </c>
      <c r="M485" t="s">
        <v>58</v>
      </c>
      <c r="V485">
        <v>1</v>
      </c>
      <c r="W485">
        <v>0</v>
      </c>
      <c r="X485">
        <v>0</v>
      </c>
      <c r="Y485">
        <v>0</v>
      </c>
      <c r="Z485">
        <v>0</v>
      </c>
    </row>
    <row r="486" spans="1:26" x14ac:dyDescent="0.2">
      <c r="A486" t="s">
        <v>604</v>
      </c>
      <c r="B486" t="s">
        <v>37</v>
      </c>
      <c r="C486">
        <v>2010</v>
      </c>
      <c r="D486" t="s">
        <v>62</v>
      </c>
      <c r="E486" t="s">
        <v>45</v>
      </c>
      <c r="F486" t="s">
        <v>62</v>
      </c>
      <c r="G486">
        <v>17338</v>
      </c>
      <c r="H486">
        <v>13870.400000000001</v>
      </c>
      <c r="I486" s="13">
        <v>0</v>
      </c>
      <c r="J486" t="s">
        <v>6206</v>
      </c>
      <c r="K486">
        <v>2</v>
      </c>
      <c r="L486">
        <v>2</v>
      </c>
      <c r="M486" t="s">
        <v>58</v>
      </c>
      <c r="V486">
        <v>2</v>
      </c>
      <c r="W486">
        <v>1</v>
      </c>
      <c r="X486">
        <v>0</v>
      </c>
      <c r="Y486">
        <v>0</v>
      </c>
      <c r="Z486">
        <v>0</v>
      </c>
    </row>
    <row r="487" spans="1:26" x14ac:dyDescent="0.2">
      <c r="A487" t="s">
        <v>605</v>
      </c>
      <c r="B487" t="s">
        <v>60</v>
      </c>
      <c r="C487">
        <v>2010</v>
      </c>
      <c r="D487" t="s">
        <v>39</v>
      </c>
      <c r="E487" t="s">
        <v>43</v>
      </c>
      <c r="F487" t="s">
        <v>39</v>
      </c>
      <c r="G487">
        <v>31367</v>
      </c>
      <c r="H487">
        <v>25093.600000000002</v>
      </c>
      <c r="I487" s="13">
        <v>1</v>
      </c>
      <c r="J487" t="s">
        <v>6208</v>
      </c>
      <c r="K487">
        <v>2</v>
      </c>
      <c r="L487">
        <v>1</v>
      </c>
      <c r="M487" t="s">
        <v>0</v>
      </c>
      <c r="V487">
        <v>0</v>
      </c>
      <c r="W487">
        <v>2</v>
      </c>
      <c r="X487">
        <v>0</v>
      </c>
      <c r="Y487">
        <v>0</v>
      </c>
      <c r="Z487">
        <v>0</v>
      </c>
    </row>
    <row r="488" spans="1:26" x14ac:dyDescent="0.2">
      <c r="A488" t="s">
        <v>606</v>
      </c>
      <c r="B488" t="s">
        <v>66</v>
      </c>
      <c r="C488">
        <v>2010</v>
      </c>
      <c r="D488" t="s">
        <v>38</v>
      </c>
      <c r="E488" t="s">
        <v>23</v>
      </c>
      <c r="F488" t="s">
        <v>38</v>
      </c>
      <c r="G488">
        <v>29409</v>
      </c>
      <c r="H488">
        <v>23527.200000000001</v>
      </c>
      <c r="I488" s="13">
        <v>1</v>
      </c>
      <c r="J488" t="s">
        <v>6207</v>
      </c>
      <c r="K488">
        <v>2</v>
      </c>
      <c r="L488">
        <v>2</v>
      </c>
      <c r="M488" t="s">
        <v>58</v>
      </c>
      <c r="V488">
        <v>0</v>
      </c>
      <c r="W488">
        <v>1</v>
      </c>
      <c r="X488">
        <v>0</v>
      </c>
      <c r="Y488">
        <v>0</v>
      </c>
      <c r="Z488">
        <v>0</v>
      </c>
    </row>
    <row r="489" spans="1:26" x14ac:dyDescent="0.2">
      <c r="A489" t="s">
        <v>607</v>
      </c>
      <c r="B489" t="s">
        <v>41</v>
      </c>
      <c r="C489">
        <v>2010</v>
      </c>
      <c r="D489" t="s">
        <v>46</v>
      </c>
      <c r="E489" t="s">
        <v>64</v>
      </c>
      <c r="F489" t="s">
        <v>20</v>
      </c>
      <c r="G489">
        <v>60704</v>
      </c>
      <c r="H489">
        <v>48563.200000000004</v>
      </c>
      <c r="I489" s="13">
        <v>1</v>
      </c>
      <c r="J489" t="s">
        <v>6207</v>
      </c>
      <c r="K489">
        <v>0</v>
      </c>
      <c r="L489">
        <v>1</v>
      </c>
      <c r="M489" t="s">
        <v>1</v>
      </c>
      <c r="V489">
        <v>2</v>
      </c>
      <c r="W489">
        <v>2</v>
      </c>
      <c r="X489">
        <v>1</v>
      </c>
      <c r="Y489">
        <v>0</v>
      </c>
      <c r="Z489">
        <v>0</v>
      </c>
    </row>
    <row r="490" spans="1:26" x14ac:dyDescent="0.2">
      <c r="A490" t="s">
        <v>608</v>
      </c>
      <c r="B490" t="s">
        <v>54</v>
      </c>
      <c r="C490">
        <v>2010</v>
      </c>
      <c r="D490" t="s">
        <v>63</v>
      </c>
      <c r="E490" t="s">
        <v>40</v>
      </c>
      <c r="F490" t="s">
        <v>65</v>
      </c>
      <c r="G490">
        <v>26804</v>
      </c>
      <c r="H490">
        <v>21443.200000000001</v>
      </c>
      <c r="I490" s="13">
        <v>0.44444444444444442</v>
      </c>
      <c r="J490" t="s">
        <v>6206</v>
      </c>
      <c r="K490">
        <v>0</v>
      </c>
      <c r="L490">
        <v>2</v>
      </c>
      <c r="M490" t="s">
        <v>1</v>
      </c>
      <c r="V490">
        <v>3</v>
      </c>
      <c r="W490">
        <v>4</v>
      </c>
      <c r="X490">
        <v>1</v>
      </c>
      <c r="Y490">
        <v>1</v>
      </c>
      <c r="Z490">
        <v>0</v>
      </c>
    </row>
    <row r="491" spans="1:26" x14ac:dyDescent="0.2">
      <c r="A491" t="s">
        <v>609</v>
      </c>
      <c r="B491" t="s">
        <v>56</v>
      </c>
      <c r="C491">
        <v>2010</v>
      </c>
      <c r="D491" t="s">
        <v>26</v>
      </c>
      <c r="E491" t="s">
        <v>18</v>
      </c>
      <c r="F491" t="s">
        <v>26</v>
      </c>
      <c r="G491">
        <v>61276</v>
      </c>
      <c r="H491">
        <v>49020.800000000003</v>
      </c>
      <c r="I491" s="13">
        <v>1</v>
      </c>
      <c r="J491" t="s">
        <v>6207</v>
      </c>
      <c r="K491">
        <v>2</v>
      </c>
      <c r="L491">
        <v>0</v>
      </c>
      <c r="M491" t="s">
        <v>0</v>
      </c>
      <c r="V491">
        <v>0</v>
      </c>
      <c r="W491">
        <v>2</v>
      </c>
      <c r="X491">
        <v>0</v>
      </c>
      <c r="Y491">
        <v>0</v>
      </c>
      <c r="Z491">
        <v>0</v>
      </c>
    </row>
    <row r="492" spans="1:26" x14ac:dyDescent="0.2">
      <c r="A492" t="s">
        <v>610</v>
      </c>
      <c r="B492" t="s">
        <v>44</v>
      </c>
      <c r="C492">
        <v>2010</v>
      </c>
      <c r="D492" t="s">
        <v>27</v>
      </c>
      <c r="E492" t="s">
        <v>38</v>
      </c>
      <c r="F492" t="s">
        <v>27</v>
      </c>
      <c r="G492">
        <v>30089</v>
      </c>
      <c r="H492">
        <v>24071.200000000001</v>
      </c>
      <c r="I492" s="13">
        <v>0</v>
      </c>
      <c r="J492" t="s">
        <v>6207</v>
      </c>
      <c r="K492">
        <v>3</v>
      </c>
      <c r="L492">
        <v>2</v>
      </c>
      <c r="M492" t="s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">
      <c r="A493" t="s">
        <v>611</v>
      </c>
      <c r="B493" t="s">
        <v>56</v>
      </c>
      <c r="C493">
        <v>2010</v>
      </c>
      <c r="D493" t="s">
        <v>51</v>
      </c>
      <c r="E493" t="s">
        <v>35</v>
      </c>
      <c r="F493" t="s">
        <v>20</v>
      </c>
      <c r="G493">
        <v>36284</v>
      </c>
      <c r="H493">
        <v>29027.200000000001</v>
      </c>
      <c r="I493" s="13">
        <v>0.33333333333333331</v>
      </c>
      <c r="J493" t="s">
        <v>6207</v>
      </c>
      <c r="K493">
        <v>1</v>
      </c>
      <c r="L493">
        <v>1</v>
      </c>
      <c r="M493" t="s">
        <v>58</v>
      </c>
      <c r="V493">
        <v>2</v>
      </c>
      <c r="W493">
        <v>1</v>
      </c>
      <c r="X493">
        <v>0</v>
      </c>
      <c r="Y493">
        <v>0</v>
      </c>
      <c r="Z493">
        <v>0</v>
      </c>
    </row>
    <row r="494" spans="1:26" x14ac:dyDescent="0.2">
      <c r="A494" t="s">
        <v>612</v>
      </c>
      <c r="B494" t="s">
        <v>47</v>
      </c>
      <c r="C494">
        <v>2010</v>
      </c>
      <c r="D494" t="s">
        <v>22</v>
      </c>
      <c r="E494" t="s">
        <v>46</v>
      </c>
      <c r="F494" t="s">
        <v>24</v>
      </c>
      <c r="G494">
        <v>31750</v>
      </c>
      <c r="H494">
        <v>25400</v>
      </c>
      <c r="I494" s="13">
        <v>0.66666666666666663</v>
      </c>
      <c r="J494" t="s">
        <v>6208</v>
      </c>
      <c r="K494">
        <v>0</v>
      </c>
      <c r="L494">
        <v>2</v>
      </c>
      <c r="M494" t="s">
        <v>1</v>
      </c>
      <c r="V494">
        <v>1</v>
      </c>
      <c r="W494">
        <v>2</v>
      </c>
      <c r="X494">
        <v>0</v>
      </c>
      <c r="Y494">
        <v>0</v>
      </c>
      <c r="Z494">
        <v>0</v>
      </c>
    </row>
    <row r="495" spans="1:26" x14ac:dyDescent="0.2">
      <c r="A495" t="s">
        <v>613</v>
      </c>
      <c r="B495" t="s">
        <v>55</v>
      </c>
      <c r="C495">
        <v>2010</v>
      </c>
      <c r="D495" t="s">
        <v>43</v>
      </c>
      <c r="E495" t="s">
        <v>26</v>
      </c>
      <c r="F495" t="s">
        <v>43</v>
      </c>
      <c r="G495">
        <v>25138</v>
      </c>
      <c r="H495">
        <v>20110.400000000001</v>
      </c>
      <c r="I495" s="13">
        <v>0.5</v>
      </c>
      <c r="J495" t="s">
        <v>6206</v>
      </c>
      <c r="K495">
        <v>1</v>
      </c>
      <c r="L495">
        <v>1</v>
      </c>
      <c r="M495" t="s">
        <v>58</v>
      </c>
      <c r="V495">
        <v>0</v>
      </c>
      <c r="W495">
        <v>2</v>
      </c>
      <c r="X495">
        <v>0</v>
      </c>
      <c r="Y495">
        <v>0</v>
      </c>
      <c r="Z495">
        <v>0</v>
      </c>
    </row>
    <row r="496" spans="1:26" x14ac:dyDescent="0.2">
      <c r="A496" t="s">
        <v>614</v>
      </c>
      <c r="B496" t="s">
        <v>41</v>
      </c>
      <c r="C496">
        <v>2010</v>
      </c>
      <c r="D496" t="s">
        <v>23</v>
      </c>
      <c r="E496" t="s">
        <v>63</v>
      </c>
      <c r="F496" t="s">
        <v>20</v>
      </c>
      <c r="G496">
        <v>62500</v>
      </c>
      <c r="H496">
        <v>50000</v>
      </c>
      <c r="I496" s="13">
        <v>0.66666666666666663</v>
      </c>
      <c r="J496" t="s">
        <v>6207</v>
      </c>
      <c r="K496">
        <v>2</v>
      </c>
      <c r="L496">
        <v>2</v>
      </c>
      <c r="M496" t="s">
        <v>58</v>
      </c>
      <c r="V496">
        <v>3</v>
      </c>
      <c r="W496">
        <v>0</v>
      </c>
      <c r="X496">
        <v>0</v>
      </c>
      <c r="Y496">
        <v>0</v>
      </c>
      <c r="Z496">
        <v>2</v>
      </c>
    </row>
    <row r="497" spans="1:26" x14ac:dyDescent="0.2">
      <c r="A497" t="s">
        <v>615</v>
      </c>
      <c r="B497" t="s">
        <v>53</v>
      </c>
      <c r="C497">
        <v>2010</v>
      </c>
      <c r="D497" t="s">
        <v>64</v>
      </c>
      <c r="E497" t="s">
        <v>39</v>
      </c>
      <c r="F497" t="s">
        <v>64</v>
      </c>
      <c r="G497">
        <v>52264</v>
      </c>
      <c r="H497">
        <v>41811.200000000004</v>
      </c>
      <c r="I497" s="13">
        <v>0.7142857142857143</v>
      </c>
      <c r="J497" t="s">
        <v>6207</v>
      </c>
      <c r="K497">
        <v>1</v>
      </c>
      <c r="L497">
        <v>2</v>
      </c>
      <c r="M497" t="s">
        <v>1</v>
      </c>
      <c r="V497">
        <v>3</v>
      </c>
      <c r="W497">
        <v>4</v>
      </c>
      <c r="X497">
        <v>0</v>
      </c>
      <c r="Y497">
        <v>0</v>
      </c>
      <c r="Z497">
        <v>0</v>
      </c>
    </row>
    <row r="498" spans="1:26" x14ac:dyDescent="0.2">
      <c r="A498" t="s">
        <v>616</v>
      </c>
      <c r="B498" t="s">
        <v>32</v>
      </c>
      <c r="C498">
        <v>2010</v>
      </c>
      <c r="D498" t="s">
        <v>18</v>
      </c>
      <c r="E498" t="s">
        <v>31</v>
      </c>
      <c r="F498" t="s">
        <v>20</v>
      </c>
      <c r="G498">
        <v>40341</v>
      </c>
      <c r="H498">
        <v>32272.800000000003</v>
      </c>
      <c r="I498" s="13">
        <v>0.33333333333333331</v>
      </c>
      <c r="J498" t="s">
        <v>6207</v>
      </c>
      <c r="K498">
        <v>1</v>
      </c>
      <c r="L498">
        <v>0</v>
      </c>
      <c r="M498" t="s">
        <v>0</v>
      </c>
      <c r="V498">
        <v>2</v>
      </c>
      <c r="W498">
        <v>0</v>
      </c>
      <c r="X498">
        <v>1</v>
      </c>
      <c r="Y498">
        <v>0</v>
      </c>
      <c r="Z498">
        <v>0</v>
      </c>
    </row>
    <row r="499" spans="1:26" x14ac:dyDescent="0.2">
      <c r="A499" t="s">
        <v>617</v>
      </c>
      <c r="B499" t="s">
        <v>61</v>
      </c>
      <c r="C499">
        <v>2010</v>
      </c>
      <c r="D499" t="s">
        <v>42</v>
      </c>
      <c r="E499" t="s">
        <v>62</v>
      </c>
      <c r="F499" t="s">
        <v>38</v>
      </c>
      <c r="G499">
        <v>42918</v>
      </c>
      <c r="H499">
        <v>34334.400000000001</v>
      </c>
      <c r="I499" s="13">
        <v>0.6</v>
      </c>
      <c r="J499" t="s">
        <v>6207</v>
      </c>
      <c r="K499">
        <v>3</v>
      </c>
      <c r="L499">
        <v>2</v>
      </c>
      <c r="M499" t="s">
        <v>0</v>
      </c>
      <c r="V499">
        <v>2</v>
      </c>
      <c r="W499">
        <v>3</v>
      </c>
      <c r="X499">
        <v>0</v>
      </c>
      <c r="Y499">
        <v>0</v>
      </c>
      <c r="Z499">
        <v>0</v>
      </c>
    </row>
    <row r="500" spans="1:26" x14ac:dyDescent="0.2">
      <c r="A500" t="s">
        <v>618</v>
      </c>
      <c r="B500" t="s">
        <v>25</v>
      </c>
      <c r="C500">
        <v>2010</v>
      </c>
      <c r="D500" t="s">
        <v>40</v>
      </c>
      <c r="E500" t="s">
        <v>48</v>
      </c>
      <c r="F500" t="s">
        <v>49</v>
      </c>
      <c r="G500">
        <v>53400</v>
      </c>
      <c r="H500">
        <v>42720</v>
      </c>
      <c r="I500" s="13">
        <v>0</v>
      </c>
      <c r="J500" t="s">
        <v>6207</v>
      </c>
      <c r="K500">
        <v>0</v>
      </c>
      <c r="L500">
        <v>0</v>
      </c>
      <c r="M500" t="s">
        <v>58</v>
      </c>
      <c r="V500">
        <v>0</v>
      </c>
      <c r="W500">
        <v>2</v>
      </c>
      <c r="X500">
        <v>0</v>
      </c>
      <c r="Y500">
        <v>0</v>
      </c>
      <c r="Z500">
        <v>0</v>
      </c>
    </row>
    <row r="501" spans="1:26" x14ac:dyDescent="0.2">
      <c r="A501" t="s">
        <v>619</v>
      </c>
      <c r="B501" t="s">
        <v>52</v>
      </c>
      <c r="C501">
        <v>2010</v>
      </c>
      <c r="D501" t="s">
        <v>45</v>
      </c>
      <c r="E501" t="s">
        <v>34</v>
      </c>
      <c r="F501" t="s">
        <v>26</v>
      </c>
      <c r="G501">
        <v>39572</v>
      </c>
      <c r="H501">
        <v>31657.600000000002</v>
      </c>
      <c r="I501" s="13">
        <v>0.66666666666666663</v>
      </c>
      <c r="J501" t="s">
        <v>6207</v>
      </c>
      <c r="K501">
        <v>1</v>
      </c>
      <c r="L501">
        <v>1</v>
      </c>
      <c r="M501" t="s">
        <v>58</v>
      </c>
      <c r="V501">
        <v>0</v>
      </c>
      <c r="W501">
        <v>2</v>
      </c>
      <c r="X501">
        <v>1</v>
      </c>
      <c r="Y501">
        <v>0</v>
      </c>
      <c r="Z501">
        <v>0</v>
      </c>
    </row>
    <row r="502" spans="1:26" x14ac:dyDescent="0.2">
      <c r="A502" t="s">
        <v>620</v>
      </c>
      <c r="B502" t="s">
        <v>41</v>
      </c>
      <c r="C502">
        <v>2010</v>
      </c>
      <c r="D502" t="s">
        <v>42</v>
      </c>
      <c r="E502" t="s">
        <v>48</v>
      </c>
      <c r="F502" t="s">
        <v>38</v>
      </c>
      <c r="G502">
        <v>42918</v>
      </c>
      <c r="H502">
        <v>34334.400000000001</v>
      </c>
      <c r="I502" s="13">
        <v>0.42857142857142855</v>
      </c>
      <c r="J502" t="s">
        <v>6207</v>
      </c>
      <c r="K502">
        <v>2</v>
      </c>
      <c r="L502">
        <v>2</v>
      </c>
      <c r="M502" t="s">
        <v>58</v>
      </c>
      <c r="V502">
        <v>3</v>
      </c>
      <c r="W502">
        <v>4</v>
      </c>
      <c r="X502">
        <v>0</v>
      </c>
      <c r="Y502">
        <v>0</v>
      </c>
      <c r="Z502">
        <v>1</v>
      </c>
    </row>
    <row r="503" spans="1:26" x14ac:dyDescent="0.2">
      <c r="A503" t="s">
        <v>621</v>
      </c>
      <c r="B503" t="s">
        <v>55</v>
      </c>
      <c r="C503">
        <v>2010</v>
      </c>
      <c r="D503" t="s">
        <v>22</v>
      </c>
      <c r="E503" t="s">
        <v>34</v>
      </c>
      <c r="F503" t="s">
        <v>24</v>
      </c>
      <c r="G503">
        <v>31750</v>
      </c>
      <c r="H503">
        <v>25400</v>
      </c>
      <c r="I503" s="13">
        <v>1</v>
      </c>
      <c r="J503" t="s">
        <v>6206</v>
      </c>
      <c r="K503">
        <v>2</v>
      </c>
      <c r="L503">
        <v>3</v>
      </c>
      <c r="M503" t="s">
        <v>1</v>
      </c>
      <c r="V503">
        <v>1</v>
      </c>
      <c r="W503">
        <v>0</v>
      </c>
      <c r="X503">
        <v>0</v>
      </c>
      <c r="Y503">
        <v>0</v>
      </c>
      <c r="Z503">
        <v>0</v>
      </c>
    </row>
    <row r="504" spans="1:26" x14ac:dyDescent="0.2">
      <c r="A504" t="s">
        <v>622</v>
      </c>
      <c r="B504" t="s">
        <v>61</v>
      </c>
      <c r="C504">
        <v>2010</v>
      </c>
      <c r="D504" t="s">
        <v>43</v>
      </c>
      <c r="E504" t="s">
        <v>63</v>
      </c>
      <c r="F504" t="s">
        <v>43</v>
      </c>
      <c r="G504">
        <v>25138</v>
      </c>
      <c r="H504">
        <v>20110.400000000001</v>
      </c>
      <c r="I504" s="13">
        <v>0.5</v>
      </c>
      <c r="J504" t="s">
        <v>6207</v>
      </c>
      <c r="K504">
        <v>1</v>
      </c>
      <c r="L504">
        <v>0</v>
      </c>
      <c r="M504" t="s">
        <v>0</v>
      </c>
      <c r="V504">
        <v>1</v>
      </c>
      <c r="W504">
        <v>1</v>
      </c>
      <c r="X504">
        <v>0</v>
      </c>
      <c r="Y504">
        <v>0</v>
      </c>
      <c r="Z504">
        <v>0</v>
      </c>
    </row>
    <row r="505" spans="1:26" x14ac:dyDescent="0.2">
      <c r="A505" t="s">
        <v>623</v>
      </c>
      <c r="B505" t="s">
        <v>60</v>
      </c>
      <c r="C505">
        <v>2010</v>
      </c>
      <c r="D505" t="s">
        <v>23</v>
      </c>
      <c r="E505" t="s">
        <v>62</v>
      </c>
      <c r="F505" t="s">
        <v>20</v>
      </c>
      <c r="G505">
        <v>62500</v>
      </c>
      <c r="H505">
        <v>50000</v>
      </c>
      <c r="I505" s="13">
        <v>0</v>
      </c>
      <c r="J505" t="s">
        <v>6208</v>
      </c>
      <c r="K505">
        <v>0</v>
      </c>
      <c r="L505">
        <v>0</v>
      </c>
      <c r="M505" t="s">
        <v>58</v>
      </c>
      <c r="V505">
        <v>0</v>
      </c>
      <c r="W505">
        <v>1</v>
      </c>
      <c r="X505">
        <v>0</v>
      </c>
      <c r="Y505">
        <v>0</v>
      </c>
      <c r="Z505">
        <v>0</v>
      </c>
    </row>
    <row r="506" spans="1:26" x14ac:dyDescent="0.2">
      <c r="A506" t="s">
        <v>624</v>
      </c>
      <c r="B506" t="s">
        <v>37</v>
      </c>
      <c r="C506">
        <v>2010</v>
      </c>
      <c r="D506" t="s">
        <v>51</v>
      </c>
      <c r="E506" t="s">
        <v>39</v>
      </c>
      <c r="F506" t="s">
        <v>20</v>
      </c>
      <c r="G506">
        <v>36284</v>
      </c>
      <c r="H506">
        <v>29027.200000000001</v>
      </c>
      <c r="I506" s="13">
        <v>1</v>
      </c>
      <c r="J506" t="s">
        <v>6206</v>
      </c>
      <c r="K506">
        <v>4</v>
      </c>
      <c r="L506">
        <v>2</v>
      </c>
      <c r="M506" t="s">
        <v>0</v>
      </c>
      <c r="V506">
        <v>2</v>
      </c>
      <c r="W506">
        <v>2</v>
      </c>
      <c r="X506">
        <v>0</v>
      </c>
      <c r="Y506">
        <v>0</v>
      </c>
      <c r="Z506">
        <v>0</v>
      </c>
    </row>
    <row r="507" spans="1:26" x14ac:dyDescent="0.2">
      <c r="A507" t="s">
        <v>625</v>
      </c>
      <c r="B507" t="s">
        <v>54</v>
      </c>
      <c r="C507">
        <v>2010</v>
      </c>
      <c r="D507" t="s">
        <v>64</v>
      </c>
      <c r="E507" t="s">
        <v>31</v>
      </c>
      <c r="F507" t="s">
        <v>64</v>
      </c>
      <c r="G507">
        <v>52264</v>
      </c>
      <c r="H507">
        <v>41811.200000000004</v>
      </c>
      <c r="I507" s="13">
        <v>0.75</v>
      </c>
      <c r="J507" t="s">
        <v>6206</v>
      </c>
      <c r="K507">
        <v>0</v>
      </c>
      <c r="L507">
        <v>0</v>
      </c>
      <c r="M507" t="s">
        <v>58</v>
      </c>
      <c r="V507">
        <v>2</v>
      </c>
      <c r="W507">
        <v>2</v>
      </c>
      <c r="X507">
        <v>0</v>
      </c>
      <c r="Y507">
        <v>0</v>
      </c>
      <c r="Z507">
        <v>0</v>
      </c>
    </row>
    <row r="508" spans="1:26" x14ac:dyDescent="0.2">
      <c r="A508" t="s">
        <v>626</v>
      </c>
      <c r="B508" t="s">
        <v>53</v>
      </c>
      <c r="C508">
        <v>2010</v>
      </c>
      <c r="D508" t="s">
        <v>40</v>
      </c>
      <c r="E508" t="s">
        <v>38</v>
      </c>
      <c r="F508" t="s">
        <v>49</v>
      </c>
      <c r="G508">
        <v>53400</v>
      </c>
      <c r="H508">
        <v>42720</v>
      </c>
      <c r="I508" s="13">
        <v>0.5</v>
      </c>
      <c r="J508" t="s">
        <v>6207</v>
      </c>
      <c r="K508">
        <v>0</v>
      </c>
      <c r="L508">
        <v>0</v>
      </c>
      <c r="M508" t="s">
        <v>58</v>
      </c>
      <c r="V508">
        <v>2</v>
      </c>
      <c r="W508">
        <v>0</v>
      </c>
      <c r="X508">
        <v>0</v>
      </c>
      <c r="Y508">
        <v>0</v>
      </c>
      <c r="Z508">
        <v>0</v>
      </c>
    </row>
    <row r="509" spans="1:26" x14ac:dyDescent="0.2">
      <c r="A509" t="s">
        <v>627</v>
      </c>
      <c r="B509" t="s">
        <v>47</v>
      </c>
      <c r="C509">
        <v>2010</v>
      </c>
      <c r="D509" t="s">
        <v>27</v>
      </c>
      <c r="E509" t="s">
        <v>26</v>
      </c>
      <c r="F509" t="s">
        <v>27</v>
      </c>
      <c r="G509">
        <v>30089</v>
      </c>
      <c r="H509">
        <v>24071.200000000001</v>
      </c>
      <c r="I509" s="13">
        <v>0.66666666666666663</v>
      </c>
      <c r="J509" t="s">
        <v>6208</v>
      </c>
      <c r="K509">
        <v>2</v>
      </c>
      <c r="L509">
        <v>0</v>
      </c>
      <c r="M509" t="s">
        <v>0</v>
      </c>
      <c r="V509">
        <v>2</v>
      </c>
      <c r="W509">
        <v>3</v>
      </c>
      <c r="X509">
        <v>0</v>
      </c>
      <c r="Y509">
        <v>1</v>
      </c>
      <c r="Z509">
        <v>0</v>
      </c>
    </row>
    <row r="510" spans="1:26" x14ac:dyDescent="0.2">
      <c r="A510" t="s">
        <v>628</v>
      </c>
      <c r="B510" t="s">
        <v>56</v>
      </c>
      <c r="C510">
        <v>2010</v>
      </c>
      <c r="D510" t="s">
        <v>45</v>
      </c>
      <c r="E510" t="s">
        <v>46</v>
      </c>
      <c r="F510" t="s">
        <v>26</v>
      </c>
      <c r="G510">
        <v>39572</v>
      </c>
      <c r="H510">
        <v>31657.600000000002</v>
      </c>
      <c r="I510" s="13">
        <v>1</v>
      </c>
      <c r="J510" t="s">
        <v>6207</v>
      </c>
      <c r="K510">
        <v>1</v>
      </c>
      <c r="L510">
        <v>2</v>
      </c>
      <c r="M510" t="s">
        <v>1</v>
      </c>
      <c r="V510">
        <v>2</v>
      </c>
      <c r="W510">
        <v>2</v>
      </c>
      <c r="X510">
        <v>0</v>
      </c>
      <c r="Y510">
        <v>0</v>
      </c>
      <c r="Z510">
        <v>0</v>
      </c>
    </row>
    <row r="511" spans="1:26" x14ac:dyDescent="0.2">
      <c r="A511" t="s">
        <v>629</v>
      </c>
      <c r="B511" t="s">
        <v>25</v>
      </c>
      <c r="C511">
        <v>2010</v>
      </c>
      <c r="D511" t="s">
        <v>18</v>
      </c>
      <c r="E511" t="s">
        <v>35</v>
      </c>
      <c r="F511" t="s">
        <v>20</v>
      </c>
      <c r="G511">
        <v>40341</v>
      </c>
      <c r="H511">
        <v>32272.800000000003</v>
      </c>
      <c r="I511" s="13">
        <v>0.66666666666666663</v>
      </c>
      <c r="J511" t="s">
        <v>6207</v>
      </c>
      <c r="K511">
        <v>0</v>
      </c>
      <c r="L511">
        <v>3</v>
      </c>
      <c r="M511" t="s">
        <v>1</v>
      </c>
      <c r="V511">
        <v>1</v>
      </c>
      <c r="W511">
        <v>2</v>
      </c>
      <c r="X511">
        <v>0</v>
      </c>
      <c r="Y511">
        <v>0</v>
      </c>
      <c r="Z511">
        <v>0</v>
      </c>
    </row>
    <row r="512" spans="1:26" x14ac:dyDescent="0.2">
      <c r="A512" t="s">
        <v>630</v>
      </c>
      <c r="B512" t="s">
        <v>52</v>
      </c>
      <c r="C512">
        <v>2010</v>
      </c>
      <c r="D512" t="s">
        <v>46</v>
      </c>
      <c r="E512" t="s">
        <v>51</v>
      </c>
      <c r="F512" t="s">
        <v>20</v>
      </c>
      <c r="G512">
        <v>60704</v>
      </c>
      <c r="H512">
        <v>48563.200000000004</v>
      </c>
      <c r="I512" s="13">
        <v>1</v>
      </c>
      <c r="J512" t="s">
        <v>6207</v>
      </c>
      <c r="K512">
        <v>2</v>
      </c>
      <c r="L512">
        <v>3</v>
      </c>
      <c r="M512" t="s">
        <v>1</v>
      </c>
      <c r="V512">
        <v>3</v>
      </c>
      <c r="W512">
        <v>1</v>
      </c>
      <c r="X512">
        <v>0</v>
      </c>
      <c r="Y512">
        <v>0</v>
      </c>
      <c r="Z512">
        <v>1</v>
      </c>
    </row>
    <row r="513" spans="1:26" x14ac:dyDescent="0.2">
      <c r="A513" t="s">
        <v>631</v>
      </c>
      <c r="B513" t="s">
        <v>25</v>
      </c>
      <c r="C513">
        <v>2010</v>
      </c>
      <c r="D513" t="s">
        <v>63</v>
      </c>
      <c r="E513" t="s">
        <v>27</v>
      </c>
      <c r="F513" t="s">
        <v>65</v>
      </c>
      <c r="G513">
        <v>26804</v>
      </c>
      <c r="H513">
        <v>21443.200000000001</v>
      </c>
      <c r="I513" s="13">
        <v>0</v>
      </c>
      <c r="J513" t="s">
        <v>6207</v>
      </c>
      <c r="K513">
        <v>0</v>
      </c>
      <c r="L513">
        <v>3</v>
      </c>
      <c r="M513" t="s">
        <v>1</v>
      </c>
      <c r="V513">
        <v>0</v>
      </c>
      <c r="W513">
        <v>0</v>
      </c>
      <c r="X513">
        <v>0</v>
      </c>
      <c r="Y513">
        <v>0</v>
      </c>
      <c r="Z513">
        <v>2</v>
      </c>
    </row>
    <row r="514" spans="1:26" x14ac:dyDescent="0.2">
      <c r="A514" t="s">
        <v>632</v>
      </c>
      <c r="B514" t="s">
        <v>32</v>
      </c>
      <c r="C514">
        <v>2010</v>
      </c>
      <c r="D514" t="s">
        <v>48</v>
      </c>
      <c r="E514" t="s">
        <v>43</v>
      </c>
      <c r="F514" t="s">
        <v>49</v>
      </c>
      <c r="G514">
        <v>74197</v>
      </c>
      <c r="H514">
        <v>59357.600000000006</v>
      </c>
      <c r="I514" s="13">
        <v>0.75</v>
      </c>
      <c r="J514" t="s">
        <v>6207</v>
      </c>
      <c r="K514">
        <v>2</v>
      </c>
      <c r="L514">
        <v>0</v>
      </c>
      <c r="M514" t="s">
        <v>0</v>
      </c>
      <c r="V514">
        <v>0</v>
      </c>
      <c r="W514">
        <v>2</v>
      </c>
      <c r="X514">
        <v>0</v>
      </c>
      <c r="Y514">
        <v>2</v>
      </c>
      <c r="Z514">
        <v>0</v>
      </c>
    </row>
    <row r="515" spans="1:26" x14ac:dyDescent="0.2">
      <c r="A515" t="s">
        <v>633</v>
      </c>
      <c r="B515" t="s">
        <v>56</v>
      </c>
      <c r="C515">
        <v>2010</v>
      </c>
      <c r="D515" t="s">
        <v>34</v>
      </c>
      <c r="E515" t="s">
        <v>64</v>
      </c>
      <c r="F515" t="s">
        <v>36</v>
      </c>
      <c r="G515">
        <v>28723</v>
      </c>
      <c r="H515">
        <v>22978.400000000001</v>
      </c>
      <c r="I515" s="13">
        <v>0.5</v>
      </c>
      <c r="J515" t="s">
        <v>6207</v>
      </c>
      <c r="K515">
        <v>5</v>
      </c>
      <c r="L515">
        <v>1</v>
      </c>
      <c r="M515" t="s">
        <v>0</v>
      </c>
      <c r="V515">
        <v>1</v>
      </c>
      <c r="W515">
        <v>2</v>
      </c>
      <c r="X515">
        <v>0</v>
      </c>
      <c r="Y515">
        <v>1</v>
      </c>
      <c r="Z515">
        <v>2</v>
      </c>
    </row>
    <row r="516" spans="1:26" x14ac:dyDescent="0.2">
      <c r="A516" t="s">
        <v>634</v>
      </c>
      <c r="B516" t="s">
        <v>44</v>
      </c>
      <c r="C516">
        <v>2010</v>
      </c>
      <c r="D516" t="s">
        <v>62</v>
      </c>
      <c r="E516" t="s">
        <v>22</v>
      </c>
      <c r="F516" t="s">
        <v>62</v>
      </c>
      <c r="G516">
        <v>17338</v>
      </c>
      <c r="H516">
        <v>13870.400000000001</v>
      </c>
      <c r="I516" s="13">
        <v>0</v>
      </c>
      <c r="J516" t="s">
        <v>6207</v>
      </c>
      <c r="K516">
        <v>2</v>
      </c>
      <c r="L516">
        <v>1</v>
      </c>
      <c r="M516" t="s">
        <v>0</v>
      </c>
      <c r="V516">
        <v>0</v>
      </c>
      <c r="W516">
        <v>2</v>
      </c>
      <c r="X516">
        <v>0</v>
      </c>
      <c r="Y516">
        <v>0</v>
      </c>
      <c r="Z516">
        <v>0</v>
      </c>
    </row>
    <row r="517" spans="1:26" x14ac:dyDescent="0.2">
      <c r="A517" t="s">
        <v>635</v>
      </c>
      <c r="B517" t="s">
        <v>47</v>
      </c>
      <c r="C517">
        <v>2010</v>
      </c>
      <c r="D517" t="s">
        <v>38</v>
      </c>
      <c r="E517" t="s">
        <v>18</v>
      </c>
      <c r="F517" t="s">
        <v>38</v>
      </c>
      <c r="G517">
        <v>29409</v>
      </c>
      <c r="H517">
        <v>23527.200000000001</v>
      </c>
      <c r="I517" s="13">
        <v>0.5</v>
      </c>
      <c r="J517" t="s">
        <v>6208</v>
      </c>
      <c r="K517">
        <v>1</v>
      </c>
      <c r="L517">
        <v>0</v>
      </c>
      <c r="M517" t="s">
        <v>0</v>
      </c>
      <c r="V517">
        <v>2</v>
      </c>
      <c r="W517">
        <v>0</v>
      </c>
      <c r="X517">
        <v>0</v>
      </c>
      <c r="Y517">
        <v>0</v>
      </c>
      <c r="Z517">
        <v>0</v>
      </c>
    </row>
    <row r="518" spans="1:26" x14ac:dyDescent="0.2">
      <c r="A518" t="s">
        <v>636</v>
      </c>
      <c r="B518" t="s">
        <v>54</v>
      </c>
      <c r="C518">
        <v>2010</v>
      </c>
      <c r="D518" t="s">
        <v>26</v>
      </c>
      <c r="E518" t="s">
        <v>23</v>
      </c>
      <c r="F518" t="s">
        <v>26</v>
      </c>
      <c r="G518">
        <v>61276</v>
      </c>
      <c r="H518">
        <v>49020.800000000003</v>
      </c>
      <c r="I518" s="13">
        <v>0</v>
      </c>
      <c r="J518" t="s">
        <v>6206</v>
      </c>
      <c r="K518">
        <v>3</v>
      </c>
      <c r="L518">
        <v>0</v>
      </c>
      <c r="M518" t="s">
        <v>0</v>
      </c>
      <c r="V518">
        <v>0</v>
      </c>
      <c r="W518">
        <v>1</v>
      </c>
      <c r="X518">
        <v>0</v>
      </c>
      <c r="Y518">
        <v>0</v>
      </c>
      <c r="Z518">
        <v>1</v>
      </c>
    </row>
    <row r="519" spans="1:26" x14ac:dyDescent="0.2">
      <c r="A519" t="s">
        <v>637</v>
      </c>
      <c r="B519" t="s">
        <v>66</v>
      </c>
      <c r="C519">
        <v>2010</v>
      </c>
      <c r="D519" t="s">
        <v>39</v>
      </c>
      <c r="E519" t="s">
        <v>42</v>
      </c>
      <c r="F519" t="s">
        <v>39</v>
      </c>
      <c r="G519">
        <v>31367</v>
      </c>
      <c r="H519">
        <v>25093.600000000002</v>
      </c>
      <c r="I519" s="13">
        <v>1</v>
      </c>
      <c r="J519" t="s">
        <v>6207</v>
      </c>
      <c r="K519">
        <v>2</v>
      </c>
      <c r="L519">
        <v>0</v>
      </c>
      <c r="M519" t="s">
        <v>0</v>
      </c>
      <c r="V519">
        <v>0</v>
      </c>
      <c r="W519">
        <v>1</v>
      </c>
      <c r="X519">
        <v>0</v>
      </c>
      <c r="Y519">
        <v>0</v>
      </c>
      <c r="Z519">
        <v>0</v>
      </c>
    </row>
    <row r="520" spans="1:26" x14ac:dyDescent="0.2">
      <c r="A520" t="s">
        <v>638</v>
      </c>
      <c r="B520" t="s">
        <v>50</v>
      </c>
      <c r="C520">
        <v>2010</v>
      </c>
      <c r="D520" t="s">
        <v>31</v>
      </c>
      <c r="E520" t="s">
        <v>40</v>
      </c>
      <c r="F520" t="s">
        <v>20</v>
      </c>
      <c r="G520">
        <v>28500</v>
      </c>
      <c r="H520">
        <v>22800</v>
      </c>
      <c r="I520" s="13">
        <v>0.66666666666666663</v>
      </c>
      <c r="J520" t="s">
        <v>6207</v>
      </c>
      <c r="K520">
        <v>1</v>
      </c>
      <c r="L520">
        <v>4</v>
      </c>
      <c r="M520" t="s">
        <v>1</v>
      </c>
      <c r="V520">
        <v>2</v>
      </c>
      <c r="W520">
        <v>1</v>
      </c>
      <c r="X520">
        <v>0</v>
      </c>
      <c r="Y520">
        <v>0</v>
      </c>
      <c r="Z520">
        <v>0</v>
      </c>
    </row>
    <row r="521" spans="1:26" x14ac:dyDescent="0.2">
      <c r="A521" t="s">
        <v>639</v>
      </c>
      <c r="B521" t="s">
        <v>55</v>
      </c>
      <c r="C521">
        <v>2010</v>
      </c>
      <c r="D521" t="s">
        <v>35</v>
      </c>
      <c r="E521" t="s">
        <v>45</v>
      </c>
      <c r="F521" t="s">
        <v>35</v>
      </c>
      <c r="G521">
        <v>49000</v>
      </c>
      <c r="H521">
        <v>39200</v>
      </c>
      <c r="I521" s="13">
        <v>0.5</v>
      </c>
      <c r="J521" t="s">
        <v>6206</v>
      </c>
      <c r="K521">
        <v>2</v>
      </c>
      <c r="L521">
        <v>2</v>
      </c>
      <c r="M521" t="s">
        <v>58</v>
      </c>
      <c r="V521">
        <v>0</v>
      </c>
      <c r="W521">
        <v>2</v>
      </c>
      <c r="X521">
        <v>0</v>
      </c>
      <c r="Y521">
        <v>0</v>
      </c>
      <c r="Z521">
        <v>0</v>
      </c>
    </row>
    <row r="522" spans="1:26" x14ac:dyDescent="0.2">
      <c r="A522" t="s">
        <v>640</v>
      </c>
      <c r="B522" t="s">
        <v>44</v>
      </c>
      <c r="C522">
        <v>2010</v>
      </c>
      <c r="D522" t="s">
        <v>42</v>
      </c>
      <c r="E522" t="s">
        <v>46</v>
      </c>
      <c r="F522" t="s">
        <v>38</v>
      </c>
      <c r="G522">
        <v>42918</v>
      </c>
      <c r="H522">
        <v>34334.400000000001</v>
      </c>
      <c r="I522" s="13">
        <v>1</v>
      </c>
      <c r="J522" t="s">
        <v>6207</v>
      </c>
      <c r="K522">
        <v>2</v>
      </c>
      <c r="L522">
        <v>4</v>
      </c>
      <c r="M522" t="s">
        <v>1</v>
      </c>
      <c r="V522">
        <v>1</v>
      </c>
      <c r="W522">
        <v>1</v>
      </c>
      <c r="X522">
        <v>0</v>
      </c>
      <c r="Y522">
        <v>0</v>
      </c>
      <c r="Z522">
        <v>0</v>
      </c>
    </row>
    <row r="523" spans="1:26" x14ac:dyDescent="0.2">
      <c r="A523" t="s">
        <v>641</v>
      </c>
      <c r="B523" t="s">
        <v>53</v>
      </c>
      <c r="C523">
        <v>2010</v>
      </c>
      <c r="D523" t="s">
        <v>22</v>
      </c>
      <c r="E523" t="s">
        <v>35</v>
      </c>
      <c r="F523" t="s">
        <v>24</v>
      </c>
      <c r="G523">
        <v>31750</v>
      </c>
      <c r="H523">
        <v>25400</v>
      </c>
      <c r="I523" s="13">
        <v>0.6</v>
      </c>
      <c r="J523" t="s">
        <v>6207</v>
      </c>
      <c r="K523">
        <v>3</v>
      </c>
      <c r="L523">
        <v>2</v>
      </c>
      <c r="M523" t="s">
        <v>0</v>
      </c>
      <c r="V523">
        <v>2</v>
      </c>
      <c r="W523">
        <v>3</v>
      </c>
      <c r="X523">
        <v>0</v>
      </c>
      <c r="Y523">
        <v>0</v>
      </c>
      <c r="Z523">
        <v>0</v>
      </c>
    </row>
    <row r="524" spans="1:26" x14ac:dyDescent="0.2">
      <c r="A524" t="s">
        <v>642</v>
      </c>
      <c r="B524" t="s">
        <v>47</v>
      </c>
      <c r="C524">
        <v>2010</v>
      </c>
      <c r="D524" t="s">
        <v>23</v>
      </c>
      <c r="E524" t="s">
        <v>43</v>
      </c>
      <c r="F524" t="s">
        <v>20</v>
      </c>
      <c r="G524">
        <v>62500</v>
      </c>
      <c r="H524">
        <v>50000</v>
      </c>
      <c r="I524" s="13">
        <v>0</v>
      </c>
      <c r="J524" t="s">
        <v>6208</v>
      </c>
      <c r="K524">
        <v>3</v>
      </c>
      <c r="L524">
        <v>1</v>
      </c>
      <c r="M524" t="s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">
      <c r="A525" t="s">
        <v>643</v>
      </c>
      <c r="B525" t="s">
        <v>55</v>
      </c>
      <c r="C525">
        <v>2010</v>
      </c>
      <c r="D525" t="s">
        <v>27</v>
      </c>
      <c r="E525" t="s">
        <v>40</v>
      </c>
      <c r="F525" t="s">
        <v>27</v>
      </c>
      <c r="G525">
        <v>30089</v>
      </c>
      <c r="H525">
        <v>24071.200000000001</v>
      </c>
      <c r="I525" s="13">
        <v>0.75</v>
      </c>
      <c r="J525" t="s">
        <v>6206</v>
      </c>
      <c r="K525">
        <v>1</v>
      </c>
      <c r="L525">
        <v>1</v>
      </c>
      <c r="M525" t="s">
        <v>58</v>
      </c>
      <c r="V525">
        <v>2</v>
      </c>
      <c r="W525">
        <v>2</v>
      </c>
      <c r="X525">
        <v>0</v>
      </c>
      <c r="Y525">
        <v>0</v>
      </c>
      <c r="Z525">
        <v>0</v>
      </c>
    </row>
    <row r="526" spans="1:26" x14ac:dyDescent="0.2">
      <c r="A526" t="s">
        <v>644</v>
      </c>
      <c r="B526" t="s">
        <v>54</v>
      </c>
      <c r="C526">
        <v>2010</v>
      </c>
      <c r="D526" t="s">
        <v>48</v>
      </c>
      <c r="E526" t="s">
        <v>39</v>
      </c>
      <c r="F526" t="s">
        <v>49</v>
      </c>
      <c r="G526">
        <v>74197</v>
      </c>
      <c r="H526">
        <v>59357.600000000006</v>
      </c>
      <c r="I526" s="13">
        <v>1</v>
      </c>
      <c r="J526" t="s">
        <v>6206</v>
      </c>
      <c r="K526">
        <v>7</v>
      </c>
      <c r="L526">
        <v>1</v>
      </c>
      <c r="M526" t="s">
        <v>0</v>
      </c>
      <c r="V526">
        <v>0</v>
      </c>
      <c r="W526">
        <v>2</v>
      </c>
      <c r="X526">
        <v>0</v>
      </c>
      <c r="Y526">
        <v>0</v>
      </c>
      <c r="Z526">
        <v>0</v>
      </c>
    </row>
    <row r="527" spans="1:26" x14ac:dyDescent="0.2">
      <c r="A527" t="s">
        <v>645</v>
      </c>
      <c r="B527" t="s">
        <v>56</v>
      </c>
      <c r="C527">
        <v>2010</v>
      </c>
      <c r="D527" t="s">
        <v>31</v>
      </c>
      <c r="E527" t="s">
        <v>38</v>
      </c>
      <c r="F527" t="s">
        <v>20</v>
      </c>
      <c r="G527">
        <v>28500</v>
      </c>
      <c r="H527">
        <v>22800</v>
      </c>
      <c r="I527" s="13">
        <v>1</v>
      </c>
      <c r="J527" t="s">
        <v>6207</v>
      </c>
      <c r="K527">
        <v>1</v>
      </c>
      <c r="L527">
        <v>1</v>
      </c>
      <c r="M527" t="s">
        <v>58</v>
      </c>
      <c r="V527">
        <v>1</v>
      </c>
      <c r="W527">
        <v>0</v>
      </c>
      <c r="X527">
        <v>0</v>
      </c>
      <c r="Y527">
        <v>0</v>
      </c>
      <c r="Z527">
        <v>0</v>
      </c>
    </row>
    <row r="528" spans="1:26" x14ac:dyDescent="0.2">
      <c r="A528" t="s">
        <v>646</v>
      </c>
      <c r="B528" t="s">
        <v>50</v>
      </c>
      <c r="C528">
        <v>2010</v>
      </c>
      <c r="D528" t="s">
        <v>45</v>
      </c>
      <c r="E528" t="s">
        <v>63</v>
      </c>
      <c r="F528" t="s">
        <v>26</v>
      </c>
      <c r="G528">
        <v>39572</v>
      </c>
      <c r="H528">
        <v>31657.600000000002</v>
      </c>
      <c r="I528" s="13">
        <v>0.5</v>
      </c>
      <c r="J528" t="s">
        <v>6207</v>
      </c>
      <c r="K528">
        <v>1</v>
      </c>
      <c r="L528">
        <v>4</v>
      </c>
      <c r="M528" t="s">
        <v>1</v>
      </c>
      <c r="V528">
        <v>1</v>
      </c>
      <c r="W528">
        <v>3</v>
      </c>
      <c r="X528">
        <v>1</v>
      </c>
      <c r="Y528">
        <v>1</v>
      </c>
      <c r="Z528">
        <v>0</v>
      </c>
    </row>
    <row r="529" spans="1:26" x14ac:dyDescent="0.2">
      <c r="A529" t="s">
        <v>647</v>
      </c>
      <c r="B529" t="s">
        <v>41</v>
      </c>
      <c r="C529">
        <v>2010</v>
      </c>
      <c r="D529" t="s">
        <v>34</v>
      </c>
      <c r="E529" t="s">
        <v>62</v>
      </c>
      <c r="F529" t="s">
        <v>36</v>
      </c>
      <c r="G529">
        <v>28723</v>
      </c>
      <c r="H529">
        <v>22978.400000000001</v>
      </c>
      <c r="I529" s="13">
        <v>0</v>
      </c>
      <c r="J529" t="s">
        <v>6207</v>
      </c>
      <c r="K529">
        <v>2</v>
      </c>
      <c r="L529">
        <v>2</v>
      </c>
      <c r="M529" t="s">
        <v>58</v>
      </c>
      <c r="V529">
        <v>2</v>
      </c>
      <c r="W529">
        <v>2</v>
      </c>
      <c r="X529">
        <v>0</v>
      </c>
      <c r="Y529">
        <v>0</v>
      </c>
      <c r="Z529">
        <v>0</v>
      </c>
    </row>
    <row r="530" spans="1:26" x14ac:dyDescent="0.2">
      <c r="A530" t="s">
        <v>648</v>
      </c>
      <c r="B530" t="s">
        <v>37</v>
      </c>
      <c r="C530">
        <v>2010</v>
      </c>
      <c r="D530" t="s">
        <v>64</v>
      </c>
      <c r="E530" t="s">
        <v>18</v>
      </c>
      <c r="F530" t="s">
        <v>64</v>
      </c>
      <c r="G530">
        <v>52264</v>
      </c>
      <c r="H530">
        <v>41811.200000000004</v>
      </c>
      <c r="I530" s="13">
        <v>0.66666666666666663</v>
      </c>
      <c r="J530" t="s">
        <v>6206</v>
      </c>
      <c r="K530">
        <v>1</v>
      </c>
      <c r="L530">
        <v>1</v>
      </c>
      <c r="M530" t="s">
        <v>58</v>
      </c>
      <c r="V530">
        <v>2</v>
      </c>
      <c r="W530">
        <v>1</v>
      </c>
      <c r="X530">
        <v>0</v>
      </c>
      <c r="Y530">
        <v>0</v>
      </c>
      <c r="Z530">
        <v>0</v>
      </c>
    </row>
    <row r="531" spans="1:26" x14ac:dyDescent="0.2">
      <c r="A531" t="s">
        <v>649</v>
      </c>
      <c r="B531" t="s">
        <v>32</v>
      </c>
      <c r="C531">
        <v>2010</v>
      </c>
      <c r="D531" t="s">
        <v>51</v>
      </c>
      <c r="E531" t="s">
        <v>26</v>
      </c>
      <c r="F531" t="s">
        <v>20</v>
      </c>
      <c r="G531">
        <v>36284</v>
      </c>
      <c r="H531">
        <v>29027.200000000001</v>
      </c>
      <c r="I531" s="13">
        <v>0.4</v>
      </c>
      <c r="J531" t="s">
        <v>6207</v>
      </c>
      <c r="K531">
        <v>2</v>
      </c>
      <c r="L531">
        <v>1</v>
      </c>
      <c r="M531" t="s">
        <v>0</v>
      </c>
      <c r="V531">
        <v>0</v>
      </c>
      <c r="W531">
        <v>5</v>
      </c>
      <c r="X531">
        <v>0</v>
      </c>
      <c r="Y531">
        <v>0</v>
      </c>
      <c r="Z531">
        <v>0</v>
      </c>
    </row>
    <row r="532" spans="1:26" x14ac:dyDescent="0.2">
      <c r="A532" t="s">
        <v>650</v>
      </c>
      <c r="B532" t="s">
        <v>53</v>
      </c>
      <c r="C532">
        <v>2010</v>
      </c>
      <c r="D532" t="s">
        <v>43</v>
      </c>
      <c r="E532" t="s">
        <v>27</v>
      </c>
      <c r="F532" t="s">
        <v>43</v>
      </c>
      <c r="G532">
        <v>25138</v>
      </c>
      <c r="H532">
        <v>20110.400000000001</v>
      </c>
      <c r="I532" s="13">
        <v>0.75</v>
      </c>
      <c r="J532" t="s">
        <v>6207</v>
      </c>
      <c r="K532">
        <v>2</v>
      </c>
      <c r="L532">
        <v>2</v>
      </c>
      <c r="M532" t="s">
        <v>58</v>
      </c>
      <c r="V532">
        <v>1</v>
      </c>
      <c r="W532">
        <v>3</v>
      </c>
      <c r="X532">
        <v>0</v>
      </c>
      <c r="Y532">
        <v>0</v>
      </c>
      <c r="Z532">
        <v>0</v>
      </c>
    </row>
    <row r="533" spans="1:26" x14ac:dyDescent="0.2">
      <c r="A533" t="s">
        <v>651</v>
      </c>
      <c r="B533" t="s">
        <v>37</v>
      </c>
      <c r="C533">
        <v>2010</v>
      </c>
      <c r="D533" t="s">
        <v>40</v>
      </c>
      <c r="E533" t="s">
        <v>34</v>
      </c>
      <c r="F533" t="s">
        <v>49</v>
      </c>
      <c r="G533">
        <v>53400</v>
      </c>
      <c r="H533">
        <v>42720</v>
      </c>
      <c r="I533" s="13">
        <v>0.5</v>
      </c>
      <c r="J533" t="s">
        <v>6206</v>
      </c>
      <c r="K533">
        <v>1</v>
      </c>
      <c r="L533">
        <v>0</v>
      </c>
      <c r="M533" t="s">
        <v>0</v>
      </c>
      <c r="V533">
        <v>3</v>
      </c>
      <c r="W533">
        <v>2</v>
      </c>
      <c r="X533">
        <v>1</v>
      </c>
      <c r="Y533">
        <v>0</v>
      </c>
      <c r="Z533">
        <v>0</v>
      </c>
    </row>
    <row r="534" spans="1:26" x14ac:dyDescent="0.2">
      <c r="A534" t="s">
        <v>652</v>
      </c>
      <c r="B534" t="s">
        <v>54</v>
      </c>
      <c r="C534">
        <v>2010</v>
      </c>
      <c r="D534" t="s">
        <v>18</v>
      </c>
      <c r="E534" t="s">
        <v>45</v>
      </c>
      <c r="F534" t="s">
        <v>20</v>
      </c>
      <c r="G534">
        <v>40341</v>
      </c>
      <c r="H534">
        <v>32272.800000000003</v>
      </c>
      <c r="I534" s="13">
        <v>0.4</v>
      </c>
      <c r="J534" t="s">
        <v>6206</v>
      </c>
      <c r="K534">
        <v>1</v>
      </c>
      <c r="L534">
        <v>1</v>
      </c>
      <c r="M534" t="s">
        <v>58</v>
      </c>
      <c r="V534">
        <v>1</v>
      </c>
      <c r="W534">
        <v>4</v>
      </c>
      <c r="X534">
        <v>0</v>
      </c>
      <c r="Y534">
        <v>0</v>
      </c>
      <c r="Z534">
        <v>1</v>
      </c>
    </row>
    <row r="535" spans="1:26" x14ac:dyDescent="0.2">
      <c r="A535" t="s">
        <v>653</v>
      </c>
      <c r="B535" t="s">
        <v>56</v>
      </c>
      <c r="C535">
        <v>2010</v>
      </c>
      <c r="D535" t="s">
        <v>39</v>
      </c>
      <c r="E535" t="s">
        <v>22</v>
      </c>
      <c r="F535" t="s">
        <v>39</v>
      </c>
      <c r="G535">
        <v>31367</v>
      </c>
      <c r="H535">
        <v>25093.600000000002</v>
      </c>
      <c r="I535" s="13">
        <v>0.5</v>
      </c>
      <c r="J535" t="s">
        <v>6207</v>
      </c>
      <c r="K535">
        <v>3</v>
      </c>
      <c r="L535">
        <v>0</v>
      </c>
      <c r="M535" t="s">
        <v>0</v>
      </c>
      <c r="V535">
        <v>0</v>
      </c>
      <c r="W535">
        <v>2</v>
      </c>
      <c r="X535">
        <v>0</v>
      </c>
      <c r="Y535">
        <v>0</v>
      </c>
      <c r="Z535">
        <v>0</v>
      </c>
    </row>
    <row r="536" spans="1:26" x14ac:dyDescent="0.2">
      <c r="A536" t="s">
        <v>654</v>
      </c>
      <c r="B536" t="s">
        <v>60</v>
      </c>
      <c r="C536">
        <v>2010</v>
      </c>
      <c r="D536" t="s">
        <v>38</v>
      </c>
      <c r="E536" t="s">
        <v>51</v>
      </c>
      <c r="F536" t="s">
        <v>38</v>
      </c>
      <c r="G536">
        <v>29409</v>
      </c>
      <c r="H536">
        <v>23527.200000000001</v>
      </c>
      <c r="I536" s="13">
        <v>0.5</v>
      </c>
      <c r="J536" t="s">
        <v>6208</v>
      </c>
      <c r="K536">
        <v>1</v>
      </c>
      <c r="L536">
        <v>1</v>
      </c>
      <c r="M536" t="s">
        <v>58</v>
      </c>
      <c r="V536">
        <v>1</v>
      </c>
      <c r="W536">
        <v>1</v>
      </c>
      <c r="X536">
        <v>0</v>
      </c>
      <c r="Y536">
        <v>0</v>
      </c>
      <c r="Z536">
        <v>0</v>
      </c>
    </row>
    <row r="537" spans="1:26" x14ac:dyDescent="0.2">
      <c r="A537" t="s">
        <v>655</v>
      </c>
      <c r="B537" t="s">
        <v>25</v>
      </c>
      <c r="C537">
        <v>2010</v>
      </c>
      <c r="D537" t="s">
        <v>46</v>
      </c>
      <c r="E537" t="s">
        <v>31</v>
      </c>
      <c r="F537" t="s">
        <v>20</v>
      </c>
      <c r="G537">
        <v>60704</v>
      </c>
      <c r="H537">
        <v>48563.200000000004</v>
      </c>
      <c r="I537" s="13">
        <v>0</v>
      </c>
      <c r="J537" t="s">
        <v>6207</v>
      </c>
      <c r="K537">
        <v>2</v>
      </c>
      <c r="L537">
        <v>1</v>
      </c>
      <c r="M537" t="s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">
      <c r="A538" t="s">
        <v>656</v>
      </c>
      <c r="B538" t="s">
        <v>41</v>
      </c>
      <c r="C538">
        <v>2010</v>
      </c>
      <c r="D538" t="s">
        <v>63</v>
      </c>
      <c r="E538" t="s">
        <v>64</v>
      </c>
      <c r="F538" t="s">
        <v>65</v>
      </c>
      <c r="G538">
        <v>26804</v>
      </c>
      <c r="H538">
        <v>21443.200000000001</v>
      </c>
      <c r="I538" s="13">
        <v>0.4</v>
      </c>
      <c r="J538" t="s">
        <v>6207</v>
      </c>
      <c r="K538">
        <v>3</v>
      </c>
      <c r="L538">
        <v>1</v>
      </c>
      <c r="M538" t="s">
        <v>0</v>
      </c>
      <c r="V538">
        <v>0</v>
      </c>
      <c r="W538">
        <v>5</v>
      </c>
      <c r="X538">
        <v>0</v>
      </c>
      <c r="Y538">
        <v>0</v>
      </c>
      <c r="Z538">
        <v>0</v>
      </c>
    </row>
    <row r="539" spans="1:26" x14ac:dyDescent="0.2">
      <c r="A539" t="s">
        <v>657</v>
      </c>
      <c r="B539" t="s">
        <v>32</v>
      </c>
      <c r="C539">
        <v>2010</v>
      </c>
      <c r="D539" t="s">
        <v>35</v>
      </c>
      <c r="E539" t="s">
        <v>23</v>
      </c>
      <c r="F539" t="s">
        <v>35</v>
      </c>
      <c r="G539">
        <v>49000</v>
      </c>
      <c r="H539">
        <v>39200</v>
      </c>
      <c r="I539" s="13">
        <v>0.25</v>
      </c>
      <c r="J539" t="s">
        <v>6207</v>
      </c>
      <c r="K539">
        <v>1</v>
      </c>
      <c r="L539">
        <v>0</v>
      </c>
      <c r="M539" t="s">
        <v>0</v>
      </c>
      <c r="V539">
        <v>1</v>
      </c>
      <c r="W539">
        <v>3</v>
      </c>
      <c r="X539">
        <v>0</v>
      </c>
      <c r="Y539">
        <v>0</v>
      </c>
      <c r="Z539">
        <v>0</v>
      </c>
    </row>
    <row r="540" spans="1:26" x14ac:dyDescent="0.2">
      <c r="A540" t="s">
        <v>658</v>
      </c>
      <c r="B540" t="s">
        <v>52</v>
      </c>
      <c r="C540">
        <v>2010</v>
      </c>
      <c r="D540" t="s">
        <v>26</v>
      </c>
      <c r="E540" t="s">
        <v>42</v>
      </c>
      <c r="F540" t="s">
        <v>26</v>
      </c>
      <c r="G540">
        <v>61276</v>
      </c>
      <c r="H540">
        <v>49020.800000000003</v>
      </c>
      <c r="I540" s="13">
        <v>1</v>
      </c>
      <c r="J540" t="s">
        <v>6207</v>
      </c>
      <c r="K540">
        <v>3</v>
      </c>
      <c r="L540">
        <v>0</v>
      </c>
      <c r="M540" t="s">
        <v>0</v>
      </c>
      <c r="V540">
        <v>0</v>
      </c>
      <c r="W540">
        <v>1</v>
      </c>
      <c r="X540">
        <v>0</v>
      </c>
      <c r="Y540">
        <v>0</v>
      </c>
      <c r="Z540">
        <v>0</v>
      </c>
    </row>
    <row r="541" spans="1:26" x14ac:dyDescent="0.2">
      <c r="A541" t="s">
        <v>659</v>
      </c>
      <c r="B541" t="s">
        <v>52</v>
      </c>
      <c r="C541">
        <v>2010</v>
      </c>
      <c r="D541" t="s">
        <v>23</v>
      </c>
      <c r="E541" t="s">
        <v>40</v>
      </c>
      <c r="F541" t="s">
        <v>20</v>
      </c>
      <c r="G541">
        <v>62500</v>
      </c>
      <c r="H541">
        <v>50000</v>
      </c>
      <c r="I541" s="13">
        <v>0.75</v>
      </c>
      <c r="J541" t="s">
        <v>6207</v>
      </c>
      <c r="K541">
        <v>1</v>
      </c>
      <c r="L541">
        <v>3</v>
      </c>
      <c r="M541" t="s">
        <v>1</v>
      </c>
      <c r="V541">
        <v>1</v>
      </c>
      <c r="W541">
        <v>3</v>
      </c>
      <c r="X541">
        <v>0</v>
      </c>
      <c r="Y541">
        <v>0</v>
      </c>
      <c r="Z541">
        <v>0</v>
      </c>
    </row>
    <row r="542" spans="1:26" x14ac:dyDescent="0.2">
      <c r="A542" t="s">
        <v>660</v>
      </c>
      <c r="B542" t="s">
        <v>61</v>
      </c>
      <c r="C542">
        <v>2010</v>
      </c>
      <c r="D542" t="s">
        <v>27</v>
      </c>
      <c r="E542" t="s">
        <v>62</v>
      </c>
      <c r="F542" t="s">
        <v>27</v>
      </c>
      <c r="G542">
        <v>30089</v>
      </c>
      <c r="H542">
        <v>24071.200000000001</v>
      </c>
      <c r="I542" s="13">
        <v>0</v>
      </c>
      <c r="J542" t="s">
        <v>6207</v>
      </c>
      <c r="K542">
        <v>0</v>
      </c>
      <c r="L542">
        <v>1</v>
      </c>
      <c r="M542" t="s">
        <v>1</v>
      </c>
      <c r="V542">
        <v>0</v>
      </c>
      <c r="W542">
        <v>2</v>
      </c>
      <c r="X542">
        <v>0</v>
      </c>
      <c r="Y542">
        <v>0</v>
      </c>
      <c r="Z542">
        <v>0</v>
      </c>
    </row>
    <row r="543" spans="1:26" x14ac:dyDescent="0.2">
      <c r="A543" t="s">
        <v>661</v>
      </c>
      <c r="B543" t="s">
        <v>67</v>
      </c>
      <c r="C543">
        <v>2010</v>
      </c>
      <c r="D543" t="s">
        <v>31</v>
      </c>
      <c r="E543" t="s">
        <v>35</v>
      </c>
      <c r="F543" t="s">
        <v>20</v>
      </c>
      <c r="G543">
        <v>28500</v>
      </c>
      <c r="H543">
        <v>22800</v>
      </c>
      <c r="I543" s="13">
        <v>0</v>
      </c>
      <c r="J543" t="s">
        <v>6207</v>
      </c>
      <c r="K543">
        <v>0</v>
      </c>
      <c r="L543">
        <v>0</v>
      </c>
      <c r="M543" t="s">
        <v>58</v>
      </c>
      <c r="V543">
        <v>0</v>
      </c>
      <c r="W543">
        <v>1</v>
      </c>
      <c r="X543">
        <v>0</v>
      </c>
      <c r="Y543">
        <v>0</v>
      </c>
      <c r="Z543">
        <v>0</v>
      </c>
    </row>
    <row r="544" spans="1:26" x14ac:dyDescent="0.2">
      <c r="A544" t="s">
        <v>662</v>
      </c>
      <c r="B544" t="s">
        <v>66</v>
      </c>
      <c r="C544">
        <v>2010</v>
      </c>
      <c r="D544" t="s">
        <v>45</v>
      </c>
      <c r="E544" t="s">
        <v>43</v>
      </c>
      <c r="F544" t="s">
        <v>26</v>
      </c>
      <c r="G544">
        <v>39572</v>
      </c>
      <c r="H544">
        <v>31657.600000000002</v>
      </c>
      <c r="I544" s="13">
        <v>0.83333333333333337</v>
      </c>
      <c r="J544" t="s">
        <v>6207</v>
      </c>
      <c r="K544">
        <v>0</v>
      </c>
      <c r="L544">
        <v>0</v>
      </c>
      <c r="M544" t="s">
        <v>58</v>
      </c>
      <c r="V544">
        <v>2</v>
      </c>
      <c r="W544">
        <v>4</v>
      </c>
      <c r="X544">
        <v>0</v>
      </c>
      <c r="Y544">
        <v>0</v>
      </c>
      <c r="Z544">
        <v>0</v>
      </c>
    </row>
    <row r="545" spans="1:26" x14ac:dyDescent="0.2">
      <c r="A545" t="s">
        <v>663</v>
      </c>
      <c r="B545" t="s">
        <v>47</v>
      </c>
      <c r="C545">
        <v>2010</v>
      </c>
      <c r="D545" t="s">
        <v>42</v>
      </c>
      <c r="E545" t="s">
        <v>63</v>
      </c>
      <c r="F545" t="s">
        <v>38</v>
      </c>
      <c r="G545">
        <v>42918</v>
      </c>
      <c r="H545">
        <v>34334.400000000001</v>
      </c>
      <c r="I545" s="13">
        <v>0.5</v>
      </c>
      <c r="J545" t="s">
        <v>6208</v>
      </c>
      <c r="K545">
        <v>2</v>
      </c>
      <c r="L545">
        <v>1</v>
      </c>
      <c r="M545" t="s">
        <v>0</v>
      </c>
      <c r="V545">
        <v>0</v>
      </c>
      <c r="W545">
        <v>2</v>
      </c>
      <c r="X545">
        <v>0</v>
      </c>
      <c r="Y545">
        <v>0</v>
      </c>
      <c r="Z545">
        <v>0</v>
      </c>
    </row>
    <row r="546" spans="1:26" x14ac:dyDescent="0.2">
      <c r="A546" t="s">
        <v>664</v>
      </c>
      <c r="B546" t="s">
        <v>50</v>
      </c>
      <c r="C546">
        <v>2010</v>
      </c>
      <c r="D546" t="s">
        <v>64</v>
      </c>
      <c r="E546" t="s">
        <v>26</v>
      </c>
      <c r="F546" t="s">
        <v>64</v>
      </c>
      <c r="G546">
        <v>52264</v>
      </c>
      <c r="H546">
        <v>41811.200000000004</v>
      </c>
      <c r="I546" s="13">
        <v>0.66666666666666663</v>
      </c>
      <c r="J546" t="s">
        <v>6207</v>
      </c>
      <c r="K546">
        <v>3</v>
      </c>
      <c r="L546">
        <v>1</v>
      </c>
      <c r="M546" t="s">
        <v>0</v>
      </c>
      <c r="V546">
        <v>2</v>
      </c>
      <c r="W546">
        <v>1</v>
      </c>
      <c r="X546">
        <v>0</v>
      </c>
      <c r="Y546">
        <v>0</v>
      </c>
      <c r="Z546">
        <v>0</v>
      </c>
    </row>
    <row r="547" spans="1:26" x14ac:dyDescent="0.2">
      <c r="A547" t="s">
        <v>665</v>
      </c>
      <c r="B547" t="s">
        <v>32</v>
      </c>
      <c r="C547">
        <v>2010</v>
      </c>
      <c r="D547" t="s">
        <v>22</v>
      </c>
      <c r="E547" t="s">
        <v>38</v>
      </c>
      <c r="F547" t="s">
        <v>24</v>
      </c>
      <c r="G547">
        <v>31750</v>
      </c>
      <c r="H547">
        <v>25400</v>
      </c>
      <c r="I547" s="13">
        <v>0.66666666666666663</v>
      </c>
      <c r="J547" t="s">
        <v>6207</v>
      </c>
      <c r="K547">
        <v>1</v>
      </c>
      <c r="L547">
        <v>0</v>
      </c>
      <c r="M547" t="s">
        <v>0</v>
      </c>
      <c r="V547">
        <v>2</v>
      </c>
      <c r="W547">
        <v>4</v>
      </c>
      <c r="X547">
        <v>0</v>
      </c>
      <c r="Y547">
        <v>0</v>
      </c>
      <c r="Z547">
        <v>0</v>
      </c>
    </row>
    <row r="548" spans="1:26" x14ac:dyDescent="0.2">
      <c r="A548" t="s">
        <v>666</v>
      </c>
      <c r="B548" t="s">
        <v>44</v>
      </c>
      <c r="C548">
        <v>2010</v>
      </c>
      <c r="D548" t="s">
        <v>34</v>
      </c>
      <c r="E548" t="s">
        <v>39</v>
      </c>
      <c r="F548" t="s">
        <v>36</v>
      </c>
      <c r="G548">
        <v>28723</v>
      </c>
      <c r="H548">
        <v>22978.400000000001</v>
      </c>
      <c r="I548" s="13">
        <v>0.375</v>
      </c>
      <c r="J548" t="s">
        <v>6207</v>
      </c>
      <c r="K548">
        <v>2</v>
      </c>
      <c r="L548">
        <v>1</v>
      </c>
      <c r="M548" t="s">
        <v>0</v>
      </c>
      <c r="V548">
        <v>4</v>
      </c>
      <c r="W548">
        <v>3</v>
      </c>
      <c r="X548">
        <v>1</v>
      </c>
      <c r="Y548">
        <v>0</v>
      </c>
      <c r="Z548">
        <v>0</v>
      </c>
    </row>
    <row r="549" spans="1:26" x14ac:dyDescent="0.2">
      <c r="A549" t="s">
        <v>667</v>
      </c>
      <c r="B549" t="s">
        <v>41</v>
      </c>
      <c r="C549">
        <v>2010</v>
      </c>
      <c r="D549" t="s">
        <v>51</v>
      </c>
      <c r="E549" t="s">
        <v>18</v>
      </c>
      <c r="F549" t="s">
        <v>20</v>
      </c>
      <c r="G549">
        <v>36284</v>
      </c>
      <c r="H549">
        <v>29027.200000000001</v>
      </c>
      <c r="I549" s="13">
        <v>0.75</v>
      </c>
      <c r="J549" t="s">
        <v>6207</v>
      </c>
      <c r="K549">
        <v>1</v>
      </c>
      <c r="L549">
        <v>1</v>
      </c>
      <c r="M549" t="s">
        <v>58</v>
      </c>
      <c r="V549">
        <v>2</v>
      </c>
      <c r="W549">
        <v>2</v>
      </c>
      <c r="X549">
        <v>0</v>
      </c>
      <c r="Y549">
        <v>0</v>
      </c>
      <c r="Z549">
        <v>0</v>
      </c>
    </row>
    <row r="550" spans="1:26" x14ac:dyDescent="0.2">
      <c r="A550" t="s">
        <v>668</v>
      </c>
      <c r="B550" t="s">
        <v>56</v>
      </c>
      <c r="C550">
        <v>2010</v>
      </c>
      <c r="D550" t="s">
        <v>48</v>
      </c>
      <c r="E550" t="s">
        <v>46</v>
      </c>
      <c r="F550" t="s">
        <v>49</v>
      </c>
      <c r="G550">
        <v>74197</v>
      </c>
      <c r="H550">
        <v>59357.600000000006</v>
      </c>
      <c r="I550" s="13">
        <v>1</v>
      </c>
      <c r="J550" t="s">
        <v>6207</v>
      </c>
      <c r="K550">
        <v>1</v>
      </c>
      <c r="L550">
        <v>0</v>
      </c>
      <c r="M550" t="s">
        <v>0</v>
      </c>
      <c r="V550">
        <v>0</v>
      </c>
      <c r="W550">
        <v>4</v>
      </c>
      <c r="X550">
        <v>0</v>
      </c>
      <c r="Y550">
        <v>0</v>
      </c>
      <c r="Z550">
        <v>0</v>
      </c>
    </row>
    <row r="551" spans="1:26" x14ac:dyDescent="0.2">
      <c r="A551" t="s">
        <v>669</v>
      </c>
      <c r="B551" t="s">
        <v>25</v>
      </c>
      <c r="C551">
        <v>2010</v>
      </c>
      <c r="D551" t="s">
        <v>35</v>
      </c>
      <c r="E551" t="s">
        <v>34</v>
      </c>
      <c r="F551" t="s">
        <v>35</v>
      </c>
      <c r="G551">
        <v>49000</v>
      </c>
      <c r="H551">
        <v>39200</v>
      </c>
      <c r="I551" s="13">
        <v>0.25</v>
      </c>
      <c r="J551" t="s">
        <v>6207</v>
      </c>
      <c r="K551">
        <v>1</v>
      </c>
      <c r="L551">
        <v>0</v>
      </c>
      <c r="M551" t="s">
        <v>0</v>
      </c>
      <c r="V551">
        <v>1</v>
      </c>
      <c r="W551">
        <v>3</v>
      </c>
      <c r="X551">
        <v>0</v>
      </c>
      <c r="Y551">
        <v>0</v>
      </c>
      <c r="Z551">
        <v>0</v>
      </c>
    </row>
    <row r="552" spans="1:26" x14ac:dyDescent="0.2">
      <c r="A552" t="s">
        <v>670</v>
      </c>
      <c r="B552" t="s">
        <v>41</v>
      </c>
      <c r="C552">
        <v>2010</v>
      </c>
      <c r="D552" t="s">
        <v>39</v>
      </c>
      <c r="E552" t="s">
        <v>23</v>
      </c>
      <c r="F552" t="s">
        <v>39</v>
      </c>
      <c r="G552">
        <v>31367</v>
      </c>
      <c r="H552">
        <v>25093.600000000002</v>
      </c>
      <c r="I552" s="13">
        <v>0.8</v>
      </c>
      <c r="J552" t="s">
        <v>6207</v>
      </c>
      <c r="K552">
        <v>1</v>
      </c>
      <c r="L552">
        <v>1</v>
      </c>
      <c r="M552" t="s">
        <v>58</v>
      </c>
      <c r="V552">
        <v>2</v>
      </c>
      <c r="W552">
        <v>3</v>
      </c>
      <c r="X552">
        <v>0</v>
      </c>
      <c r="Y552">
        <v>0</v>
      </c>
      <c r="Z552">
        <v>0</v>
      </c>
    </row>
    <row r="553" spans="1:26" x14ac:dyDescent="0.2">
      <c r="A553" t="s">
        <v>671</v>
      </c>
      <c r="B553" t="s">
        <v>55</v>
      </c>
      <c r="C553">
        <v>2010</v>
      </c>
      <c r="D553" t="s">
        <v>40</v>
      </c>
      <c r="E553" t="s">
        <v>45</v>
      </c>
      <c r="F553" t="s">
        <v>49</v>
      </c>
      <c r="G553">
        <v>53400</v>
      </c>
      <c r="H553">
        <v>42720</v>
      </c>
      <c r="I553" s="13">
        <v>0.5714285714285714</v>
      </c>
      <c r="J553" t="s">
        <v>6206</v>
      </c>
      <c r="K553">
        <v>1</v>
      </c>
      <c r="L553">
        <v>2</v>
      </c>
      <c r="M553" t="s">
        <v>1</v>
      </c>
      <c r="V553">
        <v>3</v>
      </c>
      <c r="W553">
        <v>2</v>
      </c>
      <c r="X553">
        <v>1</v>
      </c>
      <c r="Y553">
        <v>1</v>
      </c>
      <c r="Z553">
        <v>0</v>
      </c>
    </row>
    <row r="554" spans="1:26" x14ac:dyDescent="0.2">
      <c r="A554" t="s">
        <v>672</v>
      </c>
      <c r="B554" t="s">
        <v>47</v>
      </c>
      <c r="C554">
        <v>2010</v>
      </c>
      <c r="D554" t="s">
        <v>31</v>
      </c>
      <c r="E554" t="s">
        <v>23</v>
      </c>
      <c r="F554" t="s">
        <v>20</v>
      </c>
      <c r="G554">
        <v>28500</v>
      </c>
      <c r="H554">
        <v>22800</v>
      </c>
      <c r="I554" s="13">
        <v>0.5</v>
      </c>
      <c r="J554" t="s">
        <v>6208</v>
      </c>
      <c r="K554">
        <v>1</v>
      </c>
      <c r="L554">
        <v>3</v>
      </c>
      <c r="M554" t="s">
        <v>1</v>
      </c>
      <c r="V554">
        <v>1</v>
      </c>
      <c r="W554">
        <v>1</v>
      </c>
      <c r="X554">
        <v>0</v>
      </c>
      <c r="Y554">
        <v>0</v>
      </c>
      <c r="Z554">
        <v>0</v>
      </c>
    </row>
    <row r="555" spans="1:26" x14ac:dyDescent="0.2">
      <c r="A555" t="s">
        <v>673</v>
      </c>
      <c r="B555" t="s">
        <v>41</v>
      </c>
      <c r="C555">
        <v>2010</v>
      </c>
      <c r="D555" t="s">
        <v>22</v>
      </c>
      <c r="E555" t="s">
        <v>43</v>
      </c>
      <c r="F555" t="s">
        <v>24</v>
      </c>
      <c r="G555">
        <v>31750</v>
      </c>
      <c r="H555">
        <v>25400</v>
      </c>
      <c r="I555" s="13">
        <v>0.5</v>
      </c>
      <c r="J555" t="s">
        <v>6207</v>
      </c>
      <c r="K555">
        <v>1</v>
      </c>
      <c r="L555">
        <v>2</v>
      </c>
      <c r="M555" t="s">
        <v>1</v>
      </c>
      <c r="V555">
        <v>1</v>
      </c>
      <c r="W555">
        <v>3</v>
      </c>
      <c r="X555">
        <v>0</v>
      </c>
      <c r="Y555">
        <v>0</v>
      </c>
      <c r="Z555">
        <v>0</v>
      </c>
    </row>
    <row r="556" spans="1:26" x14ac:dyDescent="0.2">
      <c r="A556" t="s">
        <v>674</v>
      </c>
      <c r="B556" t="s">
        <v>25</v>
      </c>
      <c r="C556">
        <v>2010</v>
      </c>
      <c r="D556" t="s">
        <v>64</v>
      </c>
      <c r="E556" t="s">
        <v>40</v>
      </c>
      <c r="F556" t="s">
        <v>64</v>
      </c>
      <c r="G556">
        <v>52264</v>
      </c>
      <c r="H556">
        <v>41811.200000000004</v>
      </c>
      <c r="I556" s="13">
        <v>0.33333333333333331</v>
      </c>
      <c r="J556" t="s">
        <v>6207</v>
      </c>
      <c r="K556">
        <v>1</v>
      </c>
      <c r="L556">
        <v>3</v>
      </c>
      <c r="M556" t="s">
        <v>1</v>
      </c>
      <c r="V556">
        <v>1</v>
      </c>
      <c r="W556">
        <v>5</v>
      </c>
      <c r="X556">
        <v>0</v>
      </c>
      <c r="Y556">
        <v>0</v>
      </c>
      <c r="Z556">
        <v>0</v>
      </c>
    </row>
    <row r="557" spans="1:26" x14ac:dyDescent="0.2">
      <c r="A557" t="s">
        <v>675</v>
      </c>
      <c r="B557" t="s">
        <v>52</v>
      </c>
      <c r="C557">
        <v>2010</v>
      </c>
      <c r="D557" t="s">
        <v>48</v>
      </c>
      <c r="E557" t="s">
        <v>35</v>
      </c>
      <c r="F557" t="s">
        <v>49</v>
      </c>
      <c r="G557">
        <v>74197</v>
      </c>
      <c r="H557">
        <v>59357.600000000006</v>
      </c>
      <c r="I557" s="13">
        <v>0.5</v>
      </c>
      <c r="J557" t="s">
        <v>6207</v>
      </c>
      <c r="K557">
        <v>2</v>
      </c>
      <c r="L557">
        <v>0</v>
      </c>
      <c r="M557" t="s">
        <v>0</v>
      </c>
      <c r="V557">
        <v>0</v>
      </c>
      <c r="W557">
        <v>2</v>
      </c>
      <c r="X557">
        <v>0</v>
      </c>
      <c r="Y557">
        <v>0</v>
      </c>
      <c r="Z557">
        <v>0</v>
      </c>
    </row>
    <row r="558" spans="1:26" x14ac:dyDescent="0.2">
      <c r="A558" t="s">
        <v>676</v>
      </c>
      <c r="B558" t="s">
        <v>56</v>
      </c>
      <c r="C558">
        <v>2010</v>
      </c>
      <c r="D558" t="s">
        <v>34</v>
      </c>
      <c r="E558" t="s">
        <v>63</v>
      </c>
      <c r="F558" t="s">
        <v>36</v>
      </c>
      <c r="G558">
        <v>28723</v>
      </c>
      <c r="H558">
        <v>22978.400000000001</v>
      </c>
      <c r="I558" s="13">
        <v>0</v>
      </c>
      <c r="J558" t="s">
        <v>6207</v>
      </c>
      <c r="K558">
        <v>2</v>
      </c>
      <c r="L558">
        <v>0</v>
      </c>
      <c r="M558" t="s">
        <v>0</v>
      </c>
      <c r="V558">
        <v>1</v>
      </c>
      <c r="W558">
        <v>1</v>
      </c>
      <c r="X558">
        <v>0</v>
      </c>
      <c r="Y558">
        <v>0</v>
      </c>
      <c r="Z558">
        <v>0</v>
      </c>
    </row>
    <row r="559" spans="1:26" x14ac:dyDescent="0.2">
      <c r="A559" t="s">
        <v>677</v>
      </c>
      <c r="B559" t="s">
        <v>53</v>
      </c>
      <c r="C559">
        <v>2010</v>
      </c>
      <c r="D559" t="s">
        <v>39</v>
      </c>
      <c r="E559" t="s">
        <v>27</v>
      </c>
      <c r="F559" t="s">
        <v>39</v>
      </c>
      <c r="G559">
        <v>31367</v>
      </c>
      <c r="H559">
        <v>25093.600000000002</v>
      </c>
      <c r="I559" s="13">
        <v>0.2</v>
      </c>
      <c r="J559" t="s">
        <v>6207</v>
      </c>
      <c r="K559">
        <v>0</v>
      </c>
      <c r="L559">
        <v>2</v>
      </c>
      <c r="M559" t="s">
        <v>1</v>
      </c>
      <c r="V559">
        <v>1</v>
      </c>
      <c r="W559">
        <v>4</v>
      </c>
      <c r="X559">
        <v>0</v>
      </c>
      <c r="Y559">
        <v>0</v>
      </c>
      <c r="Z559">
        <v>0</v>
      </c>
    </row>
    <row r="560" spans="1:26" x14ac:dyDescent="0.2">
      <c r="A560" t="s">
        <v>678</v>
      </c>
      <c r="B560" t="s">
        <v>32</v>
      </c>
      <c r="C560">
        <v>2010</v>
      </c>
      <c r="D560" t="s">
        <v>42</v>
      </c>
      <c r="E560" t="s">
        <v>51</v>
      </c>
      <c r="F560" t="s">
        <v>38</v>
      </c>
      <c r="G560">
        <v>42918</v>
      </c>
      <c r="H560">
        <v>34334.400000000001</v>
      </c>
      <c r="I560" s="13">
        <v>0.2857142857142857</v>
      </c>
      <c r="J560" t="s">
        <v>6207</v>
      </c>
      <c r="K560">
        <v>1</v>
      </c>
      <c r="L560">
        <v>2</v>
      </c>
      <c r="M560" t="s">
        <v>1</v>
      </c>
      <c r="V560">
        <v>3</v>
      </c>
      <c r="W560">
        <v>3</v>
      </c>
      <c r="X560">
        <v>0</v>
      </c>
      <c r="Y560">
        <v>1</v>
      </c>
      <c r="Z560">
        <v>0</v>
      </c>
    </row>
    <row r="561" spans="1:26" x14ac:dyDescent="0.2">
      <c r="A561" t="s">
        <v>679</v>
      </c>
      <c r="B561" t="s">
        <v>44</v>
      </c>
      <c r="C561">
        <v>2010</v>
      </c>
      <c r="D561" t="s">
        <v>46</v>
      </c>
      <c r="E561" t="s">
        <v>18</v>
      </c>
      <c r="F561" t="s">
        <v>20</v>
      </c>
      <c r="G561">
        <v>60704</v>
      </c>
      <c r="H561">
        <v>48563.200000000004</v>
      </c>
      <c r="I561" s="13">
        <v>0.4</v>
      </c>
      <c r="J561" t="s">
        <v>6207</v>
      </c>
      <c r="K561">
        <v>3</v>
      </c>
      <c r="L561">
        <v>1</v>
      </c>
      <c r="M561" t="s">
        <v>0</v>
      </c>
      <c r="V561">
        <v>2</v>
      </c>
      <c r="W561">
        <v>3</v>
      </c>
      <c r="X561">
        <v>0</v>
      </c>
      <c r="Y561">
        <v>0</v>
      </c>
      <c r="Z561">
        <v>0</v>
      </c>
    </row>
    <row r="562" spans="1:26" x14ac:dyDescent="0.2">
      <c r="A562" t="s">
        <v>680</v>
      </c>
      <c r="B562" t="s">
        <v>52</v>
      </c>
      <c r="C562">
        <v>2010</v>
      </c>
      <c r="D562" t="s">
        <v>63</v>
      </c>
      <c r="E562" t="s">
        <v>39</v>
      </c>
      <c r="F562" t="s">
        <v>65</v>
      </c>
      <c r="G562">
        <v>26804</v>
      </c>
      <c r="H562">
        <v>21443.200000000001</v>
      </c>
      <c r="I562" s="13">
        <v>0.83333333333333337</v>
      </c>
      <c r="J562" t="s">
        <v>6207</v>
      </c>
      <c r="K562">
        <v>2</v>
      </c>
      <c r="L562">
        <v>6</v>
      </c>
      <c r="M562" t="s">
        <v>1</v>
      </c>
      <c r="V562">
        <v>1</v>
      </c>
      <c r="W562">
        <v>3</v>
      </c>
      <c r="X562">
        <v>1</v>
      </c>
      <c r="Y562">
        <v>1</v>
      </c>
      <c r="Z562">
        <v>0</v>
      </c>
    </row>
    <row r="563" spans="1:26" x14ac:dyDescent="0.2">
      <c r="A563" t="s">
        <v>681</v>
      </c>
      <c r="B563" t="s">
        <v>61</v>
      </c>
      <c r="C563">
        <v>2010</v>
      </c>
      <c r="D563" t="s">
        <v>51</v>
      </c>
      <c r="E563" t="s">
        <v>64</v>
      </c>
      <c r="F563" t="s">
        <v>20</v>
      </c>
      <c r="G563">
        <v>36284</v>
      </c>
      <c r="H563">
        <v>29027.200000000001</v>
      </c>
      <c r="I563" s="13">
        <v>0.5714285714285714</v>
      </c>
      <c r="J563" t="s">
        <v>6207</v>
      </c>
      <c r="K563">
        <v>4</v>
      </c>
      <c r="L563">
        <v>0</v>
      </c>
      <c r="M563" t="s">
        <v>0</v>
      </c>
      <c r="V563">
        <v>2</v>
      </c>
      <c r="W563">
        <v>4</v>
      </c>
      <c r="X563">
        <v>1</v>
      </c>
      <c r="Y563">
        <v>0</v>
      </c>
      <c r="Z563">
        <v>0</v>
      </c>
    </row>
    <row r="564" spans="1:26" x14ac:dyDescent="0.2">
      <c r="A564" t="s">
        <v>682</v>
      </c>
      <c r="B564" t="s">
        <v>37</v>
      </c>
      <c r="C564">
        <v>2010</v>
      </c>
      <c r="D564" t="s">
        <v>35</v>
      </c>
      <c r="E564" t="s">
        <v>62</v>
      </c>
      <c r="F564" t="s">
        <v>35</v>
      </c>
      <c r="G564">
        <v>49000</v>
      </c>
      <c r="H564">
        <v>39200</v>
      </c>
      <c r="I564" s="13">
        <v>0.5</v>
      </c>
      <c r="J564" t="s">
        <v>6206</v>
      </c>
      <c r="K564">
        <v>0</v>
      </c>
      <c r="L564">
        <v>4</v>
      </c>
      <c r="M564" t="s">
        <v>1</v>
      </c>
      <c r="V564">
        <v>2</v>
      </c>
      <c r="W564">
        <v>0</v>
      </c>
      <c r="X564">
        <v>0</v>
      </c>
      <c r="Y564">
        <v>0</v>
      </c>
      <c r="Z564">
        <v>0</v>
      </c>
    </row>
    <row r="565" spans="1:26" x14ac:dyDescent="0.2">
      <c r="A565" t="s">
        <v>683</v>
      </c>
      <c r="B565" t="s">
        <v>60</v>
      </c>
      <c r="C565">
        <v>2010</v>
      </c>
      <c r="D565" t="s">
        <v>27</v>
      </c>
      <c r="E565" t="s">
        <v>31</v>
      </c>
      <c r="F565" t="s">
        <v>27</v>
      </c>
      <c r="G565">
        <v>30089</v>
      </c>
      <c r="H565">
        <v>24071.200000000001</v>
      </c>
      <c r="I565" s="13">
        <v>0.66666666666666663</v>
      </c>
      <c r="J565" t="s">
        <v>6208</v>
      </c>
      <c r="K565">
        <v>0</v>
      </c>
      <c r="L565">
        <v>4</v>
      </c>
      <c r="M565" t="s">
        <v>1</v>
      </c>
      <c r="V565">
        <v>1</v>
      </c>
      <c r="W565">
        <v>2</v>
      </c>
      <c r="X565">
        <v>0</v>
      </c>
      <c r="Y565">
        <v>0</v>
      </c>
      <c r="Z565">
        <v>0</v>
      </c>
    </row>
    <row r="566" spans="1:26" x14ac:dyDescent="0.2">
      <c r="A566" t="s">
        <v>684</v>
      </c>
      <c r="B566" t="s">
        <v>66</v>
      </c>
      <c r="C566">
        <v>2010</v>
      </c>
      <c r="D566" t="s">
        <v>40</v>
      </c>
      <c r="E566" t="s">
        <v>42</v>
      </c>
      <c r="F566" t="s">
        <v>49</v>
      </c>
      <c r="G566">
        <v>53400</v>
      </c>
      <c r="H566">
        <v>42720</v>
      </c>
      <c r="I566" s="13">
        <v>0.33333333333333331</v>
      </c>
      <c r="J566" t="s">
        <v>6207</v>
      </c>
      <c r="K566">
        <v>4</v>
      </c>
      <c r="L566">
        <v>0</v>
      </c>
      <c r="M566" t="s">
        <v>0</v>
      </c>
      <c r="V566">
        <v>1</v>
      </c>
      <c r="W566">
        <v>2</v>
      </c>
      <c r="X566">
        <v>0</v>
      </c>
      <c r="Y566">
        <v>0</v>
      </c>
      <c r="Z566">
        <v>2</v>
      </c>
    </row>
    <row r="567" spans="1:26" x14ac:dyDescent="0.2">
      <c r="A567" t="s">
        <v>685</v>
      </c>
      <c r="B567" t="s">
        <v>56</v>
      </c>
      <c r="C567">
        <v>2010</v>
      </c>
      <c r="D567" t="s">
        <v>23</v>
      </c>
      <c r="E567" t="s">
        <v>45</v>
      </c>
      <c r="F567" t="s">
        <v>20</v>
      </c>
      <c r="G567">
        <v>62500</v>
      </c>
      <c r="H567">
        <v>50000</v>
      </c>
      <c r="I567" s="13">
        <v>1</v>
      </c>
      <c r="J567" t="s">
        <v>6207</v>
      </c>
      <c r="K567">
        <v>2</v>
      </c>
      <c r="L567">
        <v>2</v>
      </c>
      <c r="M567" t="s">
        <v>58</v>
      </c>
      <c r="V567">
        <v>1</v>
      </c>
      <c r="W567">
        <v>0</v>
      </c>
      <c r="X567">
        <v>0</v>
      </c>
      <c r="Y567">
        <v>0</v>
      </c>
      <c r="Z567">
        <v>0</v>
      </c>
    </row>
    <row r="568" spans="1:26" x14ac:dyDescent="0.2">
      <c r="A568" t="s">
        <v>686</v>
      </c>
      <c r="B568" t="s">
        <v>50</v>
      </c>
      <c r="C568">
        <v>2010</v>
      </c>
      <c r="D568" t="s">
        <v>38</v>
      </c>
      <c r="E568" t="s">
        <v>48</v>
      </c>
      <c r="F568" t="s">
        <v>38</v>
      </c>
      <c r="G568">
        <v>29409</v>
      </c>
      <c r="H568">
        <v>23527.200000000001</v>
      </c>
      <c r="I568" s="13">
        <v>0.33333333333333331</v>
      </c>
      <c r="J568" t="s">
        <v>6207</v>
      </c>
      <c r="K568">
        <v>2</v>
      </c>
      <c r="L568">
        <v>2</v>
      </c>
      <c r="M568" t="s">
        <v>58</v>
      </c>
      <c r="V568">
        <v>3</v>
      </c>
      <c r="W568">
        <v>3</v>
      </c>
      <c r="X568">
        <v>0</v>
      </c>
      <c r="Y568">
        <v>0</v>
      </c>
      <c r="Z568">
        <v>0</v>
      </c>
    </row>
    <row r="569" spans="1:26" x14ac:dyDescent="0.2">
      <c r="A569" t="s">
        <v>687</v>
      </c>
      <c r="B569" t="s">
        <v>54</v>
      </c>
      <c r="C569">
        <v>2010</v>
      </c>
      <c r="D569" t="s">
        <v>43</v>
      </c>
      <c r="E569" t="s">
        <v>46</v>
      </c>
      <c r="F569" t="s">
        <v>43</v>
      </c>
      <c r="G569">
        <v>25138</v>
      </c>
      <c r="H569">
        <v>20110.400000000001</v>
      </c>
      <c r="I569" s="13">
        <v>0.5</v>
      </c>
      <c r="J569" t="s">
        <v>6206</v>
      </c>
      <c r="K569">
        <v>4</v>
      </c>
      <c r="L569">
        <v>4</v>
      </c>
      <c r="M569" t="s">
        <v>58</v>
      </c>
      <c r="V569">
        <v>1</v>
      </c>
      <c r="W569">
        <v>0</v>
      </c>
      <c r="X569">
        <v>1</v>
      </c>
      <c r="Y569">
        <v>0</v>
      </c>
      <c r="Z569">
        <v>1</v>
      </c>
    </row>
    <row r="570" spans="1:26" x14ac:dyDescent="0.2">
      <c r="A570" t="s">
        <v>688</v>
      </c>
      <c r="B570" t="s">
        <v>53</v>
      </c>
      <c r="C570">
        <v>2010</v>
      </c>
      <c r="D570" t="s">
        <v>18</v>
      </c>
      <c r="E570" t="s">
        <v>34</v>
      </c>
      <c r="F570" t="s">
        <v>20</v>
      </c>
      <c r="G570">
        <v>40341</v>
      </c>
      <c r="H570">
        <v>32272.800000000003</v>
      </c>
      <c r="I570" s="13">
        <v>0.33333333333333331</v>
      </c>
      <c r="J570" t="s">
        <v>6207</v>
      </c>
      <c r="K570">
        <v>2</v>
      </c>
      <c r="L570">
        <v>0</v>
      </c>
      <c r="M570" t="s">
        <v>0</v>
      </c>
      <c r="V570">
        <v>1</v>
      </c>
      <c r="W570">
        <v>2</v>
      </c>
      <c r="X570">
        <v>0</v>
      </c>
      <c r="Y570">
        <v>0</v>
      </c>
      <c r="Z570">
        <v>0</v>
      </c>
    </row>
    <row r="571" spans="1:26" x14ac:dyDescent="0.2">
      <c r="A571" t="s">
        <v>689</v>
      </c>
      <c r="B571" t="s">
        <v>55</v>
      </c>
      <c r="C571">
        <v>2010</v>
      </c>
      <c r="D571" t="s">
        <v>26</v>
      </c>
      <c r="E571" t="s">
        <v>22</v>
      </c>
      <c r="F571" t="s">
        <v>26</v>
      </c>
      <c r="G571">
        <v>61276</v>
      </c>
      <c r="H571">
        <v>49020.800000000003</v>
      </c>
      <c r="I571" s="13">
        <v>0.5</v>
      </c>
      <c r="J571" t="s">
        <v>6206</v>
      </c>
      <c r="K571">
        <v>0</v>
      </c>
      <c r="L571">
        <v>1</v>
      </c>
      <c r="M571" t="s">
        <v>1</v>
      </c>
      <c r="V571">
        <v>1</v>
      </c>
      <c r="W571">
        <v>1</v>
      </c>
      <c r="X571">
        <v>0</v>
      </c>
      <c r="Y571">
        <v>0</v>
      </c>
      <c r="Z571">
        <v>0</v>
      </c>
    </row>
    <row r="572" spans="1:26" x14ac:dyDescent="0.2">
      <c r="A572" t="s">
        <v>690</v>
      </c>
      <c r="B572" t="s">
        <v>25</v>
      </c>
      <c r="C572">
        <v>2010</v>
      </c>
      <c r="D572" t="s">
        <v>63</v>
      </c>
      <c r="E572" t="s">
        <v>48</v>
      </c>
      <c r="F572" t="s">
        <v>65</v>
      </c>
      <c r="G572">
        <v>26804</v>
      </c>
      <c r="H572">
        <v>21443.200000000001</v>
      </c>
      <c r="I572" s="13">
        <v>0.75</v>
      </c>
      <c r="J572" t="s">
        <v>6207</v>
      </c>
      <c r="K572">
        <v>1</v>
      </c>
      <c r="L572">
        <v>2</v>
      </c>
      <c r="M572" t="s">
        <v>1</v>
      </c>
      <c r="V572">
        <v>1</v>
      </c>
      <c r="W572">
        <v>3</v>
      </c>
      <c r="X572">
        <v>0</v>
      </c>
      <c r="Y572">
        <v>0</v>
      </c>
      <c r="Z572">
        <v>0</v>
      </c>
    </row>
    <row r="573" spans="1:26" x14ac:dyDescent="0.2">
      <c r="A573" t="s">
        <v>691</v>
      </c>
      <c r="B573" t="s">
        <v>54</v>
      </c>
      <c r="C573">
        <v>2010</v>
      </c>
      <c r="D573" t="s">
        <v>23</v>
      </c>
      <c r="E573" t="s">
        <v>22</v>
      </c>
      <c r="F573" t="s">
        <v>20</v>
      </c>
      <c r="G573">
        <v>62500</v>
      </c>
      <c r="H573">
        <v>50000</v>
      </c>
      <c r="I573" s="13">
        <v>0.5</v>
      </c>
      <c r="J573" t="s">
        <v>6206</v>
      </c>
      <c r="K573">
        <v>2</v>
      </c>
      <c r="L573">
        <v>0</v>
      </c>
      <c r="M573" t="s">
        <v>0</v>
      </c>
      <c r="V573">
        <v>1</v>
      </c>
      <c r="W573">
        <v>1</v>
      </c>
      <c r="X573">
        <v>0</v>
      </c>
      <c r="Y573">
        <v>0</v>
      </c>
      <c r="Z573">
        <v>0</v>
      </c>
    </row>
    <row r="574" spans="1:26" x14ac:dyDescent="0.2">
      <c r="A574" t="s">
        <v>692</v>
      </c>
      <c r="B574" t="s">
        <v>53</v>
      </c>
      <c r="C574">
        <v>2010</v>
      </c>
      <c r="D574" t="s">
        <v>51</v>
      </c>
      <c r="E574" t="s">
        <v>31</v>
      </c>
      <c r="F574" t="s">
        <v>20</v>
      </c>
      <c r="G574">
        <v>36284</v>
      </c>
      <c r="H574">
        <v>29027.200000000001</v>
      </c>
      <c r="I574" s="13">
        <v>0.33333333333333331</v>
      </c>
      <c r="J574" t="s">
        <v>6207</v>
      </c>
      <c r="K574">
        <v>1</v>
      </c>
      <c r="L574">
        <v>0</v>
      </c>
      <c r="M574" t="s">
        <v>0</v>
      </c>
      <c r="V574">
        <v>2</v>
      </c>
      <c r="W574">
        <v>1</v>
      </c>
      <c r="X574">
        <v>0</v>
      </c>
      <c r="Y574">
        <v>0</v>
      </c>
      <c r="Z574">
        <v>0</v>
      </c>
    </row>
    <row r="575" spans="1:26" x14ac:dyDescent="0.2">
      <c r="A575" t="s">
        <v>693</v>
      </c>
      <c r="B575" t="s">
        <v>41</v>
      </c>
      <c r="C575">
        <v>2010</v>
      </c>
      <c r="D575" t="s">
        <v>35</v>
      </c>
      <c r="E575" t="s">
        <v>39</v>
      </c>
      <c r="F575" t="s">
        <v>35</v>
      </c>
      <c r="G575">
        <v>49000</v>
      </c>
      <c r="H575">
        <v>39200</v>
      </c>
      <c r="I575" s="13">
        <v>0.33333333333333331</v>
      </c>
      <c r="J575" t="s">
        <v>6207</v>
      </c>
      <c r="K575">
        <v>3</v>
      </c>
      <c r="L575">
        <v>0</v>
      </c>
      <c r="M575" t="s">
        <v>0</v>
      </c>
      <c r="V575">
        <v>1</v>
      </c>
      <c r="W575">
        <v>2</v>
      </c>
      <c r="X575">
        <v>0</v>
      </c>
      <c r="Y575">
        <v>0</v>
      </c>
      <c r="Z575">
        <v>0</v>
      </c>
    </row>
    <row r="576" spans="1:26" x14ac:dyDescent="0.2">
      <c r="A576" t="s">
        <v>694</v>
      </c>
      <c r="B576" t="s">
        <v>37</v>
      </c>
      <c r="C576">
        <v>2010</v>
      </c>
      <c r="D576" t="s">
        <v>27</v>
      </c>
      <c r="E576" t="s">
        <v>45</v>
      </c>
      <c r="F576" t="s">
        <v>27</v>
      </c>
      <c r="G576">
        <v>30089</v>
      </c>
      <c r="H576">
        <v>24071.200000000001</v>
      </c>
      <c r="I576" s="13">
        <v>0.6</v>
      </c>
      <c r="J576" t="s">
        <v>6206</v>
      </c>
      <c r="K576">
        <v>2</v>
      </c>
      <c r="L576">
        <v>0</v>
      </c>
      <c r="M576" t="s">
        <v>0</v>
      </c>
      <c r="V576">
        <v>4</v>
      </c>
      <c r="W576">
        <v>1</v>
      </c>
      <c r="X576">
        <v>0</v>
      </c>
      <c r="Y576">
        <v>0</v>
      </c>
      <c r="Z576">
        <v>0</v>
      </c>
    </row>
    <row r="577" spans="1:26" x14ac:dyDescent="0.2">
      <c r="A577" t="s">
        <v>695</v>
      </c>
      <c r="B577" t="s">
        <v>44</v>
      </c>
      <c r="C577">
        <v>2010</v>
      </c>
      <c r="D577" t="s">
        <v>40</v>
      </c>
      <c r="E577" t="s">
        <v>62</v>
      </c>
      <c r="F577" t="s">
        <v>49</v>
      </c>
      <c r="G577">
        <v>53400</v>
      </c>
      <c r="H577">
        <v>42720</v>
      </c>
      <c r="I577" s="13">
        <v>0</v>
      </c>
      <c r="J577" t="s">
        <v>6207</v>
      </c>
      <c r="K577">
        <v>1</v>
      </c>
      <c r="L577">
        <v>0</v>
      </c>
      <c r="M577" t="s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">
      <c r="A578" t="s">
        <v>696</v>
      </c>
      <c r="B578" t="s">
        <v>60</v>
      </c>
      <c r="C578">
        <v>2010</v>
      </c>
      <c r="D578" t="s">
        <v>26</v>
      </c>
      <c r="E578" t="s">
        <v>34</v>
      </c>
      <c r="F578" t="s">
        <v>26</v>
      </c>
      <c r="G578">
        <v>61276</v>
      </c>
      <c r="H578">
        <v>49020.800000000003</v>
      </c>
      <c r="I578" s="13">
        <v>0.75</v>
      </c>
      <c r="J578" t="s">
        <v>6208</v>
      </c>
      <c r="K578">
        <v>2</v>
      </c>
      <c r="L578">
        <v>1</v>
      </c>
      <c r="M578" t="s">
        <v>0</v>
      </c>
      <c r="V578">
        <v>2</v>
      </c>
      <c r="W578">
        <v>2</v>
      </c>
      <c r="X578">
        <v>0</v>
      </c>
      <c r="Y578">
        <v>0</v>
      </c>
      <c r="Z578">
        <v>0</v>
      </c>
    </row>
    <row r="579" spans="1:26" x14ac:dyDescent="0.2">
      <c r="A579" t="s">
        <v>697</v>
      </c>
      <c r="B579" t="s">
        <v>55</v>
      </c>
      <c r="C579">
        <v>2010</v>
      </c>
      <c r="D579" t="s">
        <v>38</v>
      </c>
      <c r="E579" t="s">
        <v>46</v>
      </c>
      <c r="F579" t="s">
        <v>38</v>
      </c>
      <c r="G579">
        <v>29409</v>
      </c>
      <c r="H579">
        <v>23527.200000000001</v>
      </c>
      <c r="I579" s="13">
        <v>0.5</v>
      </c>
      <c r="J579" t="s">
        <v>6206</v>
      </c>
      <c r="K579">
        <v>0</v>
      </c>
      <c r="L579">
        <v>3</v>
      </c>
      <c r="M579" t="s">
        <v>1</v>
      </c>
      <c r="V579">
        <v>3</v>
      </c>
      <c r="W579">
        <v>1</v>
      </c>
      <c r="X579">
        <v>0</v>
      </c>
      <c r="Y579">
        <v>0</v>
      </c>
      <c r="Z579">
        <v>0</v>
      </c>
    </row>
    <row r="580" spans="1:26" x14ac:dyDescent="0.2">
      <c r="A580" t="s">
        <v>698</v>
      </c>
      <c r="B580" t="s">
        <v>50</v>
      </c>
      <c r="C580">
        <v>2010</v>
      </c>
      <c r="D580" t="s">
        <v>18</v>
      </c>
      <c r="E580" t="s">
        <v>42</v>
      </c>
      <c r="F580" t="s">
        <v>20</v>
      </c>
      <c r="G580">
        <v>40341</v>
      </c>
      <c r="H580">
        <v>32272.800000000003</v>
      </c>
      <c r="I580" s="13">
        <v>0.44444444444444442</v>
      </c>
      <c r="J580" t="s">
        <v>6207</v>
      </c>
      <c r="K580">
        <v>3</v>
      </c>
      <c r="L580">
        <v>3</v>
      </c>
      <c r="M580" t="s">
        <v>58</v>
      </c>
      <c r="V580">
        <v>2</v>
      </c>
      <c r="W580">
        <v>7</v>
      </c>
      <c r="X580">
        <v>0</v>
      </c>
      <c r="Y580">
        <v>0</v>
      </c>
      <c r="Z580">
        <v>2</v>
      </c>
    </row>
    <row r="581" spans="1:26" x14ac:dyDescent="0.2">
      <c r="A581" t="s">
        <v>699</v>
      </c>
      <c r="B581" t="s">
        <v>56</v>
      </c>
      <c r="C581">
        <v>2010</v>
      </c>
      <c r="D581" t="s">
        <v>43</v>
      </c>
      <c r="E581" t="s">
        <v>64</v>
      </c>
      <c r="F581" t="s">
        <v>43</v>
      </c>
      <c r="G581">
        <v>25138</v>
      </c>
      <c r="H581">
        <v>20110.400000000001</v>
      </c>
      <c r="I581" s="13">
        <v>0</v>
      </c>
      <c r="J581" t="s">
        <v>6207</v>
      </c>
      <c r="K581">
        <v>0</v>
      </c>
      <c r="L581">
        <v>2</v>
      </c>
      <c r="M581" t="s">
        <v>1</v>
      </c>
      <c r="V581">
        <v>2</v>
      </c>
      <c r="W581">
        <v>2</v>
      </c>
      <c r="X581">
        <v>0</v>
      </c>
      <c r="Y581">
        <v>0</v>
      </c>
      <c r="Z581">
        <v>0</v>
      </c>
    </row>
    <row r="582" spans="1:26" x14ac:dyDescent="0.2">
      <c r="A582" t="s">
        <v>700</v>
      </c>
      <c r="B582" t="s">
        <v>44</v>
      </c>
      <c r="C582">
        <v>2010</v>
      </c>
      <c r="D582" t="s">
        <v>48</v>
      </c>
      <c r="E582" t="s">
        <v>27</v>
      </c>
      <c r="F582" t="s">
        <v>49</v>
      </c>
      <c r="G582">
        <v>74197</v>
      </c>
      <c r="H582">
        <v>59357.600000000006</v>
      </c>
      <c r="I582" s="13">
        <v>0</v>
      </c>
      <c r="J582" t="s">
        <v>6207</v>
      </c>
      <c r="K582">
        <v>2</v>
      </c>
      <c r="L582">
        <v>1</v>
      </c>
      <c r="M582" t="s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2">
      <c r="A583" t="s">
        <v>701</v>
      </c>
      <c r="B583" t="s">
        <v>32</v>
      </c>
      <c r="C583">
        <v>2010</v>
      </c>
      <c r="D583" t="s">
        <v>31</v>
      </c>
      <c r="E583" t="s">
        <v>63</v>
      </c>
      <c r="F583" t="s">
        <v>20</v>
      </c>
      <c r="G583">
        <v>28500</v>
      </c>
      <c r="H583">
        <v>22800</v>
      </c>
      <c r="I583" s="13">
        <v>1</v>
      </c>
      <c r="J583" t="s">
        <v>6207</v>
      </c>
      <c r="K583">
        <v>3</v>
      </c>
      <c r="L583">
        <v>0</v>
      </c>
      <c r="M583" t="s">
        <v>0</v>
      </c>
      <c r="V583">
        <v>0</v>
      </c>
      <c r="W583">
        <v>1</v>
      </c>
      <c r="X583">
        <v>0</v>
      </c>
      <c r="Y583">
        <v>0</v>
      </c>
      <c r="Z583">
        <v>0</v>
      </c>
    </row>
    <row r="584" spans="1:26" x14ac:dyDescent="0.2">
      <c r="A584" t="s">
        <v>702</v>
      </c>
      <c r="B584" t="s">
        <v>68</v>
      </c>
      <c r="C584">
        <v>2010</v>
      </c>
      <c r="D584" t="s">
        <v>62</v>
      </c>
      <c r="E584" t="s">
        <v>38</v>
      </c>
      <c r="F584" t="s">
        <v>62</v>
      </c>
      <c r="G584">
        <v>17338</v>
      </c>
      <c r="H584">
        <v>13870.400000000001</v>
      </c>
      <c r="I584" s="13">
        <v>0</v>
      </c>
      <c r="J584" t="s">
        <v>6207</v>
      </c>
      <c r="K584">
        <v>1</v>
      </c>
      <c r="L584">
        <v>2</v>
      </c>
      <c r="M584" t="s">
        <v>1</v>
      </c>
      <c r="V584">
        <v>0</v>
      </c>
      <c r="W584">
        <v>1</v>
      </c>
      <c r="X584">
        <v>0</v>
      </c>
      <c r="Y584">
        <v>0</v>
      </c>
      <c r="Z584">
        <v>0</v>
      </c>
    </row>
    <row r="585" spans="1:26" x14ac:dyDescent="0.2">
      <c r="A585" t="s">
        <v>703</v>
      </c>
      <c r="B585" t="s">
        <v>47</v>
      </c>
      <c r="C585">
        <v>2010</v>
      </c>
      <c r="D585" t="s">
        <v>22</v>
      </c>
      <c r="E585" t="s">
        <v>18</v>
      </c>
      <c r="F585" t="s">
        <v>24</v>
      </c>
      <c r="G585">
        <v>31750</v>
      </c>
      <c r="H585">
        <v>25400</v>
      </c>
      <c r="I585" s="13">
        <v>1</v>
      </c>
      <c r="J585" t="s">
        <v>6208</v>
      </c>
      <c r="K585">
        <v>1</v>
      </c>
      <c r="L585">
        <v>0</v>
      </c>
      <c r="M585" t="s">
        <v>0</v>
      </c>
      <c r="V585">
        <v>0</v>
      </c>
      <c r="W585">
        <v>1</v>
      </c>
      <c r="X585">
        <v>0</v>
      </c>
      <c r="Y585">
        <v>0</v>
      </c>
      <c r="Z585">
        <v>0</v>
      </c>
    </row>
    <row r="586" spans="1:26" x14ac:dyDescent="0.2">
      <c r="A586" t="s">
        <v>704</v>
      </c>
      <c r="B586" t="s">
        <v>41</v>
      </c>
      <c r="C586">
        <v>2010</v>
      </c>
      <c r="D586" t="s">
        <v>64</v>
      </c>
      <c r="E586" t="s">
        <v>23</v>
      </c>
      <c r="F586" t="s">
        <v>64</v>
      </c>
      <c r="G586">
        <v>52264</v>
      </c>
      <c r="H586">
        <v>41811.200000000004</v>
      </c>
      <c r="I586" s="13">
        <v>0.75</v>
      </c>
      <c r="J586" t="s">
        <v>6207</v>
      </c>
      <c r="K586">
        <v>5</v>
      </c>
      <c r="L586">
        <v>0</v>
      </c>
      <c r="M586" t="s">
        <v>0</v>
      </c>
      <c r="V586">
        <v>0</v>
      </c>
      <c r="W586">
        <v>4</v>
      </c>
      <c r="X586">
        <v>0</v>
      </c>
      <c r="Y586">
        <v>0</v>
      </c>
      <c r="Z586">
        <v>0</v>
      </c>
    </row>
    <row r="587" spans="1:26" x14ac:dyDescent="0.2">
      <c r="A587" t="s">
        <v>705</v>
      </c>
      <c r="B587" t="s">
        <v>60</v>
      </c>
      <c r="C587">
        <v>2010</v>
      </c>
      <c r="D587" t="s">
        <v>42</v>
      </c>
      <c r="E587" t="s">
        <v>35</v>
      </c>
      <c r="F587" t="s">
        <v>38</v>
      </c>
      <c r="G587">
        <v>42918</v>
      </c>
      <c r="H587">
        <v>34334.400000000001</v>
      </c>
      <c r="I587" s="13">
        <v>0.375</v>
      </c>
      <c r="J587" t="s">
        <v>6208</v>
      </c>
      <c r="K587">
        <v>0</v>
      </c>
      <c r="L587">
        <v>1</v>
      </c>
      <c r="M587" t="s">
        <v>1</v>
      </c>
      <c r="V587">
        <v>3</v>
      </c>
      <c r="W587">
        <v>3</v>
      </c>
      <c r="X587">
        <v>1</v>
      </c>
      <c r="Y587">
        <v>1</v>
      </c>
      <c r="Z587">
        <v>0</v>
      </c>
    </row>
    <row r="588" spans="1:26" x14ac:dyDescent="0.2">
      <c r="A588" t="s">
        <v>706</v>
      </c>
      <c r="B588" t="s">
        <v>53</v>
      </c>
      <c r="C588">
        <v>2010</v>
      </c>
      <c r="D588" t="s">
        <v>46</v>
      </c>
      <c r="E588" t="s">
        <v>40</v>
      </c>
      <c r="F588" t="s">
        <v>20</v>
      </c>
      <c r="G588">
        <v>60704</v>
      </c>
      <c r="H588">
        <v>48563.200000000004</v>
      </c>
      <c r="I588" s="13">
        <v>0.5</v>
      </c>
      <c r="J588" t="s">
        <v>6207</v>
      </c>
      <c r="K588">
        <v>0</v>
      </c>
      <c r="L588">
        <v>0</v>
      </c>
      <c r="M588" t="s">
        <v>58</v>
      </c>
      <c r="V588">
        <v>0</v>
      </c>
      <c r="W588">
        <v>2</v>
      </c>
      <c r="X588">
        <v>1</v>
      </c>
      <c r="Y588">
        <v>1</v>
      </c>
      <c r="Z588">
        <v>0</v>
      </c>
    </row>
    <row r="589" spans="1:26" x14ac:dyDescent="0.2">
      <c r="A589" t="s">
        <v>707</v>
      </c>
      <c r="B589" t="s">
        <v>54</v>
      </c>
      <c r="C589">
        <v>2010</v>
      </c>
      <c r="D589" t="s">
        <v>45</v>
      </c>
      <c r="E589" t="s">
        <v>51</v>
      </c>
      <c r="F589" t="s">
        <v>26</v>
      </c>
      <c r="G589">
        <v>39572</v>
      </c>
      <c r="H589">
        <v>31657.600000000002</v>
      </c>
      <c r="I589" s="13">
        <v>0</v>
      </c>
      <c r="J589" t="s">
        <v>6206</v>
      </c>
      <c r="K589">
        <v>2</v>
      </c>
      <c r="L589">
        <v>1</v>
      </c>
      <c r="M589" t="s">
        <v>0</v>
      </c>
      <c r="V589">
        <v>1</v>
      </c>
      <c r="W589">
        <v>0</v>
      </c>
      <c r="X589">
        <v>0</v>
      </c>
      <c r="Y589">
        <v>0</v>
      </c>
      <c r="Z589">
        <v>0</v>
      </c>
    </row>
    <row r="590" spans="1:26" x14ac:dyDescent="0.2">
      <c r="A590" t="s">
        <v>708</v>
      </c>
      <c r="B590" t="s">
        <v>52</v>
      </c>
      <c r="C590">
        <v>2010</v>
      </c>
      <c r="D590" t="s">
        <v>34</v>
      </c>
      <c r="E590" t="s">
        <v>43</v>
      </c>
      <c r="F590" t="s">
        <v>36</v>
      </c>
      <c r="G590">
        <v>28723</v>
      </c>
      <c r="H590">
        <v>22978.400000000001</v>
      </c>
      <c r="I590" s="13">
        <v>0.75</v>
      </c>
      <c r="J590" t="s">
        <v>6207</v>
      </c>
      <c r="K590">
        <v>1</v>
      </c>
      <c r="L590">
        <v>1</v>
      </c>
      <c r="M590" t="s">
        <v>58</v>
      </c>
      <c r="V590">
        <v>0</v>
      </c>
      <c r="W590">
        <v>4</v>
      </c>
      <c r="X590">
        <v>0</v>
      </c>
      <c r="Y590">
        <v>0</v>
      </c>
      <c r="Z590">
        <v>0</v>
      </c>
    </row>
    <row r="591" spans="1:26" x14ac:dyDescent="0.2">
      <c r="A591" t="s">
        <v>709</v>
      </c>
      <c r="B591" t="s">
        <v>37</v>
      </c>
      <c r="C591">
        <v>2010</v>
      </c>
      <c r="D591" t="s">
        <v>39</v>
      </c>
      <c r="E591" t="s">
        <v>26</v>
      </c>
      <c r="F591" t="s">
        <v>39</v>
      </c>
      <c r="G591">
        <v>31367</v>
      </c>
      <c r="H591">
        <v>25093.600000000002</v>
      </c>
      <c r="I591" s="13">
        <v>0.66666666666666663</v>
      </c>
      <c r="J591" t="s">
        <v>6206</v>
      </c>
      <c r="K591">
        <v>3</v>
      </c>
      <c r="L591">
        <v>1</v>
      </c>
      <c r="M591" t="s">
        <v>0</v>
      </c>
      <c r="V591">
        <v>2</v>
      </c>
      <c r="W591">
        <v>1</v>
      </c>
      <c r="X591">
        <v>0</v>
      </c>
      <c r="Y591">
        <v>0</v>
      </c>
      <c r="Z591">
        <v>0</v>
      </c>
    </row>
    <row r="592" spans="1:26" x14ac:dyDescent="0.2">
      <c r="A592" t="s">
        <v>710</v>
      </c>
      <c r="B592" t="s">
        <v>66</v>
      </c>
      <c r="C592">
        <v>2010</v>
      </c>
      <c r="D592" t="s">
        <v>62</v>
      </c>
      <c r="E592" t="s">
        <v>26</v>
      </c>
      <c r="F592" t="s">
        <v>62</v>
      </c>
      <c r="G592">
        <v>17338</v>
      </c>
      <c r="H592">
        <v>13870.400000000001</v>
      </c>
      <c r="I592" s="13">
        <v>0.5</v>
      </c>
      <c r="J592" t="s">
        <v>6207</v>
      </c>
      <c r="K592">
        <v>2</v>
      </c>
      <c r="L592">
        <v>1</v>
      </c>
      <c r="M592" t="s">
        <v>0</v>
      </c>
      <c r="V592">
        <v>1</v>
      </c>
      <c r="W592">
        <v>3</v>
      </c>
      <c r="X592">
        <v>0</v>
      </c>
      <c r="Y592">
        <v>0</v>
      </c>
      <c r="Z592">
        <v>0</v>
      </c>
    </row>
    <row r="593" spans="1:26" x14ac:dyDescent="0.2">
      <c r="A593" t="s">
        <v>711</v>
      </c>
      <c r="B593" t="s">
        <v>61</v>
      </c>
      <c r="C593">
        <v>2010</v>
      </c>
      <c r="D593" t="s">
        <v>43</v>
      </c>
      <c r="E593" t="s">
        <v>31</v>
      </c>
      <c r="F593" t="s">
        <v>43</v>
      </c>
      <c r="G593">
        <v>25138</v>
      </c>
      <c r="H593">
        <v>20110.400000000001</v>
      </c>
      <c r="I593" s="13">
        <v>0.83333333333333337</v>
      </c>
      <c r="J593" t="s">
        <v>6207</v>
      </c>
      <c r="K593">
        <v>1</v>
      </c>
      <c r="L593">
        <v>1</v>
      </c>
      <c r="M593" t="s">
        <v>58</v>
      </c>
      <c r="V593">
        <v>4</v>
      </c>
      <c r="W593">
        <v>2</v>
      </c>
      <c r="X593">
        <v>0</v>
      </c>
      <c r="Y593">
        <v>0</v>
      </c>
      <c r="Z593">
        <v>0</v>
      </c>
    </row>
    <row r="594" spans="1:26" x14ac:dyDescent="0.2">
      <c r="A594" t="s">
        <v>712</v>
      </c>
      <c r="B594" t="s">
        <v>59</v>
      </c>
      <c r="C594">
        <v>2010</v>
      </c>
      <c r="D594" t="s">
        <v>63</v>
      </c>
      <c r="E594" t="s">
        <v>62</v>
      </c>
      <c r="F594" t="s">
        <v>65</v>
      </c>
      <c r="G594">
        <v>26804</v>
      </c>
      <c r="H594">
        <v>21443.200000000001</v>
      </c>
      <c r="I594" s="13">
        <v>0.33333333333333331</v>
      </c>
      <c r="J594" t="s">
        <v>6206</v>
      </c>
      <c r="K594">
        <v>3</v>
      </c>
      <c r="L594">
        <v>2</v>
      </c>
      <c r="M594" t="s">
        <v>0</v>
      </c>
      <c r="V594">
        <v>1</v>
      </c>
      <c r="W594">
        <v>2</v>
      </c>
      <c r="X594">
        <v>0</v>
      </c>
      <c r="Y594">
        <v>0</v>
      </c>
      <c r="Z594">
        <v>0</v>
      </c>
    </row>
    <row r="595" spans="1:26" x14ac:dyDescent="0.2">
      <c r="A595" t="s">
        <v>713</v>
      </c>
      <c r="B595" t="s">
        <v>66</v>
      </c>
      <c r="C595">
        <v>2010</v>
      </c>
      <c r="D595" t="s">
        <v>27</v>
      </c>
      <c r="E595" t="s">
        <v>34</v>
      </c>
      <c r="F595" t="s">
        <v>27</v>
      </c>
      <c r="G595">
        <v>30089</v>
      </c>
      <c r="H595">
        <v>24071.200000000001</v>
      </c>
      <c r="I595" s="13">
        <v>0</v>
      </c>
      <c r="J595" t="s">
        <v>6207</v>
      </c>
      <c r="K595">
        <v>2</v>
      </c>
      <c r="L595">
        <v>0</v>
      </c>
      <c r="M595" t="s">
        <v>0</v>
      </c>
      <c r="V595">
        <v>0</v>
      </c>
      <c r="W595">
        <v>2</v>
      </c>
      <c r="X595">
        <v>0</v>
      </c>
      <c r="Y595">
        <v>0</v>
      </c>
      <c r="Z595">
        <v>1</v>
      </c>
    </row>
    <row r="596" spans="1:26" x14ac:dyDescent="0.2">
      <c r="A596" t="s">
        <v>714</v>
      </c>
      <c r="B596" t="s">
        <v>50</v>
      </c>
      <c r="C596">
        <v>2010</v>
      </c>
      <c r="D596" t="s">
        <v>40</v>
      </c>
      <c r="E596" t="s">
        <v>22</v>
      </c>
      <c r="F596" t="s">
        <v>49</v>
      </c>
      <c r="G596">
        <v>53400</v>
      </c>
      <c r="H596">
        <v>42720</v>
      </c>
      <c r="I596" s="13">
        <v>0</v>
      </c>
      <c r="J596" t="s">
        <v>6207</v>
      </c>
      <c r="K596">
        <v>4</v>
      </c>
      <c r="L596">
        <v>3</v>
      </c>
      <c r="M596" t="s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 x14ac:dyDescent="0.2">
      <c r="A597" t="s">
        <v>715</v>
      </c>
      <c r="B597" t="s">
        <v>32</v>
      </c>
      <c r="C597">
        <v>2010</v>
      </c>
      <c r="D597" t="s">
        <v>18</v>
      </c>
      <c r="E597" t="s">
        <v>39</v>
      </c>
      <c r="F597" t="s">
        <v>20</v>
      </c>
      <c r="G597">
        <v>40341</v>
      </c>
      <c r="H597">
        <v>32272.800000000003</v>
      </c>
      <c r="I597" s="13">
        <v>1</v>
      </c>
      <c r="J597" t="s">
        <v>6207</v>
      </c>
      <c r="K597">
        <v>2</v>
      </c>
      <c r="L597">
        <v>0</v>
      </c>
      <c r="M597" t="s">
        <v>0</v>
      </c>
      <c r="V597">
        <v>1</v>
      </c>
      <c r="W597">
        <v>0</v>
      </c>
      <c r="X597">
        <v>0</v>
      </c>
      <c r="Y597">
        <v>0</v>
      </c>
      <c r="Z597">
        <v>0</v>
      </c>
    </row>
    <row r="598" spans="1:26" x14ac:dyDescent="0.2">
      <c r="A598" t="s">
        <v>716</v>
      </c>
      <c r="B598" t="s">
        <v>37</v>
      </c>
      <c r="C598">
        <v>2010</v>
      </c>
      <c r="D598" t="s">
        <v>23</v>
      </c>
      <c r="E598" t="s">
        <v>46</v>
      </c>
      <c r="F598" t="s">
        <v>20</v>
      </c>
      <c r="G598">
        <v>62500</v>
      </c>
      <c r="H598">
        <v>50000</v>
      </c>
      <c r="I598" s="13">
        <v>1</v>
      </c>
      <c r="J598" t="s">
        <v>6206</v>
      </c>
      <c r="K598">
        <v>0</v>
      </c>
      <c r="L598">
        <v>3</v>
      </c>
      <c r="M598" t="s">
        <v>1</v>
      </c>
      <c r="V598">
        <v>1</v>
      </c>
      <c r="W598">
        <v>0</v>
      </c>
      <c r="X598">
        <v>0</v>
      </c>
      <c r="Y598">
        <v>0</v>
      </c>
      <c r="Z598">
        <v>1</v>
      </c>
    </row>
    <row r="599" spans="1:26" x14ac:dyDescent="0.2">
      <c r="A599" t="s">
        <v>717</v>
      </c>
      <c r="B599" t="s">
        <v>56</v>
      </c>
      <c r="C599">
        <v>2010</v>
      </c>
      <c r="D599" t="s">
        <v>35</v>
      </c>
      <c r="E599" t="s">
        <v>64</v>
      </c>
      <c r="F599" t="s">
        <v>35</v>
      </c>
      <c r="G599">
        <v>49000</v>
      </c>
      <c r="H599">
        <v>39200</v>
      </c>
      <c r="I599" s="13">
        <v>0</v>
      </c>
      <c r="J599" t="s">
        <v>6207</v>
      </c>
      <c r="K599">
        <v>1</v>
      </c>
      <c r="L599">
        <v>1</v>
      </c>
      <c r="M599" t="s">
        <v>58</v>
      </c>
      <c r="V599">
        <v>1</v>
      </c>
      <c r="W599">
        <v>1</v>
      </c>
      <c r="X599">
        <v>0</v>
      </c>
      <c r="Y599">
        <v>0</v>
      </c>
      <c r="Z599">
        <v>0</v>
      </c>
    </row>
    <row r="600" spans="1:26" x14ac:dyDescent="0.2">
      <c r="A600" t="s">
        <v>718</v>
      </c>
      <c r="B600" t="s">
        <v>44</v>
      </c>
      <c r="C600">
        <v>2010</v>
      </c>
      <c r="D600" t="s">
        <v>38</v>
      </c>
      <c r="E600" t="s">
        <v>42</v>
      </c>
      <c r="F600" t="s">
        <v>38</v>
      </c>
      <c r="G600">
        <v>29409</v>
      </c>
      <c r="H600">
        <v>23527.200000000001</v>
      </c>
      <c r="I600" s="13">
        <v>0.66666666666666663</v>
      </c>
      <c r="J600" t="s">
        <v>6207</v>
      </c>
      <c r="K600">
        <v>1</v>
      </c>
      <c r="L600">
        <v>1</v>
      </c>
      <c r="M600" t="s">
        <v>58</v>
      </c>
      <c r="V600">
        <v>1</v>
      </c>
      <c r="W600">
        <v>2</v>
      </c>
      <c r="X600">
        <v>0</v>
      </c>
      <c r="Y600">
        <v>0</v>
      </c>
      <c r="Z600">
        <v>0</v>
      </c>
    </row>
    <row r="601" spans="1:26" x14ac:dyDescent="0.2">
      <c r="A601" t="s">
        <v>719</v>
      </c>
      <c r="B601" t="s">
        <v>52</v>
      </c>
      <c r="C601">
        <v>2010</v>
      </c>
      <c r="D601" t="s">
        <v>26</v>
      </c>
      <c r="E601" t="s">
        <v>45</v>
      </c>
      <c r="F601" t="s">
        <v>26</v>
      </c>
      <c r="G601">
        <v>61276</v>
      </c>
      <c r="H601">
        <v>49020.800000000003</v>
      </c>
      <c r="I601" s="13">
        <v>1</v>
      </c>
      <c r="J601" t="s">
        <v>6207</v>
      </c>
      <c r="K601">
        <v>2</v>
      </c>
      <c r="L601">
        <v>2</v>
      </c>
      <c r="M601" t="s">
        <v>58</v>
      </c>
      <c r="V601">
        <v>3</v>
      </c>
      <c r="W601">
        <v>0</v>
      </c>
      <c r="X601">
        <v>0</v>
      </c>
      <c r="Y601">
        <v>0</v>
      </c>
      <c r="Z601">
        <v>1</v>
      </c>
    </row>
    <row r="602" spans="1:26" x14ac:dyDescent="0.2">
      <c r="A602" t="s">
        <v>720</v>
      </c>
      <c r="B602" t="s">
        <v>41</v>
      </c>
      <c r="C602">
        <v>2010</v>
      </c>
      <c r="D602" t="s">
        <v>51</v>
      </c>
      <c r="E602" t="s">
        <v>48</v>
      </c>
      <c r="F602" t="s">
        <v>20</v>
      </c>
      <c r="G602">
        <v>36284</v>
      </c>
      <c r="H602">
        <v>29027.200000000001</v>
      </c>
      <c r="I602" s="13">
        <v>0.5714285714285714</v>
      </c>
      <c r="J602" t="s">
        <v>6207</v>
      </c>
      <c r="K602">
        <v>0</v>
      </c>
      <c r="L602">
        <v>0</v>
      </c>
      <c r="M602" t="s">
        <v>58</v>
      </c>
      <c r="V602">
        <v>2</v>
      </c>
      <c r="W602">
        <v>4</v>
      </c>
      <c r="X602">
        <v>0</v>
      </c>
      <c r="Y602">
        <v>1</v>
      </c>
      <c r="Z602">
        <v>0</v>
      </c>
    </row>
    <row r="603" spans="1:26" x14ac:dyDescent="0.2">
      <c r="A603" t="s">
        <v>721</v>
      </c>
      <c r="B603" t="s">
        <v>32</v>
      </c>
      <c r="C603">
        <v>2010</v>
      </c>
      <c r="D603" t="s">
        <v>22</v>
      </c>
      <c r="E603" t="s">
        <v>26</v>
      </c>
      <c r="F603" t="s">
        <v>24</v>
      </c>
      <c r="G603">
        <v>31750</v>
      </c>
      <c r="H603">
        <v>25400</v>
      </c>
      <c r="I603" s="13">
        <v>1</v>
      </c>
      <c r="J603" t="s">
        <v>6207</v>
      </c>
      <c r="K603">
        <v>0</v>
      </c>
      <c r="L603">
        <v>3</v>
      </c>
      <c r="M603" t="s">
        <v>1</v>
      </c>
      <c r="V603">
        <v>0</v>
      </c>
      <c r="W603">
        <v>3</v>
      </c>
      <c r="X603">
        <v>0</v>
      </c>
      <c r="Y603">
        <v>0</v>
      </c>
      <c r="Z603">
        <v>0</v>
      </c>
    </row>
    <row r="604" spans="1:26" x14ac:dyDescent="0.2">
      <c r="A604" t="s">
        <v>722</v>
      </c>
      <c r="B604" t="s">
        <v>47</v>
      </c>
      <c r="C604">
        <v>2010</v>
      </c>
      <c r="D604" t="s">
        <v>64</v>
      </c>
      <c r="E604" t="s">
        <v>51</v>
      </c>
      <c r="F604" t="s">
        <v>64</v>
      </c>
      <c r="G604">
        <v>52264</v>
      </c>
      <c r="H604">
        <v>41811.200000000004</v>
      </c>
      <c r="I604" s="13">
        <v>0</v>
      </c>
      <c r="J604" t="s">
        <v>6208</v>
      </c>
      <c r="K604">
        <v>1</v>
      </c>
      <c r="L604">
        <v>1</v>
      </c>
      <c r="M604" t="s">
        <v>58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2">
      <c r="A605" t="s">
        <v>723</v>
      </c>
      <c r="B605" t="s">
        <v>53</v>
      </c>
      <c r="C605">
        <v>2010</v>
      </c>
      <c r="D605" t="s">
        <v>48</v>
      </c>
      <c r="E605" t="s">
        <v>38</v>
      </c>
      <c r="F605" t="s">
        <v>49</v>
      </c>
      <c r="G605">
        <v>74197</v>
      </c>
      <c r="H605">
        <v>59357.600000000006</v>
      </c>
      <c r="I605" s="13">
        <v>0</v>
      </c>
      <c r="J605" t="s">
        <v>6207</v>
      </c>
      <c r="K605">
        <v>5</v>
      </c>
      <c r="L605">
        <v>0</v>
      </c>
      <c r="M605" t="s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">
      <c r="A606" t="s">
        <v>724</v>
      </c>
      <c r="B606" t="s">
        <v>59</v>
      </c>
      <c r="C606">
        <v>2010</v>
      </c>
      <c r="D606" t="s">
        <v>31</v>
      </c>
      <c r="E606" t="s">
        <v>27</v>
      </c>
      <c r="F606" t="s">
        <v>20</v>
      </c>
      <c r="G606">
        <v>28500</v>
      </c>
      <c r="H606">
        <v>22800</v>
      </c>
      <c r="I606" s="13">
        <v>0.33333333333333331</v>
      </c>
      <c r="J606" t="s">
        <v>6206</v>
      </c>
      <c r="K606">
        <v>2</v>
      </c>
      <c r="L606">
        <v>0</v>
      </c>
      <c r="M606" t="s">
        <v>0</v>
      </c>
      <c r="V606">
        <v>1</v>
      </c>
      <c r="W606">
        <v>1</v>
      </c>
      <c r="X606">
        <v>0</v>
      </c>
      <c r="Y606">
        <v>1</v>
      </c>
      <c r="Z606">
        <v>1</v>
      </c>
    </row>
    <row r="607" spans="1:26" x14ac:dyDescent="0.2">
      <c r="A607" t="s">
        <v>725</v>
      </c>
      <c r="B607" t="s">
        <v>55</v>
      </c>
      <c r="C607">
        <v>2010</v>
      </c>
      <c r="D607" t="s">
        <v>45</v>
      </c>
      <c r="E607" t="s">
        <v>23</v>
      </c>
      <c r="F607" t="s">
        <v>26</v>
      </c>
      <c r="G607">
        <v>39572</v>
      </c>
      <c r="H607">
        <v>31657.600000000002</v>
      </c>
      <c r="I607" s="13">
        <v>0.5</v>
      </c>
      <c r="J607" t="s">
        <v>6206</v>
      </c>
      <c r="K607">
        <v>2</v>
      </c>
      <c r="L607">
        <v>2</v>
      </c>
      <c r="M607" t="s">
        <v>58</v>
      </c>
      <c r="V607">
        <v>1</v>
      </c>
      <c r="W607">
        <v>2</v>
      </c>
      <c r="X607">
        <v>0</v>
      </c>
      <c r="Y607">
        <v>1</v>
      </c>
      <c r="Z607">
        <v>0</v>
      </c>
    </row>
    <row r="608" spans="1:26" x14ac:dyDescent="0.2">
      <c r="A608" t="s">
        <v>726</v>
      </c>
      <c r="B608" t="s">
        <v>50</v>
      </c>
      <c r="C608">
        <v>2010</v>
      </c>
      <c r="D608" t="s">
        <v>62</v>
      </c>
      <c r="E608" t="s">
        <v>35</v>
      </c>
      <c r="F608" t="s">
        <v>62</v>
      </c>
      <c r="G608">
        <v>17338</v>
      </c>
      <c r="H608">
        <v>13870.400000000001</v>
      </c>
      <c r="I608" s="13">
        <v>0</v>
      </c>
      <c r="J608" t="s">
        <v>6207</v>
      </c>
      <c r="K608">
        <v>1</v>
      </c>
      <c r="L608">
        <v>2</v>
      </c>
      <c r="M608" t="s">
        <v>1</v>
      </c>
      <c r="V608">
        <v>2</v>
      </c>
      <c r="W608">
        <v>0</v>
      </c>
      <c r="X608">
        <v>0</v>
      </c>
      <c r="Y608">
        <v>0</v>
      </c>
      <c r="Z608">
        <v>1</v>
      </c>
    </row>
    <row r="609" spans="1:26" x14ac:dyDescent="0.2">
      <c r="A609" t="s">
        <v>727</v>
      </c>
      <c r="B609" t="s">
        <v>60</v>
      </c>
      <c r="C609">
        <v>2010</v>
      </c>
      <c r="D609" t="s">
        <v>46</v>
      </c>
      <c r="E609" t="s">
        <v>43</v>
      </c>
      <c r="F609" t="s">
        <v>20</v>
      </c>
      <c r="G609">
        <v>60704</v>
      </c>
      <c r="H609">
        <v>48563.200000000004</v>
      </c>
      <c r="I609" s="13">
        <v>0.5</v>
      </c>
      <c r="J609" t="s">
        <v>6208</v>
      </c>
      <c r="K609">
        <v>3</v>
      </c>
      <c r="L609">
        <v>0</v>
      </c>
      <c r="M609" t="s">
        <v>0</v>
      </c>
      <c r="V609">
        <v>0</v>
      </c>
      <c r="W609">
        <v>1</v>
      </c>
      <c r="X609">
        <v>0</v>
      </c>
      <c r="Y609">
        <v>1</v>
      </c>
      <c r="Z609">
        <v>0</v>
      </c>
    </row>
    <row r="610" spans="1:26" x14ac:dyDescent="0.2">
      <c r="A610" t="s">
        <v>728</v>
      </c>
      <c r="B610" t="s">
        <v>56</v>
      </c>
      <c r="C610">
        <v>2010</v>
      </c>
      <c r="D610" t="s">
        <v>42</v>
      </c>
      <c r="E610" t="s">
        <v>40</v>
      </c>
      <c r="F610" t="s">
        <v>38</v>
      </c>
      <c r="G610">
        <v>42918</v>
      </c>
      <c r="H610">
        <v>34334.400000000001</v>
      </c>
      <c r="I610" s="13">
        <v>1</v>
      </c>
      <c r="J610" t="s">
        <v>6207</v>
      </c>
      <c r="K610">
        <v>1</v>
      </c>
      <c r="L610">
        <v>0</v>
      </c>
      <c r="M610" t="s">
        <v>0</v>
      </c>
      <c r="V610">
        <v>1</v>
      </c>
      <c r="W610">
        <v>1</v>
      </c>
      <c r="X610">
        <v>0</v>
      </c>
      <c r="Y610">
        <v>0</v>
      </c>
      <c r="Z610">
        <v>0</v>
      </c>
    </row>
    <row r="611" spans="1:26" x14ac:dyDescent="0.2">
      <c r="A611" t="s">
        <v>729</v>
      </c>
      <c r="B611" t="s">
        <v>44</v>
      </c>
      <c r="C611">
        <v>2010</v>
      </c>
      <c r="D611" t="s">
        <v>39</v>
      </c>
      <c r="E611" t="s">
        <v>63</v>
      </c>
      <c r="F611" t="s">
        <v>39</v>
      </c>
      <c r="G611">
        <v>31367</v>
      </c>
      <c r="H611">
        <v>25093.600000000002</v>
      </c>
      <c r="I611" s="13">
        <v>0</v>
      </c>
      <c r="J611" t="s">
        <v>6207</v>
      </c>
      <c r="K611">
        <v>2</v>
      </c>
      <c r="L611">
        <v>0</v>
      </c>
      <c r="M611" t="s">
        <v>0</v>
      </c>
      <c r="V611">
        <v>0</v>
      </c>
      <c r="W611">
        <v>1</v>
      </c>
      <c r="X611">
        <v>0</v>
      </c>
      <c r="Y611">
        <v>0</v>
      </c>
      <c r="Z611">
        <v>0</v>
      </c>
    </row>
    <row r="612" spans="1:26" x14ac:dyDescent="0.2">
      <c r="A612" t="s">
        <v>730</v>
      </c>
      <c r="B612" t="s">
        <v>25</v>
      </c>
      <c r="C612">
        <v>2010</v>
      </c>
      <c r="D612" t="s">
        <v>34</v>
      </c>
      <c r="E612" t="s">
        <v>18</v>
      </c>
      <c r="F612" t="s">
        <v>36</v>
      </c>
      <c r="G612">
        <v>28723</v>
      </c>
      <c r="H612">
        <v>22978.400000000001</v>
      </c>
      <c r="I612" s="13">
        <v>0</v>
      </c>
      <c r="J612" t="s">
        <v>6207</v>
      </c>
      <c r="K612">
        <v>0</v>
      </c>
      <c r="L612">
        <v>4</v>
      </c>
      <c r="M612" t="s">
        <v>1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x14ac:dyDescent="0.2">
      <c r="A613" t="s">
        <v>731</v>
      </c>
      <c r="B613" t="s">
        <v>55</v>
      </c>
      <c r="C613">
        <v>2010</v>
      </c>
      <c r="D613" t="s">
        <v>62</v>
      </c>
      <c r="E613" t="s">
        <v>48</v>
      </c>
      <c r="F613" t="s">
        <v>62</v>
      </c>
      <c r="G613">
        <v>17338</v>
      </c>
      <c r="H613">
        <v>13870.400000000001</v>
      </c>
      <c r="I613" s="13">
        <v>0.33333333333333331</v>
      </c>
      <c r="J613" t="s">
        <v>6206</v>
      </c>
      <c r="K613">
        <v>2</v>
      </c>
      <c r="L613">
        <v>3</v>
      </c>
      <c r="M613" t="s">
        <v>1</v>
      </c>
      <c r="V613">
        <v>1</v>
      </c>
      <c r="W613">
        <v>2</v>
      </c>
      <c r="X613">
        <v>0</v>
      </c>
      <c r="Y613">
        <v>0</v>
      </c>
      <c r="Z613">
        <v>0</v>
      </c>
    </row>
    <row r="614" spans="1:26" x14ac:dyDescent="0.2">
      <c r="A614" t="s">
        <v>732</v>
      </c>
      <c r="B614" t="s">
        <v>68</v>
      </c>
      <c r="C614">
        <v>2010</v>
      </c>
      <c r="D614" t="s">
        <v>43</v>
      </c>
      <c r="E614" t="s">
        <v>42</v>
      </c>
      <c r="F614" t="s">
        <v>43</v>
      </c>
      <c r="G614">
        <v>25138</v>
      </c>
      <c r="H614">
        <v>20110.400000000001</v>
      </c>
      <c r="I614" s="13">
        <v>1</v>
      </c>
      <c r="J614" t="s">
        <v>6207</v>
      </c>
      <c r="K614">
        <v>1</v>
      </c>
      <c r="L614">
        <v>2</v>
      </c>
      <c r="M614" t="s">
        <v>1</v>
      </c>
      <c r="V614">
        <v>2</v>
      </c>
      <c r="W614">
        <v>3</v>
      </c>
      <c r="X614">
        <v>0</v>
      </c>
      <c r="Y614">
        <v>0</v>
      </c>
      <c r="Z614">
        <v>0</v>
      </c>
    </row>
    <row r="615" spans="1:26" x14ac:dyDescent="0.2">
      <c r="A615" t="s">
        <v>733</v>
      </c>
      <c r="B615" t="s">
        <v>54</v>
      </c>
      <c r="C615">
        <v>2010</v>
      </c>
      <c r="D615" t="s">
        <v>26</v>
      </c>
      <c r="E615" t="s">
        <v>31</v>
      </c>
      <c r="F615" t="s">
        <v>26</v>
      </c>
      <c r="G615">
        <v>61276</v>
      </c>
      <c r="H615">
        <v>49020.800000000003</v>
      </c>
      <c r="I615" s="13">
        <v>1</v>
      </c>
      <c r="J615" t="s">
        <v>6206</v>
      </c>
      <c r="K615">
        <v>1</v>
      </c>
      <c r="L615">
        <v>0</v>
      </c>
      <c r="M615" t="s">
        <v>0</v>
      </c>
      <c r="V615">
        <v>0</v>
      </c>
      <c r="W615">
        <v>1</v>
      </c>
      <c r="X615">
        <v>0</v>
      </c>
      <c r="Y615">
        <v>0</v>
      </c>
      <c r="Z615">
        <v>0</v>
      </c>
    </row>
    <row r="616" spans="1:26" x14ac:dyDescent="0.2">
      <c r="A616" t="s">
        <v>734</v>
      </c>
      <c r="B616" t="s">
        <v>47</v>
      </c>
      <c r="C616">
        <v>2010</v>
      </c>
      <c r="D616" t="s">
        <v>35</v>
      </c>
      <c r="E616" t="s">
        <v>18</v>
      </c>
      <c r="F616" t="s">
        <v>35</v>
      </c>
      <c r="G616">
        <v>49000</v>
      </c>
      <c r="H616">
        <v>39200</v>
      </c>
      <c r="I616" s="13">
        <v>0.66666666666666663</v>
      </c>
      <c r="J616" t="s">
        <v>6208</v>
      </c>
      <c r="K616">
        <v>2</v>
      </c>
      <c r="L616">
        <v>4</v>
      </c>
      <c r="M616" t="s">
        <v>1</v>
      </c>
      <c r="V616">
        <v>1</v>
      </c>
      <c r="W616">
        <v>2</v>
      </c>
      <c r="X616">
        <v>0</v>
      </c>
      <c r="Y616">
        <v>0</v>
      </c>
      <c r="Z616">
        <v>0</v>
      </c>
    </row>
    <row r="617" spans="1:26" x14ac:dyDescent="0.2">
      <c r="A617" t="s">
        <v>735</v>
      </c>
      <c r="B617" t="s">
        <v>50</v>
      </c>
      <c r="C617">
        <v>2010</v>
      </c>
      <c r="D617" t="s">
        <v>46</v>
      </c>
      <c r="E617" t="s">
        <v>45</v>
      </c>
      <c r="F617" t="s">
        <v>20</v>
      </c>
      <c r="G617">
        <v>60704</v>
      </c>
      <c r="H617">
        <v>48563.200000000004</v>
      </c>
      <c r="I617" s="13">
        <v>0.5</v>
      </c>
      <c r="J617" t="s">
        <v>6207</v>
      </c>
      <c r="K617">
        <v>2</v>
      </c>
      <c r="L617">
        <v>1</v>
      </c>
      <c r="M617" t="s">
        <v>0</v>
      </c>
      <c r="V617">
        <v>3</v>
      </c>
      <c r="W617">
        <v>5</v>
      </c>
      <c r="X617">
        <v>0</v>
      </c>
      <c r="Y617">
        <v>0</v>
      </c>
      <c r="Z617">
        <v>0</v>
      </c>
    </row>
    <row r="618" spans="1:26" x14ac:dyDescent="0.2">
      <c r="A618" t="s">
        <v>736</v>
      </c>
      <c r="B618" t="s">
        <v>52</v>
      </c>
      <c r="C618">
        <v>2010</v>
      </c>
      <c r="D618" t="s">
        <v>63</v>
      </c>
      <c r="E618" t="s">
        <v>43</v>
      </c>
      <c r="F618" t="s">
        <v>65</v>
      </c>
      <c r="G618">
        <v>26804</v>
      </c>
      <c r="H618">
        <v>21443.200000000001</v>
      </c>
      <c r="I618" s="13">
        <v>0.66666666666666663</v>
      </c>
      <c r="J618" t="s">
        <v>6207</v>
      </c>
      <c r="K618">
        <v>2</v>
      </c>
      <c r="L618">
        <v>2</v>
      </c>
      <c r="M618" t="s">
        <v>58</v>
      </c>
      <c r="V618">
        <v>4</v>
      </c>
      <c r="W618">
        <v>5</v>
      </c>
      <c r="X618">
        <v>0</v>
      </c>
      <c r="Y618">
        <v>0</v>
      </c>
      <c r="Z618">
        <v>0</v>
      </c>
    </row>
    <row r="619" spans="1:26" x14ac:dyDescent="0.2">
      <c r="A619" t="s">
        <v>737</v>
      </c>
      <c r="B619" t="s">
        <v>25</v>
      </c>
      <c r="C619">
        <v>2010</v>
      </c>
      <c r="D619" t="s">
        <v>48</v>
      </c>
      <c r="E619" t="s">
        <v>42</v>
      </c>
      <c r="F619" t="s">
        <v>49</v>
      </c>
      <c r="G619">
        <v>74197</v>
      </c>
      <c r="H619">
        <v>59357.600000000006</v>
      </c>
      <c r="I619" s="13">
        <v>0</v>
      </c>
      <c r="J619" t="s">
        <v>6207</v>
      </c>
      <c r="K619">
        <v>3</v>
      </c>
      <c r="L619">
        <v>1</v>
      </c>
      <c r="M619" t="s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">
      <c r="A620" t="s">
        <v>738</v>
      </c>
      <c r="B620" t="s">
        <v>60</v>
      </c>
      <c r="C620">
        <v>2010</v>
      </c>
      <c r="D620" t="s">
        <v>38</v>
      </c>
      <c r="E620" t="s">
        <v>40</v>
      </c>
      <c r="F620" t="s">
        <v>38</v>
      </c>
      <c r="G620">
        <v>29409</v>
      </c>
      <c r="H620">
        <v>23527.200000000001</v>
      </c>
      <c r="I620" s="13">
        <v>0.5</v>
      </c>
      <c r="J620" t="s">
        <v>6208</v>
      </c>
      <c r="K620">
        <v>2</v>
      </c>
      <c r="L620">
        <v>2</v>
      </c>
      <c r="M620" t="s">
        <v>58</v>
      </c>
      <c r="V620">
        <v>0</v>
      </c>
      <c r="W620">
        <v>2</v>
      </c>
      <c r="X620">
        <v>0</v>
      </c>
      <c r="Y620">
        <v>0</v>
      </c>
      <c r="Z620">
        <v>1</v>
      </c>
    </row>
    <row r="621" spans="1:26" x14ac:dyDescent="0.2">
      <c r="A621" t="s">
        <v>739</v>
      </c>
      <c r="B621" t="s">
        <v>61</v>
      </c>
      <c r="C621">
        <v>2010</v>
      </c>
      <c r="D621" t="s">
        <v>26</v>
      </c>
      <c r="E621" t="s">
        <v>27</v>
      </c>
      <c r="F621" t="s">
        <v>26</v>
      </c>
      <c r="G621">
        <v>61276</v>
      </c>
      <c r="H621">
        <v>49020.800000000003</v>
      </c>
      <c r="I621" s="13">
        <v>0.6</v>
      </c>
      <c r="J621" t="s">
        <v>6207</v>
      </c>
      <c r="K621">
        <v>2</v>
      </c>
      <c r="L621">
        <v>0</v>
      </c>
      <c r="M621" t="s">
        <v>0</v>
      </c>
      <c r="V621">
        <v>1</v>
      </c>
      <c r="W621">
        <v>4</v>
      </c>
      <c r="X621">
        <v>0</v>
      </c>
      <c r="Y621">
        <v>0</v>
      </c>
      <c r="Z621">
        <v>0</v>
      </c>
    </row>
    <row r="622" spans="1:26" x14ac:dyDescent="0.2">
      <c r="A622" t="s">
        <v>740</v>
      </c>
      <c r="B622" t="s">
        <v>53</v>
      </c>
      <c r="C622">
        <v>2010</v>
      </c>
      <c r="D622" t="s">
        <v>31</v>
      </c>
      <c r="E622" t="s">
        <v>64</v>
      </c>
      <c r="F622" t="s">
        <v>20</v>
      </c>
      <c r="G622">
        <v>28500</v>
      </c>
      <c r="H622">
        <v>22800</v>
      </c>
      <c r="I622" s="13">
        <v>0</v>
      </c>
      <c r="J622" t="s">
        <v>6207</v>
      </c>
      <c r="K622">
        <v>1</v>
      </c>
      <c r="L622">
        <v>0</v>
      </c>
      <c r="M622" t="s">
        <v>0</v>
      </c>
      <c r="V622">
        <v>0</v>
      </c>
      <c r="W622">
        <v>3</v>
      </c>
      <c r="X622">
        <v>0</v>
      </c>
      <c r="Y622">
        <v>0</v>
      </c>
      <c r="Z622">
        <v>0</v>
      </c>
    </row>
    <row r="623" spans="1:26" x14ac:dyDescent="0.2">
      <c r="A623" t="s">
        <v>741</v>
      </c>
      <c r="B623" t="s">
        <v>55</v>
      </c>
      <c r="C623">
        <v>2010</v>
      </c>
      <c r="D623" t="s">
        <v>34</v>
      </c>
      <c r="E623" t="s">
        <v>22</v>
      </c>
      <c r="F623" t="s">
        <v>36</v>
      </c>
      <c r="G623">
        <v>28723</v>
      </c>
      <c r="H623">
        <v>22978.400000000001</v>
      </c>
      <c r="I623" s="13">
        <v>0.25</v>
      </c>
      <c r="J623" t="s">
        <v>6206</v>
      </c>
      <c r="K623">
        <v>1</v>
      </c>
      <c r="L623">
        <v>0</v>
      </c>
      <c r="M623" t="s">
        <v>0</v>
      </c>
      <c r="V623">
        <v>1</v>
      </c>
      <c r="W623">
        <v>3</v>
      </c>
      <c r="X623">
        <v>0</v>
      </c>
      <c r="Y623">
        <v>0</v>
      </c>
      <c r="Z623">
        <v>0</v>
      </c>
    </row>
    <row r="624" spans="1:26" x14ac:dyDescent="0.2">
      <c r="A624" t="s">
        <v>742</v>
      </c>
      <c r="B624" t="s">
        <v>59</v>
      </c>
      <c r="C624">
        <v>2010</v>
      </c>
      <c r="D624" t="s">
        <v>62</v>
      </c>
      <c r="E624" t="s">
        <v>23</v>
      </c>
      <c r="F624" t="s">
        <v>62</v>
      </c>
      <c r="G624">
        <v>17338</v>
      </c>
      <c r="H624">
        <v>13870.400000000001</v>
      </c>
      <c r="I624" s="13">
        <v>0</v>
      </c>
      <c r="J624" t="s">
        <v>6206</v>
      </c>
      <c r="K624">
        <v>1</v>
      </c>
      <c r="L624">
        <v>3</v>
      </c>
      <c r="M624" t="s">
        <v>1</v>
      </c>
      <c r="V624">
        <v>0</v>
      </c>
      <c r="W624">
        <v>1</v>
      </c>
      <c r="X624">
        <v>0</v>
      </c>
      <c r="Y624">
        <v>0</v>
      </c>
      <c r="Z624">
        <v>0</v>
      </c>
    </row>
    <row r="625" spans="1:26" x14ac:dyDescent="0.2">
      <c r="A625" t="s">
        <v>743</v>
      </c>
      <c r="B625" t="s">
        <v>37</v>
      </c>
      <c r="C625">
        <v>2010</v>
      </c>
      <c r="D625" t="s">
        <v>39</v>
      </c>
      <c r="E625" t="s">
        <v>51</v>
      </c>
      <c r="F625" t="s">
        <v>39</v>
      </c>
      <c r="G625">
        <v>31367</v>
      </c>
      <c r="H625">
        <v>25093.600000000002</v>
      </c>
      <c r="I625" s="13">
        <v>1</v>
      </c>
      <c r="J625" t="s">
        <v>6206</v>
      </c>
      <c r="K625">
        <v>0</v>
      </c>
      <c r="L625">
        <v>1</v>
      </c>
      <c r="M625" t="s">
        <v>1</v>
      </c>
      <c r="V625">
        <v>2</v>
      </c>
      <c r="W625">
        <v>1</v>
      </c>
      <c r="X625">
        <v>0</v>
      </c>
      <c r="Y625">
        <v>0</v>
      </c>
      <c r="Z625">
        <v>0</v>
      </c>
    </row>
    <row r="626" spans="1:26" x14ac:dyDescent="0.2">
      <c r="A626" t="s">
        <v>744</v>
      </c>
      <c r="B626" t="s">
        <v>54</v>
      </c>
      <c r="C626">
        <v>2010</v>
      </c>
      <c r="D626" t="s">
        <v>27</v>
      </c>
      <c r="E626" t="s">
        <v>35</v>
      </c>
      <c r="F626" t="s">
        <v>27</v>
      </c>
      <c r="G626">
        <v>30089</v>
      </c>
      <c r="H626">
        <v>24071.200000000001</v>
      </c>
      <c r="I626" s="13">
        <v>0.75</v>
      </c>
      <c r="J626" t="s">
        <v>6206</v>
      </c>
      <c r="K626">
        <v>3</v>
      </c>
      <c r="L626">
        <v>2</v>
      </c>
      <c r="M626" t="s">
        <v>0</v>
      </c>
      <c r="V626">
        <v>1</v>
      </c>
      <c r="W626">
        <v>3</v>
      </c>
      <c r="X626">
        <v>0</v>
      </c>
      <c r="Y626">
        <v>0</v>
      </c>
      <c r="Z626">
        <v>0</v>
      </c>
    </row>
    <row r="627" spans="1:26" x14ac:dyDescent="0.2">
      <c r="A627" t="s">
        <v>745</v>
      </c>
      <c r="B627" t="s">
        <v>41</v>
      </c>
      <c r="C627">
        <v>2010</v>
      </c>
      <c r="D627" t="s">
        <v>43</v>
      </c>
      <c r="E627" t="s">
        <v>39</v>
      </c>
      <c r="F627" t="s">
        <v>43</v>
      </c>
      <c r="G627">
        <v>25138</v>
      </c>
      <c r="H627">
        <v>20110.400000000001</v>
      </c>
      <c r="I627" s="13">
        <v>1</v>
      </c>
      <c r="J627" t="s">
        <v>6207</v>
      </c>
      <c r="K627">
        <v>4</v>
      </c>
      <c r="L627">
        <v>3</v>
      </c>
      <c r="M627" t="s">
        <v>0</v>
      </c>
      <c r="V627">
        <v>1</v>
      </c>
      <c r="W627">
        <v>2</v>
      </c>
      <c r="X627">
        <v>0</v>
      </c>
      <c r="Y627">
        <v>0</v>
      </c>
      <c r="Z627">
        <v>2</v>
      </c>
    </row>
    <row r="628" spans="1:26" x14ac:dyDescent="0.2">
      <c r="A628" t="s">
        <v>746</v>
      </c>
      <c r="B628" t="s">
        <v>44</v>
      </c>
      <c r="C628">
        <v>2010</v>
      </c>
      <c r="D628" t="s">
        <v>51</v>
      </c>
      <c r="E628" t="s">
        <v>34</v>
      </c>
      <c r="F628" t="s">
        <v>20</v>
      </c>
      <c r="G628">
        <v>36284</v>
      </c>
      <c r="H628">
        <v>29027.200000000001</v>
      </c>
      <c r="I628" s="13">
        <v>0</v>
      </c>
      <c r="J628" t="s">
        <v>6207</v>
      </c>
      <c r="K628">
        <v>2</v>
      </c>
      <c r="L628">
        <v>1</v>
      </c>
      <c r="M628" t="s">
        <v>0</v>
      </c>
      <c r="V628">
        <v>1</v>
      </c>
      <c r="W628">
        <v>3</v>
      </c>
      <c r="X628">
        <v>0</v>
      </c>
      <c r="Y628">
        <v>0</v>
      </c>
      <c r="Z628">
        <v>1</v>
      </c>
    </row>
    <row r="629" spans="1:26" x14ac:dyDescent="0.2">
      <c r="A629" t="s">
        <v>747</v>
      </c>
      <c r="B629" t="s">
        <v>52</v>
      </c>
      <c r="C629">
        <v>2010</v>
      </c>
      <c r="D629" t="s">
        <v>64</v>
      </c>
      <c r="E629" t="s">
        <v>46</v>
      </c>
      <c r="F629" t="s">
        <v>64</v>
      </c>
      <c r="G629">
        <v>52264</v>
      </c>
      <c r="H629">
        <v>41811.200000000004</v>
      </c>
      <c r="I629" s="13">
        <v>0.83333333333333337</v>
      </c>
      <c r="J629" t="s">
        <v>6207</v>
      </c>
      <c r="K629">
        <v>4</v>
      </c>
      <c r="L629">
        <v>4</v>
      </c>
      <c r="M629" t="s">
        <v>58</v>
      </c>
      <c r="V629">
        <v>2</v>
      </c>
      <c r="W629">
        <v>3</v>
      </c>
      <c r="X629">
        <v>0</v>
      </c>
      <c r="Y629">
        <v>1</v>
      </c>
      <c r="Z629">
        <v>2</v>
      </c>
    </row>
    <row r="630" spans="1:26" x14ac:dyDescent="0.2">
      <c r="A630" t="s">
        <v>748</v>
      </c>
      <c r="B630" t="s">
        <v>32</v>
      </c>
      <c r="C630">
        <v>2010</v>
      </c>
      <c r="D630" t="s">
        <v>40</v>
      </c>
      <c r="E630" t="s">
        <v>63</v>
      </c>
      <c r="F630" t="s">
        <v>49</v>
      </c>
      <c r="G630">
        <v>53400</v>
      </c>
      <c r="H630">
        <v>42720</v>
      </c>
      <c r="I630" s="13">
        <v>0.66666666666666663</v>
      </c>
      <c r="J630" t="s">
        <v>6207</v>
      </c>
      <c r="K630">
        <v>3</v>
      </c>
      <c r="L630">
        <v>0</v>
      </c>
      <c r="M630" t="s">
        <v>0</v>
      </c>
      <c r="V630">
        <v>1</v>
      </c>
      <c r="W630">
        <v>2</v>
      </c>
      <c r="X630">
        <v>0</v>
      </c>
      <c r="Y630">
        <v>0</v>
      </c>
      <c r="Z630">
        <v>2</v>
      </c>
    </row>
    <row r="631" spans="1:26" x14ac:dyDescent="0.2">
      <c r="A631" t="s">
        <v>749</v>
      </c>
      <c r="B631" t="s">
        <v>60</v>
      </c>
      <c r="C631">
        <v>2010</v>
      </c>
      <c r="D631" t="s">
        <v>45</v>
      </c>
      <c r="E631" t="s">
        <v>62</v>
      </c>
      <c r="F631" t="s">
        <v>26</v>
      </c>
      <c r="G631">
        <v>39572</v>
      </c>
      <c r="H631">
        <v>31657.600000000002</v>
      </c>
      <c r="I631" s="13">
        <v>0</v>
      </c>
      <c r="J631" t="s">
        <v>6208</v>
      </c>
      <c r="K631">
        <v>5</v>
      </c>
      <c r="L631">
        <v>3</v>
      </c>
      <c r="M631" t="s">
        <v>0</v>
      </c>
      <c r="V631">
        <v>0</v>
      </c>
      <c r="W631">
        <v>1</v>
      </c>
      <c r="X631">
        <v>0</v>
      </c>
      <c r="Y631">
        <v>0</v>
      </c>
      <c r="Z631">
        <v>0</v>
      </c>
    </row>
    <row r="632" spans="1:26" x14ac:dyDescent="0.2">
      <c r="A632" t="s">
        <v>750</v>
      </c>
      <c r="B632" t="s">
        <v>50</v>
      </c>
      <c r="C632">
        <v>2010</v>
      </c>
      <c r="D632" t="s">
        <v>42</v>
      </c>
      <c r="E632" t="s">
        <v>31</v>
      </c>
      <c r="F632" t="s">
        <v>38</v>
      </c>
      <c r="G632">
        <v>42918</v>
      </c>
      <c r="H632">
        <v>34334.400000000001</v>
      </c>
      <c r="I632" s="13">
        <v>0.6</v>
      </c>
      <c r="J632" t="s">
        <v>6207</v>
      </c>
      <c r="K632">
        <v>2</v>
      </c>
      <c r="L632">
        <v>2</v>
      </c>
      <c r="M632" t="s">
        <v>58</v>
      </c>
      <c r="V632">
        <v>3</v>
      </c>
      <c r="W632">
        <v>2</v>
      </c>
      <c r="X632">
        <v>0</v>
      </c>
      <c r="Y632">
        <v>0</v>
      </c>
      <c r="Z632">
        <v>0</v>
      </c>
    </row>
    <row r="633" spans="1:26" x14ac:dyDescent="0.2">
      <c r="A633" t="s">
        <v>751</v>
      </c>
      <c r="B633" t="s">
        <v>66</v>
      </c>
      <c r="C633">
        <v>2010</v>
      </c>
      <c r="D633" t="s">
        <v>22</v>
      </c>
      <c r="E633" t="s">
        <v>48</v>
      </c>
      <c r="F633" t="s">
        <v>24</v>
      </c>
      <c r="G633">
        <v>31750</v>
      </c>
      <c r="H633">
        <v>25400</v>
      </c>
      <c r="I633" s="13">
        <v>0</v>
      </c>
      <c r="J633" t="s">
        <v>6207</v>
      </c>
      <c r="K633">
        <v>2</v>
      </c>
      <c r="L633">
        <v>1</v>
      </c>
      <c r="M633" t="s">
        <v>0</v>
      </c>
      <c r="V633">
        <v>2</v>
      </c>
      <c r="W633">
        <v>2</v>
      </c>
      <c r="X633">
        <v>0</v>
      </c>
      <c r="Y633">
        <v>0</v>
      </c>
      <c r="Z633">
        <v>0</v>
      </c>
    </row>
    <row r="634" spans="1:26" x14ac:dyDescent="0.2">
      <c r="A634" t="s">
        <v>752</v>
      </c>
      <c r="B634" t="s">
        <v>25</v>
      </c>
      <c r="C634">
        <v>2010</v>
      </c>
      <c r="D634" t="s">
        <v>23</v>
      </c>
      <c r="E634" t="s">
        <v>38</v>
      </c>
      <c r="F634" t="s">
        <v>20</v>
      </c>
      <c r="G634">
        <v>62500</v>
      </c>
      <c r="H634">
        <v>50000</v>
      </c>
      <c r="I634" s="13">
        <v>0.25</v>
      </c>
      <c r="J634" t="s">
        <v>6207</v>
      </c>
      <c r="K634">
        <v>0</v>
      </c>
      <c r="L634">
        <v>1</v>
      </c>
      <c r="M634" t="s">
        <v>1</v>
      </c>
      <c r="V634">
        <v>3</v>
      </c>
      <c r="W634">
        <v>1</v>
      </c>
      <c r="X634">
        <v>0</v>
      </c>
      <c r="Y634">
        <v>0</v>
      </c>
      <c r="Z634">
        <v>0</v>
      </c>
    </row>
    <row r="635" spans="1:26" x14ac:dyDescent="0.2">
      <c r="A635" t="s">
        <v>753</v>
      </c>
      <c r="B635" t="s">
        <v>37</v>
      </c>
      <c r="C635">
        <v>2010</v>
      </c>
      <c r="D635" t="s">
        <v>18</v>
      </c>
      <c r="E635" t="s">
        <v>26</v>
      </c>
      <c r="F635" t="s">
        <v>20</v>
      </c>
      <c r="G635">
        <v>40341</v>
      </c>
      <c r="H635">
        <v>32272.800000000003</v>
      </c>
      <c r="I635" s="13">
        <v>1</v>
      </c>
      <c r="J635" t="s">
        <v>6206</v>
      </c>
      <c r="K635">
        <v>0</v>
      </c>
      <c r="L635">
        <v>1</v>
      </c>
      <c r="M635" t="s">
        <v>1</v>
      </c>
      <c r="V635">
        <v>1</v>
      </c>
      <c r="W635">
        <v>1</v>
      </c>
      <c r="X635">
        <v>0</v>
      </c>
      <c r="Y635">
        <v>0</v>
      </c>
      <c r="Z635">
        <v>0</v>
      </c>
    </row>
    <row r="636" spans="1:26" x14ac:dyDescent="0.2">
      <c r="A636" t="s">
        <v>754</v>
      </c>
      <c r="B636" t="s">
        <v>37</v>
      </c>
      <c r="C636">
        <v>2010</v>
      </c>
      <c r="D636" t="s">
        <v>48</v>
      </c>
      <c r="E636" t="s">
        <v>40</v>
      </c>
      <c r="F636" t="s">
        <v>49</v>
      </c>
      <c r="G636">
        <v>74197</v>
      </c>
      <c r="H636">
        <v>59357.600000000006</v>
      </c>
      <c r="I636" s="13">
        <v>0.25</v>
      </c>
      <c r="J636" t="s">
        <v>6206</v>
      </c>
      <c r="K636">
        <v>2</v>
      </c>
      <c r="L636">
        <v>1</v>
      </c>
      <c r="M636" t="s">
        <v>0</v>
      </c>
      <c r="V636">
        <v>2</v>
      </c>
      <c r="W636">
        <v>2</v>
      </c>
      <c r="X636">
        <v>0</v>
      </c>
      <c r="Y636">
        <v>0</v>
      </c>
      <c r="Z636">
        <v>0</v>
      </c>
    </row>
    <row r="637" spans="1:26" x14ac:dyDescent="0.2">
      <c r="A637" t="s">
        <v>755</v>
      </c>
      <c r="B637" t="s">
        <v>50</v>
      </c>
      <c r="C637">
        <v>2010</v>
      </c>
      <c r="D637" t="s">
        <v>63</v>
      </c>
      <c r="E637" t="s">
        <v>23</v>
      </c>
      <c r="F637" t="s">
        <v>65</v>
      </c>
      <c r="G637">
        <v>26804</v>
      </c>
      <c r="H637">
        <v>21443.200000000001</v>
      </c>
      <c r="I637" s="13">
        <v>0.4</v>
      </c>
      <c r="J637" t="s">
        <v>6207</v>
      </c>
      <c r="K637">
        <v>3</v>
      </c>
      <c r="L637">
        <v>3</v>
      </c>
      <c r="M637" t="s">
        <v>58</v>
      </c>
      <c r="V637">
        <v>2</v>
      </c>
      <c r="W637">
        <v>3</v>
      </c>
      <c r="X637">
        <v>0</v>
      </c>
      <c r="Y637">
        <v>0</v>
      </c>
      <c r="Z637">
        <v>0</v>
      </c>
    </row>
    <row r="638" spans="1:26" x14ac:dyDescent="0.2">
      <c r="A638" t="s">
        <v>756</v>
      </c>
      <c r="B638" t="s">
        <v>60</v>
      </c>
      <c r="C638">
        <v>2010</v>
      </c>
      <c r="D638" t="s">
        <v>26</v>
      </c>
      <c r="E638" t="s">
        <v>43</v>
      </c>
      <c r="F638" t="s">
        <v>26</v>
      </c>
      <c r="G638">
        <v>61276</v>
      </c>
      <c r="H638">
        <v>49020.800000000003</v>
      </c>
      <c r="I638" s="13">
        <v>0.5</v>
      </c>
      <c r="J638" t="s">
        <v>6208</v>
      </c>
      <c r="K638">
        <v>1</v>
      </c>
      <c r="L638">
        <v>1</v>
      </c>
      <c r="M638" t="s">
        <v>58</v>
      </c>
      <c r="V638">
        <v>1</v>
      </c>
      <c r="W638">
        <v>3</v>
      </c>
      <c r="X638">
        <v>0</v>
      </c>
      <c r="Y638">
        <v>0</v>
      </c>
      <c r="Z638">
        <v>0</v>
      </c>
    </row>
    <row r="639" spans="1:26" x14ac:dyDescent="0.2">
      <c r="A639" t="s">
        <v>757</v>
      </c>
      <c r="B639" t="s">
        <v>56</v>
      </c>
      <c r="C639">
        <v>2010</v>
      </c>
      <c r="D639" t="s">
        <v>62</v>
      </c>
      <c r="E639" t="s">
        <v>42</v>
      </c>
      <c r="F639" t="s">
        <v>62</v>
      </c>
      <c r="G639">
        <v>17338</v>
      </c>
      <c r="H639">
        <v>13870.400000000001</v>
      </c>
      <c r="I639" s="13">
        <v>0.25</v>
      </c>
      <c r="J639" t="s">
        <v>6207</v>
      </c>
      <c r="K639">
        <v>1</v>
      </c>
      <c r="L639">
        <v>1</v>
      </c>
      <c r="M639" t="s">
        <v>58</v>
      </c>
      <c r="V639">
        <v>2</v>
      </c>
      <c r="W639">
        <v>1</v>
      </c>
      <c r="X639">
        <v>0</v>
      </c>
      <c r="Y639">
        <v>1</v>
      </c>
      <c r="Z639">
        <v>0</v>
      </c>
    </row>
    <row r="640" spans="1:26" x14ac:dyDescent="0.2">
      <c r="A640" t="s">
        <v>758</v>
      </c>
      <c r="B640" t="s">
        <v>59</v>
      </c>
      <c r="C640">
        <v>2010</v>
      </c>
      <c r="D640" t="s">
        <v>39</v>
      </c>
      <c r="E640" t="s">
        <v>64</v>
      </c>
      <c r="F640" t="s">
        <v>39</v>
      </c>
      <c r="G640">
        <v>31367</v>
      </c>
      <c r="H640">
        <v>25093.600000000002</v>
      </c>
      <c r="I640" s="13">
        <v>0.75</v>
      </c>
      <c r="J640" t="s">
        <v>6206</v>
      </c>
      <c r="K640">
        <v>0</v>
      </c>
      <c r="L640">
        <v>0</v>
      </c>
      <c r="M640" t="s">
        <v>58</v>
      </c>
      <c r="V640">
        <v>1</v>
      </c>
      <c r="W640">
        <v>3</v>
      </c>
      <c r="X640">
        <v>0</v>
      </c>
      <c r="Y640">
        <v>0</v>
      </c>
      <c r="Z640">
        <v>0</v>
      </c>
    </row>
    <row r="641" spans="1:26" x14ac:dyDescent="0.2">
      <c r="A641" t="s">
        <v>759</v>
      </c>
      <c r="B641" t="s">
        <v>47</v>
      </c>
      <c r="C641">
        <v>2010</v>
      </c>
      <c r="D641" t="s">
        <v>38</v>
      </c>
      <c r="E641" t="s">
        <v>27</v>
      </c>
      <c r="F641" t="s">
        <v>38</v>
      </c>
      <c r="G641">
        <v>29409</v>
      </c>
      <c r="H641">
        <v>23527.200000000001</v>
      </c>
      <c r="I641" s="13">
        <v>1</v>
      </c>
      <c r="J641" t="s">
        <v>6208</v>
      </c>
      <c r="K641">
        <v>1</v>
      </c>
      <c r="L641">
        <v>0</v>
      </c>
      <c r="M641" t="s">
        <v>0</v>
      </c>
      <c r="V641">
        <v>1</v>
      </c>
      <c r="W641">
        <v>0</v>
      </c>
      <c r="X641">
        <v>0</v>
      </c>
      <c r="Y641">
        <v>0</v>
      </c>
      <c r="Z641">
        <v>0</v>
      </c>
    </row>
    <row r="642" spans="1:26" x14ac:dyDescent="0.2">
      <c r="A642" t="s">
        <v>760</v>
      </c>
      <c r="B642" t="s">
        <v>25</v>
      </c>
      <c r="C642">
        <v>2010</v>
      </c>
      <c r="D642" t="s">
        <v>46</v>
      </c>
      <c r="E642" t="s">
        <v>22</v>
      </c>
      <c r="F642" t="s">
        <v>20</v>
      </c>
      <c r="G642">
        <v>60704</v>
      </c>
      <c r="H642">
        <v>48563.200000000004</v>
      </c>
      <c r="I642" s="13">
        <v>1</v>
      </c>
      <c r="J642" t="s">
        <v>6207</v>
      </c>
      <c r="K642">
        <v>2</v>
      </c>
      <c r="L642">
        <v>0</v>
      </c>
      <c r="M642" t="s">
        <v>0</v>
      </c>
      <c r="V642">
        <v>0</v>
      </c>
      <c r="W642">
        <v>1</v>
      </c>
      <c r="X642">
        <v>0</v>
      </c>
      <c r="Y642">
        <v>0</v>
      </c>
      <c r="Z642">
        <v>0</v>
      </c>
    </row>
    <row r="643" spans="1:26" x14ac:dyDescent="0.2">
      <c r="A643" t="s">
        <v>761</v>
      </c>
      <c r="B643" t="s">
        <v>53</v>
      </c>
      <c r="C643">
        <v>2010</v>
      </c>
      <c r="D643" t="s">
        <v>35</v>
      </c>
      <c r="E643" t="s">
        <v>51</v>
      </c>
      <c r="F643" t="s">
        <v>35</v>
      </c>
      <c r="G643">
        <v>49000</v>
      </c>
      <c r="H643">
        <v>39200</v>
      </c>
      <c r="I643" s="13">
        <v>0.5</v>
      </c>
      <c r="J643" t="s">
        <v>6207</v>
      </c>
      <c r="K643">
        <v>1</v>
      </c>
      <c r="L643">
        <v>2</v>
      </c>
      <c r="M643" t="s">
        <v>1</v>
      </c>
      <c r="V643">
        <v>2</v>
      </c>
      <c r="W643">
        <v>4</v>
      </c>
      <c r="X643">
        <v>0</v>
      </c>
      <c r="Y643">
        <v>0</v>
      </c>
      <c r="Z643">
        <v>0</v>
      </c>
    </row>
    <row r="644" spans="1:26" x14ac:dyDescent="0.2">
      <c r="A644" t="s">
        <v>762</v>
      </c>
      <c r="B644" t="s">
        <v>54</v>
      </c>
      <c r="C644">
        <v>2010</v>
      </c>
      <c r="D644" t="s">
        <v>34</v>
      </c>
      <c r="E644" t="s">
        <v>45</v>
      </c>
      <c r="F644" t="s">
        <v>36</v>
      </c>
      <c r="G644">
        <v>28723</v>
      </c>
      <c r="H644">
        <v>22978.400000000001</v>
      </c>
      <c r="I644" s="13">
        <v>1</v>
      </c>
      <c r="J644" t="s">
        <v>6206</v>
      </c>
      <c r="K644">
        <v>2</v>
      </c>
      <c r="L644">
        <v>0</v>
      </c>
      <c r="M644" t="s">
        <v>0</v>
      </c>
      <c r="V644">
        <v>1</v>
      </c>
      <c r="W644">
        <v>0</v>
      </c>
      <c r="X644">
        <v>0</v>
      </c>
      <c r="Y644">
        <v>0</v>
      </c>
      <c r="Z644">
        <v>0</v>
      </c>
    </row>
    <row r="645" spans="1:26" x14ac:dyDescent="0.2">
      <c r="A645" t="s">
        <v>763</v>
      </c>
      <c r="B645" t="s">
        <v>41</v>
      </c>
      <c r="C645">
        <v>2010</v>
      </c>
      <c r="D645" t="s">
        <v>31</v>
      </c>
      <c r="E645" t="s">
        <v>18</v>
      </c>
      <c r="F645" t="s">
        <v>20</v>
      </c>
      <c r="G645">
        <v>28500</v>
      </c>
      <c r="H645">
        <v>22800</v>
      </c>
      <c r="I645" s="13">
        <v>0.66666666666666663</v>
      </c>
      <c r="J645" t="s">
        <v>6207</v>
      </c>
      <c r="K645">
        <v>0</v>
      </c>
      <c r="L645">
        <v>0</v>
      </c>
      <c r="M645" t="s">
        <v>58</v>
      </c>
      <c r="V645">
        <v>2</v>
      </c>
      <c r="W645">
        <v>1</v>
      </c>
      <c r="X645">
        <v>0</v>
      </c>
      <c r="Y645">
        <v>0</v>
      </c>
      <c r="Z645">
        <v>1</v>
      </c>
    </row>
    <row r="646" spans="1:26" x14ac:dyDescent="0.2">
      <c r="A646" t="s">
        <v>764</v>
      </c>
      <c r="B646" t="s">
        <v>50</v>
      </c>
      <c r="C646">
        <v>2010</v>
      </c>
      <c r="D646" t="s">
        <v>38</v>
      </c>
      <c r="E646" t="s">
        <v>64</v>
      </c>
      <c r="F646" t="s">
        <v>38</v>
      </c>
      <c r="G646">
        <v>29409</v>
      </c>
      <c r="H646">
        <v>23527.200000000001</v>
      </c>
      <c r="I646" s="13">
        <v>0.25</v>
      </c>
      <c r="J646" t="s">
        <v>6207</v>
      </c>
      <c r="K646">
        <v>0</v>
      </c>
      <c r="L646">
        <v>2</v>
      </c>
      <c r="M646" t="s">
        <v>1</v>
      </c>
      <c r="V646">
        <v>1</v>
      </c>
      <c r="W646">
        <v>3</v>
      </c>
      <c r="X646">
        <v>0</v>
      </c>
      <c r="Y646">
        <v>0</v>
      </c>
      <c r="Z646">
        <v>0</v>
      </c>
    </row>
    <row r="647" spans="1:26" x14ac:dyDescent="0.2">
      <c r="A647" t="s">
        <v>765</v>
      </c>
      <c r="B647" t="s">
        <v>41</v>
      </c>
      <c r="C647">
        <v>2010</v>
      </c>
      <c r="D647" t="s">
        <v>63</v>
      </c>
      <c r="E647" t="s">
        <v>22</v>
      </c>
      <c r="F647" t="s">
        <v>65</v>
      </c>
      <c r="G647">
        <v>26804</v>
      </c>
      <c r="H647">
        <v>21443.200000000001</v>
      </c>
      <c r="I647" s="13">
        <v>0</v>
      </c>
      <c r="J647" t="s">
        <v>6207</v>
      </c>
      <c r="K647">
        <v>1</v>
      </c>
      <c r="L647">
        <v>1</v>
      </c>
      <c r="M647" t="s">
        <v>58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">
      <c r="A648" t="s">
        <v>766</v>
      </c>
      <c r="B648" t="s">
        <v>25</v>
      </c>
      <c r="C648">
        <v>2010</v>
      </c>
      <c r="D648" t="s">
        <v>62</v>
      </c>
      <c r="E648" t="s">
        <v>51</v>
      </c>
      <c r="F648" t="s">
        <v>62</v>
      </c>
      <c r="G648">
        <v>17338</v>
      </c>
      <c r="H648">
        <v>13870.400000000001</v>
      </c>
      <c r="I648" s="13">
        <v>0</v>
      </c>
      <c r="J648" t="s">
        <v>6207</v>
      </c>
      <c r="K648">
        <v>3</v>
      </c>
      <c r="L648">
        <v>1</v>
      </c>
      <c r="M648" t="s">
        <v>0</v>
      </c>
      <c r="V648">
        <v>2</v>
      </c>
      <c r="W648">
        <v>0</v>
      </c>
      <c r="X648">
        <v>0</v>
      </c>
      <c r="Y648">
        <v>0</v>
      </c>
      <c r="Z648">
        <v>1</v>
      </c>
    </row>
    <row r="649" spans="1:26" x14ac:dyDescent="0.2">
      <c r="A649" t="s">
        <v>767</v>
      </c>
      <c r="B649" t="s">
        <v>55</v>
      </c>
      <c r="C649">
        <v>2010</v>
      </c>
      <c r="D649" t="s">
        <v>46</v>
      </c>
      <c r="E649" t="s">
        <v>27</v>
      </c>
      <c r="F649" t="s">
        <v>20</v>
      </c>
      <c r="G649">
        <v>60704</v>
      </c>
      <c r="H649">
        <v>48563.200000000004</v>
      </c>
      <c r="I649" s="13">
        <v>1</v>
      </c>
      <c r="J649" t="s">
        <v>6206</v>
      </c>
      <c r="K649">
        <v>1</v>
      </c>
      <c r="L649">
        <v>0</v>
      </c>
      <c r="M649" t="s">
        <v>0</v>
      </c>
      <c r="V649">
        <v>1</v>
      </c>
      <c r="W649">
        <v>2</v>
      </c>
      <c r="X649">
        <v>0</v>
      </c>
      <c r="Y649">
        <v>0</v>
      </c>
      <c r="Z649">
        <v>0</v>
      </c>
    </row>
    <row r="650" spans="1:26" x14ac:dyDescent="0.2">
      <c r="A650" t="s">
        <v>768</v>
      </c>
      <c r="B650" t="s">
        <v>67</v>
      </c>
      <c r="C650">
        <v>2010</v>
      </c>
      <c r="D650" t="s">
        <v>22</v>
      </c>
      <c r="E650" t="s">
        <v>62</v>
      </c>
      <c r="F650" t="s">
        <v>24</v>
      </c>
      <c r="G650">
        <v>31750</v>
      </c>
      <c r="H650">
        <v>25400</v>
      </c>
      <c r="I650" s="13">
        <v>0.33333333333333331</v>
      </c>
      <c r="J650" t="s">
        <v>6207</v>
      </c>
      <c r="K650">
        <v>4</v>
      </c>
      <c r="L650">
        <v>0</v>
      </c>
      <c r="M650" t="s">
        <v>0</v>
      </c>
      <c r="V650">
        <v>1</v>
      </c>
      <c r="W650">
        <v>1</v>
      </c>
      <c r="X650">
        <v>0</v>
      </c>
      <c r="Y650">
        <v>1</v>
      </c>
      <c r="Z650">
        <v>0</v>
      </c>
    </row>
    <row r="651" spans="1:26" x14ac:dyDescent="0.2">
      <c r="A651" t="s">
        <v>769</v>
      </c>
      <c r="B651" t="s">
        <v>44</v>
      </c>
      <c r="C651">
        <v>2010</v>
      </c>
      <c r="D651" t="s">
        <v>43</v>
      </c>
      <c r="E651" t="s">
        <v>48</v>
      </c>
      <c r="F651" t="s">
        <v>43</v>
      </c>
      <c r="G651">
        <v>25138</v>
      </c>
      <c r="H651">
        <v>20110.400000000001</v>
      </c>
      <c r="I651" s="13">
        <v>1</v>
      </c>
      <c r="J651" t="s">
        <v>6207</v>
      </c>
      <c r="K651">
        <v>0</v>
      </c>
      <c r="L651">
        <v>4</v>
      </c>
      <c r="M651" t="s">
        <v>1</v>
      </c>
      <c r="V651">
        <v>0</v>
      </c>
      <c r="W651">
        <v>1</v>
      </c>
      <c r="X651">
        <v>0</v>
      </c>
      <c r="Y651">
        <v>0</v>
      </c>
      <c r="Z651">
        <v>0</v>
      </c>
    </row>
    <row r="652" spans="1:26" x14ac:dyDescent="0.2">
      <c r="A652" t="s">
        <v>770</v>
      </c>
      <c r="B652" t="s">
        <v>25</v>
      </c>
      <c r="C652">
        <v>2010</v>
      </c>
      <c r="D652" t="s">
        <v>64</v>
      </c>
      <c r="E652" t="s">
        <v>34</v>
      </c>
      <c r="F652" t="s">
        <v>64</v>
      </c>
      <c r="G652">
        <v>52264</v>
      </c>
      <c r="H652">
        <v>41811.200000000004</v>
      </c>
      <c r="I652" s="13">
        <v>0.33333333333333331</v>
      </c>
      <c r="J652" t="s">
        <v>6207</v>
      </c>
      <c r="K652">
        <v>1</v>
      </c>
      <c r="L652">
        <v>1</v>
      </c>
      <c r="M652" t="s">
        <v>58</v>
      </c>
      <c r="V652">
        <v>0</v>
      </c>
      <c r="W652">
        <v>2</v>
      </c>
      <c r="X652">
        <v>1</v>
      </c>
      <c r="Y652">
        <v>0</v>
      </c>
      <c r="Z652">
        <v>0</v>
      </c>
    </row>
    <row r="653" spans="1:26" x14ac:dyDescent="0.2">
      <c r="A653" t="s">
        <v>771</v>
      </c>
      <c r="B653" t="s">
        <v>59</v>
      </c>
      <c r="C653">
        <v>2010</v>
      </c>
      <c r="D653" t="s">
        <v>45</v>
      </c>
      <c r="E653" t="s">
        <v>35</v>
      </c>
      <c r="F653" t="s">
        <v>26</v>
      </c>
      <c r="G653">
        <v>39572</v>
      </c>
      <c r="H653">
        <v>31657.600000000002</v>
      </c>
      <c r="I653" s="13">
        <v>0</v>
      </c>
      <c r="J653" t="s">
        <v>6206</v>
      </c>
      <c r="K653">
        <v>2</v>
      </c>
      <c r="L653">
        <v>0</v>
      </c>
      <c r="M653" t="s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2">
      <c r="A654" t="s">
        <v>772</v>
      </c>
      <c r="B654" t="s">
        <v>32</v>
      </c>
      <c r="C654">
        <v>2010</v>
      </c>
      <c r="D654" t="s">
        <v>42</v>
      </c>
      <c r="E654" t="s">
        <v>39</v>
      </c>
      <c r="F654" t="s">
        <v>38</v>
      </c>
      <c r="G654">
        <v>42918</v>
      </c>
      <c r="H654">
        <v>34334.400000000001</v>
      </c>
      <c r="I654" s="13">
        <v>0.75</v>
      </c>
      <c r="J654" t="s">
        <v>6207</v>
      </c>
      <c r="K654">
        <v>4</v>
      </c>
      <c r="L654">
        <v>1</v>
      </c>
      <c r="M654" t="s">
        <v>0</v>
      </c>
      <c r="V654">
        <v>0</v>
      </c>
      <c r="W654">
        <v>3</v>
      </c>
      <c r="X654">
        <v>0</v>
      </c>
      <c r="Y654">
        <v>1</v>
      </c>
      <c r="Z654">
        <v>1</v>
      </c>
    </row>
    <row r="655" spans="1:26" x14ac:dyDescent="0.2">
      <c r="A655" t="s">
        <v>773</v>
      </c>
      <c r="B655" t="s">
        <v>47</v>
      </c>
      <c r="C655">
        <v>2010</v>
      </c>
      <c r="D655" t="s">
        <v>23</v>
      </c>
      <c r="E655" t="s">
        <v>26</v>
      </c>
      <c r="F655" t="s">
        <v>20</v>
      </c>
      <c r="G655">
        <v>62500</v>
      </c>
      <c r="H655">
        <v>50000</v>
      </c>
      <c r="I655" s="13">
        <v>1</v>
      </c>
      <c r="J655" t="s">
        <v>6208</v>
      </c>
      <c r="K655">
        <v>3</v>
      </c>
      <c r="L655">
        <v>1</v>
      </c>
      <c r="M655" t="s">
        <v>0</v>
      </c>
      <c r="V655">
        <v>0</v>
      </c>
      <c r="W655">
        <v>1</v>
      </c>
      <c r="X655">
        <v>0</v>
      </c>
      <c r="Y655">
        <v>0</v>
      </c>
      <c r="Z655">
        <v>0</v>
      </c>
    </row>
    <row r="656" spans="1:26" x14ac:dyDescent="0.2">
      <c r="A656" t="s">
        <v>774</v>
      </c>
      <c r="B656" t="s">
        <v>55</v>
      </c>
      <c r="C656">
        <v>2010</v>
      </c>
      <c r="D656" t="s">
        <v>40</v>
      </c>
      <c r="E656" t="s">
        <v>31</v>
      </c>
      <c r="F656" t="s">
        <v>49</v>
      </c>
      <c r="G656">
        <v>53400</v>
      </c>
      <c r="H656">
        <v>42720</v>
      </c>
      <c r="I656" s="13">
        <v>0.66666666666666663</v>
      </c>
      <c r="J656" t="s">
        <v>6206</v>
      </c>
      <c r="K656">
        <v>1</v>
      </c>
      <c r="L656">
        <v>1</v>
      </c>
      <c r="M656" t="s">
        <v>58</v>
      </c>
      <c r="V656">
        <v>1</v>
      </c>
      <c r="W656">
        <v>2</v>
      </c>
      <c r="X656">
        <v>0</v>
      </c>
      <c r="Y656">
        <v>0</v>
      </c>
      <c r="Z656">
        <v>0</v>
      </c>
    </row>
    <row r="657" spans="1:26" x14ac:dyDescent="0.2">
      <c r="A657" t="s">
        <v>775</v>
      </c>
      <c r="B657" t="s">
        <v>66</v>
      </c>
      <c r="C657">
        <v>2010</v>
      </c>
      <c r="D657" t="s">
        <v>27</v>
      </c>
      <c r="E657" t="s">
        <v>63</v>
      </c>
      <c r="F657" t="s">
        <v>27</v>
      </c>
      <c r="G657">
        <v>30089</v>
      </c>
      <c r="H657">
        <v>24071.200000000001</v>
      </c>
      <c r="I657" s="13">
        <v>0.5</v>
      </c>
      <c r="J657" t="s">
        <v>6207</v>
      </c>
      <c r="K657">
        <v>1</v>
      </c>
      <c r="L657">
        <v>1</v>
      </c>
      <c r="M657" t="s">
        <v>58</v>
      </c>
      <c r="V657">
        <v>2</v>
      </c>
      <c r="W657">
        <v>2</v>
      </c>
      <c r="X657">
        <v>0</v>
      </c>
      <c r="Y657">
        <v>0</v>
      </c>
      <c r="Z657">
        <v>0</v>
      </c>
    </row>
    <row r="658" spans="1:26" x14ac:dyDescent="0.2">
      <c r="A658" t="s">
        <v>776</v>
      </c>
      <c r="B658" t="s">
        <v>32</v>
      </c>
      <c r="C658">
        <v>2010</v>
      </c>
      <c r="D658" t="s">
        <v>18</v>
      </c>
      <c r="E658" t="s">
        <v>48</v>
      </c>
      <c r="F658" t="s">
        <v>20</v>
      </c>
      <c r="G658">
        <v>40341</v>
      </c>
      <c r="H658">
        <v>32272.800000000003</v>
      </c>
      <c r="I658" s="13">
        <v>0.66666666666666663</v>
      </c>
      <c r="J658" t="s">
        <v>6207</v>
      </c>
      <c r="K658">
        <v>2</v>
      </c>
      <c r="L658">
        <v>1</v>
      </c>
      <c r="M658" t="s">
        <v>0</v>
      </c>
      <c r="V658">
        <v>3</v>
      </c>
      <c r="W658">
        <v>2</v>
      </c>
      <c r="X658">
        <v>0</v>
      </c>
      <c r="Y658">
        <v>1</v>
      </c>
      <c r="Z658">
        <v>1</v>
      </c>
    </row>
    <row r="659" spans="1:26" x14ac:dyDescent="0.2">
      <c r="A659" t="s">
        <v>777</v>
      </c>
      <c r="B659" t="s">
        <v>53</v>
      </c>
      <c r="C659">
        <v>2010</v>
      </c>
      <c r="D659" t="s">
        <v>38</v>
      </c>
      <c r="E659" t="s">
        <v>63</v>
      </c>
      <c r="F659" t="s">
        <v>38</v>
      </c>
      <c r="G659">
        <v>29409</v>
      </c>
      <c r="H659">
        <v>23527.200000000001</v>
      </c>
      <c r="I659" s="13">
        <v>0.5</v>
      </c>
      <c r="J659" t="s">
        <v>6207</v>
      </c>
      <c r="K659">
        <v>1</v>
      </c>
      <c r="L659">
        <v>3</v>
      </c>
      <c r="M659" t="s">
        <v>1</v>
      </c>
      <c r="V659">
        <v>3</v>
      </c>
      <c r="W659">
        <v>1</v>
      </c>
      <c r="X659">
        <v>0</v>
      </c>
      <c r="Y659">
        <v>0</v>
      </c>
      <c r="Z659">
        <v>0</v>
      </c>
    </row>
    <row r="660" spans="1:26" x14ac:dyDescent="0.2">
      <c r="A660" t="s">
        <v>778</v>
      </c>
      <c r="B660" t="s">
        <v>37</v>
      </c>
      <c r="C660">
        <v>2010</v>
      </c>
      <c r="D660" t="s">
        <v>23</v>
      </c>
      <c r="E660" t="s">
        <v>27</v>
      </c>
      <c r="F660" t="s">
        <v>20</v>
      </c>
      <c r="G660">
        <v>62500</v>
      </c>
      <c r="H660">
        <v>50000</v>
      </c>
      <c r="I660" s="13">
        <v>0.33333333333333331</v>
      </c>
      <c r="J660" t="s">
        <v>6206</v>
      </c>
      <c r="K660">
        <v>3</v>
      </c>
      <c r="L660">
        <v>0</v>
      </c>
      <c r="M660" t="s">
        <v>0</v>
      </c>
      <c r="V660">
        <v>0</v>
      </c>
      <c r="W660">
        <v>3</v>
      </c>
      <c r="X660">
        <v>0</v>
      </c>
      <c r="Y660">
        <v>0</v>
      </c>
      <c r="Z660">
        <v>0</v>
      </c>
    </row>
    <row r="661" spans="1:26" x14ac:dyDescent="0.2">
      <c r="A661" t="s">
        <v>779</v>
      </c>
      <c r="B661" t="s">
        <v>56</v>
      </c>
      <c r="C661">
        <v>2010</v>
      </c>
      <c r="D661" t="s">
        <v>64</v>
      </c>
      <c r="E661" t="s">
        <v>45</v>
      </c>
      <c r="F661" t="s">
        <v>64</v>
      </c>
      <c r="G661">
        <v>52264</v>
      </c>
      <c r="H661">
        <v>41811.200000000004</v>
      </c>
      <c r="I661" s="13">
        <v>0.33333333333333331</v>
      </c>
      <c r="J661" t="s">
        <v>6207</v>
      </c>
      <c r="K661">
        <v>1</v>
      </c>
      <c r="L661">
        <v>2</v>
      </c>
      <c r="M661" t="s">
        <v>1</v>
      </c>
      <c r="V661">
        <v>2</v>
      </c>
      <c r="W661">
        <v>4</v>
      </c>
      <c r="X661">
        <v>0</v>
      </c>
      <c r="Y661">
        <v>0</v>
      </c>
      <c r="Z661">
        <v>0</v>
      </c>
    </row>
    <row r="662" spans="1:26" x14ac:dyDescent="0.2">
      <c r="A662" t="s">
        <v>780</v>
      </c>
      <c r="B662" t="s">
        <v>44</v>
      </c>
      <c r="C662">
        <v>2010</v>
      </c>
      <c r="D662" t="s">
        <v>31</v>
      </c>
      <c r="E662" t="s">
        <v>39</v>
      </c>
      <c r="F662" t="s">
        <v>20</v>
      </c>
      <c r="G662">
        <v>28500</v>
      </c>
      <c r="H662">
        <v>22800</v>
      </c>
      <c r="I662" s="13">
        <v>0.6</v>
      </c>
      <c r="J662" t="s">
        <v>6207</v>
      </c>
      <c r="K662">
        <v>3</v>
      </c>
      <c r="L662">
        <v>2</v>
      </c>
      <c r="M662" t="s">
        <v>0</v>
      </c>
      <c r="V662">
        <v>2</v>
      </c>
      <c r="W662">
        <v>3</v>
      </c>
      <c r="X662">
        <v>0</v>
      </c>
      <c r="Y662">
        <v>0</v>
      </c>
      <c r="Z662">
        <v>1</v>
      </c>
    </row>
    <row r="663" spans="1:26" x14ac:dyDescent="0.2">
      <c r="A663" t="s">
        <v>781</v>
      </c>
      <c r="B663" t="s">
        <v>60</v>
      </c>
      <c r="C663">
        <v>2010</v>
      </c>
      <c r="D663" t="s">
        <v>34</v>
      </c>
      <c r="E663" t="s">
        <v>42</v>
      </c>
      <c r="F663" t="s">
        <v>36</v>
      </c>
      <c r="G663">
        <v>28723</v>
      </c>
      <c r="H663">
        <v>22978.400000000001</v>
      </c>
      <c r="I663" s="13">
        <v>0.7142857142857143</v>
      </c>
      <c r="J663" t="s">
        <v>6208</v>
      </c>
      <c r="K663">
        <v>3</v>
      </c>
      <c r="L663">
        <v>2</v>
      </c>
      <c r="M663" t="s">
        <v>0</v>
      </c>
      <c r="V663">
        <v>5</v>
      </c>
      <c r="W663">
        <v>2</v>
      </c>
      <c r="X663">
        <v>0</v>
      </c>
      <c r="Y663">
        <v>0</v>
      </c>
      <c r="Z663">
        <v>1</v>
      </c>
    </row>
    <row r="664" spans="1:26" x14ac:dyDescent="0.2">
      <c r="A664" t="s">
        <v>782</v>
      </c>
      <c r="B664" t="s">
        <v>61</v>
      </c>
      <c r="C664">
        <v>2010</v>
      </c>
      <c r="D664" t="s">
        <v>46</v>
      </c>
      <c r="E664" t="s">
        <v>35</v>
      </c>
      <c r="F664" t="s">
        <v>20</v>
      </c>
      <c r="G664">
        <v>60704</v>
      </c>
      <c r="H664">
        <v>48563.200000000004</v>
      </c>
      <c r="I664" s="13">
        <v>0.33333333333333331</v>
      </c>
      <c r="J664" t="s">
        <v>6207</v>
      </c>
      <c r="K664">
        <v>0</v>
      </c>
      <c r="L664">
        <v>0</v>
      </c>
      <c r="M664" t="s">
        <v>58</v>
      </c>
      <c r="V664">
        <v>3</v>
      </c>
      <c r="W664">
        <v>3</v>
      </c>
      <c r="X664">
        <v>0</v>
      </c>
      <c r="Y664">
        <v>0</v>
      </c>
      <c r="Z664">
        <v>0</v>
      </c>
    </row>
    <row r="665" spans="1:26" x14ac:dyDescent="0.2">
      <c r="A665" t="s">
        <v>783</v>
      </c>
      <c r="B665" t="s">
        <v>59</v>
      </c>
      <c r="C665">
        <v>2010</v>
      </c>
      <c r="D665" t="s">
        <v>40</v>
      </c>
      <c r="E665" t="s">
        <v>43</v>
      </c>
      <c r="F665" t="s">
        <v>49</v>
      </c>
      <c r="G665">
        <v>53400</v>
      </c>
      <c r="H665">
        <v>42720</v>
      </c>
      <c r="I665" s="13">
        <v>0.25</v>
      </c>
      <c r="J665" t="s">
        <v>6206</v>
      </c>
      <c r="K665">
        <v>1</v>
      </c>
      <c r="L665">
        <v>0</v>
      </c>
      <c r="M665" t="s">
        <v>0</v>
      </c>
      <c r="V665">
        <v>3</v>
      </c>
      <c r="W665">
        <v>1</v>
      </c>
      <c r="X665">
        <v>0</v>
      </c>
      <c r="Y665">
        <v>0</v>
      </c>
      <c r="Z665">
        <v>0</v>
      </c>
    </row>
    <row r="666" spans="1:26" x14ac:dyDescent="0.2">
      <c r="A666" t="s">
        <v>784</v>
      </c>
      <c r="B666" t="s">
        <v>52</v>
      </c>
      <c r="C666">
        <v>2010</v>
      </c>
      <c r="D666" t="s">
        <v>26</v>
      </c>
      <c r="E666" t="s">
        <v>48</v>
      </c>
      <c r="F666" t="s">
        <v>26</v>
      </c>
      <c r="G666">
        <v>61276</v>
      </c>
      <c r="H666">
        <v>49020.800000000003</v>
      </c>
      <c r="I666" s="13">
        <v>0.6</v>
      </c>
      <c r="J666" t="s">
        <v>6207</v>
      </c>
      <c r="K666">
        <v>3</v>
      </c>
      <c r="L666">
        <v>1</v>
      </c>
      <c r="M666" t="s">
        <v>0</v>
      </c>
      <c r="V666">
        <v>2</v>
      </c>
      <c r="W666">
        <v>3</v>
      </c>
      <c r="X666">
        <v>0</v>
      </c>
      <c r="Y666">
        <v>0</v>
      </c>
      <c r="Z666">
        <v>0</v>
      </c>
    </row>
    <row r="667" spans="1:26" x14ac:dyDescent="0.2">
      <c r="A667" t="s">
        <v>785</v>
      </c>
      <c r="B667" t="s">
        <v>47</v>
      </c>
      <c r="C667">
        <v>2010</v>
      </c>
      <c r="D667" t="s">
        <v>22</v>
      </c>
      <c r="E667" t="s">
        <v>51</v>
      </c>
      <c r="F667" t="s">
        <v>24</v>
      </c>
      <c r="G667">
        <v>31750</v>
      </c>
      <c r="H667">
        <v>25400</v>
      </c>
      <c r="I667" s="13">
        <v>0.33333333333333331</v>
      </c>
      <c r="J667" t="s">
        <v>6208</v>
      </c>
      <c r="K667">
        <v>3</v>
      </c>
      <c r="L667">
        <v>3</v>
      </c>
      <c r="M667" t="s">
        <v>58</v>
      </c>
      <c r="V667">
        <v>0</v>
      </c>
      <c r="W667">
        <v>3</v>
      </c>
      <c r="X667">
        <v>0</v>
      </c>
      <c r="Y667">
        <v>0</v>
      </c>
      <c r="Z667">
        <v>1</v>
      </c>
    </row>
    <row r="668" spans="1:26" x14ac:dyDescent="0.2">
      <c r="A668" t="s">
        <v>786</v>
      </c>
      <c r="B668" t="s">
        <v>41</v>
      </c>
      <c r="C668">
        <v>2010</v>
      </c>
      <c r="D668" t="s">
        <v>62</v>
      </c>
      <c r="E668" t="s">
        <v>18</v>
      </c>
      <c r="F668" t="s">
        <v>62</v>
      </c>
      <c r="G668">
        <v>17338</v>
      </c>
      <c r="H668">
        <v>13870.400000000001</v>
      </c>
      <c r="I668" s="13">
        <v>0</v>
      </c>
      <c r="J668" t="s">
        <v>6207</v>
      </c>
      <c r="K668">
        <v>1</v>
      </c>
      <c r="L668">
        <v>3</v>
      </c>
      <c r="M668" t="s">
        <v>1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 x14ac:dyDescent="0.2">
      <c r="A669" t="s">
        <v>787</v>
      </c>
      <c r="B669" t="s">
        <v>55</v>
      </c>
      <c r="C669">
        <v>2010</v>
      </c>
      <c r="D669" t="s">
        <v>45</v>
      </c>
      <c r="E669" t="s">
        <v>38</v>
      </c>
      <c r="F669" t="s">
        <v>26</v>
      </c>
      <c r="G669">
        <v>39572</v>
      </c>
      <c r="H669">
        <v>31657.600000000002</v>
      </c>
      <c r="I669" s="13">
        <v>0.5</v>
      </c>
      <c r="J669" t="s">
        <v>6206</v>
      </c>
      <c r="K669">
        <v>1</v>
      </c>
      <c r="L669">
        <v>1</v>
      </c>
      <c r="M669" t="s">
        <v>58</v>
      </c>
      <c r="V669">
        <v>1</v>
      </c>
      <c r="W669">
        <v>3</v>
      </c>
      <c r="X669">
        <v>0</v>
      </c>
      <c r="Y669">
        <v>0</v>
      </c>
      <c r="Z669">
        <v>0</v>
      </c>
    </row>
    <row r="670" spans="1:26" x14ac:dyDescent="0.2">
      <c r="A670" t="s">
        <v>788</v>
      </c>
      <c r="B670" t="s">
        <v>41</v>
      </c>
      <c r="C670">
        <v>2010</v>
      </c>
      <c r="D670" t="s">
        <v>51</v>
      </c>
      <c r="E670" t="s">
        <v>23</v>
      </c>
      <c r="F670" t="s">
        <v>20</v>
      </c>
      <c r="G670">
        <v>36284</v>
      </c>
      <c r="H670">
        <v>29027.200000000001</v>
      </c>
      <c r="I670" s="13">
        <v>0</v>
      </c>
      <c r="J670" t="s">
        <v>6207</v>
      </c>
      <c r="K670">
        <v>0</v>
      </c>
      <c r="L670">
        <v>0</v>
      </c>
      <c r="M670" t="s">
        <v>58</v>
      </c>
      <c r="V670">
        <v>0</v>
      </c>
      <c r="W670">
        <v>4</v>
      </c>
      <c r="X670">
        <v>0</v>
      </c>
      <c r="Y670">
        <v>0</v>
      </c>
      <c r="Z670">
        <v>0</v>
      </c>
    </row>
    <row r="671" spans="1:26" x14ac:dyDescent="0.2">
      <c r="A671" t="s">
        <v>789</v>
      </c>
      <c r="B671" t="s">
        <v>54</v>
      </c>
      <c r="C671">
        <v>2010</v>
      </c>
      <c r="D671" t="s">
        <v>43</v>
      </c>
      <c r="E671" t="s">
        <v>38</v>
      </c>
      <c r="F671" t="s">
        <v>43</v>
      </c>
      <c r="G671">
        <v>25138</v>
      </c>
      <c r="H671">
        <v>20110.400000000001</v>
      </c>
      <c r="I671" s="13">
        <v>1</v>
      </c>
      <c r="J671" t="s">
        <v>6206</v>
      </c>
      <c r="K671">
        <v>2</v>
      </c>
      <c r="L671">
        <v>1</v>
      </c>
      <c r="M671" t="s">
        <v>0</v>
      </c>
      <c r="V671">
        <v>3</v>
      </c>
      <c r="W671">
        <v>1</v>
      </c>
      <c r="X671">
        <v>0</v>
      </c>
      <c r="Y671">
        <v>0</v>
      </c>
      <c r="Z671">
        <v>0</v>
      </c>
    </row>
    <row r="672" spans="1:26" x14ac:dyDescent="0.2">
      <c r="A672" t="s">
        <v>790</v>
      </c>
      <c r="B672" t="s">
        <v>59</v>
      </c>
      <c r="C672">
        <v>2010</v>
      </c>
      <c r="D672" t="s">
        <v>63</v>
      </c>
      <c r="E672" t="s">
        <v>46</v>
      </c>
      <c r="F672" t="s">
        <v>65</v>
      </c>
      <c r="G672">
        <v>26804</v>
      </c>
      <c r="H672">
        <v>21443.200000000001</v>
      </c>
      <c r="I672" s="13">
        <v>1</v>
      </c>
      <c r="J672" t="s">
        <v>6206</v>
      </c>
      <c r="K672">
        <v>2</v>
      </c>
      <c r="L672">
        <v>2</v>
      </c>
      <c r="M672" t="s">
        <v>58</v>
      </c>
      <c r="V672">
        <v>1</v>
      </c>
      <c r="W672">
        <v>3</v>
      </c>
      <c r="X672">
        <v>0</v>
      </c>
      <c r="Y672">
        <v>0</v>
      </c>
      <c r="Z672">
        <v>0</v>
      </c>
    </row>
    <row r="673" spans="1:26" x14ac:dyDescent="0.2">
      <c r="A673" t="s">
        <v>791</v>
      </c>
      <c r="B673" t="s">
        <v>50</v>
      </c>
      <c r="C673">
        <v>2010</v>
      </c>
      <c r="D673" t="s">
        <v>27</v>
      </c>
      <c r="E673" t="s">
        <v>64</v>
      </c>
      <c r="F673" t="s">
        <v>27</v>
      </c>
      <c r="G673">
        <v>30089</v>
      </c>
      <c r="H673">
        <v>24071.200000000001</v>
      </c>
      <c r="I673" s="13">
        <v>0.5</v>
      </c>
      <c r="J673" t="s">
        <v>6207</v>
      </c>
      <c r="K673">
        <v>4</v>
      </c>
      <c r="L673">
        <v>0</v>
      </c>
      <c r="M673" t="s">
        <v>0</v>
      </c>
      <c r="V673">
        <v>1</v>
      </c>
      <c r="W673">
        <v>1</v>
      </c>
      <c r="X673">
        <v>0</v>
      </c>
      <c r="Y673">
        <v>0</v>
      </c>
      <c r="Z673">
        <v>0</v>
      </c>
    </row>
    <row r="674" spans="1:26" x14ac:dyDescent="0.2">
      <c r="A674" t="s">
        <v>792</v>
      </c>
      <c r="B674" t="s">
        <v>37</v>
      </c>
      <c r="C674">
        <v>2010</v>
      </c>
      <c r="D674" t="s">
        <v>48</v>
      </c>
      <c r="E674" t="s">
        <v>34</v>
      </c>
      <c r="F674" t="s">
        <v>49</v>
      </c>
      <c r="G674">
        <v>74197</v>
      </c>
      <c r="H674">
        <v>59357.600000000006</v>
      </c>
      <c r="I674" s="13">
        <v>0</v>
      </c>
      <c r="J674" t="s">
        <v>6206</v>
      </c>
      <c r="K674">
        <v>1</v>
      </c>
      <c r="L674">
        <v>0</v>
      </c>
      <c r="M674" t="s">
        <v>0</v>
      </c>
      <c r="V674">
        <v>0</v>
      </c>
      <c r="W674">
        <v>0</v>
      </c>
      <c r="X674">
        <v>1</v>
      </c>
      <c r="Y674">
        <v>0</v>
      </c>
      <c r="Z674">
        <v>0</v>
      </c>
    </row>
    <row r="675" spans="1:26" x14ac:dyDescent="0.2">
      <c r="A675" t="s">
        <v>793</v>
      </c>
      <c r="B675" t="s">
        <v>56</v>
      </c>
      <c r="C675">
        <v>2010</v>
      </c>
      <c r="D675" t="s">
        <v>39</v>
      </c>
      <c r="E675" t="s">
        <v>62</v>
      </c>
      <c r="F675" t="s">
        <v>39</v>
      </c>
      <c r="G675">
        <v>31367</v>
      </c>
      <c r="H675">
        <v>25093.600000000002</v>
      </c>
      <c r="I675" s="13">
        <v>0.5</v>
      </c>
      <c r="J675" t="s">
        <v>6207</v>
      </c>
      <c r="K675">
        <v>2</v>
      </c>
      <c r="L675">
        <v>2</v>
      </c>
      <c r="M675" t="s">
        <v>58</v>
      </c>
      <c r="V675">
        <v>1</v>
      </c>
      <c r="W675">
        <v>1</v>
      </c>
      <c r="X675">
        <v>0</v>
      </c>
      <c r="Y675">
        <v>0</v>
      </c>
      <c r="Z675">
        <v>1</v>
      </c>
    </row>
    <row r="676" spans="1:26" x14ac:dyDescent="0.2">
      <c r="A676" t="s">
        <v>794</v>
      </c>
      <c r="B676" t="s">
        <v>52</v>
      </c>
      <c r="C676">
        <v>2010</v>
      </c>
      <c r="D676" t="s">
        <v>42</v>
      </c>
      <c r="E676" t="s">
        <v>22</v>
      </c>
      <c r="F676" t="s">
        <v>38</v>
      </c>
      <c r="G676">
        <v>42918</v>
      </c>
      <c r="H676">
        <v>34334.400000000001</v>
      </c>
      <c r="I676" s="13">
        <v>0.5</v>
      </c>
      <c r="J676" t="s">
        <v>6207</v>
      </c>
      <c r="K676">
        <v>0</v>
      </c>
      <c r="L676">
        <v>1</v>
      </c>
      <c r="M676" t="s">
        <v>1</v>
      </c>
      <c r="V676">
        <v>1</v>
      </c>
      <c r="W676">
        <v>3</v>
      </c>
      <c r="X676">
        <v>0</v>
      </c>
      <c r="Y676">
        <v>0</v>
      </c>
      <c r="Z676">
        <v>0</v>
      </c>
    </row>
    <row r="677" spans="1:26" x14ac:dyDescent="0.2">
      <c r="A677" t="s">
        <v>795</v>
      </c>
      <c r="B677" t="s">
        <v>66</v>
      </c>
      <c r="C677">
        <v>2010</v>
      </c>
      <c r="D677" t="s">
        <v>45</v>
      </c>
      <c r="E677" t="s">
        <v>31</v>
      </c>
      <c r="F677" t="s">
        <v>26</v>
      </c>
      <c r="G677">
        <v>39572</v>
      </c>
      <c r="H677">
        <v>31657.600000000002</v>
      </c>
      <c r="I677" s="13">
        <v>0</v>
      </c>
      <c r="J677" t="s">
        <v>6207</v>
      </c>
      <c r="K677">
        <v>2</v>
      </c>
      <c r="L677">
        <v>1</v>
      </c>
      <c r="M677" t="s">
        <v>0</v>
      </c>
      <c r="V677">
        <v>2</v>
      </c>
      <c r="W677">
        <v>0</v>
      </c>
      <c r="X677">
        <v>0</v>
      </c>
      <c r="Y677">
        <v>0</v>
      </c>
      <c r="Z677">
        <v>0</v>
      </c>
    </row>
    <row r="678" spans="1:26" x14ac:dyDescent="0.2">
      <c r="A678" t="s">
        <v>796</v>
      </c>
      <c r="B678" t="s">
        <v>60</v>
      </c>
      <c r="C678">
        <v>2010</v>
      </c>
      <c r="D678" t="s">
        <v>35</v>
      </c>
      <c r="E678" t="s">
        <v>26</v>
      </c>
      <c r="F678" t="s">
        <v>35</v>
      </c>
      <c r="G678">
        <v>49000</v>
      </c>
      <c r="H678">
        <v>39200</v>
      </c>
      <c r="I678" s="13">
        <v>0.5714285714285714</v>
      </c>
      <c r="J678" t="s">
        <v>6208</v>
      </c>
      <c r="K678">
        <v>0</v>
      </c>
      <c r="L678">
        <v>2</v>
      </c>
      <c r="M678" t="s">
        <v>1</v>
      </c>
      <c r="V678">
        <v>3</v>
      </c>
      <c r="W678">
        <v>3</v>
      </c>
      <c r="X678">
        <v>1</v>
      </c>
      <c r="Y678">
        <v>0</v>
      </c>
      <c r="Z678">
        <v>1</v>
      </c>
    </row>
    <row r="679" spans="1:26" x14ac:dyDescent="0.2">
      <c r="A679" t="s">
        <v>797</v>
      </c>
      <c r="B679" t="s">
        <v>25</v>
      </c>
      <c r="C679">
        <v>2010</v>
      </c>
      <c r="D679" t="s">
        <v>18</v>
      </c>
      <c r="E679" t="s">
        <v>40</v>
      </c>
      <c r="F679" t="s">
        <v>20</v>
      </c>
      <c r="G679">
        <v>40341</v>
      </c>
      <c r="H679">
        <v>32272.800000000003</v>
      </c>
      <c r="I679" s="13">
        <v>0.5</v>
      </c>
      <c r="J679" t="s">
        <v>6207</v>
      </c>
      <c r="K679">
        <v>2</v>
      </c>
      <c r="L679">
        <v>0</v>
      </c>
      <c r="M679" t="s">
        <v>0</v>
      </c>
      <c r="V679">
        <v>2</v>
      </c>
      <c r="W679">
        <v>4</v>
      </c>
      <c r="X679">
        <v>0</v>
      </c>
      <c r="Y679">
        <v>0</v>
      </c>
      <c r="Z679">
        <v>0</v>
      </c>
    </row>
    <row r="680" spans="1:26" x14ac:dyDescent="0.2">
      <c r="A680" t="s">
        <v>798</v>
      </c>
      <c r="B680" t="s">
        <v>50</v>
      </c>
      <c r="C680">
        <v>2010</v>
      </c>
      <c r="D680" t="s">
        <v>23</v>
      </c>
      <c r="E680" t="s">
        <v>48</v>
      </c>
      <c r="F680" t="s">
        <v>20</v>
      </c>
      <c r="G680">
        <v>62500</v>
      </c>
      <c r="H680">
        <v>50000</v>
      </c>
      <c r="I680" s="13">
        <v>0.66666666666666663</v>
      </c>
      <c r="J680" t="s">
        <v>6207</v>
      </c>
      <c r="K680">
        <v>2</v>
      </c>
      <c r="L680">
        <v>4</v>
      </c>
      <c r="M680" t="s">
        <v>1</v>
      </c>
      <c r="V680">
        <v>1</v>
      </c>
      <c r="W680">
        <v>2</v>
      </c>
      <c r="X680">
        <v>0</v>
      </c>
      <c r="Y680">
        <v>0</v>
      </c>
      <c r="Z680">
        <v>3</v>
      </c>
    </row>
    <row r="681" spans="1:26" x14ac:dyDescent="0.2">
      <c r="A681" t="s">
        <v>799</v>
      </c>
      <c r="B681" t="s">
        <v>37</v>
      </c>
      <c r="C681">
        <v>2010</v>
      </c>
      <c r="D681" t="s">
        <v>43</v>
      </c>
      <c r="E681" t="s">
        <v>51</v>
      </c>
      <c r="F681" t="s">
        <v>43</v>
      </c>
      <c r="G681">
        <v>25138</v>
      </c>
      <c r="H681">
        <v>20110.400000000001</v>
      </c>
      <c r="I681" s="13">
        <v>0.5</v>
      </c>
      <c r="J681" t="s">
        <v>6206</v>
      </c>
      <c r="K681">
        <v>0</v>
      </c>
      <c r="L681">
        <v>0</v>
      </c>
      <c r="M681" t="s">
        <v>58</v>
      </c>
      <c r="V681">
        <v>1</v>
      </c>
      <c r="W681">
        <v>1</v>
      </c>
      <c r="X681">
        <v>0</v>
      </c>
      <c r="Y681">
        <v>0</v>
      </c>
      <c r="Z681">
        <v>0</v>
      </c>
    </row>
    <row r="682" spans="1:26" x14ac:dyDescent="0.2">
      <c r="A682" t="s">
        <v>800</v>
      </c>
      <c r="B682" t="s">
        <v>32</v>
      </c>
      <c r="C682">
        <v>2010</v>
      </c>
      <c r="D682" t="s">
        <v>63</v>
      </c>
      <c r="E682" t="s">
        <v>26</v>
      </c>
      <c r="F682" t="s">
        <v>65</v>
      </c>
      <c r="G682">
        <v>26804</v>
      </c>
      <c r="H682">
        <v>21443.200000000001</v>
      </c>
      <c r="I682" s="13">
        <v>0.4</v>
      </c>
      <c r="J682" t="s">
        <v>6207</v>
      </c>
      <c r="K682">
        <v>2</v>
      </c>
      <c r="L682">
        <v>1</v>
      </c>
      <c r="M682" t="s">
        <v>0</v>
      </c>
      <c r="V682">
        <v>2</v>
      </c>
      <c r="W682">
        <v>3</v>
      </c>
      <c r="X682">
        <v>0</v>
      </c>
      <c r="Y682">
        <v>0</v>
      </c>
      <c r="Z682">
        <v>2</v>
      </c>
    </row>
    <row r="683" spans="1:26" x14ac:dyDescent="0.2">
      <c r="A683" t="s">
        <v>801</v>
      </c>
      <c r="B683" t="s">
        <v>55</v>
      </c>
      <c r="C683">
        <v>2010</v>
      </c>
      <c r="D683" t="s">
        <v>27</v>
      </c>
      <c r="E683" t="s">
        <v>18</v>
      </c>
      <c r="F683" t="s">
        <v>27</v>
      </c>
      <c r="G683">
        <v>30089</v>
      </c>
      <c r="H683">
        <v>24071.200000000001</v>
      </c>
      <c r="I683" s="13">
        <v>0.66666666666666663</v>
      </c>
      <c r="J683" t="s">
        <v>6206</v>
      </c>
      <c r="K683">
        <v>1</v>
      </c>
      <c r="L683">
        <v>1</v>
      </c>
      <c r="M683" t="s">
        <v>58</v>
      </c>
      <c r="V683">
        <v>1</v>
      </c>
      <c r="W683">
        <v>2</v>
      </c>
      <c r="X683">
        <v>0</v>
      </c>
      <c r="Y683">
        <v>0</v>
      </c>
      <c r="Z683">
        <v>0</v>
      </c>
    </row>
    <row r="684" spans="1:26" x14ac:dyDescent="0.2">
      <c r="A684" t="s">
        <v>802</v>
      </c>
      <c r="B684" t="s">
        <v>41</v>
      </c>
      <c r="C684">
        <v>2010</v>
      </c>
      <c r="D684" t="s">
        <v>64</v>
      </c>
      <c r="E684" t="s">
        <v>22</v>
      </c>
      <c r="F684" t="s">
        <v>64</v>
      </c>
      <c r="G684">
        <v>52264</v>
      </c>
      <c r="H684">
        <v>41811.200000000004</v>
      </c>
      <c r="I684" s="13">
        <v>0.5</v>
      </c>
      <c r="J684" t="s">
        <v>6207</v>
      </c>
      <c r="K684">
        <v>4</v>
      </c>
      <c r="L684">
        <v>1</v>
      </c>
      <c r="M684" t="s">
        <v>0</v>
      </c>
      <c r="V684">
        <v>5</v>
      </c>
      <c r="W684">
        <v>3</v>
      </c>
      <c r="X684">
        <v>0</v>
      </c>
      <c r="Y684">
        <v>0</v>
      </c>
      <c r="Z684">
        <v>0</v>
      </c>
    </row>
    <row r="685" spans="1:26" x14ac:dyDescent="0.2">
      <c r="A685" t="s">
        <v>803</v>
      </c>
      <c r="B685" t="s">
        <v>53</v>
      </c>
      <c r="C685">
        <v>2010</v>
      </c>
      <c r="D685" t="s">
        <v>45</v>
      </c>
      <c r="E685" t="s">
        <v>42</v>
      </c>
      <c r="F685" t="s">
        <v>26</v>
      </c>
      <c r="G685">
        <v>39572</v>
      </c>
      <c r="H685">
        <v>31657.600000000002</v>
      </c>
      <c r="I685" s="13">
        <v>0.4</v>
      </c>
      <c r="J685" t="s">
        <v>6207</v>
      </c>
      <c r="K685">
        <v>2</v>
      </c>
      <c r="L685">
        <v>2</v>
      </c>
      <c r="M685" t="s">
        <v>58</v>
      </c>
      <c r="V685">
        <v>3</v>
      </c>
      <c r="W685">
        <v>2</v>
      </c>
      <c r="X685">
        <v>0</v>
      </c>
      <c r="Y685">
        <v>0</v>
      </c>
      <c r="Z685">
        <v>1</v>
      </c>
    </row>
    <row r="686" spans="1:26" x14ac:dyDescent="0.2">
      <c r="A686" t="s">
        <v>804</v>
      </c>
      <c r="B686" t="s">
        <v>66</v>
      </c>
      <c r="C686">
        <v>2010</v>
      </c>
      <c r="D686" t="s">
        <v>38</v>
      </c>
      <c r="E686" t="s">
        <v>34</v>
      </c>
      <c r="F686" t="s">
        <v>38</v>
      </c>
      <c r="G686">
        <v>29409</v>
      </c>
      <c r="H686">
        <v>23527.200000000001</v>
      </c>
      <c r="I686" s="13">
        <v>0.5</v>
      </c>
      <c r="J686" t="s">
        <v>6207</v>
      </c>
      <c r="K686">
        <v>2</v>
      </c>
      <c r="L686">
        <v>1</v>
      </c>
      <c r="M686" t="s">
        <v>0</v>
      </c>
      <c r="V686">
        <v>0</v>
      </c>
      <c r="W686">
        <v>2</v>
      </c>
      <c r="X686">
        <v>0</v>
      </c>
      <c r="Y686">
        <v>0</v>
      </c>
      <c r="Z686">
        <v>0</v>
      </c>
    </row>
    <row r="687" spans="1:26" x14ac:dyDescent="0.2">
      <c r="A687" t="s">
        <v>805</v>
      </c>
      <c r="B687" t="s">
        <v>52</v>
      </c>
      <c r="C687">
        <v>2010</v>
      </c>
      <c r="D687" t="s">
        <v>46</v>
      </c>
      <c r="E687" t="s">
        <v>39</v>
      </c>
      <c r="F687" t="s">
        <v>20</v>
      </c>
      <c r="G687">
        <v>60704</v>
      </c>
      <c r="H687">
        <v>48563.200000000004</v>
      </c>
      <c r="I687" s="13">
        <v>1</v>
      </c>
      <c r="J687" t="s">
        <v>6207</v>
      </c>
      <c r="K687">
        <v>0</v>
      </c>
      <c r="L687">
        <v>0</v>
      </c>
      <c r="M687" t="s">
        <v>58</v>
      </c>
      <c r="V687">
        <v>1</v>
      </c>
      <c r="W687">
        <v>2</v>
      </c>
      <c r="X687">
        <v>0</v>
      </c>
      <c r="Y687">
        <v>1</v>
      </c>
      <c r="Z687">
        <v>0</v>
      </c>
    </row>
    <row r="688" spans="1:26" x14ac:dyDescent="0.2">
      <c r="A688" t="s">
        <v>806</v>
      </c>
      <c r="B688" t="s">
        <v>59</v>
      </c>
      <c r="C688">
        <v>2010</v>
      </c>
      <c r="D688" t="s">
        <v>31</v>
      </c>
      <c r="E688" t="s">
        <v>62</v>
      </c>
      <c r="F688" t="s">
        <v>20</v>
      </c>
      <c r="G688">
        <v>28500</v>
      </c>
      <c r="H688">
        <v>22800</v>
      </c>
      <c r="I688" s="13">
        <v>0.66666666666666663</v>
      </c>
      <c r="J688" t="s">
        <v>6206</v>
      </c>
      <c r="K688">
        <v>3</v>
      </c>
      <c r="L688">
        <v>0</v>
      </c>
      <c r="M688" t="s">
        <v>0</v>
      </c>
      <c r="V688">
        <v>2</v>
      </c>
      <c r="W688">
        <v>1</v>
      </c>
      <c r="X688">
        <v>0</v>
      </c>
      <c r="Y688">
        <v>0</v>
      </c>
      <c r="Z688">
        <v>0</v>
      </c>
    </row>
    <row r="689" spans="1:26" x14ac:dyDescent="0.2">
      <c r="A689" t="s">
        <v>807</v>
      </c>
      <c r="B689" t="s">
        <v>56</v>
      </c>
      <c r="C689">
        <v>2010</v>
      </c>
      <c r="D689" t="s">
        <v>40</v>
      </c>
      <c r="E689" t="s">
        <v>35</v>
      </c>
      <c r="F689" t="s">
        <v>49</v>
      </c>
      <c r="G689">
        <v>53400</v>
      </c>
      <c r="H689">
        <v>42720</v>
      </c>
      <c r="I689" s="13">
        <v>0.8</v>
      </c>
      <c r="J689" t="s">
        <v>6207</v>
      </c>
      <c r="K689">
        <v>5</v>
      </c>
      <c r="L689">
        <v>0</v>
      </c>
      <c r="M689" t="s">
        <v>0</v>
      </c>
      <c r="V689">
        <v>2</v>
      </c>
      <c r="W689">
        <v>3</v>
      </c>
      <c r="X689">
        <v>0</v>
      </c>
      <c r="Y689">
        <v>0</v>
      </c>
      <c r="Z689">
        <v>1</v>
      </c>
    </row>
    <row r="690" spans="1:26" x14ac:dyDescent="0.2">
      <c r="A690" t="s">
        <v>808</v>
      </c>
      <c r="B690" t="s">
        <v>52</v>
      </c>
      <c r="C690">
        <v>2010</v>
      </c>
      <c r="D690" t="s">
        <v>22</v>
      </c>
      <c r="E690" t="s">
        <v>45</v>
      </c>
      <c r="F690" t="s">
        <v>24</v>
      </c>
      <c r="G690">
        <v>31750</v>
      </c>
      <c r="H690">
        <v>25400</v>
      </c>
      <c r="I690" s="13">
        <v>1</v>
      </c>
      <c r="J690" t="s">
        <v>6207</v>
      </c>
      <c r="K690">
        <v>0</v>
      </c>
      <c r="L690">
        <v>3</v>
      </c>
      <c r="M690" t="s">
        <v>1</v>
      </c>
      <c r="V690">
        <v>0</v>
      </c>
      <c r="W690">
        <v>1</v>
      </c>
      <c r="X690">
        <v>0</v>
      </c>
      <c r="Y690">
        <v>0</v>
      </c>
      <c r="Z690">
        <v>0</v>
      </c>
    </row>
    <row r="691" spans="1:26" x14ac:dyDescent="0.2">
      <c r="A691" t="s">
        <v>809</v>
      </c>
      <c r="B691" t="s">
        <v>60</v>
      </c>
      <c r="C691">
        <v>2010</v>
      </c>
      <c r="D691" t="s">
        <v>51</v>
      </c>
      <c r="E691" t="s">
        <v>27</v>
      </c>
      <c r="F691" t="s">
        <v>20</v>
      </c>
      <c r="G691">
        <v>36284</v>
      </c>
      <c r="H691">
        <v>29027.200000000001</v>
      </c>
      <c r="I691" s="13">
        <v>0</v>
      </c>
      <c r="J691" t="s">
        <v>6208</v>
      </c>
      <c r="K691">
        <v>3</v>
      </c>
      <c r="L691">
        <v>2</v>
      </c>
      <c r="M691" t="s">
        <v>0</v>
      </c>
      <c r="V691">
        <v>1</v>
      </c>
      <c r="W691">
        <v>3</v>
      </c>
      <c r="X691">
        <v>0</v>
      </c>
      <c r="Y691">
        <v>0</v>
      </c>
      <c r="Z691">
        <v>0</v>
      </c>
    </row>
    <row r="692" spans="1:26" x14ac:dyDescent="0.2">
      <c r="A692" t="s">
        <v>810</v>
      </c>
      <c r="B692" t="s">
        <v>55</v>
      </c>
      <c r="C692">
        <v>2010</v>
      </c>
      <c r="D692" t="s">
        <v>35</v>
      </c>
      <c r="E692" t="s">
        <v>63</v>
      </c>
      <c r="F692" t="s">
        <v>35</v>
      </c>
      <c r="G692">
        <v>49000</v>
      </c>
      <c r="H692">
        <v>39200</v>
      </c>
      <c r="I692" s="13">
        <v>0.25</v>
      </c>
      <c r="J692" t="s">
        <v>6206</v>
      </c>
      <c r="K692">
        <v>2</v>
      </c>
      <c r="L692">
        <v>3</v>
      </c>
      <c r="M692" t="s">
        <v>1</v>
      </c>
      <c r="V692">
        <v>3</v>
      </c>
      <c r="W692">
        <v>1</v>
      </c>
      <c r="X692">
        <v>0</v>
      </c>
      <c r="Y692">
        <v>0</v>
      </c>
      <c r="Z692">
        <v>0</v>
      </c>
    </row>
    <row r="693" spans="1:26" x14ac:dyDescent="0.2">
      <c r="A693" t="s">
        <v>811</v>
      </c>
      <c r="B693" t="s">
        <v>53</v>
      </c>
      <c r="C693">
        <v>2010</v>
      </c>
      <c r="D693" t="s">
        <v>48</v>
      </c>
      <c r="E693" t="s">
        <v>31</v>
      </c>
      <c r="F693" t="s">
        <v>49</v>
      </c>
      <c r="G693">
        <v>74197</v>
      </c>
      <c r="H693">
        <v>59357.600000000006</v>
      </c>
      <c r="I693" s="13">
        <v>0</v>
      </c>
      <c r="J693" t="s">
        <v>6207</v>
      </c>
      <c r="K693">
        <v>2</v>
      </c>
      <c r="L693">
        <v>0</v>
      </c>
      <c r="M693" t="s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">
      <c r="A694" t="s">
        <v>812</v>
      </c>
      <c r="B694" t="s">
        <v>56</v>
      </c>
      <c r="C694">
        <v>2010</v>
      </c>
      <c r="D694" t="s">
        <v>18</v>
      </c>
      <c r="E694" t="s">
        <v>43</v>
      </c>
      <c r="F694" t="s">
        <v>20</v>
      </c>
      <c r="G694">
        <v>40341</v>
      </c>
      <c r="H694">
        <v>32272.800000000003</v>
      </c>
      <c r="I694" s="13">
        <v>1</v>
      </c>
      <c r="J694" t="s">
        <v>6207</v>
      </c>
      <c r="K694">
        <v>1</v>
      </c>
      <c r="L694">
        <v>0</v>
      </c>
      <c r="M694" t="s">
        <v>0</v>
      </c>
      <c r="V694">
        <v>1</v>
      </c>
      <c r="W694">
        <v>2</v>
      </c>
      <c r="X694">
        <v>0</v>
      </c>
      <c r="Y694">
        <v>0</v>
      </c>
      <c r="Z694">
        <v>0</v>
      </c>
    </row>
    <row r="695" spans="1:26" x14ac:dyDescent="0.2">
      <c r="A695" t="s">
        <v>813</v>
      </c>
      <c r="B695" t="s">
        <v>54</v>
      </c>
      <c r="C695">
        <v>2010</v>
      </c>
      <c r="D695" t="s">
        <v>34</v>
      </c>
      <c r="E695" t="s">
        <v>23</v>
      </c>
      <c r="F695" t="s">
        <v>36</v>
      </c>
      <c r="G695">
        <v>28723</v>
      </c>
      <c r="H695">
        <v>22978.400000000001</v>
      </c>
      <c r="I695" s="13">
        <v>0</v>
      </c>
      <c r="J695" t="s">
        <v>6206</v>
      </c>
      <c r="K695">
        <v>3</v>
      </c>
      <c r="L695">
        <v>0</v>
      </c>
      <c r="M695" t="s">
        <v>0</v>
      </c>
      <c r="V695">
        <v>1</v>
      </c>
      <c r="W695">
        <v>0</v>
      </c>
      <c r="X695">
        <v>0</v>
      </c>
      <c r="Y695">
        <v>0</v>
      </c>
      <c r="Z695">
        <v>0</v>
      </c>
    </row>
    <row r="696" spans="1:26" x14ac:dyDescent="0.2">
      <c r="A696" t="s">
        <v>814</v>
      </c>
      <c r="B696" t="s">
        <v>25</v>
      </c>
      <c r="C696">
        <v>2010</v>
      </c>
      <c r="D696" t="s">
        <v>39</v>
      </c>
      <c r="E696" t="s">
        <v>38</v>
      </c>
      <c r="F696" t="s">
        <v>39</v>
      </c>
      <c r="G696">
        <v>31367</v>
      </c>
      <c r="H696">
        <v>25093.600000000002</v>
      </c>
      <c r="I696" s="13">
        <v>0.8</v>
      </c>
      <c r="J696" t="s">
        <v>6207</v>
      </c>
      <c r="K696">
        <v>1</v>
      </c>
      <c r="L696">
        <v>1</v>
      </c>
      <c r="M696" t="s">
        <v>58</v>
      </c>
      <c r="V696">
        <v>2</v>
      </c>
      <c r="W696">
        <v>3</v>
      </c>
      <c r="X696">
        <v>0</v>
      </c>
      <c r="Y696">
        <v>0</v>
      </c>
      <c r="Z696">
        <v>0</v>
      </c>
    </row>
    <row r="697" spans="1:26" x14ac:dyDescent="0.2">
      <c r="A697" t="s">
        <v>815</v>
      </c>
      <c r="B697" t="s">
        <v>50</v>
      </c>
      <c r="C697">
        <v>2010</v>
      </c>
      <c r="D697" t="s">
        <v>62</v>
      </c>
      <c r="E697" t="s">
        <v>46</v>
      </c>
      <c r="F697" t="s">
        <v>62</v>
      </c>
      <c r="G697">
        <v>17338</v>
      </c>
      <c r="H697">
        <v>13870.400000000001</v>
      </c>
      <c r="I697" s="13">
        <v>0.25</v>
      </c>
      <c r="J697" t="s">
        <v>6207</v>
      </c>
      <c r="K697">
        <v>1</v>
      </c>
      <c r="L697">
        <v>3</v>
      </c>
      <c r="M697" t="s">
        <v>1</v>
      </c>
      <c r="V697">
        <v>2</v>
      </c>
      <c r="W697">
        <v>2</v>
      </c>
      <c r="X697">
        <v>0</v>
      </c>
      <c r="Y697">
        <v>0</v>
      </c>
      <c r="Z697">
        <v>0</v>
      </c>
    </row>
    <row r="698" spans="1:26" x14ac:dyDescent="0.2">
      <c r="A698" t="s">
        <v>816</v>
      </c>
      <c r="B698" t="s">
        <v>59</v>
      </c>
      <c r="C698">
        <v>2010</v>
      </c>
      <c r="D698" t="s">
        <v>42</v>
      </c>
      <c r="E698" t="s">
        <v>64</v>
      </c>
      <c r="F698" t="s">
        <v>38</v>
      </c>
      <c r="G698">
        <v>42918</v>
      </c>
      <c r="H698">
        <v>34334.400000000001</v>
      </c>
      <c r="I698" s="13">
        <v>0.5</v>
      </c>
      <c r="J698" t="s">
        <v>6206</v>
      </c>
      <c r="K698">
        <v>1</v>
      </c>
      <c r="L698">
        <v>0</v>
      </c>
      <c r="M698" t="s">
        <v>0</v>
      </c>
      <c r="V698">
        <v>2</v>
      </c>
      <c r="W698">
        <v>2</v>
      </c>
      <c r="X698">
        <v>0</v>
      </c>
      <c r="Y698">
        <v>0</v>
      </c>
      <c r="Z698">
        <v>0</v>
      </c>
    </row>
    <row r="699" spans="1:26" x14ac:dyDescent="0.2">
      <c r="A699" t="s">
        <v>817</v>
      </c>
      <c r="B699" t="s">
        <v>47</v>
      </c>
      <c r="C699">
        <v>2010</v>
      </c>
      <c r="D699" t="s">
        <v>26</v>
      </c>
      <c r="E699" t="s">
        <v>40</v>
      </c>
      <c r="F699" t="s">
        <v>26</v>
      </c>
      <c r="G699">
        <v>61276</v>
      </c>
      <c r="H699">
        <v>49020.800000000003</v>
      </c>
      <c r="I699" s="13">
        <v>1</v>
      </c>
      <c r="J699" t="s">
        <v>6208</v>
      </c>
      <c r="K699">
        <v>3</v>
      </c>
      <c r="L699">
        <v>0</v>
      </c>
      <c r="M699" t="s">
        <v>0</v>
      </c>
      <c r="V699">
        <v>1</v>
      </c>
      <c r="W699">
        <v>0</v>
      </c>
      <c r="X699">
        <v>0</v>
      </c>
      <c r="Y699">
        <v>0</v>
      </c>
      <c r="Z699">
        <v>0</v>
      </c>
    </row>
    <row r="700" spans="1:26" x14ac:dyDescent="0.2">
      <c r="A700" t="s">
        <v>818</v>
      </c>
      <c r="B700" t="s">
        <v>47</v>
      </c>
      <c r="C700">
        <v>2010</v>
      </c>
      <c r="D700" t="s">
        <v>23</v>
      </c>
      <c r="E700" t="s">
        <v>42</v>
      </c>
      <c r="F700" t="s">
        <v>20</v>
      </c>
      <c r="G700">
        <v>62500</v>
      </c>
      <c r="H700">
        <v>50000</v>
      </c>
      <c r="I700" s="13">
        <v>0</v>
      </c>
      <c r="J700" t="s">
        <v>6208</v>
      </c>
      <c r="K700">
        <v>1</v>
      </c>
      <c r="L700">
        <v>2</v>
      </c>
      <c r="M700" t="s">
        <v>1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2">
      <c r="A701" t="s">
        <v>819</v>
      </c>
      <c r="B701" t="s">
        <v>54</v>
      </c>
      <c r="C701">
        <v>2010</v>
      </c>
      <c r="D701" t="s">
        <v>63</v>
      </c>
      <c r="E701" t="s">
        <v>18</v>
      </c>
      <c r="F701" t="s">
        <v>65</v>
      </c>
      <c r="G701">
        <v>26804</v>
      </c>
      <c r="H701">
        <v>21443.200000000001</v>
      </c>
      <c r="I701" s="13">
        <v>1</v>
      </c>
      <c r="J701" t="s">
        <v>6206</v>
      </c>
      <c r="K701">
        <v>1</v>
      </c>
      <c r="L701">
        <v>3</v>
      </c>
      <c r="M701" t="s">
        <v>1</v>
      </c>
      <c r="V701">
        <v>1</v>
      </c>
      <c r="W701">
        <v>0</v>
      </c>
      <c r="X701">
        <v>0</v>
      </c>
      <c r="Y701">
        <v>0</v>
      </c>
      <c r="Z701">
        <v>0</v>
      </c>
    </row>
    <row r="702" spans="1:26" x14ac:dyDescent="0.2">
      <c r="A702" t="s">
        <v>820</v>
      </c>
      <c r="B702" t="s">
        <v>60</v>
      </c>
      <c r="C702">
        <v>2010</v>
      </c>
      <c r="D702" t="s">
        <v>45</v>
      </c>
      <c r="E702" t="s">
        <v>39</v>
      </c>
      <c r="F702" t="s">
        <v>26</v>
      </c>
      <c r="G702">
        <v>39572</v>
      </c>
      <c r="H702">
        <v>31657.600000000002</v>
      </c>
      <c r="I702" s="13">
        <v>0.25</v>
      </c>
      <c r="J702" t="s">
        <v>6208</v>
      </c>
      <c r="K702">
        <v>2</v>
      </c>
      <c r="L702">
        <v>0</v>
      </c>
      <c r="M702" t="s">
        <v>0</v>
      </c>
      <c r="V702">
        <v>1</v>
      </c>
      <c r="W702">
        <v>3</v>
      </c>
      <c r="X702">
        <v>0</v>
      </c>
      <c r="Y702">
        <v>0</v>
      </c>
      <c r="Z702">
        <v>1</v>
      </c>
    </row>
    <row r="703" spans="1:26" x14ac:dyDescent="0.2">
      <c r="A703" t="s">
        <v>821</v>
      </c>
      <c r="B703" t="s">
        <v>55</v>
      </c>
      <c r="C703">
        <v>2010</v>
      </c>
      <c r="D703" t="s">
        <v>62</v>
      </c>
      <c r="E703" t="s">
        <v>43</v>
      </c>
      <c r="F703" t="s">
        <v>62</v>
      </c>
      <c r="G703">
        <v>17338</v>
      </c>
      <c r="H703">
        <v>13870.400000000001</v>
      </c>
      <c r="I703" s="13">
        <v>0.5</v>
      </c>
      <c r="J703" t="s">
        <v>6206</v>
      </c>
      <c r="K703">
        <v>1</v>
      </c>
      <c r="L703">
        <v>3</v>
      </c>
      <c r="M703" t="s">
        <v>1</v>
      </c>
      <c r="V703">
        <v>2</v>
      </c>
      <c r="W703">
        <v>2</v>
      </c>
      <c r="X703">
        <v>0</v>
      </c>
      <c r="Y703">
        <v>0</v>
      </c>
      <c r="Z703">
        <v>0</v>
      </c>
    </row>
    <row r="704" spans="1:26" x14ac:dyDescent="0.2">
      <c r="A704" t="s">
        <v>822</v>
      </c>
      <c r="B704" t="s">
        <v>52</v>
      </c>
      <c r="C704">
        <v>2010</v>
      </c>
      <c r="D704" t="s">
        <v>38</v>
      </c>
      <c r="E704" t="s">
        <v>35</v>
      </c>
      <c r="F704" t="s">
        <v>38</v>
      </c>
      <c r="G704">
        <v>29409</v>
      </c>
      <c r="H704">
        <v>23527.200000000001</v>
      </c>
      <c r="I704" s="13">
        <v>0</v>
      </c>
      <c r="J704" t="s">
        <v>6207</v>
      </c>
      <c r="K704">
        <v>2</v>
      </c>
      <c r="L704">
        <v>0</v>
      </c>
      <c r="M704" t="s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2">
      <c r="A705" t="s">
        <v>823</v>
      </c>
      <c r="B705" t="s">
        <v>37</v>
      </c>
      <c r="C705">
        <v>2010</v>
      </c>
      <c r="D705" t="s">
        <v>46</v>
      </c>
      <c r="E705" t="s">
        <v>26</v>
      </c>
      <c r="F705" t="s">
        <v>20</v>
      </c>
      <c r="G705">
        <v>60704</v>
      </c>
      <c r="H705">
        <v>48563.200000000004</v>
      </c>
      <c r="I705" s="13">
        <v>0.5</v>
      </c>
      <c r="J705" t="s">
        <v>6206</v>
      </c>
      <c r="K705">
        <v>1</v>
      </c>
      <c r="L705">
        <v>1</v>
      </c>
      <c r="M705" t="s">
        <v>58</v>
      </c>
      <c r="V705">
        <v>2</v>
      </c>
      <c r="W705">
        <v>4</v>
      </c>
      <c r="X705">
        <v>0</v>
      </c>
      <c r="Y705">
        <v>0</v>
      </c>
      <c r="Z705">
        <v>2</v>
      </c>
    </row>
    <row r="706" spans="1:26" x14ac:dyDescent="0.2">
      <c r="A706" t="s">
        <v>824</v>
      </c>
      <c r="B706" t="s">
        <v>54</v>
      </c>
      <c r="C706">
        <v>2010</v>
      </c>
      <c r="D706" t="s">
        <v>64</v>
      </c>
      <c r="E706" t="s">
        <v>48</v>
      </c>
      <c r="F706" t="s">
        <v>64</v>
      </c>
      <c r="G706">
        <v>52264</v>
      </c>
      <c r="H706">
        <v>41811.200000000004</v>
      </c>
      <c r="I706" s="13">
        <v>0.5</v>
      </c>
      <c r="J706" t="s">
        <v>6206</v>
      </c>
      <c r="K706">
        <v>0</v>
      </c>
      <c r="L706">
        <v>0</v>
      </c>
      <c r="M706" t="s">
        <v>58</v>
      </c>
      <c r="V706">
        <v>2</v>
      </c>
      <c r="W706">
        <v>2</v>
      </c>
      <c r="X706">
        <v>0</v>
      </c>
      <c r="Y706">
        <v>0</v>
      </c>
      <c r="Z706">
        <v>0</v>
      </c>
    </row>
    <row r="707" spans="1:26" x14ac:dyDescent="0.2">
      <c r="A707" t="s">
        <v>825</v>
      </c>
      <c r="B707" t="s">
        <v>32</v>
      </c>
      <c r="C707">
        <v>2010</v>
      </c>
      <c r="D707" t="s">
        <v>51</v>
      </c>
      <c r="E707" t="s">
        <v>46</v>
      </c>
      <c r="F707" t="s">
        <v>20</v>
      </c>
      <c r="G707">
        <v>36284</v>
      </c>
      <c r="H707">
        <v>29027.200000000001</v>
      </c>
      <c r="I707" s="13">
        <v>1</v>
      </c>
      <c r="J707" t="s">
        <v>6207</v>
      </c>
      <c r="K707">
        <v>3</v>
      </c>
      <c r="L707">
        <v>3</v>
      </c>
      <c r="M707" t="s">
        <v>58</v>
      </c>
      <c r="V707">
        <v>0</v>
      </c>
      <c r="W707">
        <v>3</v>
      </c>
      <c r="X707">
        <v>0</v>
      </c>
      <c r="Y707">
        <v>0</v>
      </c>
      <c r="Z707">
        <v>1</v>
      </c>
    </row>
    <row r="708" spans="1:26" x14ac:dyDescent="0.2">
      <c r="A708" t="s">
        <v>826</v>
      </c>
      <c r="B708" t="s">
        <v>53</v>
      </c>
      <c r="C708">
        <v>2010</v>
      </c>
      <c r="D708" t="s">
        <v>18</v>
      </c>
      <c r="E708" t="s">
        <v>38</v>
      </c>
      <c r="F708" t="s">
        <v>20</v>
      </c>
      <c r="G708">
        <v>40341</v>
      </c>
      <c r="H708">
        <v>32272.800000000003</v>
      </c>
      <c r="I708" s="13">
        <v>0</v>
      </c>
      <c r="J708" t="s">
        <v>6207</v>
      </c>
      <c r="K708">
        <v>3</v>
      </c>
      <c r="L708">
        <v>1</v>
      </c>
      <c r="M708" t="s">
        <v>0</v>
      </c>
      <c r="V708">
        <v>0</v>
      </c>
      <c r="W708">
        <v>1</v>
      </c>
      <c r="X708">
        <v>0</v>
      </c>
      <c r="Y708">
        <v>0</v>
      </c>
      <c r="Z708">
        <v>0</v>
      </c>
    </row>
    <row r="709" spans="1:26" x14ac:dyDescent="0.2">
      <c r="A709" t="s">
        <v>827</v>
      </c>
      <c r="B709" t="s">
        <v>55</v>
      </c>
      <c r="C709">
        <v>2010</v>
      </c>
      <c r="D709" t="s">
        <v>48</v>
      </c>
      <c r="E709" t="s">
        <v>45</v>
      </c>
      <c r="F709" t="s">
        <v>49</v>
      </c>
      <c r="G709">
        <v>74197</v>
      </c>
      <c r="H709">
        <v>59357.600000000006</v>
      </c>
      <c r="I709" s="13">
        <v>1</v>
      </c>
      <c r="J709" t="s">
        <v>6206</v>
      </c>
      <c r="K709">
        <v>1</v>
      </c>
      <c r="L709">
        <v>0</v>
      </c>
      <c r="M709" t="s">
        <v>0</v>
      </c>
      <c r="V709">
        <v>1</v>
      </c>
      <c r="W709">
        <v>2</v>
      </c>
      <c r="X709">
        <v>0</v>
      </c>
      <c r="Y709">
        <v>0</v>
      </c>
      <c r="Z709">
        <v>0</v>
      </c>
    </row>
    <row r="710" spans="1:26" x14ac:dyDescent="0.2">
      <c r="A710" t="s">
        <v>828</v>
      </c>
      <c r="B710" t="s">
        <v>66</v>
      </c>
      <c r="C710">
        <v>2010</v>
      </c>
      <c r="D710" t="s">
        <v>22</v>
      </c>
      <c r="E710" t="s">
        <v>31</v>
      </c>
      <c r="F710" t="s">
        <v>24</v>
      </c>
      <c r="G710">
        <v>31750</v>
      </c>
      <c r="H710">
        <v>25400</v>
      </c>
      <c r="I710" s="13">
        <v>0.25</v>
      </c>
      <c r="J710" t="s">
        <v>6207</v>
      </c>
      <c r="K710">
        <v>1</v>
      </c>
      <c r="L710">
        <v>1</v>
      </c>
      <c r="M710" t="s">
        <v>58</v>
      </c>
      <c r="V710">
        <v>2</v>
      </c>
      <c r="W710">
        <v>2</v>
      </c>
      <c r="X710">
        <v>0</v>
      </c>
      <c r="Y710">
        <v>0</v>
      </c>
      <c r="Z710">
        <v>0</v>
      </c>
    </row>
    <row r="711" spans="1:26" x14ac:dyDescent="0.2">
      <c r="A711" t="s">
        <v>829</v>
      </c>
      <c r="B711" t="s">
        <v>59</v>
      </c>
      <c r="C711">
        <v>2010</v>
      </c>
      <c r="D711" t="s">
        <v>51</v>
      </c>
      <c r="E711" t="s">
        <v>63</v>
      </c>
      <c r="F711" t="s">
        <v>20</v>
      </c>
      <c r="G711">
        <v>36284</v>
      </c>
      <c r="H711">
        <v>29027.200000000001</v>
      </c>
      <c r="I711" s="13">
        <v>0.5</v>
      </c>
      <c r="J711" t="s">
        <v>6206</v>
      </c>
      <c r="K711">
        <v>2</v>
      </c>
      <c r="L711">
        <v>2</v>
      </c>
      <c r="M711" t="s">
        <v>58</v>
      </c>
      <c r="V711">
        <v>1</v>
      </c>
      <c r="W711">
        <v>1</v>
      </c>
      <c r="X711">
        <v>0</v>
      </c>
      <c r="Y711">
        <v>0</v>
      </c>
      <c r="Z711">
        <v>0</v>
      </c>
    </row>
    <row r="712" spans="1:26" x14ac:dyDescent="0.2">
      <c r="A712" t="s">
        <v>830</v>
      </c>
      <c r="B712" t="s">
        <v>54</v>
      </c>
      <c r="C712">
        <v>2010</v>
      </c>
      <c r="D712" t="s">
        <v>35</v>
      </c>
      <c r="E712" t="s">
        <v>43</v>
      </c>
      <c r="F712" t="s">
        <v>35</v>
      </c>
      <c r="G712">
        <v>49000</v>
      </c>
      <c r="H712">
        <v>39200</v>
      </c>
      <c r="I712" s="13">
        <v>0.33333333333333331</v>
      </c>
      <c r="J712" t="s">
        <v>6206</v>
      </c>
      <c r="K712">
        <v>4</v>
      </c>
      <c r="L712">
        <v>2</v>
      </c>
      <c r="M712" t="s">
        <v>0</v>
      </c>
      <c r="V712">
        <v>1</v>
      </c>
      <c r="W712">
        <v>2</v>
      </c>
      <c r="X712">
        <v>0</v>
      </c>
      <c r="Y712">
        <v>0</v>
      </c>
      <c r="Z712">
        <v>1</v>
      </c>
    </row>
    <row r="713" spans="1:26" x14ac:dyDescent="0.2">
      <c r="A713" t="s">
        <v>831</v>
      </c>
      <c r="B713" t="s">
        <v>56</v>
      </c>
      <c r="C713">
        <v>2010</v>
      </c>
      <c r="D713" t="s">
        <v>26</v>
      </c>
      <c r="E713" t="s">
        <v>38</v>
      </c>
      <c r="F713" t="s">
        <v>26</v>
      </c>
      <c r="G713">
        <v>61276</v>
      </c>
      <c r="H713">
        <v>49020.800000000003</v>
      </c>
      <c r="I713" s="13">
        <v>0</v>
      </c>
      <c r="J713" t="s">
        <v>6207</v>
      </c>
      <c r="K713">
        <v>5</v>
      </c>
      <c r="L713">
        <v>0</v>
      </c>
      <c r="M713" t="s">
        <v>0</v>
      </c>
      <c r="V713">
        <v>1</v>
      </c>
      <c r="W713">
        <v>0</v>
      </c>
      <c r="X713">
        <v>0</v>
      </c>
      <c r="Y713">
        <v>0</v>
      </c>
      <c r="Z713">
        <v>0</v>
      </c>
    </row>
    <row r="714" spans="1:26" x14ac:dyDescent="0.2">
      <c r="A714" t="s">
        <v>832</v>
      </c>
      <c r="B714" t="s">
        <v>32</v>
      </c>
      <c r="C714">
        <v>2010</v>
      </c>
      <c r="D714" t="s">
        <v>62</v>
      </c>
      <c r="E714" t="s">
        <v>64</v>
      </c>
      <c r="F714" t="s">
        <v>62</v>
      </c>
      <c r="G714">
        <v>17338</v>
      </c>
      <c r="H714">
        <v>13870.400000000001</v>
      </c>
      <c r="I714" s="13">
        <v>0.5</v>
      </c>
      <c r="J714" t="s">
        <v>6207</v>
      </c>
      <c r="K714">
        <v>1</v>
      </c>
      <c r="L714">
        <v>1</v>
      </c>
      <c r="M714" t="s">
        <v>58</v>
      </c>
      <c r="V714">
        <v>1</v>
      </c>
      <c r="W714">
        <v>1</v>
      </c>
      <c r="X714">
        <v>0</v>
      </c>
      <c r="Y714">
        <v>0</v>
      </c>
      <c r="Z714">
        <v>0</v>
      </c>
    </row>
    <row r="715" spans="1:26" x14ac:dyDescent="0.2">
      <c r="A715" t="s">
        <v>833</v>
      </c>
      <c r="B715" t="s">
        <v>25</v>
      </c>
      <c r="C715">
        <v>2010</v>
      </c>
      <c r="D715" t="s">
        <v>42</v>
      </c>
      <c r="E715" t="s">
        <v>27</v>
      </c>
      <c r="F715" t="s">
        <v>38</v>
      </c>
      <c r="G715">
        <v>42918</v>
      </c>
      <c r="H715">
        <v>34334.400000000001</v>
      </c>
      <c r="I715" s="13">
        <v>1</v>
      </c>
      <c r="J715" t="s">
        <v>6207</v>
      </c>
      <c r="K715">
        <v>1</v>
      </c>
      <c r="L715">
        <v>1</v>
      </c>
      <c r="M715" t="s">
        <v>58</v>
      </c>
      <c r="V715">
        <v>0</v>
      </c>
      <c r="W715">
        <v>3</v>
      </c>
      <c r="X715">
        <v>0</v>
      </c>
      <c r="Y715">
        <v>0</v>
      </c>
      <c r="Z715">
        <v>0</v>
      </c>
    </row>
    <row r="716" spans="1:26" x14ac:dyDescent="0.2">
      <c r="A716" t="s">
        <v>834</v>
      </c>
      <c r="B716" t="s">
        <v>52</v>
      </c>
      <c r="C716">
        <v>2010</v>
      </c>
      <c r="D716" t="s">
        <v>18</v>
      </c>
      <c r="E716" t="s">
        <v>23</v>
      </c>
      <c r="F716" t="s">
        <v>20</v>
      </c>
      <c r="G716">
        <v>40341</v>
      </c>
      <c r="H716">
        <v>32272.800000000003</v>
      </c>
      <c r="I716" s="13">
        <v>1</v>
      </c>
      <c r="J716" t="s">
        <v>6207</v>
      </c>
      <c r="K716">
        <v>3</v>
      </c>
      <c r="L716">
        <v>0</v>
      </c>
      <c r="M716" t="s">
        <v>0</v>
      </c>
      <c r="V716">
        <v>1</v>
      </c>
      <c r="W716">
        <v>2</v>
      </c>
      <c r="X716">
        <v>0</v>
      </c>
      <c r="Y716">
        <v>0</v>
      </c>
      <c r="Z716">
        <v>0</v>
      </c>
    </row>
    <row r="717" spans="1:26" x14ac:dyDescent="0.2">
      <c r="A717" t="s">
        <v>835</v>
      </c>
      <c r="B717" t="s">
        <v>53</v>
      </c>
      <c r="C717">
        <v>2010</v>
      </c>
      <c r="D717" t="s">
        <v>34</v>
      </c>
      <c r="E717" t="s">
        <v>46</v>
      </c>
      <c r="F717" t="s">
        <v>36</v>
      </c>
      <c r="G717">
        <v>28723</v>
      </c>
      <c r="H717">
        <v>22978.400000000001</v>
      </c>
      <c r="I717" s="13">
        <v>0.42857142857142855</v>
      </c>
      <c r="J717" t="s">
        <v>6207</v>
      </c>
      <c r="K717">
        <v>2</v>
      </c>
      <c r="L717">
        <v>1</v>
      </c>
      <c r="M717" t="s">
        <v>0</v>
      </c>
      <c r="N717">
        <v>33</v>
      </c>
      <c r="O717">
        <v>67</v>
      </c>
      <c r="R717">
        <v>3</v>
      </c>
      <c r="S717">
        <v>9</v>
      </c>
      <c r="T717">
        <v>14</v>
      </c>
      <c r="U717">
        <v>14</v>
      </c>
      <c r="V717">
        <v>4</v>
      </c>
      <c r="W717">
        <v>3</v>
      </c>
      <c r="X717">
        <v>0</v>
      </c>
      <c r="Y717">
        <v>0</v>
      </c>
      <c r="Z717">
        <v>1</v>
      </c>
    </row>
    <row r="718" spans="1:26" x14ac:dyDescent="0.2">
      <c r="A718" t="s">
        <v>836</v>
      </c>
      <c r="B718" t="s">
        <v>37</v>
      </c>
      <c r="C718">
        <v>2010</v>
      </c>
      <c r="D718" t="s">
        <v>39</v>
      </c>
      <c r="E718" t="s">
        <v>40</v>
      </c>
      <c r="F718" t="s">
        <v>39</v>
      </c>
      <c r="G718">
        <v>31367</v>
      </c>
      <c r="H718">
        <v>25093.600000000002</v>
      </c>
      <c r="I718" s="13">
        <v>0.4</v>
      </c>
      <c r="J718" t="s">
        <v>6206</v>
      </c>
      <c r="K718">
        <v>0</v>
      </c>
      <c r="L718">
        <v>1</v>
      </c>
      <c r="M718" t="s">
        <v>1</v>
      </c>
      <c r="V718">
        <v>2</v>
      </c>
      <c r="W718">
        <v>3</v>
      </c>
      <c r="X718">
        <v>0</v>
      </c>
      <c r="Y718">
        <v>0</v>
      </c>
      <c r="Z718">
        <v>0</v>
      </c>
    </row>
    <row r="719" spans="1:26" x14ac:dyDescent="0.2">
      <c r="A719" t="s">
        <v>837</v>
      </c>
      <c r="B719" t="s">
        <v>50</v>
      </c>
      <c r="C719">
        <v>2010</v>
      </c>
      <c r="D719" t="s">
        <v>27</v>
      </c>
      <c r="E719" t="s">
        <v>22</v>
      </c>
      <c r="F719" t="s">
        <v>27</v>
      </c>
      <c r="G719">
        <v>30089</v>
      </c>
      <c r="H719">
        <v>24071.200000000001</v>
      </c>
      <c r="I719" s="13">
        <v>0.6</v>
      </c>
      <c r="J719" t="s">
        <v>6207</v>
      </c>
      <c r="K719">
        <v>3</v>
      </c>
      <c r="L719">
        <v>0</v>
      </c>
      <c r="M719" t="s">
        <v>0</v>
      </c>
      <c r="V719">
        <v>3</v>
      </c>
      <c r="W719">
        <v>2</v>
      </c>
      <c r="X719">
        <v>0</v>
      </c>
      <c r="Y719">
        <v>0</v>
      </c>
      <c r="Z719">
        <v>0</v>
      </c>
    </row>
    <row r="720" spans="1:26" x14ac:dyDescent="0.2">
      <c r="A720" t="s">
        <v>838</v>
      </c>
      <c r="B720" t="s">
        <v>61</v>
      </c>
      <c r="C720">
        <v>2010</v>
      </c>
      <c r="D720" t="s">
        <v>31</v>
      </c>
      <c r="E720" t="s">
        <v>34</v>
      </c>
      <c r="F720" t="s">
        <v>20</v>
      </c>
      <c r="G720">
        <v>28500</v>
      </c>
      <c r="H720">
        <v>22800</v>
      </c>
      <c r="I720" s="13">
        <v>0.5</v>
      </c>
      <c r="J720" t="s">
        <v>6207</v>
      </c>
      <c r="K720">
        <v>3</v>
      </c>
      <c r="L720">
        <v>0</v>
      </c>
      <c r="M720" t="s">
        <v>0</v>
      </c>
      <c r="V720">
        <v>1</v>
      </c>
      <c r="W720">
        <v>1</v>
      </c>
      <c r="X720">
        <v>0</v>
      </c>
      <c r="Y720">
        <v>0</v>
      </c>
      <c r="Z720">
        <v>0</v>
      </c>
    </row>
    <row r="721" spans="1:26" x14ac:dyDescent="0.2">
      <c r="A721" t="s">
        <v>839</v>
      </c>
      <c r="B721" t="s">
        <v>50</v>
      </c>
      <c r="C721">
        <v>2010</v>
      </c>
      <c r="D721" t="s">
        <v>43</v>
      </c>
      <c r="E721" t="s">
        <v>45</v>
      </c>
      <c r="F721" t="s">
        <v>43</v>
      </c>
      <c r="G721">
        <v>25138</v>
      </c>
      <c r="H721">
        <v>20110.400000000001</v>
      </c>
      <c r="I721" s="13">
        <v>0.5</v>
      </c>
      <c r="J721" t="s">
        <v>6207</v>
      </c>
      <c r="K721">
        <v>1</v>
      </c>
      <c r="L721">
        <v>1</v>
      </c>
      <c r="M721" t="s">
        <v>58</v>
      </c>
      <c r="V721">
        <v>2</v>
      </c>
      <c r="W721">
        <v>2</v>
      </c>
      <c r="X721">
        <v>0</v>
      </c>
      <c r="Y721">
        <v>0</v>
      </c>
      <c r="Z721">
        <v>2</v>
      </c>
    </row>
    <row r="722" spans="1:26" x14ac:dyDescent="0.2">
      <c r="A722" t="s">
        <v>840</v>
      </c>
      <c r="B722" t="s">
        <v>52</v>
      </c>
      <c r="C722">
        <v>2010</v>
      </c>
      <c r="D722" t="s">
        <v>63</v>
      </c>
      <c r="E722" t="s">
        <v>42</v>
      </c>
      <c r="F722" t="s">
        <v>65</v>
      </c>
      <c r="G722">
        <v>26804</v>
      </c>
      <c r="H722">
        <v>21443.200000000001</v>
      </c>
      <c r="I722" s="13">
        <v>0.5</v>
      </c>
      <c r="J722" t="s">
        <v>6207</v>
      </c>
      <c r="K722">
        <v>2</v>
      </c>
      <c r="L722">
        <v>1</v>
      </c>
      <c r="M722" t="s">
        <v>0</v>
      </c>
      <c r="V722">
        <v>2</v>
      </c>
      <c r="W722">
        <v>1</v>
      </c>
      <c r="X722">
        <v>1</v>
      </c>
      <c r="Y722">
        <v>0</v>
      </c>
      <c r="Z722">
        <v>0</v>
      </c>
    </row>
    <row r="723" spans="1:26" x14ac:dyDescent="0.2">
      <c r="A723" t="s">
        <v>841</v>
      </c>
      <c r="B723" t="s">
        <v>32</v>
      </c>
      <c r="C723">
        <v>2010</v>
      </c>
      <c r="D723" t="s">
        <v>35</v>
      </c>
      <c r="E723" t="s">
        <v>31</v>
      </c>
      <c r="F723" t="s">
        <v>35</v>
      </c>
      <c r="G723">
        <v>49000</v>
      </c>
      <c r="H723">
        <v>39200</v>
      </c>
      <c r="I723" s="13">
        <v>1</v>
      </c>
      <c r="J723" t="s">
        <v>6207</v>
      </c>
      <c r="K723">
        <v>0</v>
      </c>
      <c r="L723">
        <v>3</v>
      </c>
      <c r="M723" t="s">
        <v>1</v>
      </c>
      <c r="V723">
        <v>1</v>
      </c>
      <c r="W723">
        <v>0</v>
      </c>
      <c r="X723">
        <v>0</v>
      </c>
      <c r="Y723">
        <v>0</v>
      </c>
      <c r="Z723">
        <v>0</v>
      </c>
    </row>
    <row r="724" spans="1:26" x14ac:dyDescent="0.2">
      <c r="A724" t="s">
        <v>842</v>
      </c>
      <c r="B724" t="s">
        <v>44</v>
      </c>
      <c r="C724">
        <v>2010</v>
      </c>
      <c r="D724" t="s">
        <v>62</v>
      </c>
      <c r="E724" t="s">
        <v>27</v>
      </c>
      <c r="F724" t="s">
        <v>62</v>
      </c>
      <c r="G724">
        <v>17338</v>
      </c>
      <c r="H724">
        <v>13870.400000000001</v>
      </c>
      <c r="I724" s="13">
        <v>0</v>
      </c>
      <c r="J724" t="s">
        <v>6207</v>
      </c>
      <c r="K724">
        <v>0</v>
      </c>
      <c r="L724">
        <v>0</v>
      </c>
      <c r="M724" t="s">
        <v>58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">
      <c r="A725" t="s">
        <v>843</v>
      </c>
      <c r="B725" t="s">
        <v>41</v>
      </c>
      <c r="C725">
        <v>2010</v>
      </c>
      <c r="D725" t="s">
        <v>39</v>
      </c>
      <c r="E725" t="s">
        <v>34</v>
      </c>
      <c r="F725" t="s">
        <v>39</v>
      </c>
      <c r="G725">
        <v>31367</v>
      </c>
      <c r="H725">
        <v>25093.600000000002</v>
      </c>
      <c r="I725" s="13">
        <v>0.33333333333333331</v>
      </c>
      <c r="J725" t="s">
        <v>6207</v>
      </c>
      <c r="K725">
        <v>1</v>
      </c>
      <c r="L725">
        <v>0</v>
      </c>
      <c r="M725" t="s">
        <v>0</v>
      </c>
      <c r="V725">
        <v>2</v>
      </c>
      <c r="W725">
        <v>1</v>
      </c>
      <c r="X725">
        <v>0</v>
      </c>
      <c r="Y725">
        <v>0</v>
      </c>
      <c r="Z725">
        <v>0</v>
      </c>
    </row>
    <row r="726" spans="1:26" x14ac:dyDescent="0.2">
      <c r="A726" t="s">
        <v>844</v>
      </c>
      <c r="B726" t="s">
        <v>37</v>
      </c>
      <c r="C726">
        <v>2010</v>
      </c>
      <c r="D726" t="s">
        <v>18</v>
      </c>
      <c r="E726" t="s">
        <v>51</v>
      </c>
      <c r="F726" t="s">
        <v>20</v>
      </c>
      <c r="G726">
        <v>40341</v>
      </c>
      <c r="H726">
        <v>32272.800000000003</v>
      </c>
      <c r="I726" s="13">
        <v>0.75</v>
      </c>
      <c r="J726" t="s">
        <v>6206</v>
      </c>
      <c r="K726">
        <v>2</v>
      </c>
      <c r="L726">
        <v>1</v>
      </c>
      <c r="M726" t="s">
        <v>0</v>
      </c>
      <c r="V726">
        <v>3</v>
      </c>
      <c r="W726">
        <v>1</v>
      </c>
      <c r="X726">
        <v>0</v>
      </c>
      <c r="Y726">
        <v>0</v>
      </c>
      <c r="Z726">
        <v>0</v>
      </c>
    </row>
    <row r="727" spans="1:26" x14ac:dyDescent="0.2">
      <c r="A727" t="s">
        <v>845</v>
      </c>
      <c r="B727" t="s">
        <v>55</v>
      </c>
      <c r="C727">
        <v>2010</v>
      </c>
      <c r="D727" t="s">
        <v>26</v>
      </c>
      <c r="E727" t="s">
        <v>64</v>
      </c>
      <c r="F727" t="s">
        <v>26</v>
      </c>
      <c r="G727">
        <v>61276</v>
      </c>
      <c r="H727">
        <v>49020.800000000003</v>
      </c>
      <c r="I727" s="13">
        <v>0.33333333333333331</v>
      </c>
      <c r="J727" t="s">
        <v>6206</v>
      </c>
      <c r="K727">
        <v>3</v>
      </c>
      <c r="L727">
        <v>0</v>
      </c>
      <c r="M727" t="s">
        <v>0</v>
      </c>
      <c r="V727">
        <v>1</v>
      </c>
      <c r="W727">
        <v>2</v>
      </c>
      <c r="X727">
        <v>0</v>
      </c>
      <c r="Y727">
        <v>0</v>
      </c>
      <c r="Z727">
        <v>1</v>
      </c>
    </row>
    <row r="728" spans="1:26" x14ac:dyDescent="0.2">
      <c r="A728" t="s">
        <v>846</v>
      </c>
      <c r="B728" t="s">
        <v>60</v>
      </c>
      <c r="C728">
        <v>2010</v>
      </c>
      <c r="D728" t="s">
        <v>38</v>
      </c>
      <c r="E728" t="s">
        <v>22</v>
      </c>
      <c r="F728" t="s">
        <v>38</v>
      </c>
      <c r="G728">
        <v>29409</v>
      </c>
      <c r="H728">
        <v>23527.200000000001</v>
      </c>
      <c r="I728" s="13">
        <v>0</v>
      </c>
      <c r="J728" t="s">
        <v>6208</v>
      </c>
      <c r="K728">
        <v>1</v>
      </c>
      <c r="L728">
        <v>1</v>
      </c>
      <c r="M728" t="s">
        <v>58</v>
      </c>
      <c r="V728">
        <v>3</v>
      </c>
      <c r="W728">
        <v>3</v>
      </c>
      <c r="X728">
        <v>1</v>
      </c>
      <c r="Y728">
        <v>0</v>
      </c>
      <c r="Z728">
        <v>1</v>
      </c>
    </row>
    <row r="729" spans="1:26" x14ac:dyDescent="0.2">
      <c r="A729" t="s">
        <v>847</v>
      </c>
      <c r="B729" t="s">
        <v>25</v>
      </c>
      <c r="C729">
        <v>2010</v>
      </c>
      <c r="D729" t="s">
        <v>46</v>
      </c>
      <c r="E729" t="s">
        <v>48</v>
      </c>
      <c r="F729" t="s">
        <v>20</v>
      </c>
      <c r="G729">
        <v>60704</v>
      </c>
      <c r="H729">
        <v>48563.200000000004</v>
      </c>
      <c r="I729" s="13">
        <v>0.4</v>
      </c>
      <c r="J729" t="s">
        <v>6207</v>
      </c>
      <c r="K729">
        <v>1</v>
      </c>
      <c r="L729">
        <v>0</v>
      </c>
      <c r="M729" t="s">
        <v>0</v>
      </c>
      <c r="V729">
        <v>2</v>
      </c>
      <c r="W729">
        <v>3</v>
      </c>
      <c r="X729">
        <v>0</v>
      </c>
      <c r="Y729">
        <v>0</v>
      </c>
      <c r="Z729">
        <v>0</v>
      </c>
    </row>
    <row r="730" spans="1:26" x14ac:dyDescent="0.2">
      <c r="A730" t="s">
        <v>848</v>
      </c>
      <c r="B730" t="s">
        <v>56</v>
      </c>
      <c r="C730">
        <v>2010</v>
      </c>
      <c r="D730" t="s">
        <v>40</v>
      </c>
      <c r="E730" t="s">
        <v>23</v>
      </c>
      <c r="F730" t="s">
        <v>49</v>
      </c>
      <c r="G730">
        <v>53400</v>
      </c>
      <c r="H730">
        <v>42720</v>
      </c>
      <c r="I730" s="13">
        <v>0.25</v>
      </c>
      <c r="J730" t="s">
        <v>6207</v>
      </c>
      <c r="K730">
        <v>2</v>
      </c>
      <c r="L730">
        <v>1</v>
      </c>
      <c r="M730" t="s">
        <v>0</v>
      </c>
      <c r="V730">
        <v>3</v>
      </c>
      <c r="W730">
        <v>1</v>
      </c>
      <c r="X730">
        <v>0</v>
      </c>
      <c r="Y730">
        <v>0</v>
      </c>
      <c r="Z730">
        <v>0</v>
      </c>
    </row>
    <row r="731" spans="1:26" x14ac:dyDescent="0.2">
      <c r="A731" t="s">
        <v>849</v>
      </c>
      <c r="B731" t="s">
        <v>55</v>
      </c>
      <c r="C731">
        <v>2010</v>
      </c>
      <c r="D731" t="s">
        <v>23</v>
      </c>
      <c r="E731" t="s">
        <v>39</v>
      </c>
      <c r="F731" t="s">
        <v>20</v>
      </c>
      <c r="G731">
        <v>62500</v>
      </c>
      <c r="H731">
        <v>50000</v>
      </c>
      <c r="I731" s="13">
        <v>0.66666666666666663</v>
      </c>
      <c r="J731" t="s">
        <v>6206</v>
      </c>
      <c r="K731">
        <v>1</v>
      </c>
      <c r="L731">
        <v>1</v>
      </c>
      <c r="M731" t="s">
        <v>58</v>
      </c>
      <c r="V731">
        <v>3</v>
      </c>
      <c r="W731">
        <v>0</v>
      </c>
      <c r="X731">
        <v>0</v>
      </c>
      <c r="Y731">
        <v>0</v>
      </c>
      <c r="Z731">
        <v>0</v>
      </c>
    </row>
    <row r="732" spans="1:26" x14ac:dyDescent="0.2">
      <c r="A732" t="s">
        <v>850</v>
      </c>
      <c r="B732" t="s">
        <v>25</v>
      </c>
      <c r="C732">
        <v>2010</v>
      </c>
      <c r="D732" t="s">
        <v>64</v>
      </c>
      <c r="E732" t="s">
        <v>38</v>
      </c>
      <c r="F732" t="s">
        <v>64</v>
      </c>
      <c r="G732">
        <v>52264</v>
      </c>
      <c r="H732">
        <v>41811.200000000004</v>
      </c>
      <c r="I732" s="13">
        <v>0.5</v>
      </c>
      <c r="J732" t="s">
        <v>6207</v>
      </c>
      <c r="K732">
        <v>2</v>
      </c>
      <c r="L732">
        <v>1</v>
      </c>
      <c r="M732" t="s">
        <v>0</v>
      </c>
      <c r="V732">
        <v>1</v>
      </c>
      <c r="W732">
        <v>4</v>
      </c>
      <c r="X732">
        <v>0</v>
      </c>
      <c r="Y732">
        <v>1</v>
      </c>
      <c r="Z732">
        <v>1</v>
      </c>
    </row>
    <row r="733" spans="1:26" x14ac:dyDescent="0.2">
      <c r="A733" t="s">
        <v>851</v>
      </c>
      <c r="B733" t="s">
        <v>52</v>
      </c>
      <c r="C733">
        <v>2010</v>
      </c>
      <c r="D733" t="s">
        <v>45</v>
      </c>
      <c r="E733" t="s">
        <v>40</v>
      </c>
      <c r="F733" t="s">
        <v>26</v>
      </c>
      <c r="G733">
        <v>39572</v>
      </c>
      <c r="H733">
        <v>31657.600000000002</v>
      </c>
      <c r="I733" s="13">
        <v>0.5</v>
      </c>
      <c r="J733" t="s">
        <v>6207</v>
      </c>
      <c r="K733">
        <v>2</v>
      </c>
      <c r="L733">
        <v>1</v>
      </c>
      <c r="M733" t="s">
        <v>0</v>
      </c>
      <c r="V733">
        <v>4</v>
      </c>
      <c r="W733">
        <v>2</v>
      </c>
      <c r="X733">
        <v>0</v>
      </c>
      <c r="Y733">
        <v>0</v>
      </c>
      <c r="Z733">
        <v>0</v>
      </c>
    </row>
    <row r="734" spans="1:26" x14ac:dyDescent="0.2">
      <c r="A734" t="s">
        <v>852</v>
      </c>
      <c r="B734" t="s">
        <v>60</v>
      </c>
      <c r="C734">
        <v>2010</v>
      </c>
      <c r="D734" t="s">
        <v>34</v>
      </c>
      <c r="E734" t="s">
        <v>35</v>
      </c>
      <c r="F734" t="s">
        <v>36</v>
      </c>
      <c r="G734">
        <v>28723</v>
      </c>
      <c r="H734">
        <v>22978.400000000001</v>
      </c>
      <c r="I734" s="13">
        <v>0</v>
      </c>
      <c r="J734" t="s">
        <v>6208</v>
      </c>
      <c r="K734">
        <v>1</v>
      </c>
      <c r="L734">
        <v>2</v>
      </c>
      <c r="M734" t="s">
        <v>1</v>
      </c>
      <c r="V734">
        <v>1</v>
      </c>
      <c r="W734">
        <v>0</v>
      </c>
      <c r="X734">
        <v>0</v>
      </c>
      <c r="Y734">
        <v>0</v>
      </c>
      <c r="Z734">
        <v>0</v>
      </c>
    </row>
    <row r="735" spans="1:26" x14ac:dyDescent="0.2">
      <c r="A735" t="s">
        <v>853</v>
      </c>
      <c r="B735" t="s">
        <v>53</v>
      </c>
      <c r="C735">
        <v>2010</v>
      </c>
      <c r="D735" t="s">
        <v>42</v>
      </c>
      <c r="E735" t="s">
        <v>43</v>
      </c>
      <c r="F735" t="s">
        <v>38</v>
      </c>
      <c r="G735">
        <v>42918</v>
      </c>
      <c r="H735">
        <v>34334.400000000001</v>
      </c>
      <c r="I735" s="13">
        <v>0</v>
      </c>
      <c r="J735" t="s">
        <v>6207</v>
      </c>
      <c r="K735">
        <v>1</v>
      </c>
      <c r="L735">
        <v>1</v>
      </c>
      <c r="M735" t="s">
        <v>58</v>
      </c>
      <c r="V735">
        <v>2</v>
      </c>
      <c r="W735">
        <v>0</v>
      </c>
      <c r="X735">
        <v>0</v>
      </c>
      <c r="Y735">
        <v>0</v>
      </c>
      <c r="Z735">
        <v>0</v>
      </c>
    </row>
    <row r="736" spans="1:26" x14ac:dyDescent="0.2">
      <c r="A736" t="s">
        <v>854</v>
      </c>
      <c r="B736" t="s">
        <v>54</v>
      </c>
      <c r="C736">
        <v>2010</v>
      </c>
      <c r="D736" t="s">
        <v>51</v>
      </c>
      <c r="E736" t="s">
        <v>62</v>
      </c>
      <c r="F736" t="s">
        <v>20</v>
      </c>
      <c r="G736">
        <v>36284</v>
      </c>
      <c r="H736">
        <v>29027.200000000001</v>
      </c>
      <c r="I736" s="13">
        <v>0.4</v>
      </c>
      <c r="J736" t="s">
        <v>6206</v>
      </c>
      <c r="K736">
        <v>1</v>
      </c>
      <c r="L736">
        <v>1</v>
      </c>
      <c r="M736" t="s">
        <v>58</v>
      </c>
      <c r="V736">
        <v>3</v>
      </c>
      <c r="W736">
        <v>2</v>
      </c>
      <c r="X736">
        <v>0</v>
      </c>
      <c r="Y736">
        <v>0</v>
      </c>
      <c r="Z736">
        <v>1</v>
      </c>
    </row>
    <row r="737" spans="1:26" x14ac:dyDescent="0.2">
      <c r="A737" t="s">
        <v>855</v>
      </c>
      <c r="B737" t="s">
        <v>41</v>
      </c>
      <c r="C737">
        <v>2010</v>
      </c>
      <c r="D737" t="s">
        <v>22</v>
      </c>
      <c r="E737" t="s">
        <v>63</v>
      </c>
      <c r="F737" t="s">
        <v>24</v>
      </c>
      <c r="G737">
        <v>31750</v>
      </c>
      <c r="H737">
        <v>25400</v>
      </c>
      <c r="I737" s="13">
        <v>0.5</v>
      </c>
      <c r="J737" t="s">
        <v>6207</v>
      </c>
      <c r="K737">
        <v>3</v>
      </c>
      <c r="L737">
        <v>1</v>
      </c>
      <c r="M737" t="s">
        <v>0</v>
      </c>
      <c r="V737">
        <v>3</v>
      </c>
      <c r="W737">
        <v>1</v>
      </c>
      <c r="X737">
        <v>0</v>
      </c>
      <c r="Y737">
        <v>0</v>
      </c>
      <c r="Z737">
        <v>1</v>
      </c>
    </row>
    <row r="738" spans="1:26" x14ac:dyDescent="0.2">
      <c r="A738" t="s">
        <v>856</v>
      </c>
      <c r="B738" t="s">
        <v>47</v>
      </c>
      <c r="C738">
        <v>2010</v>
      </c>
      <c r="D738" t="s">
        <v>27</v>
      </c>
      <c r="E738" t="s">
        <v>46</v>
      </c>
      <c r="F738" t="s">
        <v>27</v>
      </c>
      <c r="G738">
        <v>30089</v>
      </c>
      <c r="H738">
        <v>24071.200000000001</v>
      </c>
      <c r="I738" s="13">
        <v>0.33333333333333331</v>
      </c>
      <c r="J738" t="s">
        <v>6208</v>
      </c>
      <c r="K738">
        <v>3</v>
      </c>
      <c r="L738">
        <v>1</v>
      </c>
      <c r="M738" t="s">
        <v>0</v>
      </c>
      <c r="V738">
        <v>1</v>
      </c>
      <c r="W738">
        <v>2</v>
      </c>
      <c r="X738">
        <v>0</v>
      </c>
      <c r="Y738">
        <v>0</v>
      </c>
      <c r="Z738">
        <v>0</v>
      </c>
    </row>
    <row r="739" spans="1:26" x14ac:dyDescent="0.2">
      <c r="A739" t="s">
        <v>857</v>
      </c>
      <c r="B739" t="s">
        <v>56</v>
      </c>
      <c r="C739">
        <v>2010</v>
      </c>
      <c r="D739" t="s">
        <v>48</v>
      </c>
      <c r="E739" t="s">
        <v>18</v>
      </c>
      <c r="F739" t="s">
        <v>49</v>
      </c>
      <c r="G739">
        <v>74197</v>
      </c>
      <c r="H739">
        <v>59357.600000000006</v>
      </c>
      <c r="I739" s="13">
        <v>0.66666666666666663</v>
      </c>
      <c r="J739" t="s">
        <v>6207</v>
      </c>
      <c r="K739">
        <v>2</v>
      </c>
      <c r="L739">
        <v>1</v>
      </c>
      <c r="M739" t="s">
        <v>0</v>
      </c>
      <c r="V739">
        <v>2</v>
      </c>
      <c r="W739">
        <v>4</v>
      </c>
      <c r="X739">
        <v>0</v>
      </c>
      <c r="Y739">
        <v>0</v>
      </c>
      <c r="Z739">
        <v>0</v>
      </c>
    </row>
    <row r="740" spans="1:26" x14ac:dyDescent="0.2">
      <c r="A740" t="s">
        <v>858</v>
      </c>
      <c r="B740" t="s">
        <v>50</v>
      </c>
      <c r="C740">
        <v>2010</v>
      </c>
      <c r="D740" t="s">
        <v>31</v>
      </c>
      <c r="E740" t="s">
        <v>26</v>
      </c>
      <c r="F740" t="s">
        <v>20</v>
      </c>
      <c r="G740">
        <v>28500</v>
      </c>
      <c r="H740">
        <v>22800</v>
      </c>
      <c r="I740" s="13">
        <v>0.7142857142857143</v>
      </c>
      <c r="J740" t="s">
        <v>6207</v>
      </c>
      <c r="K740">
        <v>2</v>
      </c>
      <c r="L740">
        <v>5</v>
      </c>
      <c r="M740" t="s">
        <v>1</v>
      </c>
      <c r="V740">
        <v>5</v>
      </c>
      <c r="W740">
        <v>2</v>
      </c>
      <c r="X740">
        <v>0</v>
      </c>
      <c r="Y740">
        <v>0</v>
      </c>
      <c r="Z740">
        <v>0</v>
      </c>
    </row>
    <row r="741" spans="1:26" x14ac:dyDescent="0.2">
      <c r="A741" t="s">
        <v>859</v>
      </c>
      <c r="B741" t="s">
        <v>41</v>
      </c>
      <c r="C741">
        <v>2010</v>
      </c>
      <c r="D741" t="s">
        <v>40</v>
      </c>
      <c r="E741" t="s">
        <v>51</v>
      </c>
      <c r="F741" t="s">
        <v>49</v>
      </c>
      <c r="G741">
        <v>53400</v>
      </c>
      <c r="H741">
        <v>42720</v>
      </c>
      <c r="I741" s="13">
        <v>0.5</v>
      </c>
      <c r="J741" t="s">
        <v>6207</v>
      </c>
      <c r="K741">
        <v>1</v>
      </c>
      <c r="L741">
        <v>0</v>
      </c>
      <c r="M741" t="s">
        <v>0</v>
      </c>
      <c r="V741">
        <v>1</v>
      </c>
      <c r="W741">
        <v>1</v>
      </c>
      <c r="X741">
        <v>0</v>
      </c>
      <c r="Y741">
        <v>0</v>
      </c>
      <c r="Z741">
        <v>0</v>
      </c>
    </row>
    <row r="742" spans="1:26" x14ac:dyDescent="0.2">
      <c r="A742" t="s">
        <v>860</v>
      </c>
      <c r="B742" t="s">
        <v>61</v>
      </c>
      <c r="C742">
        <v>2010</v>
      </c>
      <c r="D742" t="s">
        <v>63</v>
      </c>
      <c r="E742" t="s">
        <v>45</v>
      </c>
      <c r="F742" t="s">
        <v>65</v>
      </c>
      <c r="G742">
        <v>26804</v>
      </c>
      <c r="H742">
        <v>21443.200000000001</v>
      </c>
      <c r="I742" s="13">
        <v>0.6</v>
      </c>
      <c r="J742" t="s">
        <v>6207</v>
      </c>
      <c r="K742">
        <v>1</v>
      </c>
      <c r="L742">
        <v>0</v>
      </c>
      <c r="M742" t="s">
        <v>0</v>
      </c>
      <c r="V742">
        <v>2</v>
      </c>
      <c r="W742">
        <v>2</v>
      </c>
      <c r="X742">
        <v>0</v>
      </c>
      <c r="Y742">
        <v>1</v>
      </c>
      <c r="Z742">
        <v>0</v>
      </c>
    </row>
    <row r="743" spans="1:26" x14ac:dyDescent="0.2">
      <c r="A743" t="s">
        <v>861</v>
      </c>
      <c r="B743" t="s">
        <v>53</v>
      </c>
      <c r="C743">
        <v>2010</v>
      </c>
      <c r="D743" t="s">
        <v>35</v>
      </c>
      <c r="E743" t="s">
        <v>22</v>
      </c>
      <c r="F743" t="s">
        <v>35</v>
      </c>
      <c r="G743">
        <v>49000</v>
      </c>
      <c r="H743">
        <v>39200</v>
      </c>
      <c r="I743" s="13">
        <v>0</v>
      </c>
      <c r="J743" t="s">
        <v>6207</v>
      </c>
      <c r="K743">
        <v>1</v>
      </c>
      <c r="L743">
        <v>3</v>
      </c>
      <c r="M743" t="s">
        <v>1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">
      <c r="A744" t="s">
        <v>862</v>
      </c>
      <c r="B744" t="s">
        <v>37</v>
      </c>
      <c r="C744">
        <v>2010</v>
      </c>
      <c r="D744" t="s">
        <v>62</v>
      </c>
      <c r="E744" t="s">
        <v>34</v>
      </c>
      <c r="F744" t="s">
        <v>62</v>
      </c>
      <c r="G744">
        <v>17338</v>
      </c>
      <c r="H744">
        <v>13870.400000000001</v>
      </c>
      <c r="I744" s="13">
        <v>0</v>
      </c>
      <c r="J744" t="s">
        <v>6206</v>
      </c>
      <c r="K744">
        <v>4</v>
      </c>
      <c r="L744">
        <v>3</v>
      </c>
      <c r="M744" t="s">
        <v>0</v>
      </c>
      <c r="V744">
        <v>2</v>
      </c>
      <c r="W744">
        <v>4</v>
      </c>
      <c r="X744">
        <v>0</v>
      </c>
      <c r="Y744">
        <v>0</v>
      </c>
      <c r="Z744">
        <v>0</v>
      </c>
    </row>
    <row r="745" spans="1:26" x14ac:dyDescent="0.2">
      <c r="A745" t="s">
        <v>863</v>
      </c>
      <c r="B745" t="s">
        <v>52</v>
      </c>
      <c r="C745">
        <v>2010</v>
      </c>
      <c r="D745" t="s">
        <v>39</v>
      </c>
      <c r="E745" t="s">
        <v>48</v>
      </c>
      <c r="F745" t="s">
        <v>39</v>
      </c>
      <c r="G745">
        <v>31367</v>
      </c>
      <c r="H745">
        <v>25093.600000000002</v>
      </c>
      <c r="I745" s="13">
        <v>1</v>
      </c>
      <c r="J745" t="s">
        <v>6207</v>
      </c>
      <c r="K745">
        <v>1</v>
      </c>
      <c r="L745">
        <v>1</v>
      </c>
      <c r="M745" t="s">
        <v>58</v>
      </c>
      <c r="V745">
        <v>3</v>
      </c>
      <c r="W745">
        <v>0</v>
      </c>
      <c r="X745">
        <v>0</v>
      </c>
      <c r="Y745">
        <v>0</v>
      </c>
      <c r="Z745">
        <v>1</v>
      </c>
    </row>
    <row r="746" spans="1:26" x14ac:dyDescent="0.2">
      <c r="A746" t="s">
        <v>864</v>
      </c>
      <c r="B746" t="s">
        <v>50</v>
      </c>
      <c r="C746">
        <v>2010</v>
      </c>
      <c r="D746" t="s">
        <v>18</v>
      </c>
      <c r="E746" t="s">
        <v>64</v>
      </c>
      <c r="F746" t="s">
        <v>20</v>
      </c>
      <c r="G746">
        <v>40341</v>
      </c>
      <c r="H746">
        <v>32272.800000000003</v>
      </c>
      <c r="I746" s="13">
        <v>0.42857142857142855</v>
      </c>
      <c r="J746" t="s">
        <v>6207</v>
      </c>
      <c r="K746">
        <v>2</v>
      </c>
      <c r="L746">
        <v>2</v>
      </c>
      <c r="M746" t="s">
        <v>58</v>
      </c>
      <c r="V746">
        <v>4</v>
      </c>
      <c r="W746">
        <v>3</v>
      </c>
      <c r="X746">
        <v>0</v>
      </c>
      <c r="Y746">
        <v>0</v>
      </c>
      <c r="Z746">
        <v>0</v>
      </c>
    </row>
    <row r="747" spans="1:26" x14ac:dyDescent="0.2">
      <c r="A747" t="s">
        <v>865</v>
      </c>
      <c r="B747" t="s">
        <v>41</v>
      </c>
      <c r="C747">
        <v>2010</v>
      </c>
      <c r="D747" t="s">
        <v>43</v>
      </c>
      <c r="E747" t="s">
        <v>23</v>
      </c>
      <c r="F747" t="s">
        <v>43</v>
      </c>
      <c r="G747">
        <v>25138</v>
      </c>
      <c r="H747">
        <v>20110.400000000001</v>
      </c>
      <c r="I747" s="13">
        <v>0.33333333333333331</v>
      </c>
      <c r="J747" t="s">
        <v>6207</v>
      </c>
      <c r="K747">
        <v>3</v>
      </c>
      <c r="L747">
        <v>2</v>
      </c>
      <c r="M747" t="s">
        <v>0</v>
      </c>
      <c r="V747">
        <v>1</v>
      </c>
      <c r="W747">
        <v>2</v>
      </c>
      <c r="X747">
        <v>0</v>
      </c>
      <c r="Y747">
        <v>0</v>
      </c>
      <c r="Z747">
        <v>0</v>
      </c>
    </row>
    <row r="748" spans="1:26" x14ac:dyDescent="0.2">
      <c r="A748" t="s">
        <v>866</v>
      </c>
      <c r="B748" t="s">
        <v>56</v>
      </c>
      <c r="C748">
        <v>2010</v>
      </c>
      <c r="D748" t="s">
        <v>26</v>
      </c>
      <c r="E748" t="s">
        <v>51</v>
      </c>
      <c r="F748" t="s">
        <v>26</v>
      </c>
      <c r="G748">
        <v>61276</v>
      </c>
      <c r="H748">
        <v>49020.800000000003</v>
      </c>
      <c r="I748" s="13">
        <v>0.66666666666666663</v>
      </c>
      <c r="J748" t="s">
        <v>6207</v>
      </c>
      <c r="K748">
        <v>0</v>
      </c>
      <c r="L748">
        <v>2</v>
      </c>
      <c r="M748" t="s">
        <v>1</v>
      </c>
      <c r="V748">
        <v>2</v>
      </c>
      <c r="W748">
        <v>1</v>
      </c>
      <c r="X748">
        <v>0</v>
      </c>
      <c r="Y748">
        <v>0</v>
      </c>
      <c r="Z748">
        <v>1</v>
      </c>
    </row>
    <row r="749" spans="1:26" x14ac:dyDescent="0.2">
      <c r="A749" t="s">
        <v>867</v>
      </c>
      <c r="B749" t="s">
        <v>55</v>
      </c>
      <c r="C749">
        <v>2010</v>
      </c>
      <c r="D749" t="s">
        <v>38</v>
      </c>
      <c r="E749" t="s">
        <v>31</v>
      </c>
      <c r="F749" t="s">
        <v>38</v>
      </c>
      <c r="G749">
        <v>29409</v>
      </c>
      <c r="H749">
        <v>23527.200000000001</v>
      </c>
      <c r="I749" s="13">
        <v>0.8</v>
      </c>
      <c r="J749" t="s">
        <v>6206</v>
      </c>
      <c r="K749">
        <v>0</v>
      </c>
      <c r="L749">
        <v>2</v>
      </c>
      <c r="M749" t="s">
        <v>1</v>
      </c>
      <c r="V749">
        <v>0</v>
      </c>
      <c r="W749">
        <v>5</v>
      </c>
      <c r="X749">
        <v>0</v>
      </c>
      <c r="Y749">
        <v>0</v>
      </c>
      <c r="Z749">
        <v>0</v>
      </c>
    </row>
    <row r="750" spans="1:26" x14ac:dyDescent="0.2">
      <c r="A750" t="s">
        <v>868</v>
      </c>
      <c r="B750" t="s">
        <v>66</v>
      </c>
      <c r="C750">
        <v>2010</v>
      </c>
      <c r="D750" t="s">
        <v>46</v>
      </c>
      <c r="E750" t="s">
        <v>42</v>
      </c>
      <c r="F750" t="s">
        <v>20</v>
      </c>
      <c r="G750">
        <v>60704</v>
      </c>
      <c r="H750">
        <v>48563.200000000004</v>
      </c>
      <c r="I750" s="13">
        <v>0.6</v>
      </c>
      <c r="J750" t="s">
        <v>6207</v>
      </c>
      <c r="K750">
        <v>1</v>
      </c>
      <c r="L750">
        <v>2</v>
      </c>
      <c r="M750" t="s">
        <v>1</v>
      </c>
      <c r="V750">
        <v>1</v>
      </c>
      <c r="W750">
        <v>4</v>
      </c>
      <c r="X750">
        <v>0</v>
      </c>
      <c r="Y750">
        <v>0</v>
      </c>
      <c r="Z750">
        <v>0</v>
      </c>
    </row>
    <row r="751" spans="1:26" x14ac:dyDescent="0.2">
      <c r="A751" t="s">
        <v>869</v>
      </c>
      <c r="B751" t="s">
        <v>54</v>
      </c>
      <c r="C751">
        <v>2010</v>
      </c>
      <c r="D751" t="s">
        <v>40</v>
      </c>
      <c r="E751" t="s">
        <v>27</v>
      </c>
      <c r="F751" t="s">
        <v>49</v>
      </c>
      <c r="G751">
        <v>53400</v>
      </c>
      <c r="H751">
        <v>42720</v>
      </c>
      <c r="I751" s="13">
        <v>0.33333333333333331</v>
      </c>
      <c r="J751" t="s">
        <v>6206</v>
      </c>
      <c r="K751">
        <v>3</v>
      </c>
      <c r="L751">
        <v>0</v>
      </c>
      <c r="M751" t="s">
        <v>0</v>
      </c>
      <c r="V751">
        <v>0</v>
      </c>
      <c r="W751">
        <v>3</v>
      </c>
      <c r="X751">
        <v>0</v>
      </c>
      <c r="Y751">
        <v>0</v>
      </c>
      <c r="Z751">
        <v>0</v>
      </c>
    </row>
    <row r="752" spans="1:26" x14ac:dyDescent="0.2">
      <c r="A752" t="s">
        <v>870</v>
      </c>
      <c r="B752" t="s">
        <v>56</v>
      </c>
      <c r="C752">
        <v>2010</v>
      </c>
      <c r="D752" t="s">
        <v>22</v>
      </c>
      <c r="E752" t="s">
        <v>39</v>
      </c>
      <c r="F752" t="s">
        <v>24</v>
      </c>
      <c r="G752">
        <v>31750</v>
      </c>
      <c r="H752">
        <v>25400</v>
      </c>
      <c r="I752" s="13">
        <v>0.5</v>
      </c>
      <c r="J752" t="s">
        <v>6207</v>
      </c>
      <c r="K752">
        <v>2</v>
      </c>
      <c r="L752">
        <v>3</v>
      </c>
      <c r="M752" t="s">
        <v>1</v>
      </c>
      <c r="V752">
        <v>3</v>
      </c>
      <c r="W752">
        <v>1</v>
      </c>
      <c r="X752">
        <v>0</v>
      </c>
      <c r="Y752">
        <v>0</v>
      </c>
      <c r="Z752">
        <v>0</v>
      </c>
    </row>
    <row r="753" spans="1:26" x14ac:dyDescent="0.2">
      <c r="A753" t="s">
        <v>871</v>
      </c>
      <c r="B753" t="s">
        <v>61</v>
      </c>
      <c r="C753">
        <v>2010</v>
      </c>
      <c r="D753" t="s">
        <v>23</v>
      </c>
      <c r="E753" t="s">
        <v>35</v>
      </c>
      <c r="F753" t="s">
        <v>20</v>
      </c>
      <c r="G753">
        <v>62500</v>
      </c>
      <c r="H753">
        <v>50000</v>
      </c>
      <c r="I753" s="13">
        <v>0.5</v>
      </c>
      <c r="J753" t="s">
        <v>6207</v>
      </c>
      <c r="K753">
        <v>0</v>
      </c>
      <c r="L753">
        <v>3</v>
      </c>
      <c r="M753" t="s">
        <v>1</v>
      </c>
      <c r="V753">
        <v>0</v>
      </c>
      <c r="W753">
        <v>2</v>
      </c>
      <c r="X753">
        <v>0</v>
      </c>
      <c r="Y753">
        <v>0</v>
      </c>
      <c r="Z753">
        <v>0</v>
      </c>
    </row>
    <row r="754" spans="1:26" x14ac:dyDescent="0.2">
      <c r="A754" t="s">
        <v>872</v>
      </c>
      <c r="B754" t="s">
        <v>44</v>
      </c>
      <c r="C754">
        <v>2010</v>
      </c>
      <c r="D754" t="s">
        <v>51</v>
      </c>
      <c r="E754" t="s">
        <v>38</v>
      </c>
      <c r="F754" t="s">
        <v>20</v>
      </c>
      <c r="G754">
        <v>36284</v>
      </c>
      <c r="H754">
        <v>29027.200000000001</v>
      </c>
      <c r="I754" s="13">
        <v>0</v>
      </c>
      <c r="J754" t="s">
        <v>6207</v>
      </c>
      <c r="K754">
        <v>2</v>
      </c>
      <c r="L754">
        <v>1</v>
      </c>
      <c r="M754" t="s">
        <v>0</v>
      </c>
      <c r="V754">
        <v>0</v>
      </c>
      <c r="W754">
        <v>4</v>
      </c>
      <c r="X754">
        <v>0</v>
      </c>
      <c r="Y754">
        <v>0</v>
      </c>
      <c r="Z754">
        <v>0</v>
      </c>
    </row>
    <row r="755" spans="1:26" x14ac:dyDescent="0.2">
      <c r="A755" t="s">
        <v>873</v>
      </c>
      <c r="B755" t="s">
        <v>37</v>
      </c>
      <c r="C755">
        <v>2010</v>
      </c>
      <c r="D755" t="s">
        <v>27</v>
      </c>
      <c r="E755" t="s">
        <v>43</v>
      </c>
      <c r="F755" t="s">
        <v>27</v>
      </c>
      <c r="G755">
        <v>30089</v>
      </c>
      <c r="H755">
        <v>24071.200000000001</v>
      </c>
      <c r="I755" s="13">
        <v>0.8</v>
      </c>
      <c r="J755" t="s">
        <v>6206</v>
      </c>
      <c r="K755">
        <v>0</v>
      </c>
      <c r="L755">
        <v>1</v>
      </c>
      <c r="M755" t="s">
        <v>1</v>
      </c>
      <c r="V755">
        <v>1</v>
      </c>
      <c r="W755">
        <v>4</v>
      </c>
      <c r="X755">
        <v>0</v>
      </c>
      <c r="Y755">
        <v>0</v>
      </c>
      <c r="Z755">
        <v>0</v>
      </c>
    </row>
    <row r="756" spans="1:26" x14ac:dyDescent="0.2">
      <c r="A756" t="s">
        <v>874</v>
      </c>
      <c r="B756" t="s">
        <v>47</v>
      </c>
      <c r="C756">
        <v>2010</v>
      </c>
      <c r="D756" t="s">
        <v>64</v>
      </c>
      <c r="E756" t="s">
        <v>63</v>
      </c>
      <c r="F756" t="s">
        <v>64</v>
      </c>
      <c r="G756">
        <v>52264</v>
      </c>
      <c r="H756">
        <v>41811.200000000004</v>
      </c>
      <c r="I756" s="13">
        <v>0</v>
      </c>
      <c r="J756" t="s">
        <v>6208</v>
      </c>
      <c r="K756">
        <v>3</v>
      </c>
      <c r="L756">
        <v>3</v>
      </c>
      <c r="M756" t="s">
        <v>58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2">
      <c r="A757" t="s">
        <v>875</v>
      </c>
      <c r="B757" t="s">
        <v>41</v>
      </c>
      <c r="C757">
        <v>2010</v>
      </c>
      <c r="D757" t="s">
        <v>48</v>
      </c>
      <c r="E757" t="s">
        <v>62</v>
      </c>
      <c r="F757" t="s">
        <v>49</v>
      </c>
      <c r="G757">
        <v>74197</v>
      </c>
      <c r="H757">
        <v>59357.600000000006</v>
      </c>
      <c r="I757" s="13">
        <v>0</v>
      </c>
      <c r="J757" t="s">
        <v>6207</v>
      </c>
      <c r="K757">
        <v>4</v>
      </c>
      <c r="L757">
        <v>2</v>
      </c>
      <c r="M757" t="s">
        <v>0</v>
      </c>
      <c r="V757">
        <v>2</v>
      </c>
      <c r="W757">
        <v>1</v>
      </c>
      <c r="X757">
        <v>0</v>
      </c>
      <c r="Y757">
        <v>0</v>
      </c>
      <c r="Z757">
        <v>0</v>
      </c>
    </row>
    <row r="758" spans="1:26" x14ac:dyDescent="0.2">
      <c r="A758" t="s">
        <v>876</v>
      </c>
      <c r="B758" t="s">
        <v>32</v>
      </c>
      <c r="C758">
        <v>2010</v>
      </c>
      <c r="D758" t="s">
        <v>31</v>
      </c>
      <c r="E758" t="s">
        <v>46</v>
      </c>
      <c r="F758" t="s">
        <v>20</v>
      </c>
      <c r="G758">
        <v>28500</v>
      </c>
      <c r="H758">
        <v>22800</v>
      </c>
      <c r="I758" s="13">
        <v>0.25</v>
      </c>
      <c r="J758" t="s">
        <v>6207</v>
      </c>
      <c r="K758">
        <v>2</v>
      </c>
      <c r="L758">
        <v>2</v>
      </c>
      <c r="M758" t="s">
        <v>58</v>
      </c>
      <c r="V758">
        <v>2</v>
      </c>
      <c r="W758">
        <v>1</v>
      </c>
      <c r="X758">
        <v>1</v>
      </c>
      <c r="Y758">
        <v>0</v>
      </c>
      <c r="Z758">
        <v>0</v>
      </c>
    </row>
    <row r="759" spans="1:26" x14ac:dyDescent="0.2">
      <c r="A759" t="s">
        <v>877</v>
      </c>
      <c r="B759" t="s">
        <v>55</v>
      </c>
      <c r="C759">
        <v>2010</v>
      </c>
      <c r="D759" t="s">
        <v>45</v>
      </c>
      <c r="E759" t="s">
        <v>18</v>
      </c>
      <c r="F759" t="s">
        <v>26</v>
      </c>
      <c r="G759">
        <v>39572</v>
      </c>
      <c r="H759">
        <v>31657.600000000002</v>
      </c>
      <c r="I759" s="13">
        <v>0.66666666666666663</v>
      </c>
      <c r="J759" t="s">
        <v>6206</v>
      </c>
      <c r="K759">
        <v>1</v>
      </c>
      <c r="L759">
        <v>0</v>
      </c>
      <c r="M759" t="s">
        <v>0</v>
      </c>
      <c r="V759">
        <v>3</v>
      </c>
      <c r="W759">
        <v>2</v>
      </c>
      <c r="X759">
        <v>1</v>
      </c>
      <c r="Y759">
        <v>0</v>
      </c>
      <c r="Z759">
        <v>0</v>
      </c>
    </row>
    <row r="760" spans="1:26" x14ac:dyDescent="0.2">
      <c r="A760" t="s">
        <v>878</v>
      </c>
      <c r="B760" t="s">
        <v>25</v>
      </c>
      <c r="C760">
        <v>2010</v>
      </c>
      <c r="D760" t="s">
        <v>34</v>
      </c>
      <c r="E760" t="s">
        <v>40</v>
      </c>
      <c r="F760" t="s">
        <v>36</v>
      </c>
      <c r="G760">
        <v>28723</v>
      </c>
      <c r="H760">
        <v>22978.400000000001</v>
      </c>
      <c r="I760" s="13">
        <v>0.33333333333333331</v>
      </c>
      <c r="J760" t="s">
        <v>6207</v>
      </c>
      <c r="K760">
        <v>0</v>
      </c>
      <c r="L760">
        <v>2</v>
      </c>
      <c r="M760" t="s">
        <v>1</v>
      </c>
      <c r="V760">
        <v>1</v>
      </c>
      <c r="W760">
        <v>1</v>
      </c>
      <c r="X760">
        <v>1</v>
      </c>
      <c r="Y760">
        <v>0</v>
      </c>
      <c r="Z760">
        <v>0</v>
      </c>
    </row>
    <row r="761" spans="1:26" x14ac:dyDescent="0.2">
      <c r="A761" t="s">
        <v>879</v>
      </c>
      <c r="B761" t="s">
        <v>54</v>
      </c>
      <c r="C761">
        <v>2010</v>
      </c>
      <c r="D761" t="s">
        <v>42</v>
      </c>
      <c r="E761" t="s">
        <v>26</v>
      </c>
      <c r="F761" t="s">
        <v>38</v>
      </c>
      <c r="G761">
        <v>42918</v>
      </c>
      <c r="H761">
        <v>34334.400000000001</v>
      </c>
      <c r="I761" s="13">
        <v>0.25</v>
      </c>
      <c r="J761" t="s">
        <v>6206</v>
      </c>
      <c r="K761">
        <v>1</v>
      </c>
      <c r="L761">
        <v>0</v>
      </c>
      <c r="M761" t="s">
        <v>0</v>
      </c>
      <c r="V761">
        <v>2</v>
      </c>
      <c r="W761">
        <v>2</v>
      </c>
      <c r="X761">
        <v>0</v>
      </c>
      <c r="Y761">
        <v>0</v>
      </c>
      <c r="Z761">
        <v>0</v>
      </c>
    </row>
    <row r="762" spans="1:26" x14ac:dyDescent="0.2">
      <c r="A762" t="s">
        <v>880</v>
      </c>
      <c r="B762" t="s">
        <v>59</v>
      </c>
      <c r="C762">
        <v>2011</v>
      </c>
      <c r="D762" t="s">
        <v>43</v>
      </c>
      <c r="E762" t="s">
        <v>69</v>
      </c>
      <c r="F762" t="s">
        <v>43</v>
      </c>
      <c r="G762">
        <v>25138</v>
      </c>
      <c r="H762">
        <v>20110.400000000001</v>
      </c>
      <c r="I762" s="13">
        <v>0.25</v>
      </c>
      <c r="J762" t="s">
        <v>6206</v>
      </c>
      <c r="K762">
        <v>1</v>
      </c>
      <c r="L762">
        <v>1</v>
      </c>
      <c r="M762" t="s">
        <v>58</v>
      </c>
      <c r="V762">
        <v>2</v>
      </c>
      <c r="W762">
        <v>2</v>
      </c>
      <c r="X762">
        <v>0</v>
      </c>
      <c r="Y762">
        <v>0</v>
      </c>
      <c r="Z762">
        <v>1</v>
      </c>
    </row>
    <row r="763" spans="1:26" x14ac:dyDescent="0.2">
      <c r="A763" t="s">
        <v>881</v>
      </c>
      <c r="B763" t="s">
        <v>32</v>
      </c>
      <c r="C763">
        <v>2011</v>
      </c>
      <c r="D763" t="s">
        <v>70</v>
      </c>
      <c r="E763" t="s">
        <v>34</v>
      </c>
      <c r="F763" t="s">
        <v>20</v>
      </c>
      <c r="G763">
        <v>18439</v>
      </c>
      <c r="H763">
        <v>14751.2</v>
      </c>
      <c r="I763" s="13">
        <v>0</v>
      </c>
      <c r="J763" t="s">
        <v>6207</v>
      </c>
      <c r="K763">
        <v>0</v>
      </c>
      <c r="L763">
        <v>4</v>
      </c>
      <c r="M763" t="s">
        <v>1</v>
      </c>
      <c r="V763">
        <v>1</v>
      </c>
      <c r="W763">
        <v>2</v>
      </c>
      <c r="X763">
        <v>1</v>
      </c>
      <c r="Y763">
        <v>0</v>
      </c>
      <c r="Z763">
        <v>0</v>
      </c>
    </row>
    <row r="764" spans="1:26" x14ac:dyDescent="0.2">
      <c r="A764" t="s">
        <v>882</v>
      </c>
      <c r="B764" t="s">
        <v>52</v>
      </c>
      <c r="C764">
        <v>2011</v>
      </c>
      <c r="D764" t="s">
        <v>26</v>
      </c>
      <c r="E764" t="s">
        <v>35</v>
      </c>
      <c r="F764" t="s">
        <v>26</v>
      </c>
      <c r="G764">
        <v>61276</v>
      </c>
      <c r="H764">
        <v>49020.800000000003</v>
      </c>
      <c r="I764" s="13">
        <v>0.25</v>
      </c>
      <c r="J764" t="s">
        <v>6207</v>
      </c>
      <c r="K764">
        <v>1</v>
      </c>
      <c r="L764">
        <v>1</v>
      </c>
      <c r="M764" t="s">
        <v>58</v>
      </c>
      <c r="V764">
        <v>4</v>
      </c>
      <c r="W764">
        <v>4</v>
      </c>
      <c r="X764">
        <v>0</v>
      </c>
      <c r="Y764">
        <v>0</v>
      </c>
      <c r="Z764">
        <v>0</v>
      </c>
    </row>
    <row r="765" spans="1:26" x14ac:dyDescent="0.2">
      <c r="A765" t="s">
        <v>883</v>
      </c>
      <c r="B765" t="s">
        <v>50</v>
      </c>
      <c r="C765">
        <v>2011</v>
      </c>
      <c r="D765" t="s">
        <v>31</v>
      </c>
      <c r="E765" t="s">
        <v>42</v>
      </c>
      <c r="F765" t="s">
        <v>20</v>
      </c>
      <c r="G765">
        <v>28500</v>
      </c>
      <c r="H765">
        <v>22800</v>
      </c>
      <c r="I765" s="13">
        <v>0.66666666666666663</v>
      </c>
      <c r="J765" t="s">
        <v>6207</v>
      </c>
      <c r="K765">
        <v>0</v>
      </c>
      <c r="L765">
        <v>0</v>
      </c>
      <c r="M765" t="s">
        <v>58</v>
      </c>
      <c r="V765">
        <v>2</v>
      </c>
      <c r="W765">
        <v>4</v>
      </c>
      <c r="X765">
        <v>0</v>
      </c>
      <c r="Y765">
        <v>0</v>
      </c>
      <c r="Z765">
        <v>0</v>
      </c>
    </row>
    <row r="766" spans="1:26" x14ac:dyDescent="0.2">
      <c r="A766" t="s">
        <v>884</v>
      </c>
      <c r="B766" t="s">
        <v>60</v>
      </c>
      <c r="C766">
        <v>2011</v>
      </c>
      <c r="D766" t="s">
        <v>39</v>
      </c>
      <c r="E766" t="s">
        <v>22</v>
      </c>
      <c r="F766" t="s">
        <v>39</v>
      </c>
      <c r="G766">
        <v>31367</v>
      </c>
      <c r="H766">
        <v>25093.600000000002</v>
      </c>
      <c r="I766" s="13">
        <v>0.66666666666666663</v>
      </c>
      <c r="J766" t="s">
        <v>6208</v>
      </c>
      <c r="K766">
        <v>1</v>
      </c>
      <c r="L766">
        <v>2</v>
      </c>
      <c r="M766" t="s">
        <v>1</v>
      </c>
      <c r="V766">
        <v>4</v>
      </c>
      <c r="W766">
        <v>2</v>
      </c>
      <c r="X766">
        <v>0</v>
      </c>
      <c r="Y766">
        <v>0</v>
      </c>
      <c r="Z766">
        <v>0</v>
      </c>
    </row>
    <row r="767" spans="1:26" x14ac:dyDescent="0.2">
      <c r="A767" t="s">
        <v>885</v>
      </c>
      <c r="B767" t="s">
        <v>55</v>
      </c>
      <c r="C767">
        <v>2011</v>
      </c>
      <c r="D767" t="s">
        <v>64</v>
      </c>
      <c r="E767" t="s">
        <v>46</v>
      </c>
      <c r="F767" t="s">
        <v>64</v>
      </c>
      <c r="G767">
        <v>52264</v>
      </c>
      <c r="H767">
        <v>41811.200000000004</v>
      </c>
      <c r="I767" s="13">
        <v>0.77777777777777779</v>
      </c>
      <c r="J767" t="s">
        <v>6206</v>
      </c>
      <c r="K767">
        <v>0</v>
      </c>
      <c r="L767">
        <v>0</v>
      </c>
      <c r="M767" t="s">
        <v>58</v>
      </c>
      <c r="V767">
        <v>3</v>
      </c>
      <c r="W767">
        <v>5</v>
      </c>
      <c r="X767">
        <v>0</v>
      </c>
      <c r="Y767">
        <v>1</v>
      </c>
      <c r="Z767">
        <v>0</v>
      </c>
    </row>
    <row r="768" spans="1:26" x14ac:dyDescent="0.2">
      <c r="A768" t="s">
        <v>886</v>
      </c>
      <c r="B768" t="s">
        <v>47</v>
      </c>
      <c r="C768">
        <v>2011</v>
      </c>
      <c r="D768" t="s">
        <v>27</v>
      </c>
      <c r="E768" t="s">
        <v>18</v>
      </c>
      <c r="F768" t="s">
        <v>27</v>
      </c>
      <c r="G768">
        <v>30089</v>
      </c>
      <c r="H768">
        <v>24071.200000000001</v>
      </c>
      <c r="I768" s="13">
        <v>0.25</v>
      </c>
      <c r="J768" t="s">
        <v>6208</v>
      </c>
      <c r="K768">
        <v>0</v>
      </c>
      <c r="L768">
        <v>0</v>
      </c>
      <c r="M768" t="s">
        <v>58</v>
      </c>
      <c r="V768">
        <v>2</v>
      </c>
      <c r="W768">
        <v>2</v>
      </c>
      <c r="X768">
        <v>0</v>
      </c>
      <c r="Y768">
        <v>0</v>
      </c>
      <c r="Z768">
        <v>0</v>
      </c>
    </row>
    <row r="769" spans="1:26" x14ac:dyDescent="0.2">
      <c r="A769" t="s">
        <v>887</v>
      </c>
      <c r="B769" t="s">
        <v>53</v>
      </c>
      <c r="C769">
        <v>2011</v>
      </c>
      <c r="D769" t="s">
        <v>63</v>
      </c>
      <c r="E769" t="s">
        <v>48</v>
      </c>
      <c r="F769" t="s">
        <v>65</v>
      </c>
      <c r="G769">
        <v>26804</v>
      </c>
      <c r="H769">
        <v>21443.200000000001</v>
      </c>
      <c r="I769" s="13">
        <v>0.8</v>
      </c>
      <c r="J769" t="s">
        <v>6207</v>
      </c>
      <c r="K769">
        <v>1</v>
      </c>
      <c r="L769">
        <v>2</v>
      </c>
      <c r="M769" t="s">
        <v>1</v>
      </c>
      <c r="V769">
        <v>3</v>
      </c>
      <c r="W769">
        <v>2</v>
      </c>
      <c r="X769">
        <v>0</v>
      </c>
      <c r="Y769">
        <v>0</v>
      </c>
      <c r="Z769">
        <v>0</v>
      </c>
    </row>
    <row r="770" spans="1:26" x14ac:dyDescent="0.2">
      <c r="A770" t="s">
        <v>888</v>
      </c>
      <c r="B770" t="s">
        <v>41</v>
      </c>
      <c r="C770">
        <v>2011</v>
      </c>
      <c r="D770" t="s">
        <v>40</v>
      </c>
      <c r="E770" t="s">
        <v>71</v>
      </c>
      <c r="F770" t="s">
        <v>49</v>
      </c>
      <c r="G770">
        <v>53400</v>
      </c>
      <c r="H770">
        <v>42720</v>
      </c>
      <c r="I770" s="13">
        <v>0</v>
      </c>
      <c r="J770" t="s">
        <v>6207</v>
      </c>
      <c r="K770">
        <v>4</v>
      </c>
      <c r="L770">
        <v>0</v>
      </c>
      <c r="M770" t="s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">
      <c r="A771" t="s">
        <v>889</v>
      </c>
      <c r="B771" t="s">
        <v>56</v>
      </c>
      <c r="C771">
        <v>2011</v>
      </c>
      <c r="D771" t="s">
        <v>35</v>
      </c>
      <c r="E771" t="s">
        <v>64</v>
      </c>
      <c r="F771" t="s">
        <v>35</v>
      </c>
      <c r="G771">
        <v>49000</v>
      </c>
      <c r="H771">
        <v>39200</v>
      </c>
      <c r="I771" s="13">
        <v>0.16666666666666666</v>
      </c>
      <c r="J771" t="s">
        <v>6207</v>
      </c>
      <c r="K771">
        <v>0</v>
      </c>
      <c r="L771">
        <v>1</v>
      </c>
      <c r="M771" t="s">
        <v>1</v>
      </c>
      <c r="V771">
        <v>2</v>
      </c>
      <c r="W771">
        <v>3</v>
      </c>
      <c r="X771">
        <v>1</v>
      </c>
      <c r="Y771">
        <v>0</v>
      </c>
      <c r="Z771">
        <v>0</v>
      </c>
    </row>
    <row r="772" spans="1:26" x14ac:dyDescent="0.2">
      <c r="A772" t="s">
        <v>890</v>
      </c>
      <c r="B772" t="s">
        <v>32</v>
      </c>
      <c r="C772">
        <v>2011</v>
      </c>
      <c r="D772" t="s">
        <v>46</v>
      </c>
      <c r="E772" t="s">
        <v>26</v>
      </c>
      <c r="F772" t="s">
        <v>20</v>
      </c>
      <c r="G772">
        <v>60704</v>
      </c>
      <c r="H772">
        <v>48563.200000000004</v>
      </c>
      <c r="I772" s="13">
        <v>0.4</v>
      </c>
      <c r="J772" t="s">
        <v>6207</v>
      </c>
      <c r="K772">
        <v>0</v>
      </c>
      <c r="L772">
        <v>2</v>
      </c>
      <c r="M772" t="s">
        <v>1</v>
      </c>
      <c r="V772">
        <v>2</v>
      </c>
      <c r="W772">
        <v>2</v>
      </c>
      <c r="X772">
        <v>1</v>
      </c>
      <c r="Y772">
        <v>0</v>
      </c>
      <c r="Z772">
        <v>0</v>
      </c>
    </row>
    <row r="773" spans="1:26" x14ac:dyDescent="0.2">
      <c r="A773" t="s">
        <v>891</v>
      </c>
      <c r="B773" t="s">
        <v>52</v>
      </c>
      <c r="C773">
        <v>2011</v>
      </c>
      <c r="D773" t="s">
        <v>71</v>
      </c>
      <c r="E773" t="s">
        <v>43</v>
      </c>
      <c r="F773" t="s">
        <v>71</v>
      </c>
      <c r="G773">
        <v>21088</v>
      </c>
      <c r="H773">
        <v>16870.400000000001</v>
      </c>
      <c r="I773" s="13">
        <v>1</v>
      </c>
      <c r="J773" t="s">
        <v>6207</v>
      </c>
      <c r="K773">
        <v>0</v>
      </c>
      <c r="L773">
        <v>0</v>
      </c>
      <c r="M773" t="s">
        <v>58</v>
      </c>
      <c r="V773">
        <v>0</v>
      </c>
      <c r="W773">
        <v>3</v>
      </c>
      <c r="X773">
        <v>0</v>
      </c>
      <c r="Y773">
        <v>0</v>
      </c>
      <c r="Z773">
        <v>1</v>
      </c>
    </row>
    <row r="774" spans="1:26" x14ac:dyDescent="0.2">
      <c r="A774" t="s">
        <v>892</v>
      </c>
      <c r="B774" t="s">
        <v>60</v>
      </c>
      <c r="C774">
        <v>2011</v>
      </c>
      <c r="D774" t="s">
        <v>45</v>
      </c>
      <c r="E774" t="s">
        <v>70</v>
      </c>
      <c r="F774" t="s">
        <v>26</v>
      </c>
      <c r="G774">
        <v>39572</v>
      </c>
      <c r="H774">
        <v>31657.600000000002</v>
      </c>
      <c r="I774" s="13">
        <v>0</v>
      </c>
      <c r="J774" t="s">
        <v>6208</v>
      </c>
      <c r="K774">
        <v>0</v>
      </c>
      <c r="L774">
        <v>1</v>
      </c>
      <c r="M774" t="s">
        <v>1</v>
      </c>
      <c r="V774">
        <v>1</v>
      </c>
      <c r="W774">
        <v>1</v>
      </c>
      <c r="X774">
        <v>0</v>
      </c>
      <c r="Y774">
        <v>0</v>
      </c>
      <c r="Z774">
        <v>0</v>
      </c>
    </row>
    <row r="775" spans="1:26" x14ac:dyDescent="0.2">
      <c r="A775" t="s">
        <v>893</v>
      </c>
      <c r="B775" t="s">
        <v>59</v>
      </c>
      <c r="C775">
        <v>2011</v>
      </c>
      <c r="D775" t="s">
        <v>42</v>
      </c>
      <c r="E775" t="s">
        <v>39</v>
      </c>
      <c r="F775" t="s">
        <v>38</v>
      </c>
      <c r="G775">
        <v>42918</v>
      </c>
      <c r="H775">
        <v>34334.400000000001</v>
      </c>
      <c r="I775" s="13">
        <v>0.33333333333333331</v>
      </c>
      <c r="J775" t="s">
        <v>6206</v>
      </c>
      <c r="K775">
        <v>3</v>
      </c>
      <c r="L775">
        <v>1</v>
      </c>
      <c r="M775" t="s">
        <v>0</v>
      </c>
      <c r="V775">
        <v>3</v>
      </c>
      <c r="W775">
        <v>0</v>
      </c>
      <c r="X775">
        <v>0</v>
      </c>
      <c r="Y775">
        <v>0</v>
      </c>
      <c r="Z775">
        <v>0</v>
      </c>
    </row>
    <row r="776" spans="1:26" x14ac:dyDescent="0.2">
      <c r="A776" t="s">
        <v>894</v>
      </c>
      <c r="B776" t="s">
        <v>50</v>
      </c>
      <c r="C776">
        <v>2011</v>
      </c>
      <c r="D776" t="s">
        <v>18</v>
      </c>
      <c r="E776" t="s">
        <v>63</v>
      </c>
      <c r="F776" t="s">
        <v>20</v>
      </c>
      <c r="G776">
        <v>40341</v>
      </c>
      <c r="H776">
        <v>32272.800000000003</v>
      </c>
      <c r="I776" s="13">
        <v>0.66666666666666663</v>
      </c>
      <c r="J776" t="s">
        <v>6207</v>
      </c>
      <c r="K776">
        <v>2</v>
      </c>
      <c r="L776">
        <v>1</v>
      </c>
      <c r="M776" t="s">
        <v>0</v>
      </c>
      <c r="V776">
        <v>2</v>
      </c>
      <c r="W776">
        <v>4</v>
      </c>
      <c r="X776">
        <v>0</v>
      </c>
      <c r="Y776">
        <v>0</v>
      </c>
      <c r="Z776">
        <v>0</v>
      </c>
    </row>
    <row r="777" spans="1:26" x14ac:dyDescent="0.2">
      <c r="A777" t="s">
        <v>895</v>
      </c>
      <c r="B777" t="s">
        <v>67</v>
      </c>
      <c r="C777">
        <v>2011</v>
      </c>
      <c r="D777" t="s">
        <v>69</v>
      </c>
      <c r="E777" t="s">
        <v>27</v>
      </c>
      <c r="F777" t="s">
        <v>69</v>
      </c>
      <c r="G777">
        <v>27359</v>
      </c>
      <c r="H777">
        <v>21887.200000000001</v>
      </c>
      <c r="I777" s="13">
        <v>0</v>
      </c>
      <c r="J777" t="s">
        <v>6207</v>
      </c>
      <c r="K777">
        <v>1</v>
      </c>
      <c r="L777">
        <v>1</v>
      </c>
      <c r="M777" t="s">
        <v>58</v>
      </c>
      <c r="V777">
        <v>0</v>
      </c>
      <c r="W777">
        <v>2</v>
      </c>
      <c r="X777">
        <v>1</v>
      </c>
      <c r="Y777">
        <v>0</v>
      </c>
      <c r="Z777">
        <v>0</v>
      </c>
    </row>
    <row r="778" spans="1:26" x14ac:dyDescent="0.2">
      <c r="A778" t="s">
        <v>896</v>
      </c>
      <c r="B778" t="s">
        <v>41</v>
      </c>
      <c r="C778">
        <v>2011</v>
      </c>
      <c r="D778" t="s">
        <v>22</v>
      </c>
      <c r="E778" t="s">
        <v>31</v>
      </c>
      <c r="F778" t="s">
        <v>24</v>
      </c>
      <c r="G778">
        <v>31750</v>
      </c>
      <c r="H778">
        <v>25400</v>
      </c>
      <c r="I778" s="13">
        <v>0.75</v>
      </c>
      <c r="J778" t="s">
        <v>6207</v>
      </c>
      <c r="K778">
        <v>2</v>
      </c>
      <c r="L778">
        <v>0</v>
      </c>
      <c r="M778" t="s">
        <v>0</v>
      </c>
      <c r="V778">
        <v>2</v>
      </c>
      <c r="W778">
        <v>2</v>
      </c>
      <c r="X778">
        <v>0</v>
      </c>
      <c r="Y778">
        <v>0</v>
      </c>
      <c r="Z778">
        <v>0</v>
      </c>
    </row>
    <row r="779" spans="1:26" x14ac:dyDescent="0.2">
      <c r="A779" t="s">
        <v>897</v>
      </c>
      <c r="B779" t="s">
        <v>53</v>
      </c>
      <c r="C779">
        <v>2011</v>
      </c>
      <c r="D779" t="s">
        <v>34</v>
      </c>
      <c r="E779" t="s">
        <v>40</v>
      </c>
      <c r="F779" t="s">
        <v>36</v>
      </c>
      <c r="G779">
        <v>28723</v>
      </c>
      <c r="H779">
        <v>22978.400000000001</v>
      </c>
      <c r="I779" s="13">
        <v>0</v>
      </c>
      <c r="J779" t="s">
        <v>6207</v>
      </c>
      <c r="K779">
        <v>2</v>
      </c>
      <c r="L779">
        <v>3</v>
      </c>
      <c r="M779" t="s">
        <v>1</v>
      </c>
      <c r="V779">
        <v>2</v>
      </c>
      <c r="W779">
        <v>0</v>
      </c>
      <c r="X779">
        <v>0</v>
      </c>
      <c r="Y779">
        <v>0</v>
      </c>
      <c r="Z779">
        <v>0</v>
      </c>
    </row>
    <row r="780" spans="1:26" x14ac:dyDescent="0.2">
      <c r="A780" t="s">
        <v>898</v>
      </c>
      <c r="B780" t="s">
        <v>56</v>
      </c>
      <c r="C780">
        <v>2011</v>
      </c>
      <c r="D780" t="s">
        <v>48</v>
      </c>
      <c r="E780" t="s">
        <v>51</v>
      </c>
      <c r="F780" t="s">
        <v>49</v>
      </c>
      <c r="G780">
        <v>74197</v>
      </c>
      <c r="H780">
        <v>59357.600000000006</v>
      </c>
      <c r="I780" s="13">
        <v>0</v>
      </c>
      <c r="J780" t="s">
        <v>6207</v>
      </c>
      <c r="K780">
        <v>3</v>
      </c>
      <c r="L780">
        <v>0</v>
      </c>
      <c r="M780" t="s">
        <v>0</v>
      </c>
      <c r="V780">
        <v>1</v>
      </c>
      <c r="W780">
        <v>2</v>
      </c>
      <c r="X780">
        <v>0</v>
      </c>
      <c r="Y780">
        <v>0</v>
      </c>
      <c r="Z780">
        <v>0</v>
      </c>
    </row>
    <row r="781" spans="1:26" x14ac:dyDescent="0.2">
      <c r="A781" t="s">
        <v>899</v>
      </c>
      <c r="B781" t="s">
        <v>32</v>
      </c>
      <c r="C781">
        <v>2011</v>
      </c>
      <c r="D781" t="s">
        <v>42</v>
      </c>
      <c r="E781" t="s">
        <v>22</v>
      </c>
      <c r="F781" t="s">
        <v>38</v>
      </c>
      <c r="G781">
        <v>42918</v>
      </c>
      <c r="H781">
        <v>34334.400000000001</v>
      </c>
      <c r="I781" s="13">
        <v>0</v>
      </c>
      <c r="J781" t="s">
        <v>6207</v>
      </c>
      <c r="K781">
        <v>0</v>
      </c>
      <c r="L781">
        <v>0</v>
      </c>
      <c r="M781" t="s">
        <v>58</v>
      </c>
      <c r="V781">
        <v>1</v>
      </c>
      <c r="W781">
        <v>3</v>
      </c>
      <c r="X781">
        <v>0</v>
      </c>
      <c r="Y781">
        <v>0</v>
      </c>
      <c r="Z781">
        <v>0</v>
      </c>
    </row>
    <row r="782" spans="1:26" x14ac:dyDescent="0.2">
      <c r="A782" t="s">
        <v>900</v>
      </c>
      <c r="B782" t="s">
        <v>66</v>
      </c>
      <c r="C782">
        <v>2011</v>
      </c>
      <c r="D782" t="s">
        <v>43</v>
      </c>
      <c r="E782" t="s">
        <v>70</v>
      </c>
      <c r="F782" t="s">
        <v>43</v>
      </c>
      <c r="G782">
        <v>25138</v>
      </c>
      <c r="H782">
        <v>20110.400000000001</v>
      </c>
      <c r="I782" s="13">
        <v>0.5</v>
      </c>
      <c r="J782" t="s">
        <v>6207</v>
      </c>
      <c r="K782">
        <v>2</v>
      </c>
      <c r="L782">
        <v>0</v>
      </c>
      <c r="M782" t="s">
        <v>0</v>
      </c>
      <c r="V782">
        <v>2</v>
      </c>
      <c r="W782">
        <v>0</v>
      </c>
      <c r="X782">
        <v>0</v>
      </c>
      <c r="Y782">
        <v>0</v>
      </c>
      <c r="Z782">
        <v>0</v>
      </c>
    </row>
    <row r="783" spans="1:26" x14ac:dyDescent="0.2">
      <c r="A783" t="s">
        <v>901</v>
      </c>
      <c r="B783" t="s">
        <v>47</v>
      </c>
      <c r="C783">
        <v>2011</v>
      </c>
      <c r="D783" t="s">
        <v>71</v>
      </c>
      <c r="E783" t="s">
        <v>35</v>
      </c>
      <c r="F783" t="s">
        <v>71</v>
      </c>
      <c r="G783">
        <v>21088</v>
      </c>
      <c r="H783">
        <v>16870.400000000001</v>
      </c>
      <c r="I783" s="13">
        <v>0.5</v>
      </c>
      <c r="J783" t="s">
        <v>6208</v>
      </c>
      <c r="K783">
        <v>0</v>
      </c>
      <c r="L783">
        <v>0</v>
      </c>
      <c r="M783" t="s">
        <v>58</v>
      </c>
      <c r="V783">
        <v>1</v>
      </c>
      <c r="W783">
        <v>1</v>
      </c>
      <c r="X783">
        <v>0</v>
      </c>
      <c r="Y783">
        <v>0</v>
      </c>
      <c r="Z783">
        <v>0</v>
      </c>
    </row>
    <row r="784" spans="1:26" x14ac:dyDescent="0.2">
      <c r="A784" t="s">
        <v>902</v>
      </c>
      <c r="B784" t="s">
        <v>53</v>
      </c>
      <c r="C784">
        <v>2011</v>
      </c>
      <c r="D784" t="s">
        <v>18</v>
      </c>
      <c r="E784" t="s">
        <v>69</v>
      </c>
      <c r="F784" t="s">
        <v>20</v>
      </c>
      <c r="G784">
        <v>40341</v>
      </c>
      <c r="H784">
        <v>32272.800000000003</v>
      </c>
      <c r="I784" s="13">
        <v>0.4</v>
      </c>
      <c r="J784" t="s">
        <v>6207</v>
      </c>
      <c r="K784">
        <v>3</v>
      </c>
      <c r="L784">
        <v>1</v>
      </c>
      <c r="M784" t="s">
        <v>0</v>
      </c>
      <c r="V784">
        <v>2</v>
      </c>
      <c r="W784">
        <v>2</v>
      </c>
      <c r="X784">
        <v>0</v>
      </c>
      <c r="Y784">
        <v>1</v>
      </c>
      <c r="Z784">
        <v>1</v>
      </c>
    </row>
    <row r="785" spans="1:26" x14ac:dyDescent="0.2">
      <c r="A785" t="s">
        <v>903</v>
      </c>
      <c r="B785" t="s">
        <v>50</v>
      </c>
      <c r="C785">
        <v>2011</v>
      </c>
      <c r="D785" t="s">
        <v>39</v>
      </c>
      <c r="E785" t="s">
        <v>45</v>
      </c>
      <c r="F785" t="s">
        <v>39</v>
      </c>
      <c r="G785">
        <v>31367</v>
      </c>
      <c r="H785">
        <v>25093.600000000002</v>
      </c>
      <c r="I785" s="13">
        <v>1</v>
      </c>
      <c r="J785" t="s">
        <v>6207</v>
      </c>
      <c r="K785">
        <v>0</v>
      </c>
      <c r="L785">
        <v>1</v>
      </c>
      <c r="M785" t="s">
        <v>1</v>
      </c>
      <c r="V785">
        <v>5</v>
      </c>
      <c r="W785">
        <v>1</v>
      </c>
      <c r="X785">
        <v>0</v>
      </c>
      <c r="Y785">
        <v>0</v>
      </c>
      <c r="Z785">
        <v>1</v>
      </c>
    </row>
    <row r="786" spans="1:26" x14ac:dyDescent="0.2">
      <c r="A786" t="s">
        <v>904</v>
      </c>
      <c r="B786" t="s">
        <v>54</v>
      </c>
      <c r="C786">
        <v>2011</v>
      </c>
      <c r="D786" t="s">
        <v>26</v>
      </c>
      <c r="E786" t="s">
        <v>34</v>
      </c>
      <c r="F786" t="s">
        <v>26</v>
      </c>
      <c r="G786">
        <v>61276</v>
      </c>
      <c r="H786">
        <v>49020.800000000003</v>
      </c>
      <c r="I786" s="13">
        <v>1</v>
      </c>
      <c r="J786" t="s">
        <v>6206</v>
      </c>
      <c r="K786">
        <v>3</v>
      </c>
      <c r="L786">
        <v>1</v>
      </c>
      <c r="M786" t="s">
        <v>0</v>
      </c>
      <c r="V786">
        <v>0</v>
      </c>
      <c r="W786">
        <v>2</v>
      </c>
      <c r="X786">
        <v>0</v>
      </c>
      <c r="Y786">
        <v>0</v>
      </c>
      <c r="Z786">
        <v>0</v>
      </c>
    </row>
    <row r="787" spans="1:26" x14ac:dyDescent="0.2">
      <c r="A787" t="s">
        <v>905</v>
      </c>
      <c r="B787" t="s">
        <v>60</v>
      </c>
      <c r="C787">
        <v>2011</v>
      </c>
      <c r="D787" t="s">
        <v>64</v>
      </c>
      <c r="E787" t="s">
        <v>31</v>
      </c>
      <c r="F787" t="s">
        <v>64</v>
      </c>
      <c r="G787">
        <v>52264</v>
      </c>
      <c r="H787">
        <v>41811.200000000004</v>
      </c>
      <c r="I787" s="13">
        <v>0</v>
      </c>
      <c r="J787" t="s">
        <v>6208</v>
      </c>
      <c r="K787">
        <v>2</v>
      </c>
      <c r="L787">
        <v>1</v>
      </c>
      <c r="M787" t="s">
        <v>0</v>
      </c>
      <c r="V787">
        <v>2</v>
      </c>
      <c r="W787">
        <v>1</v>
      </c>
      <c r="X787">
        <v>0</v>
      </c>
      <c r="Y787">
        <v>0</v>
      </c>
      <c r="Z787">
        <v>0</v>
      </c>
    </row>
    <row r="788" spans="1:26" x14ac:dyDescent="0.2">
      <c r="A788" t="s">
        <v>906</v>
      </c>
      <c r="B788" t="s">
        <v>52</v>
      </c>
      <c r="C788">
        <v>2011</v>
      </c>
      <c r="D788" t="s">
        <v>51</v>
      </c>
      <c r="E788" t="s">
        <v>40</v>
      </c>
      <c r="F788" t="s">
        <v>20</v>
      </c>
      <c r="G788">
        <v>36284</v>
      </c>
      <c r="H788">
        <v>29027.200000000001</v>
      </c>
      <c r="I788" s="13">
        <v>0.66666666666666663</v>
      </c>
      <c r="J788" t="s">
        <v>6207</v>
      </c>
      <c r="K788">
        <v>1</v>
      </c>
      <c r="L788">
        <v>5</v>
      </c>
      <c r="M788" t="s">
        <v>1</v>
      </c>
      <c r="V788">
        <v>2</v>
      </c>
      <c r="W788">
        <v>4</v>
      </c>
      <c r="X788">
        <v>0</v>
      </c>
      <c r="Y788">
        <v>0</v>
      </c>
      <c r="Z788">
        <v>0</v>
      </c>
    </row>
    <row r="789" spans="1:26" x14ac:dyDescent="0.2">
      <c r="A789" t="s">
        <v>907</v>
      </c>
      <c r="B789" t="s">
        <v>41</v>
      </c>
      <c r="C789">
        <v>2011</v>
      </c>
      <c r="D789" t="s">
        <v>63</v>
      </c>
      <c r="E789" t="s">
        <v>27</v>
      </c>
      <c r="F789" t="s">
        <v>65</v>
      </c>
      <c r="G789">
        <v>26804</v>
      </c>
      <c r="H789">
        <v>21443.200000000001</v>
      </c>
      <c r="I789" s="13">
        <v>0</v>
      </c>
      <c r="J789" t="s">
        <v>6207</v>
      </c>
      <c r="K789">
        <v>0</v>
      </c>
      <c r="L789">
        <v>1</v>
      </c>
      <c r="M789" t="s">
        <v>1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">
      <c r="A790" t="s">
        <v>908</v>
      </c>
      <c r="B790" t="s">
        <v>56</v>
      </c>
      <c r="C790">
        <v>2011</v>
      </c>
      <c r="D790" t="s">
        <v>48</v>
      </c>
      <c r="E790" t="s">
        <v>46</v>
      </c>
      <c r="F790" t="s">
        <v>49</v>
      </c>
      <c r="G790">
        <v>74197</v>
      </c>
      <c r="H790">
        <v>59357.600000000006</v>
      </c>
      <c r="I790" s="13">
        <v>0.33333333333333331</v>
      </c>
      <c r="J790" t="s">
        <v>6207</v>
      </c>
      <c r="K790">
        <v>8</v>
      </c>
      <c r="L790">
        <v>2</v>
      </c>
      <c r="M790" t="s">
        <v>0</v>
      </c>
      <c r="V790">
        <v>2</v>
      </c>
      <c r="W790">
        <v>3</v>
      </c>
      <c r="X790">
        <v>0</v>
      </c>
      <c r="Y790">
        <v>1</v>
      </c>
      <c r="Z790">
        <v>1</v>
      </c>
    </row>
    <row r="791" spans="1:26" x14ac:dyDescent="0.2">
      <c r="A791" t="s">
        <v>909</v>
      </c>
      <c r="B791" t="s">
        <v>55</v>
      </c>
      <c r="C791">
        <v>2011</v>
      </c>
      <c r="D791" t="s">
        <v>22</v>
      </c>
      <c r="E791" t="s">
        <v>51</v>
      </c>
      <c r="F791" t="s">
        <v>24</v>
      </c>
      <c r="G791">
        <v>31750</v>
      </c>
      <c r="H791">
        <v>25400</v>
      </c>
      <c r="I791" s="13">
        <v>0.2</v>
      </c>
      <c r="J791" t="s">
        <v>6206</v>
      </c>
      <c r="K791">
        <v>0</v>
      </c>
      <c r="L791">
        <v>2</v>
      </c>
      <c r="M791" t="s">
        <v>1</v>
      </c>
      <c r="V791">
        <v>3</v>
      </c>
      <c r="W791">
        <v>2</v>
      </c>
      <c r="X791">
        <v>0</v>
      </c>
      <c r="Y791">
        <v>0</v>
      </c>
      <c r="Z791">
        <v>0</v>
      </c>
    </row>
    <row r="792" spans="1:26" x14ac:dyDescent="0.2">
      <c r="A792" t="s">
        <v>910</v>
      </c>
      <c r="B792" t="s">
        <v>54</v>
      </c>
      <c r="C792">
        <v>2011</v>
      </c>
      <c r="D792" t="s">
        <v>35</v>
      </c>
      <c r="E792" t="s">
        <v>18</v>
      </c>
      <c r="F792" t="s">
        <v>35</v>
      </c>
      <c r="G792">
        <v>49000</v>
      </c>
      <c r="H792">
        <v>39200</v>
      </c>
      <c r="I792" s="13">
        <v>0.5</v>
      </c>
      <c r="J792" t="s">
        <v>6206</v>
      </c>
      <c r="K792">
        <v>1</v>
      </c>
      <c r="L792">
        <v>2</v>
      </c>
      <c r="M792" t="s">
        <v>1</v>
      </c>
      <c r="V792">
        <v>1</v>
      </c>
      <c r="W792">
        <v>1</v>
      </c>
      <c r="X792">
        <v>0</v>
      </c>
      <c r="Y792">
        <v>0</v>
      </c>
      <c r="Z792">
        <v>0</v>
      </c>
    </row>
    <row r="793" spans="1:26" x14ac:dyDescent="0.2">
      <c r="A793" t="s">
        <v>911</v>
      </c>
      <c r="B793" t="s">
        <v>44</v>
      </c>
      <c r="C793">
        <v>2011</v>
      </c>
      <c r="D793" t="s">
        <v>27</v>
      </c>
      <c r="E793" t="s">
        <v>26</v>
      </c>
      <c r="F793" t="s">
        <v>27</v>
      </c>
      <c r="G793">
        <v>30089</v>
      </c>
      <c r="H793">
        <v>24071.200000000001</v>
      </c>
      <c r="I793" s="13">
        <v>1</v>
      </c>
      <c r="J793" t="s">
        <v>6207</v>
      </c>
      <c r="K793">
        <v>1</v>
      </c>
      <c r="L793">
        <v>0</v>
      </c>
      <c r="M793" t="s">
        <v>0</v>
      </c>
      <c r="V793">
        <v>0</v>
      </c>
      <c r="W793">
        <v>1</v>
      </c>
      <c r="X793">
        <v>0</v>
      </c>
      <c r="Y793">
        <v>0</v>
      </c>
      <c r="Z793">
        <v>1</v>
      </c>
    </row>
    <row r="794" spans="1:26" x14ac:dyDescent="0.2">
      <c r="A794" t="s">
        <v>912</v>
      </c>
      <c r="B794" t="s">
        <v>32</v>
      </c>
      <c r="C794">
        <v>2011</v>
      </c>
      <c r="D794" t="s">
        <v>40</v>
      </c>
      <c r="E794" t="s">
        <v>43</v>
      </c>
      <c r="F794" t="s">
        <v>49</v>
      </c>
      <c r="G794">
        <v>53400</v>
      </c>
      <c r="H794">
        <v>42720</v>
      </c>
      <c r="I794" s="13">
        <v>0</v>
      </c>
      <c r="J794" t="s">
        <v>6207</v>
      </c>
      <c r="K794">
        <v>3</v>
      </c>
      <c r="L794">
        <v>0</v>
      </c>
      <c r="M794" t="s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 x14ac:dyDescent="0.2">
      <c r="A795" t="s">
        <v>913</v>
      </c>
      <c r="B795" t="s">
        <v>66</v>
      </c>
      <c r="C795">
        <v>2011</v>
      </c>
      <c r="D795" t="s">
        <v>45</v>
      </c>
      <c r="E795" t="s">
        <v>42</v>
      </c>
      <c r="F795" t="s">
        <v>26</v>
      </c>
      <c r="G795">
        <v>39572</v>
      </c>
      <c r="H795">
        <v>31657.600000000002</v>
      </c>
      <c r="I795" s="13">
        <v>0</v>
      </c>
      <c r="J795" t="s">
        <v>6207</v>
      </c>
      <c r="K795">
        <v>2</v>
      </c>
      <c r="L795">
        <v>2</v>
      </c>
      <c r="M795" t="s">
        <v>58</v>
      </c>
      <c r="V795">
        <v>1</v>
      </c>
      <c r="W795">
        <v>1</v>
      </c>
      <c r="X795">
        <v>0</v>
      </c>
      <c r="Y795">
        <v>0</v>
      </c>
      <c r="Z795">
        <v>1</v>
      </c>
    </row>
    <row r="796" spans="1:26" x14ac:dyDescent="0.2">
      <c r="A796" t="s">
        <v>914</v>
      </c>
      <c r="B796" t="s">
        <v>59</v>
      </c>
      <c r="C796">
        <v>2011</v>
      </c>
      <c r="D796" t="s">
        <v>46</v>
      </c>
      <c r="E796" t="s">
        <v>71</v>
      </c>
      <c r="F796" t="s">
        <v>20</v>
      </c>
      <c r="G796">
        <v>60704</v>
      </c>
      <c r="H796">
        <v>48563.200000000004</v>
      </c>
      <c r="I796" s="13">
        <v>0.8</v>
      </c>
      <c r="J796" t="s">
        <v>6206</v>
      </c>
      <c r="K796">
        <v>1</v>
      </c>
      <c r="L796">
        <v>0</v>
      </c>
      <c r="M796" t="s">
        <v>0</v>
      </c>
      <c r="V796">
        <v>3</v>
      </c>
      <c r="W796">
        <v>2</v>
      </c>
      <c r="X796">
        <v>0</v>
      </c>
      <c r="Y796">
        <v>0</v>
      </c>
      <c r="Z796">
        <v>0</v>
      </c>
    </row>
    <row r="797" spans="1:26" x14ac:dyDescent="0.2">
      <c r="A797" t="s">
        <v>915</v>
      </c>
      <c r="B797" t="s">
        <v>37</v>
      </c>
      <c r="C797">
        <v>2011</v>
      </c>
      <c r="D797" t="s">
        <v>34</v>
      </c>
      <c r="E797" t="s">
        <v>48</v>
      </c>
      <c r="F797" t="s">
        <v>36</v>
      </c>
      <c r="G797">
        <v>28723</v>
      </c>
      <c r="H797">
        <v>22978.400000000001</v>
      </c>
      <c r="I797" s="13">
        <v>0</v>
      </c>
      <c r="J797" t="s">
        <v>6206</v>
      </c>
      <c r="K797">
        <v>0</v>
      </c>
      <c r="L797">
        <v>5</v>
      </c>
      <c r="M797" t="s">
        <v>1</v>
      </c>
      <c r="V797">
        <v>2</v>
      </c>
      <c r="W797">
        <v>0</v>
      </c>
      <c r="X797">
        <v>0</v>
      </c>
      <c r="Y797">
        <v>0</v>
      </c>
      <c r="Z797">
        <v>0</v>
      </c>
    </row>
    <row r="798" spans="1:26" x14ac:dyDescent="0.2">
      <c r="A798" t="s">
        <v>916</v>
      </c>
      <c r="B798" t="s">
        <v>47</v>
      </c>
      <c r="C798">
        <v>2011</v>
      </c>
      <c r="D798" t="s">
        <v>69</v>
      </c>
      <c r="E798" t="s">
        <v>63</v>
      </c>
      <c r="F798" t="s">
        <v>69</v>
      </c>
      <c r="G798">
        <v>27359</v>
      </c>
      <c r="H798">
        <v>21887.200000000001</v>
      </c>
      <c r="I798" s="13">
        <v>1</v>
      </c>
      <c r="J798" t="s">
        <v>6208</v>
      </c>
      <c r="K798">
        <v>0</v>
      </c>
      <c r="L798">
        <v>1</v>
      </c>
      <c r="M798" t="s">
        <v>1</v>
      </c>
      <c r="V798">
        <v>1</v>
      </c>
      <c r="W798">
        <v>2</v>
      </c>
      <c r="X798">
        <v>0</v>
      </c>
      <c r="Y798">
        <v>0</v>
      </c>
      <c r="Z798">
        <v>0</v>
      </c>
    </row>
    <row r="799" spans="1:26" x14ac:dyDescent="0.2">
      <c r="A799" t="s">
        <v>917</v>
      </c>
      <c r="B799" t="s">
        <v>56</v>
      </c>
      <c r="C799">
        <v>2011</v>
      </c>
      <c r="D799" t="s">
        <v>31</v>
      </c>
      <c r="E799" t="s">
        <v>39</v>
      </c>
      <c r="F799" t="s">
        <v>20</v>
      </c>
      <c r="G799">
        <v>28500</v>
      </c>
      <c r="H799">
        <v>22800</v>
      </c>
      <c r="I799" s="13">
        <v>1</v>
      </c>
      <c r="J799" t="s">
        <v>6207</v>
      </c>
      <c r="K799">
        <v>1</v>
      </c>
      <c r="L799">
        <v>1</v>
      </c>
      <c r="M799" t="s">
        <v>58</v>
      </c>
      <c r="V799">
        <v>3</v>
      </c>
      <c r="W799">
        <v>1</v>
      </c>
      <c r="X799">
        <v>0</v>
      </c>
      <c r="Y799">
        <v>0</v>
      </c>
      <c r="Z799">
        <v>0</v>
      </c>
    </row>
    <row r="800" spans="1:26" x14ac:dyDescent="0.2">
      <c r="A800" t="s">
        <v>918</v>
      </c>
      <c r="B800" t="s">
        <v>52</v>
      </c>
      <c r="C800">
        <v>2011</v>
      </c>
      <c r="D800" t="s">
        <v>70</v>
      </c>
      <c r="E800" t="s">
        <v>64</v>
      </c>
      <c r="F800" t="s">
        <v>20</v>
      </c>
      <c r="G800">
        <v>18439</v>
      </c>
      <c r="H800">
        <v>14751.2</v>
      </c>
      <c r="I800" s="13">
        <v>0.5</v>
      </c>
      <c r="J800" t="s">
        <v>6207</v>
      </c>
      <c r="K800">
        <v>0</v>
      </c>
      <c r="L800">
        <v>0</v>
      </c>
      <c r="M800" t="s">
        <v>58</v>
      </c>
      <c r="V800">
        <v>1</v>
      </c>
      <c r="W800">
        <v>3</v>
      </c>
      <c r="X800">
        <v>0</v>
      </c>
      <c r="Y800">
        <v>0</v>
      </c>
      <c r="Z800">
        <v>0</v>
      </c>
    </row>
    <row r="801" spans="1:26" x14ac:dyDescent="0.2">
      <c r="A801" t="s">
        <v>919</v>
      </c>
      <c r="B801" t="s">
        <v>37</v>
      </c>
      <c r="C801">
        <v>2011</v>
      </c>
      <c r="D801" t="s">
        <v>39</v>
      </c>
      <c r="E801" t="s">
        <v>46</v>
      </c>
      <c r="F801" t="s">
        <v>39</v>
      </c>
      <c r="G801">
        <v>31367</v>
      </c>
      <c r="H801">
        <v>25093.600000000002</v>
      </c>
      <c r="I801" s="13">
        <v>0.66666666666666663</v>
      </c>
      <c r="J801" t="s">
        <v>6206</v>
      </c>
      <c r="K801">
        <v>4</v>
      </c>
      <c r="L801">
        <v>3</v>
      </c>
      <c r="M801" t="s">
        <v>0</v>
      </c>
      <c r="V801">
        <v>2</v>
      </c>
      <c r="W801">
        <v>1</v>
      </c>
      <c r="X801">
        <v>0</v>
      </c>
      <c r="Y801">
        <v>0</v>
      </c>
      <c r="Z801">
        <v>0</v>
      </c>
    </row>
    <row r="802" spans="1:26" x14ac:dyDescent="0.2">
      <c r="A802" t="s">
        <v>920</v>
      </c>
      <c r="B802" t="s">
        <v>61</v>
      </c>
      <c r="C802">
        <v>2011</v>
      </c>
      <c r="D802" t="s">
        <v>22</v>
      </c>
      <c r="E802" t="s">
        <v>70</v>
      </c>
      <c r="F802" t="s">
        <v>24</v>
      </c>
      <c r="G802">
        <v>31750</v>
      </c>
      <c r="H802">
        <v>25400</v>
      </c>
      <c r="I802" s="13">
        <v>0.4</v>
      </c>
      <c r="J802" t="s">
        <v>6207</v>
      </c>
      <c r="K802">
        <v>0</v>
      </c>
      <c r="L802">
        <v>3</v>
      </c>
      <c r="M802" t="s">
        <v>1</v>
      </c>
      <c r="V802">
        <v>2</v>
      </c>
      <c r="W802">
        <v>3</v>
      </c>
      <c r="X802">
        <v>0</v>
      </c>
      <c r="Y802">
        <v>0</v>
      </c>
      <c r="Z802">
        <v>0</v>
      </c>
    </row>
    <row r="803" spans="1:26" x14ac:dyDescent="0.2">
      <c r="A803" t="s">
        <v>921</v>
      </c>
      <c r="B803" t="s">
        <v>32</v>
      </c>
      <c r="C803">
        <v>2011</v>
      </c>
      <c r="D803" t="s">
        <v>71</v>
      </c>
      <c r="E803" t="s">
        <v>63</v>
      </c>
      <c r="F803" t="s">
        <v>71</v>
      </c>
      <c r="G803">
        <v>21088</v>
      </c>
      <c r="H803">
        <v>16870.400000000001</v>
      </c>
      <c r="I803" s="13">
        <v>0.33333333333333331</v>
      </c>
      <c r="J803" t="s">
        <v>6207</v>
      </c>
      <c r="K803">
        <v>3</v>
      </c>
      <c r="L803">
        <v>0</v>
      </c>
      <c r="M803" t="s">
        <v>0</v>
      </c>
      <c r="V803">
        <v>1</v>
      </c>
      <c r="W803">
        <v>2</v>
      </c>
      <c r="X803">
        <v>0</v>
      </c>
      <c r="Y803">
        <v>0</v>
      </c>
      <c r="Z803">
        <v>1</v>
      </c>
    </row>
    <row r="804" spans="1:26" x14ac:dyDescent="0.2">
      <c r="A804" t="s">
        <v>922</v>
      </c>
      <c r="B804" t="s">
        <v>55</v>
      </c>
      <c r="C804">
        <v>2011</v>
      </c>
      <c r="D804" t="s">
        <v>45</v>
      </c>
      <c r="E804" t="s">
        <v>43</v>
      </c>
      <c r="F804" t="s">
        <v>26</v>
      </c>
      <c r="G804">
        <v>39572</v>
      </c>
      <c r="H804">
        <v>31657.600000000002</v>
      </c>
      <c r="I804" s="13">
        <v>1</v>
      </c>
      <c r="J804" t="s">
        <v>6206</v>
      </c>
      <c r="K804">
        <v>3</v>
      </c>
      <c r="L804">
        <v>1</v>
      </c>
      <c r="M804" t="s">
        <v>0</v>
      </c>
      <c r="V804">
        <v>2</v>
      </c>
      <c r="W804">
        <v>0</v>
      </c>
      <c r="X804">
        <v>0</v>
      </c>
      <c r="Y804">
        <v>0</v>
      </c>
      <c r="Z804">
        <v>0</v>
      </c>
    </row>
    <row r="805" spans="1:26" x14ac:dyDescent="0.2">
      <c r="A805" t="s">
        <v>923</v>
      </c>
      <c r="B805" t="s">
        <v>56</v>
      </c>
      <c r="C805">
        <v>2011</v>
      </c>
      <c r="D805" t="s">
        <v>34</v>
      </c>
      <c r="E805" t="s">
        <v>69</v>
      </c>
      <c r="F805" t="s">
        <v>36</v>
      </c>
      <c r="G805">
        <v>28723</v>
      </c>
      <c r="H805">
        <v>22978.400000000001</v>
      </c>
      <c r="I805" s="13">
        <v>0.4</v>
      </c>
      <c r="J805" t="s">
        <v>6207</v>
      </c>
      <c r="K805">
        <v>1</v>
      </c>
      <c r="L805">
        <v>2</v>
      </c>
      <c r="M805" t="s">
        <v>1</v>
      </c>
      <c r="V805">
        <v>3</v>
      </c>
      <c r="W805">
        <v>1</v>
      </c>
      <c r="X805">
        <v>1</v>
      </c>
      <c r="Y805">
        <v>0</v>
      </c>
      <c r="Z805">
        <v>0</v>
      </c>
    </row>
    <row r="806" spans="1:26" x14ac:dyDescent="0.2">
      <c r="A806" t="s">
        <v>924</v>
      </c>
      <c r="B806" t="s">
        <v>67</v>
      </c>
      <c r="C806">
        <v>2011</v>
      </c>
      <c r="D806" t="s">
        <v>42</v>
      </c>
      <c r="E806" t="s">
        <v>64</v>
      </c>
      <c r="F806" t="s">
        <v>38</v>
      </c>
      <c r="G806">
        <v>42918</v>
      </c>
      <c r="H806">
        <v>34334.400000000001</v>
      </c>
      <c r="I806" s="13">
        <v>0.5</v>
      </c>
      <c r="J806" t="s">
        <v>6207</v>
      </c>
      <c r="K806">
        <v>1</v>
      </c>
      <c r="L806">
        <v>1</v>
      </c>
      <c r="M806" t="s">
        <v>58</v>
      </c>
      <c r="V806">
        <v>1</v>
      </c>
      <c r="W806">
        <v>1</v>
      </c>
      <c r="X806">
        <v>0</v>
      </c>
      <c r="Y806">
        <v>0</v>
      </c>
      <c r="Z806">
        <v>0</v>
      </c>
    </row>
    <row r="807" spans="1:26" x14ac:dyDescent="0.2">
      <c r="A807" t="s">
        <v>925</v>
      </c>
      <c r="B807" t="s">
        <v>53</v>
      </c>
      <c r="C807">
        <v>2011</v>
      </c>
      <c r="D807" t="s">
        <v>51</v>
      </c>
      <c r="E807" t="s">
        <v>26</v>
      </c>
      <c r="F807" t="s">
        <v>20</v>
      </c>
      <c r="G807">
        <v>36284</v>
      </c>
      <c r="H807">
        <v>29027.200000000001</v>
      </c>
      <c r="I807" s="13">
        <v>0.5714285714285714</v>
      </c>
      <c r="J807" t="s">
        <v>6207</v>
      </c>
      <c r="K807">
        <v>4</v>
      </c>
      <c r="L807">
        <v>0</v>
      </c>
      <c r="M807" t="s">
        <v>0</v>
      </c>
      <c r="V807">
        <v>1</v>
      </c>
      <c r="W807">
        <v>4</v>
      </c>
      <c r="X807">
        <v>0</v>
      </c>
      <c r="Y807">
        <v>2</v>
      </c>
      <c r="Z807">
        <v>0</v>
      </c>
    </row>
    <row r="808" spans="1:26" x14ac:dyDescent="0.2">
      <c r="A808" t="s">
        <v>926</v>
      </c>
      <c r="B808" t="s">
        <v>60</v>
      </c>
      <c r="C808">
        <v>2011</v>
      </c>
      <c r="D808" t="s">
        <v>35</v>
      </c>
      <c r="E808" t="s">
        <v>27</v>
      </c>
      <c r="F808" t="s">
        <v>35</v>
      </c>
      <c r="G808">
        <v>49000</v>
      </c>
      <c r="H808">
        <v>39200</v>
      </c>
      <c r="I808" s="13">
        <v>0.66666666666666663</v>
      </c>
      <c r="J808" t="s">
        <v>6208</v>
      </c>
      <c r="K808">
        <v>4</v>
      </c>
      <c r="L808">
        <v>0</v>
      </c>
      <c r="M808" t="s">
        <v>0</v>
      </c>
      <c r="V808">
        <v>1</v>
      </c>
      <c r="W808">
        <v>2</v>
      </c>
      <c r="X808">
        <v>0</v>
      </c>
      <c r="Y808">
        <v>0</v>
      </c>
      <c r="Z808">
        <v>0</v>
      </c>
    </row>
    <row r="809" spans="1:26" x14ac:dyDescent="0.2">
      <c r="A809" t="s">
        <v>927</v>
      </c>
      <c r="B809" t="s">
        <v>44</v>
      </c>
      <c r="C809">
        <v>2011</v>
      </c>
      <c r="D809" t="s">
        <v>31</v>
      </c>
      <c r="E809" t="s">
        <v>40</v>
      </c>
      <c r="F809" t="s">
        <v>20</v>
      </c>
      <c r="G809">
        <v>28500</v>
      </c>
      <c r="H809">
        <v>22800</v>
      </c>
      <c r="I809" s="13">
        <v>0</v>
      </c>
      <c r="J809" t="s">
        <v>6207</v>
      </c>
      <c r="K809">
        <v>2</v>
      </c>
      <c r="L809">
        <v>2</v>
      </c>
      <c r="M809" t="s">
        <v>58</v>
      </c>
      <c r="V809">
        <v>1</v>
      </c>
      <c r="W809">
        <v>1</v>
      </c>
      <c r="X809">
        <v>0</v>
      </c>
      <c r="Y809">
        <v>0</v>
      </c>
      <c r="Z809">
        <v>0</v>
      </c>
    </row>
    <row r="810" spans="1:26" x14ac:dyDescent="0.2">
      <c r="A810" t="s">
        <v>928</v>
      </c>
      <c r="B810" t="s">
        <v>52</v>
      </c>
      <c r="C810">
        <v>2011</v>
      </c>
      <c r="D810" t="s">
        <v>48</v>
      </c>
      <c r="E810" t="s">
        <v>18</v>
      </c>
      <c r="F810" t="s">
        <v>49</v>
      </c>
      <c r="G810">
        <v>74197</v>
      </c>
      <c r="H810">
        <v>59357.600000000006</v>
      </c>
      <c r="I810" s="13">
        <v>0.25</v>
      </c>
      <c r="J810" t="s">
        <v>6207</v>
      </c>
      <c r="K810">
        <v>3</v>
      </c>
      <c r="L810">
        <v>1</v>
      </c>
      <c r="M810" t="s">
        <v>0</v>
      </c>
      <c r="V810">
        <v>1</v>
      </c>
      <c r="W810">
        <v>3</v>
      </c>
      <c r="X810">
        <v>0</v>
      </c>
      <c r="Y810">
        <v>0</v>
      </c>
      <c r="Z810">
        <v>0</v>
      </c>
    </row>
    <row r="811" spans="1:26" x14ac:dyDescent="0.2">
      <c r="A811" t="s">
        <v>929</v>
      </c>
      <c r="B811" t="s">
        <v>56</v>
      </c>
      <c r="C811">
        <v>2011</v>
      </c>
      <c r="D811" t="s">
        <v>40</v>
      </c>
      <c r="E811" t="s">
        <v>45</v>
      </c>
      <c r="F811" t="s">
        <v>49</v>
      </c>
      <c r="G811">
        <v>53400</v>
      </c>
      <c r="H811">
        <v>42720</v>
      </c>
      <c r="I811" s="13">
        <v>0.33333333333333331</v>
      </c>
      <c r="J811" t="s">
        <v>6207</v>
      </c>
      <c r="K811">
        <v>2</v>
      </c>
      <c r="L811">
        <v>0</v>
      </c>
      <c r="M811" t="s">
        <v>0</v>
      </c>
      <c r="V811">
        <v>1</v>
      </c>
      <c r="W811">
        <v>5</v>
      </c>
      <c r="X811">
        <v>0</v>
      </c>
      <c r="Y811">
        <v>0</v>
      </c>
      <c r="Z811">
        <v>0</v>
      </c>
    </row>
    <row r="812" spans="1:26" x14ac:dyDescent="0.2">
      <c r="A812" t="s">
        <v>930</v>
      </c>
      <c r="B812" t="s">
        <v>68</v>
      </c>
      <c r="C812">
        <v>2011</v>
      </c>
      <c r="D812" t="s">
        <v>43</v>
      </c>
      <c r="E812" t="s">
        <v>51</v>
      </c>
      <c r="F812" t="s">
        <v>43</v>
      </c>
      <c r="G812">
        <v>25138</v>
      </c>
      <c r="H812">
        <v>20110.400000000001</v>
      </c>
      <c r="I812" s="13">
        <v>0.8</v>
      </c>
      <c r="J812" t="s">
        <v>6207</v>
      </c>
      <c r="K812">
        <v>1</v>
      </c>
      <c r="L812">
        <v>2</v>
      </c>
      <c r="M812" t="s">
        <v>1</v>
      </c>
      <c r="V812">
        <v>3</v>
      </c>
      <c r="W812">
        <v>1</v>
      </c>
      <c r="X812">
        <v>1</v>
      </c>
      <c r="Y812">
        <v>0</v>
      </c>
      <c r="Z812">
        <v>0</v>
      </c>
    </row>
    <row r="813" spans="1:26" x14ac:dyDescent="0.2">
      <c r="A813" t="s">
        <v>931</v>
      </c>
      <c r="B813" t="s">
        <v>59</v>
      </c>
      <c r="C813">
        <v>2011</v>
      </c>
      <c r="D813" t="s">
        <v>63</v>
      </c>
      <c r="E813" t="s">
        <v>31</v>
      </c>
      <c r="F813" t="s">
        <v>65</v>
      </c>
      <c r="G813">
        <v>26804</v>
      </c>
      <c r="H813">
        <v>21443.200000000001</v>
      </c>
      <c r="I813" s="13">
        <v>0.66666666666666663</v>
      </c>
      <c r="J813" t="s">
        <v>6206</v>
      </c>
      <c r="K813">
        <v>0</v>
      </c>
      <c r="L813">
        <v>0</v>
      </c>
      <c r="M813" t="s">
        <v>58</v>
      </c>
      <c r="V813">
        <v>0</v>
      </c>
      <c r="W813">
        <v>3</v>
      </c>
      <c r="X813">
        <v>0</v>
      </c>
      <c r="Y813">
        <v>0</v>
      </c>
      <c r="Z813">
        <v>0</v>
      </c>
    </row>
    <row r="814" spans="1:26" x14ac:dyDescent="0.2">
      <c r="A814" t="s">
        <v>932</v>
      </c>
      <c r="B814" t="s">
        <v>32</v>
      </c>
      <c r="C814">
        <v>2011</v>
      </c>
      <c r="D814" t="s">
        <v>64</v>
      </c>
      <c r="E814" t="s">
        <v>39</v>
      </c>
      <c r="F814" t="s">
        <v>64</v>
      </c>
      <c r="G814">
        <v>52264</v>
      </c>
      <c r="H814">
        <v>41811.200000000004</v>
      </c>
      <c r="I814" s="13">
        <v>0.8</v>
      </c>
      <c r="J814" t="s">
        <v>6207</v>
      </c>
      <c r="K814">
        <v>3</v>
      </c>
      <c r="L814">
        <v>1</v>
      </c>
      <c r="M814" t="s">
        <v>0</v>
      </c>
      <c r="V814">
        <v>0</v>
      </c>
      <c r="W814">
        <v>4</v>
      </c>
      <c r="X814">
        <v>0</v>
      </c>
      <c r="Y814">
        <v>1</v>
      </c>
      <c r="Z814">
        <v>0</v>
      </c>
    </row>
    <row r="815" spans="1:26" x14ac:dyDescent="0.2">
      <c r="A815" t="s">
        <v>933</v>
      </c>
      <c r="B815" t="s">
        <v>60</v>
      </c>
      <c r="C815">
        <v>2011</v>
      </c>
      <c r="D815" t="s">
        <v>26</v>
      </c>
      <c r="E815" t="s">
        <v>22</v>
      </c>
      <c r="F815" t="s">
        <v>26</v>
      </c>
      <c r="G815">
        <v>61276</v>
      </c>
      <c r="H815">
        <v>49020.800000000003</v>
      </c>
      <c r="I815" s="13">
        <v>0.42857142857142855</v>
      </c>
      <c r="J815" t="s">
        <v>6208</v>
      </c>
      <c r="K815">
        <v>2</v>
      </c>
      <c r="L815">
        <v>1</v>
      </c>
      <c r="M815" t="s">
        <v>0</v>
      </c>
      <c r="V815">
        <v>3</v>
      </c>
      <c r="W815">
        <v>4</v>
      </c>
      <c r="X815">
        <v>0</v>
      </c>
      <c r="Y815">
        <v>0</v>
      </c>
      <c r="Z815">
        <v>0</v>
      </c>
    </row>
    <row r="816" spans="1:26" x14ac:dyDescent="0.2">
      <c r="A816" t="s">
        <v>934</v>
      </c>
      <c r="B816" t="s">
        <v>41</v>
      </c>
      <c r="C816">
        <v>2011</v>
      </c>
      <c r="D816" t="s">
        <v>18</v>
      </c>
      <c r="E816" t="s">
        <v>71</v>
      </c>
      <c r="F816" t="s">
        <v>20</v>
      </c>
      <c r="G816">
        <v>40341</v>
      </c>
      <c r="H816">
        <v>32272.800000000003</v>
      </c>
      <c r="I816" s="13">
        <v>0.75</v>
      </c>
      <c r="J816" t="s">
        <v>6207</v>
      </c>
      <c r="K816">
        <v>4</v>
      </c>
      <c r="L816">
        <v>1</v>
      </c>
      <c r="M816" t="s">
        <v>0</v>
      </c>
      <c r="V816">
        <v>3</v>
      </c>
      <c r="W816">
        <v>0</v>
      </c>
      <c r="X816">
        <v>1</v>
      </c>
      <c r="Y816">
        <v>0</v>
      </c>
      <c r="Z816">
        <v>0</v>
      </c>
    </row>
    <row r="817" spans="1:26" x14ac:dyDescent="0.2">
      <c r="A817" t="s">
        <v>935</v>
      </c>
      <c r="B817" t="s">
        <v>44</v>
      </c>
      <c r="C817">
        <v>2011</v>
      </c>
      <c r="D817" t="s">
        <v>46</v>
      </c>
      <c r="E817" t="s">
        <v>34</v>
      </c>
      <c r="F817" t="s">
        <v>20</v>
      </c>
      <c r="G817">
        <v>60704</v>
      </c>
      <c r="H817">
        <v>48563.200000000004</v>
      </c>
      <c r="I817" s="13">
        <v>0.5</v>
      </c>
      <c r="J817" t="s">
        <v>6207</v>
      </c>
      <c r="K817">
        <v>3</v>
      </c>
      <c r="L817">
        <v>0</v>
      </c>
      <c r="M817" t="s">
        <v>0</v>
      </c>
      <c r="V817">
        <v>0</v>
      </c>
      <c r="W817">
        <v>1</v>
      </c>
      <c r="X817">
        <v>0</v>
      </c>
      <c r="Y817">
        <v>1</v>
      </c>
      <c r="Z817">
        <v>0</v>
      </c>
    </row>
    <row r="818" spans="1:26" x14ac:dyDescent="0.2">
      <c r="A818" t="s">
        <v>936</v>
      </c>
      <c r="B818" t="s">
        <v>55</v>
      </c>
      <c r="C818">
        <v>2011</v>
      </c>
      <c r="D818" t="s">
        <v>27</v>
      </c>
      <c r="E818" t="s">
        <v>48</v>
      </c>
      <c r="F818" t="s">
        <v>27</v>
      </c>
      <c r="G818">
        <v>30089</v>
      </c>
      <c r="H818">
        <v>24071.200000000001</v>
      </c>
      <c r="I818" s="13">
        <v>1</v>
      </c>
      <c r="J818" t="s">
        <v>6206</v>
      </c>
      <c r="K818">
        <v>1</v>
      </c>
      <c r="L818">
        <v>1</v>
      </c>
      <c r="M818" t="s">
        <v>58</v>
      </c>
      <c r="V818">
        <v>1</v>
      </c>
      <c r="W818">
        <v>0</v>
      </c>
      <c r="X818">
        <v>0</v>
      </c>
      <c r="Y818">
        <v>0</v>
      </c>
      <c r="Z818">
        <v>0</v>
      </c>
    </row>
    <row r="819" spans="1:26" x14ac:dyDescent="0.2">
      <c r="A819" t="s">
        <v>937</v>
      </c>
      <c r="B819" t="s">
        <v>66</v>
      </c>
      <c r="C819">
        <v>2011</v>
      </c>
      <c r="D819" t="s">
        <v>70</v>
      </c>
      <c r="E819" t="s">
        <v>42</v>
      </c>
      <c r="F819" t="s">
        <v>20</v>
      </c>
      <c r="G819">
        <v>18439</v>
      </c>
      <c r="H819">
        <v>14751.2</v>
      </c>
      <c r="I819" s="13">
        <v>0.375</v>
      </c>
      <c r="J819" t="s">
        <v>6207</v>
      </c>
      <c r="K819">
        <v>1</v>
      </c>
      <c r="L819">
        <v>1</v>
      </c>
      <c r="M819" t="s">
        <v>58</v>
      </c>
      <c r="V819">
        <v>1</v>
      </c>
      <c r="W819">
        <v>6</v>
      </c>
      <c r="X819">
        <v>1</v>
      </c>
      <c r="Y819">
        <v>0</v>
      </c>
      <c r="Z819">
        <v>1</v>
      </c>
    </row>
    <row r="820" spans="1:26" x14ac:dyDescent="0.2">
      <c r="A820" t="s">
        <v>938</v>
      </c>
      <c r="B820" t="s">
        <v>25</v>
      </c>
      <c r="C820">
        <v>2011</v>
      </c>
      <c r="D820" t="s">
        <v>69</v>
      </c>
      <c r="E820" t="s">
        <v>35</v>
      </c>
      <c r="F820" t="s">
        <v>69</v>
      </c>
      <c r="G820">
        <v>27359</v>
      </c>
      <c r="H820">
        <v>21887.200000000001</v>
      </c>
      <c r="I820" s="13">
        <v>0.33333333333333331</v>
      </c>
      <c r="J820" t="s">
        <v>6207</v>
      </c>
      <c r="K820">
        <v>2</v>
      </c>
      <c r="L820">
        <v>1</v>
      </c>
      <c r="M820" t="s">
        <v>0</v>
      </c>
      <c r="V820">
        <v>2</v>
      </c>
      <c r="W820">
        <v>1</v>
      </c>
      <c r="X820">
        <v>0</v>
      </c>
      <c r="Y820">
        <v>0</v>
      </c>
      <c r="Z820">
        <v>0</v>
      </c>
    </row>
    <row r="821" spans="1:26" x14ac:dyDescent="0.2">
      <c r="A821" t="s">
        <v>939</v>
      </c>
      <c r="B821" t="s">
        <v>32</v>
      </c>
      <c r="C821">
        <v>2011</v>
      </c>
      <c r="D821" t="s">
        <v>45</v>
      </c>
      <c r="E821" t="s">
        <v>26</v>
      </c>
      <c r="F821" t="s">
        <v>26</v>
      </c>
      <c r="G821">
        <v>39572</v>
      </c>
      <c r="H821">
        <v>31657.600000000002</v>
      </c>
      <c r="I821" s="13">
        <v>0.66666666666666663</v>
      </c>
      <c r="J821" t="s">
        <v>6207</v>
      </c>
      <c r="K821">
        <v>0</v>
      </c>
      <c r="L821">
        <v>2</v>
      </c>
      <c r="M821" t="s">
        <v>1</v>
      </c>
      <c r="V821">
        <v>1</v>
      </c>
      <c r="W821">
        <v>1</v>
      </c>
      <c r="X821">
        <v>1</v>
      </c>
      <c r="Y821">
        <v>0</v>
      </c>
      <c r="Z821">
        <v>0</v>
      </c>
    </row>
    <row r="822" spans="1:26" x14ac:dyDescent="0.2">
      <c r="A822" t="s">
        <v>940</v>
      </c>
      <c r="B822" t="s">
        <v>47</v>
      </c>
      <c r="C822">
        <v>2011</v>
      </c>
      <c r="D822" t="s">
        <v>22</v>
      </c>
      <c r="E822" t="s">
        <v>64</v>
      </c>
      <c r="F822" t="s">
        <v>24</v>
      </c>
      <c r="G822">
        <v>31750</v>
      </c>
      <c r="H822">
        <v>25400</v>
      </c>
      <c r="I822" s="13">
        <v>0.66666666666666663</v>
      </c>
      <c r="J822" t="s">
        <v>6208</v>
      </c>
      <c r="K822">
        <v>1</v>
      </c>
      <c r="L822">
        <v>2</v>
      </c>
      <c r="M822" t="s">
        <v>1</v>
      </c>
      <c r="V822">
        <v>1</v>
      </c>
      <c r="W822">
        <v>2</v>
      </c>
      <c r="X822">
        <v>0</v>
      </c>
      <c r="Y822">
        <v>0</v>
      </c>
      <c r="Z822">
        <v>0</v>
      </c>
    </row>
    <row r="823" spans="1:26" x14ac:dyDescent="0.2">
      <c r="A823" t="s">
        <v>941</v>
      </c>
      <c r="B823" t="s">
        <v>50</v>
      </c>
      <c r="C823">
        <v>2011</v>
      </c>
      <c r="D823" t="s">
        <v>35</v>
      </c>
      <c r="E823" t="s">
        <v>63</v>
      </c>
      <c r="F823" t="s">
        <v>35</v>
      </c>
      <c r="G823">
        <v>49000</v>
      </c>
      <c r="H823">
        <v>39200</v>
      </c>
      <c r="I823" s="13">
        <v>0.5</v>
      </c>
      <c r="J823" t="s">
        <v>6207</v>
      </c>
      <c r="K823">
        <v>2</v>
      </c>
      <c r="L823">
        <v>2</v>
      </c>
      <c r="M823" t="s">
        <v>58</v>
      </c>
      <c r="V823">
        <v>2</v>
      </c>
      <c r="W823">
        <v>0</v>
      </c>
      <c r="X823">
        <v>0</v>
      </c>
      <c r="Y823">
        <v>0</v>
      </c>
      <c r="Z823">
        <v>0</v>
      </c>
    </row>
    <row r="824" spans="1:26" x14ac:dyDescent="0.2">
      <c r="A824" t="s">
        <v>942</v>
      </c>
      <c r="B824" t="s">
        <v>59</v>
      </c>
      <c r="C824">
        <v>2011</v>
      </c>
      <c r="D824" t="s">
        <v>48</v>
      </c>
      <c r="E824" t="s">
        <v>69</v>
      </c>
      <c r="F824" t="s">
        <v>49</v>
      </c>
      <c r="G824">
        <v>74197</v>
      </c>
      <c r="H824">
        <v>59357.600000000006</v>
      </c>
      <c r="I824" s="13">
        <v>0</v>
      </c>
      <c r="J824" t="s">
        <v>6206</v>
      </c>
      <c r="K824">
        <v>2</v>
      </c>
      <c r="L824">
        <v>0</v>
      </c>
      <c r="M824" t="s">
        <v>0</v>
      </c>
      <c r="V824">
        <v>1</v>
      </c>
      <c r="W824">
        <v>0</v>
      </c>
      <c r="X824">
        <v>0</v>
      </c>
      <c r="Y824">
        <v>0</v>
      </c>
      <c r="Z824">
        <v>0</v>
      </c>
    </row>
    <row r="825" spans="1:26" x14ac:dyDescent="0.2">
      <c r="A825" t="s">
        <v>943</v>
      </c>
      <c r="B825" t="s">
        <v>52</v>
      </c>
      <c r="C825">
        <v>2011</v>
      </c>
      <c r="D825" t="s">
        <v>39</v>
      </c>
      <c r="E825" t="s">
        <v>40</v>
      </c>
      <c r="F825" t="s">
        <v>39</v>
      </c>
      <c r="G825">
        <v>31367</v>
      </c>
      <c r="H825">
        <v>25093.600000000002</v>
      </c>
      <c r="I825" s="13">
        <v>1</v>
      </c>
      <c r="J825" t="s">
        <v>6207</v>
      </c>
      <c r="K825">
        <v>0</v>
      </c>
      <c r="L825">
        <v>4</v>
      </c>
      <c r="M825" t="s">
        <v>1</v>
      </c>
      <c r="V825">
        <v>1</v>
      </c>
      <c r="W825">
        <v>1</v>
      </c>
      <c r="X825">
        <v>0</v>
      </c>
      <c r="Y825">
        <v>0</v>
      </c>
      <c r="Z825">
        <v>0</v>
      </c>
    </row>
    <row r="826" spans="1:26" x14ac:dyDescent="0.2">
      <c r="A826" t="s">
        <v>944</v>
      </c>
      <c r="B826" t="s">
        <v>44</v>
      </c>
      <c r="C826">
        <v>2011</v>
      </c>
      <c r="D826" t="s">
        <v>42</v>
      </c>
      <c r="E826" t="s">
        <v>43</v>
      </c>
      <c r="F826" t="s">
        <v>38</v>
      </c>
      <c r="G826">
        <v>42918</v>
      </c>
      <c r="H826">
        <v>34334.400000000001</v>
      </c>
      <c r="I826" s="13">
        <v>0</v>
      </c>
      <c r="J826" t="s">
        <v>6207</v>
      </c>
      <c r="K826">
        <v>2</v>
      </c>
      <c r="L826">
        <v>0</v>
      </c>
      <c r="M826" t="s">
        <v>0</v>
      </c>
      <c r="V826">
        <v>0</v>
      </c>
      <c r="W826">
        <v>1</v>
      </c>
      <c r="X826">
        <v>0</v>
      </c>
      <c r="Y826">
        <v>0</v>
      </c>
      <c r="Z826">
        <v>0</v>
      </c>
    </row>
    <row r="827" spans="1:26" x14ac:dyDescent="0.2">
      <c r="A827" t="s">
        <v>945</v>
      </c>
      <c r="B827" t="s">
        <v>55</v>
      </c>
      <c r="C827">
        <v>2011</v>
      </c>
      <c r="D827" t="s">
        <v>34</v>
      </c>
      <c r="E827" t="s">
        <v>18</v>
      </c>
      <c r="F827" t="s">
        <v>36</v>
      </c>
      <c r="G827">
        <v>28723</v>
      </c>
      <c r="H827">
        <v>22978.400000000001</v>
      </c>
      <c r="I827" s="13">
        <v>0.33333333333333331</v>
      </c>
      <c r="J827" t="s">
        <v>6206</v>
      </c>
      <c r="K827">
        <v>1</v>
      </c>
      <c r="L827">
        <v>5</v>
      </c>
      <c r="M827" t="s">
        <v>1</v>
      </c>
      <c r="V827">
        <v>1</v>
      </c>
      <c r="W827">
        <v>2</v>
      </c>
      <c r="X827">
        <v>0</v>
      </c>
      <c r="Y827">
        <v>0</v>
      </c>
      <c r="Z827">
        <v>0</v>
      </c>
    </row>
    <row r="828" spans="1:26" x14ac:dyDescent="0.2">
      <c r="A828" t="s">
        <v>946</v>
      </c>
      <c r="B828" t="s">
        <v>53</v>
      </c>
      <c r="C828">
        <v>2011</v>
      </c>
      <c r="D828" t="s">
        <v>71</v>
      </c>
      <c r="E828" t="s">
        <v>27</v>
      </c>
      <c r="F828" t="s">
        <v>71</v>
      </c>
      <c r="G828">
        <v>21088</v>
      </c>
      <c r="H828">
        <v>16870.400000000001</v>
      </c>
      <c r="I828" s="13">
        <v>0.125</v>
      </c>
      <c r="J828" t="s">
        <v>6207</v>
      </c>
      <c r="K828">
        <v>2</v>
      </c>
      <c r="L828">
        <v>0</v>
      </c>
      <c r="M828" t="s">
        <v>0</v>
      </c>
      <c r="V828">
        <v>3</v>
      </c>
      <c r="W828">
        <v>5</v>
      </c>
      <c r="X828">
        <v>0</v>
      </c>
      <c r="Y828">
        <v>0</v>
      </c>
      <c r="Z828">
        <v>1</v>
      </c>
    </row>
    <row r="829" spans="1:26" x14ac:dyDescent="0.2">
      <c r="A829" t="s">
        <v>947</v>
      </c>
      <c r="B829" t="s">
        <v>37</v>
      </c>
      <c r="C829">
        <v>2011</v>
      </c>
      <c r="D829" t="s">
        <v>31</v>
      </c>
      <c r="E829" t="s">
        <v>70</v>
      </c>
      <c r="F829" t="s">
        <v>20</v>
      </c>
      <c r="G829">
        <v>28500</v>
      </c>
      <c r="H829">
        <v>22800</v>
      </c>
      <c r="I829" s="13">
        <v>0.4</v>
      </c>
      <c r="J829" t="s">
        <v>6206</v>
      </c>
      <c r="K829">
        <v>6</v>
      </c>
      <c r="L829">
        <v>0</v>
      </c>
      <c r="M829" t="s">
        <v>0</v>
      </c>
      <c r="V829">
        <v>2</v>
      </c>
      <c r="W829">
        <v>3</v>
      </c>
      <c r="X829">
        <v>0</v>
      </c>
      <c r="Y829">
        <v>0</v>
      </c>
      <c r="Z829">
        <v>1</v>
      </c>
    </row>
    <row r="830" spans="1:26" x14ac:dyDescent="0.2">
      <c r="A830" t="s">
        <v>948</v>
      </c>
      <c r="B830" t="s">
        <v>41</v>
      </c>
      <c r="C830">
        <v>2011</v>
      </c>
      <c r="D830" t="s">
        <v>51</v>
      </c>
      <c r="E830" t="s">
        <v>46</v>
      </c>
      <c r="F830" t="s">
        <v>20</v>
      </c>
      <c r="G830">
        <v>36284</v>
      </c>
      <c r="H830">
        <v>29027.200000000001</v>
      </c>
      <c r="I830" s="13">
        <v>0.66666666666666663</v>
      </c>
      <c r="J830" t="s">
        <v>6207</v>
      </c>
      <c r="K830">
        <v>2</v>
      </c>
      <c r="L830">
        <v>1</v>
      </c>
      <c r="M830" t="s">
        <v>0</v>
      </c>
      <c r="V830">
        <v>2</v>
      </c>
      <c r="W830">
        <v>1</v>
      </c>
      <c r="X830">
        <v>0</v>
      </c>
      <c r="Y830">
        <v>0</v>
      </c>
      <c r="Z830">
        <v>0</v>
      </c>
    </row>
    <row r="831" spans="1:26" x14ac:dyDescent="0.2">
      <c r="A831" t="s">
        <v>949</v>
      </c>
      <c r="B831" t="s">
        <v>37</v>
      </c>
      <c r="C831">
        <v>2011</v>
      </c>
      <c r="D831" t="s">
        <v>26</v>
      </c>
      <c r="E831" t="s">
        <v>48</v>
      </c>
      <c r="F831" t="s">
        <v>26</v>
      </c>
      <c r="G831">
        <v>61276</v>
      </c>
      <c r="H831">
        <v>49020.800000000003</v>
      </c>
      <c r="I831" s="13">
        <v>0.5</v>
      </c>
      <c r="J831" t="s">
        <v>6206</v>
      </c>
      <c r="K831">
        <v>1</v>
      </c>
      <c r="L831">
        <v>1</v>
      </c>
      <c r="M831" t="s">
        <v>58</v>
      </c>
      <c r="V831">
        <v>1</v>
      </c>
      <c r="W831">
        <v>3</v>
      </c>
      <c r="X831">
        <v>0</v>
      </c>
      <c r="Y831">
        <v>0</v>
      </c>
      <c r="Z831">
        <v>0</v>
      </c>
    </row>
    <row r="832" spans="1:26" x14ac:dyDescent="0.2">
      <c r="A832" t="s">
        <v>950</v>
      </c>
      <c r="B832" t="s">
        <v>41</v>
      </c>
      <c r="C832">
        <v>2011</v>
      </c>
      <c r="D832" t="s">
        <v>43</v>
      </c>
      <c r="E832" t="s">
        <v>34</v>
      </c>
      <c r="F832" t="s">
        <v>43</v>
      </c>
      <c r="G832">
        <v>25138</v>
      </c>
      <c r="H832">
        <v>20110.400000000001</v>
      </c>
      <c r="I832" s="13">
        <v>0.625</v>
      </c>
      <c r="J832" t="s">
        <v>6207</v>
      </c>
      <c r="K832">
        <v>1</v>
      </c>
      <c r="L832">
        <v>3</v>
      </c>
      <c r="M832" t="s">
        <v>1</v>
      </c>
      <c r="V832">
        <v>4</v>
      </c>
      <c r="W832">
        <v>4</v>
      </c>
      <c r="X832">
        <v>0</v>
      </c>
      <c r="Y832">
        <v>0</v>
      </c>
      <c r="Z832">
        <v>0</v>
      </c>
    </row>
    <row r="833" spans="1:26" x14ac:dyDescent="0.2">
      <c r="A833" t="s">
        <v>951</v>
      </c>
      <c r="B833" t="s">
        <v>32</v>
      </c>
      <c r="C833">
        <v>2011</v>
      </c>
      <c r="D833" t="s">
        <v>27</v>
      </c>
      <c r="E833" t="s">
        <v>31</v>
      </c>
      <c r="F833" t="s">
        <v>27</v>
      </c>
      <c r="G833">
        <v>30089</v>
      </c>
      <c r="H833">
        <v>24071.200000000001</v>
      </c>
      <c r="I833" s="13">
        <v>0.5</v>
      </c>
      <c r="J833" t="s">
        <v>6207</v>
      </c>
      <c r="K833">
        <v>2</v>
      </c>
      <c r="L833">
        <v>0</v>
      </c>
      <c r="M833" t="s">
        <v>0</v>
      </c>
      <c r="V833">
        <v>4</v>
      </c>
      <c r="W833">
        <v>4</v>
      </c>
      <c r="X833">
        <v>0</v>
      </c>
      <c r="Y833">
        <v>0</v>
      </c>
      <c r="Z833">
        <v>0</v>
      </c>
    </row>
    <row r="834" spans="1:26" x14ac:dyDescent="0.2">
      <c r="A834" t="s">
        <v>952</v>
      </c>
      <c r="B834" t="s">
        <v>44</v>
      </c>
      <c r="C834">
        <v>2011</v>
      </c>
      <c r="D834" t="s">
        <v>70</v>
      </c>
      <c r="E834" t="s">
        <v>39</v>
      </c>
      <c r="F834" t="s">
        <v>20</v>
      </c>
      <c r="G834">
        <v>18439</v>
      </c>
      <c r="H834">
        <v>14751.2</v>
      </c>
      <c r="I834" s="13">
        <v>0.6</v>
      </c>
      <c r="J834" t="s">
        <v>6207</v>
      </c>
      <c r="K834">
        <v>1</v>
      </c>
      <c r="L834">
        <v>1</v>
      </c>
      <c r="M834" t="s">
        <v>58</v>
      </c>
      <c r="V834">
        <v>3</v>
      </c>
      <c r="W834">
        <v>2</v>
      </c>
      <c r="X834">
        <v>0</v>
      </c>
      <c r="Y834">
        <v>0</v>
      </c>
      <c r="Z834">
        <v>0</v>
      </c>
    </row>
    <row r="835" spans="1:26" x14ac:dyDescent="0.2">
      <c r="A835" t="s">
        <v>953</v>
      </c>
      <c r="B835" t="s">
        <v>68</v>
      </c>
      <c r="C835">
        <v>2011</v>
      </c>
      <c r="D835" t="s">
        <v>69</v>
      </c>
      <c r="E835" t="s">
        <v>71</v>
      </c>
      <c r="F835" t="s">
        <v>69</v>
      </c>
      <c r="G835">
        <v>27359</v>
      </c>
      <c r="H835">
        <v>21887.200000000001</v>
      </c>
      <c r="I835" s="13">
        <v>0</v>
      </c>
      <c r="J835" t="s">
        <v>6207</v>
      </c>
      <c r="K835">
        <v>3</v>
      </c>
      <c r="L835">
        <v>1</v>
      </c>
      <c r="M835" t="s">
        <v>0</v>
      </c>
      <c r="V835">
        <v>0</v>
      </c>
      <c r="W835">
        <v>1</v>
      </c>
      <c r="X835">
        <v>0</v>
      </c>
      <c r="Y835">
        <v>0</v>
      </c>
      <c r="Z835">
        <v>0</v>
      </c>
    </row>
    <row r="836" spans="1:26" x14ac:dyDescent="0.2">
      <c r="A836" t="s">
        <v>954</v>
      </c>
      <c r="B836" t="s">
        <v>61</v>
      </c>
      <c r="C836">
        <v>2011</v>
      </c>
      <c r="D836" t="s">
        <v>40</v>
      </c>
      <c r="E836" t="s">
        <v>42</v>
      </c>
      <c r="F836" t="s">
        <v>49</v>
      </c>
      <c r="G836">
        <v>53400</v>
      </c>
      <c r="H836">
        <v>42720</v>
      </c>
      <c r="I836" s="13">
        <v>0</v>
      </c>
      <c r="J836" t="s">
        <v>6207</v>
      </c>
      <c r="K836">
        <v>4</v>
      </c>
      <c r="L836">
        <v>1</v>
      </c>
      <c r="M836" t="s">
        <v>0</v>
      </c>
      <c r="V836">
        <v>1</v>
      </c>
      <c r="W836">
        <v>1</v>
      </c>
      <c r="X836">
        <v>0</v>
      </c>
      <c r="Y836">
        <v>0</v>
      </c>
      <c r="Z836">
        <v>0</v>
      </c>
    </row>
    <row r="837" spans="1:26" x14ac:dyDescent="0.2">
      <c r="A837" t="s">
        <v>955</v>
      </c>
      <c r="B837" t="s">
        <v>53</v>
      </c>
      <c r="C837">
        <v>2011</v>
      </c>
      <c r="D837" t="s">
        <v>18</v>
      </c>
      <c r="E837" t="s">
        <v>45</v>
      </c>
      <c r="F837" t="s">
        <v>20</v>
      </c>
      <c r="G837">
        <v>40341</v>
      </c>
      <c r="H837">
        <v>32272.800000000003</v>
      </c>
      <c r="I837" s="13">
        <v>0.25</v>
      </c>
      <c r="J837" t="s">
        <v>6207</v>
      </c>
      <c r="K837">
        <v>3</v>
      </c>
      <c r="L837">
        <v>1</v>
      </c>
      <c r="M837" t="s">
        <v>0</v>
      </c>
      <c r="V837">
        <v>2</v>
      </c>
      <c r="W837">
        <v>2</v>
      </c>
      <c r="X837">
        <v>0</v>
      </c>
      <c r="Y837">
        <v>0</v>
      </c>
      <c r="Z837">
        <v>0</v>
      </c>
    </row>
    <row r="838" spans="1:26" x14ac:dyDescent="0.2">
      <c r="A838" t="s">
        <v>956</v>
      </c>
      <c r="B838" t="s">
        <v>25</v>
      </c>
      <c r="C838">
        <v>2011</v>
      </c>
      <c r="D838" t="s">
        <v>63</v>
      </c>
      <c r="E838" t="s">
        <v>22</v>
      </c>
      <c r="F838" t="s">
        <v>65</v>
      </c>
      <c r="G838">
        <v>26804</v>
      </c>
      <c r="H838">
        <v>21443.200000000001</v>
      </c>
      <c r="I838" s="13">
        <v>0</v>
      </c>
      <c r="J838" t="s">
        <v>6207</v>
      </c>
      <c r="K838">
        <v>2</v>
      </c>
      <c r="L838">
        <v>0</v>
      </c>
      <c r="M838" t="s">
        <v>0</v>
      </c>
      <c r="V838">
        <v>0</v>
      </c>
      <c r="W838">
        <v>1</v>
      </c>
      <c r="X838">
        <v>0</v>
      </c>
      <c r="Y838">
        <v>0</v>
      </c>
      <c r="Z838">
        <v>0</v>
      </c>
    </row>
    <row r="839" spans="1:26" x14ac:dyDescent="0.2">
      <c r="A839" t="s">
        <v>957</v>
      </c>
      <c r="B839" t="s">
        <v>56</v>
      </c>
      <c r="C839">
        <v>2011</v>
      </c>
      <c r="D839" t="s">
        <v>46</v>
      </c>
      <c r="E839" t="s">
        <v>35</v>
      </c>
      <c r="F839" t="s">
        <v>20</v>
      </c>
      <c r="G839">
        <v>60704</v>
      </c>
      <c r="H839">
        <v>48563.200000000004</v>
      </c>
      <c r="I839" s="13">
        <v>0.5</v>
      </c>
      <c r="J839" t="s">
        <v>6207</v>
      </c>
      <c r="K839">
        <v>2</v>
      </c>
      <c r="L839">
        <v>1</v>
      </c>
      <c r="M839" t="s">
        <v>0</v>
      </c>
      <c r="V839">
        <v>3</v>
      </c>
      <c r="W839">
        <v>3</v>
      </c>
      <c r="X839">
        <v>0</v>
      </c>
      <c r="Y839">
        <v>0</v>
      </c>
      <c r="Z839">
        <v>0</v>
      </c>
    </row>
    <row r="840" spans="1:26" x14ac:dyDescent="0.2">
      <c r="A840" t="s">
        <v>958</v>
      </c>
      <c r="B840" t="s">
        <v>54</v>
      </c>
      <c r="C840">
        <v>2011</v>
      </c>
      <c r="D840" t="s">
        <v>64</v>
      </c>
      <c r="E840" t="s">
        <v>51</v>
      </c>
      <c r="F840" t="s">
        <v>64</v>
      </c>
      <c r="G840">
        <v>52264</v>
      </c>
      <c r="H840">
        <v>41811.200000000004</v>
      </c>
      <c r="I840" s="13">
        <v>0.66666666666666663</v>
      </c>
      <c r="J840" t="s">
        <v>6206</v>
      </c>
      <c r="K840">
        <v>2</v>
      </c>
      <c r="L840">
        <v>2</v>
      </c>
      <c r="M840" t="s">
        <v>58</v>
      </c>
      <c r="V840">
        <v>1</v>
      </c>
      <c r="W840">
        <v>2</v>
      </c>
      <c r="X840">
        <v>0</v>
      </c>
      <c r="Y840">
        <v>0</v>
      </c>
      <c r="Z840">
        <v>1</v>
      </c>
    </row>
    <row r="841" spans="1:26" x14ac:dyDescent="0.2">
      <c r="A841" t="s">
        <v>959</v>
      </c>
      <c r="B841" t="s">
        <v>66</v>
      </c>
      <c r="C841">
        <v>2011</v>
      </c>
      <c r="D841" t="s">
        <v>22</v>
      </c>
      <c r="E841" t="s">
        <v>71</v>
      </c>
      <c r="F841" t="s">
        <v>24</v>
      </c>
      <c r="G841">
        <v>31750</v>
      </c>
      <c r="H841">
        <v>25400</v>
      </c>
      <c r="I841" s="13">
        <v>0</v>
      </c>
      <c r="J841" t="s">
        <v>6207</v>
      </c>
      <c r="K841">
        <v>2</v>
      </c>
      <c r="L841">
        <v>2</v>
      </c>
      <c r="M841" t="s">
        <v>58</v>
      </c>
      <c r="V841">
        <v>2</v>
      </c>
      <c r="W841">
        <v>0</v>
      </c>
      <c r="X841">
        <v>0</v>
      </c>
      <c r="Y841">
        <v>0</v>
      </c>
      <c r="Z841">
        <v>0</v>
      </c>
    </row>
    <row r="842" spans="1:26" x14ac:dyDescent="0.2">
      <c r="A842" t="s">
        <v>960</v>
      </c>
      <c r="B842" t="s">
        <v>67</v>
      </c>
      <c r="C842">
        <v>2011</v>
      </c>
      <c r="D842" t="s">
        <v>64</v>
      </c>
      <c r="E842" t="s">
        <v>43</v>
      </c>
      <c r="F842" t="s">
        <v>64</v>
      </c>
      <c r="G842">
        <v>52264</v>
      </c>
      <c r="H842">
        <v>41811.200000000004</v>
      </c>
      <c r="I842" s="13">
        <v>0.6</v>
      </c>
      <c r="J842" t="s">
        <v>6207</v>
      </c>
      <c r="K842">
        <v>1</v>
      </c>
      <c r="L842">
        <v>0</v>
      </c>
      <c r="M842" t="s">
        <v>0</v>
      </c>
      <c r="V842">
        <v>3</v>
      </c>
      <c r="W842">
        <v>2</v>
      </c>
      <c r="X842">
        <v>0</v>
      </c>
      <c r="Y842">
        <v>0</v>
      </c>
      <c r="Z842">
        <v>0</v>
      </c>
    </row>
    <row r="843" spans="1:26" x14ac:dyDescent="0.2">
      <c r="A843" t="s">
        <v>961</v>
      </c>
      <c r="B843" t="s">
        <v>53</v>
      </c>
      <c r="C843">
        <v>2011</v>
      </c>
      <c r="D843" t="s">
        <v>34</v>
      </c>
      <c r="E843" t="s">
        <v>35</v>
      </c>
      <c r="F843" t="s">
        <v>36</v>
      </c>
      <c r="G843">
        <v>28723</v>
      </c>
      <c r="H843">
        <v>22978.400000000001</v>
      </c>
      <c r="I843" s="13">
        <v>0.66666666666666663</v>
      </c>
      <c r="J843" t="s">
        <v>6207</v>
      </c>
      <c r="K843">
        <v>0</v>
      </c>
      <c r="L843">
        <v>2</v>
      </c>
      <c r="M843" t="s">
        <v>1</v>
      </c>
      <c r="V843">
        <v>0</v>
      </c>
      <c r="W843">
        <v>3</v>
      </c>
      <c r="X843">
        <v>0</v>
      </c>
      <c r="Y843">
        <v>0</v>
      </c>
      <c r="Z843">
        <v>0</v>
      </c>
    </row>
    <row r="844" spans="1:26" x14ac:dyDescent="0.2">
      <c r="A844" t="s">
        <v>962</v>
      </c>
      <c r="B844" t="s">
        <v>52</v>
      </c>
      <c r="C844">
        <v>2011</v>
      </c>
      <c r="D844" t="s">
        <v>42</v>
      </c>
      <c r="E844" t="s">
        <v>63</v>
      </c>
      <c r="F844" t="s">
        <v>38</v>
      </c>
      <c r="G844">
        <v>42918</v>
      </c>
      <c r="H844">
        <v>34334.400000000001</v>
      </c>
      <c r="I844" s="13">
        <v>0.83333333333333337</v>
      </c>
      <c r="J844" t="s">
        <v>6207</v>
      </c>
      <c r="K844">
        <v>1</v>
      </c>
      <c r="L844">
        <v>2</v>
      </c>
      <c r="M844" t="s">
        <v>1</v>
      </c>
      <c r="V844">
        <v>2</v>
      </c>
      <c r="W844">
        <v>3</v>
      </c>
      <c r="X844">
        <v>1</v>
      </c>
      <c r="Y844">
        <v>0</v>
      </c>
      <c r="Z844">
        <v>1</v>
      </c>
    </row>
    <row r="845" spans="1:26" x14ac:dyDescent="0.2">
      <c r="A845" t="s">
        <v>963</v>
      </c>
      <c r="B845" t="s">
        <v>55</v>
      </c>
      <c r="C845">
        <v>2011</v>
      </c>
      <c r="D845" t="s">
        <v>26</v>
      </c>
      <c r="E845" t="s">
        <v>69</v>
      </c>
      <c r="F845" t="s">
        <v>26</v>
      </c>
      <c r="G845">
        <v>61276</v>
      </c>
      <c r="H845">
        <v>49020.800000000003</v>
      </c>
      <c r="I845" s="13">
        <v>0</v>
      </c>
      <c r="J845" t="s">
        <v>6206</v>
      </c>
      <c r="K845">
        <v>1</v>
      </c>
      <c r="L845">
        <v>1</v>
      </c>
      <c r="M845" t="s">
        <v>58</v>
      </c>
      <c r="N845">
        <v>55</v>
      </c>
      <c r="O845">
        <v>45</v>
      </c>
      <c r="R845">
        <v>10</v>
      </c>
      <c r="S845">
        <v>3</v>
      </c>
      <c r="T845">
        <v>6</v>
      </c>
      <c r="U845">
        <v>8</v>
      </c>
      <c r="V845">
        <v>0</v>
      </c>
      <c r="W845">
        <v>1</v>
      </c>
      <c r="X845">
        <v>0</v>
      </c>
      <c r="Y845">
        <v>0</v>
      </c>
      <c r="Z845">
        <v>0</v>
      </c>
    </row>
    <row r="846" spans="1:26" x14ac:dyDescent="0.2">
      <c r="A846" t="s">
        <v>964</v>
      </c>
      <c r="B846" t="s">
        <v>44</v>
      </c>
      <c r="C846">
        <v>2011</v>
      </c>
      <c r="D846" t="s">
        <v>48</v>
      </c>
      <c r="E846" t="s">
        <v>40</v>
      </c>
      <c r="F846" t="s">
        <v>49</v>
      </c>
      <c r="G846">
        <v>74197</v>
      </c>
      <c r="H846">
        <v>59357.600000000006</v>
      </c>
      <c r="I846" s="13">
        <v>0.55555555555555558</v>
      </c>
      <c r="J846" t="s">
        <v>6207</v>
      </c>
      <c r="K846">
        <v>1</v>
      </c>
      <c r="L846">
        <v>6</v>
      </c>
      <c r="M846" t="s">
        <v>1</v>
      </c>
      <c r="V846">
        <v>4</v>
      </c>
      <c r="W846">
        <v>4</v>
      </c>
      <c r="X846">
        <v>1</v>
      </c>
      <c r="Y846">
        <v>0</v>
      </c>
      <c r="Z846">
        <v>0</v>
      </c>
    </row>
    <row r="847" spans="1:26" x14ac:dyDescent="0.2">
      <c r="A847" t="s">
        <v>965</v>
      </c>
      <c r="B847" t="s">
        <v>54</v>
      </c>
      <c r="C847">
        <v>2011</v>
      </c>
      <c r="D847" t="s">
        <v>31</v>
      </c>
      <c r="E847" t="s">
        <v>45</v>
      </c>
      <c r="F847" t="s">
        <v>20</v>
      </c>
      <c r="G847">
        <v>28500</v>
      </c>
      <c r="H847">
        <v>22800</v>
      </c>
      <c r="I847" s="13">
        <v>0.25</v>
      </c>
      <c r="J847" t="s">
        <v>6206</v>
      </c>
      <c r="K847">
        <v>1</v>
      </c>
      <c r="L847">
        <v>3</v>
      </c>
      <c r="M847" t="s">
        <v>1</v>
      </c>
      <c r="V847">
        <v>3</v>
      </c>
      <c r="W847">
        <v>1</v>
      </c>
      <c r="X847">
        <v>0</v>
      </c>
      <c r="Y847">
        <v>0</v>
      </c>
      <c r="Z847">
        <v>0</v>
      </c>
    </row>
    <row r="848" spans="1:26" x14ac:dyDescent="0.2">
      <c r="A848" t="s">
        <v>966</v>
      </c>
      <c r="B848" t="s">
        <v>50</v>
      </c>
      <c r="C848">
        <v>2011</v>
      </c>
      <c r="D848" t="s">
        <v>46</v>
      </c>
      <c r="E848" t="s">
        <v>27</v>
      </c>
      <c r="F848" t="s">
        <v>20</v>
      </c>
      <c r="G848">
        <v>60704</v>
      </c>
      <c r="H848">
        <v>48563.200000000004</v>
      </c>
      <c r="I848" s="13">
        <v>0</v>
      </c>
      <c r="J848" t="s">
        <v>6207</v>
      </c>
      <c r="K848">
        <v>3</v>
      </c>
      <c r="L848">
        <v>1</v>
      </c>
      <c r="M848" t="s">
        <v>0</v>
      </c>
      <c r="V848">
        <v>0</v>
      </c>
      <c r="W848">
        <v>2</v>
      </c>
      <c r="X848">
        <v>0</v>
      </c>
      <c r="Y848">
        <v>0</v>
      </c>
      <c r="Z848">
        <v>0</v>
      </c>
    </row>
    <row r="849" spans="1:26" x14ac:dyDescent="0.2">
      <c r="A849" t="s">
        <v>967</v>
      </c>
      <c r="B849" t="s">
        <v>59</v>
      </c>
      <c r="C849">
        <v>2011</v>
      </c>
      <c r="D849" t="s">
        <v>39</v>
      </c>
      <c r="E849" t="s">
        <v>51</v>
      </c>
      <c r="F849" t="s">
        <v>39</v>
      </c>
      <c r="G849">
        <v>31367</v>
      </c>
      <c r="H849">
        <v>25093.600000000002</v>
      </c>
      <c r="I849" s="13">
        <v>0.8</v>
      </c>
      <c r="J849" t="s">
        <v>6206</v>
      </c>
      <c r="K849">
        <v>1</v>
      </c>
      <c r="L849">
        <v>2</v>
      </c>
      <c r="M849" t="s">
        <v>1</v>
      </c>
      <c r="V849">
        <v>4</v>
      </c>
      <c r="W849">
        <v>1</v>
      </c>
      <c r="X849">
        <v>0</v>
      </c>
      <c r="Y849">
        <v>0</v>
      </c>
      <c r="Z849">
        <v>0</v>
      </c>
    </row>
    <row r="850" spans="1:26" x14ac:dyDescent="0.2">
      <c r="A850" t="s">
        <v>968</v>
      </c>
      <c r="B850" t="s">
        <v>25</v>
      </c>
      <c r="C850">
        <v>2011</v>
      </c>
      <c r="D850" t="s">
        <v>70</v>
      </c>
      <c r="E850" t="s">
        <v>18</v>
      </c>
      <c r="F850" t="s">
        <v>20</v>
      </c>
      <c r="G850">
        <v>18439</v>
      </c>
      <c r="H850">
        <v>14751.2</v>
      </c>
      <c r="I850" s="13">
        <v>0.54545454545454541</v>
      </c>
      <c r="J850" t="s">
        <v>6207</v>
      </c>
      <c r="K850">
        <v>1</v>
      </c>
      <c r="L850">
        <v>0</v>
      </c>
      <c r="M850" t="s">
        <v>0</v>
      </c>
      <c r="V850">
        <v>2</v>
      </c>
      <c r="W850">
        <v>7</v>
      </c>
      <c r="X850">
        <v>0</v>
      </c>
      <c r="Y850">
        <v>2</v>
      </c>
      <c r="Z850">
        <v>1</v>
      </c>
    </row>
    <row r="851" spans="1:26" x14ac:dyDescent="0.2">
      <c r="A851" t="s">
        <v>969</v>
      </c>
      <c r="B851" t="s">
        <v>47</v>
      </c>
      <c r="C851">
        <v>2011</v>
      </c>
      <c r="D851" t="s">
        <v>45</v>
      </c>
      <c r="E851" t="s">
        <v>48</v>
      </c>
      <c r="F851" t="s">
        <v>26</v>
      </c>
      <c r="G851">
        <v>39572</v>
      </c>
      <c r="H851">
        <v>31657.600000000002</v>
      </c>
      <c r="I851" s="13">
        <v>0.66666666666666663</v>
      </c>
      <c r="J851" t="s">
        <v>6208</v>
      </c>
      <c r="K851">
        <v>0</v>
      </c>
      <c r="L851">
        <v>1</v>
      </c>
      <c r="M851" t="s">
        <v>1</v>
      </c>
      <c r="V851">
        <v>3</v>
      </c>
      <c r="W851">
        <v>0</v>
      </c>
      <c r="X851">
        <v>0</v>
      </c>
      <c r="Y851">
        <v>0</v>
      </c>
      <c r="Z851">
        <v>0</v>
      </c>
    </row>
    <row r="852" spans="1:26" x14ac:dyDescent="0.2">
      <c r="A852" t="s">
        <v>970</v>
      </c>
      <c r="B852" t="s">
        <v>37</v>
      </c>
      <c r="C852">
        <v>2011</v>
      </c>
      <c r="D852" t="s">
        <v>18</v>
      </c>
      <c r="E852" t="s">
        <v>46</v>
      </c>
      <c r="F852" t="s">
        <v>20</v>
      </c>
      <c r="G852">
        <v>40341</v>
      </c>
      <c r="H852">
        <v>32272.800000000003</v>
      </c>
      <c r="I852" s="13">
        <v>0.8</v>
      </c>
      <c r="J852" t="s">
        <v>6206</v>
      </c>
      <c r="K852">
        <v>3</v>
      </c>
      <c r="L852">
        <v>5</v>
      </c>
      <c r="M852" t="s">
        <v>1</v>
      </c>
      <c r="V852">
        <v>2</v>
      </c>
      <c r="W852">
        <v>3</v>
      </c>
      <c r="X852">
        <v>0</v>
      </c>
      <c r="Y852">
        <v>0</v>
      </c>
      <c r="Z852">
        <v>0</v>
      </c>
    </row>
    <row r="853" spans="1:26" x14ac:dyDescent="0.2">
      <c r="A853" t="s">
        <v>971</v>
      </c>
      <c r="B853" t="s">
        <v>53</v>
      </c>
      <c r="C853">
        <v>2011</v>
      </c>
      <c r="D853" t="s">
        <v>43</v>
      </c>
      <c r="E853" t="s">
        <v>31</v>
      </c>
      <c r="F853" t="s">
        <v>43</v>
      </c>
      <c r="G853">
        <v>25138</v>
      </c>
      <c r="H853">
        <v>20110.400000000001</v>
      </c>
      <c r="I853" s="13">
        <v>0.8571428571428571</v>
      </c>
      <c r="J853" t="s">
        <v>6207</v>
      </c>
      <c r="K853">
        <v>0</v>
      </c>
      <c r="L853">
        <v>2</v>
      </c>
      <c r="M853" t="s">
        <v>1</v>
      </c>
      <c r="V853">
        <v>2</v>
      </c>
      <c r="W853">
        <v>5</v>
      </c>
      <c r="X853">
        <v>0</v>
      </c>
      <c r="Y853">
        <v>0</v>
      </c>
      <c r="Z853">
        <v>0</v>
      </c>
    </row>
    <row r="854" spans="1:26" x14ac:dyDescent="0.2">
      <c r="A854" t="s">
        <v>972</v>
      </c>
      <c r="B854" t="s">
        <v>44</v>
      </c>
      <c r="C854">
        <v>2011</v>
      </c>
      <c r="D854" t="s">
        <v>71</v>
      </c>
      <c r="E854" t="s">
        <v>34</v>
      </c>
      <c r="F854" t="s">
        <v>71</v>
      </c>
      <c r="G854">
        <v>21088</v>
      </c>
      <c r="H854">
        <v>16870.400000000001</v>
      </c>
      <c r="I854" s="13">
        <v>0.25</v>
      </c>
      <c r="J854" t="s">
        <v>6207</v>
      </c>
      <c r="K854">
        <v>3</v>
      </c>
      <c r="L854">
        <v>1</v>
      </c>
      <c r="M854" t="s">
        <v>0</v>
      </c>
      <c r="V854">
        <v>3</v>
      </c>
      <c r="W854">
        <v>4</v>
      </c>
      <c r="X854">
        <v>0</v>
      </c>
      <c r="Y854">
        <v>1</v>
      </c>
      <c r="Z854">
        <v>1</v>
      </c>
    </row>
    <row r="855" spans="1:26" x14ac:dyDescent="0.2">
      <c r="A855" t="s">
        <v>973</v>
      </c>
      <c r="B855" t="s">
        <v>25</v>
      </c>
      <c r="C855">
        <v>2011</v>
      </c>
      <c r="D855" t="s">
        <v>35</v>
      </c>
      <c r="E855" t="s">
        <v>42</v>
      </c>
      <c r="F855" t="s">
        <v>35</v>
      </c>
      <c r="G855">
        <v>49000</v>
      </c>
      <c r="H855">
        <v>39200</v>
      </c>
      <c r="I855" s="13">
        <v>0.25</v>
      </c>
      <c r="J855" t="s">
        <v>6207</v>
      </c>
      <c r="K855">
        <v>2</v>
      </c>
      <c r="L855">
        <v>2</v>
      </c>
      <c r="M855" t="s">
        <v>58</v>
      </c>
      <c r="V855">
        <v>1</v>
      </c>
      <c r="W855">
        <v>3</v>
      </c>
      <c r="X855">
        <v>0</v>
      </c>
      <c r="Y855">
        <v>0</v>
      </c>
      <c r="Z855">
        <v>0</v>
      </c>
    </row>
    <row r="856" spans="1:26" x14ac:dyDescent="0.2">
      <c r="A856" t="s">
        <v>974</v>
      </c>
      <c r="B856" t="s">
        <v>61</v>
      </c>
      <c r="C856">
        <v>2011</v>
      </c>
      <c r="D856" t="s">
        <v>69</v>
      </c>
      <c r="E856" t="s">
        <v>39</v>
      </c>
      <c r="F856" t="s">
        <v>69</v>
      </c>
      <c r="G856">
        <v>27359</v>
      </c>
      <c r="H856">
        <v>21887.200000000001</v>
      </c>
      <c r="I856" s="13">
        <v>0.66666666666666663</v>
      </c>
      <c r="J856" t="s">
        <v>6207</v>
      </c>
      <c r="K856">
        <v>3</v>
      </c>
      <c r="L856">
        <v>3</v>
      </c>
      <c r="M856" t="s">
        <v>58</v>
      </c>
      <c r="V856">
        <v>2</v>
      </c>
      <c r="W856">
        <v>1</v>
      </c>
      <c r="X856">
        <v>0</v>
      </c>
      <c r="Y856">
        <v>0</v>
      </c>
      <c r="Z856">
        <v>1</v>
      </c>
    </row>
    <row r="857" spans="1:26" x14ac:dyDescent="0.2">
      <c r="A857" t="s">
        <v>975</v>
      </c>
      <c r="B857" t="s">
        <v>59</v>
      </c>
      <c r="C857">
        <v>2011</v>
      </c>
      <c r="D857" t="s">
        <v>40</v>
      </c>
      <c r="E857" t="s">
        <v>22</v>
      </c>
      <c r="F857" t="s">
        <v>49</v>
      </c>
      <c r="G857">
        <v>53400</v>
      </c>
      <c r="H857">
        <v>42720</v>
      </c>
      <c r="I857" s="13">
        <v>0.75</v>
      </c>
      <c r="J857" t="s">
        <v>6206</v>
      </c>
      <c r="K857">
        <v>3</v>
      </c>
      <c r="L857">
        <v>1</v>
      </c>
      <c r="M857" t="s">
        <v>0</v>
      </c>
      <c r="V857">
        <v>2</v>
      </c>
      <c r="W857">
        <v>1</v>
      </c>
      <c r="X857">
        <v>1</v>
      </c>
      <c r="Y857">
        <v>0</v>
      </c>
      <c r="Z857">
        <v>1</v>
      </c>
    </row>
    <row r="858" spans="1:26" x14ac:dyDescent="0.2">
      <c r="A858" t="s">
        <v>976</v>
      </c>
      <c r="B858" t="s">
        <v>50</v>
      </c>
      <c r="C858">
        <v>2011</v>
      </c>
      <c r="D858" t="s">
        <v>63</v>
      </c>
      <c r="E858" t="s">
        <v>26</v>
      </c>
      <c r="F858" t="s">
        <v>65</v>
      </c>
      <c r="G858">
        <v>26804</v>
      </c>
      <c r="H858">
        <v>21443.200000000001</v>
      </c>
      <c r="I858" s="13">
        <v>1</v>
      </c>
      <c r="J858" t="s">
        <v>6207</v>
      </c>
      <c r="K858">
        <v>0</v>
      </c>
      <c r="L858">
        <v>2</v>
      </c>
      <c r="M858" t="s">
        <v>1</v>
      </c>
      <c r="V858">
        <v>1</v>
      </c>
      <c r="W858">
        <v>0</v>
      </c>
      <c r="X858">
        <v>0</v>
      </c>
      <c r="Y858">
        <v>0</v>
      </c>
      <c r="Z858">
        <v>1</v>
      </c>
    </row>
    <row r="859" spans="1:26" x14ac:dyDescent="0.2">
      <c r="A859" t="s">
        <v>977</v>
      </c>
      <c r="B859" t="s">
        <v>56</v>
      </c>
      <c r="C859">
        <v>2011</v>
      </c>
      <c r="D859" t="s">
        <v>51</v>
      </c>
      <c r="E859" t="s">
        <v>70</v>
      </c>
      <c r="F859" t="s">
        <v>20</v>
      </c>
      <c r="G859">
        <v>36284</v>
      </c>
      <c r="H859">
        <v>29027.200000000001</v>
      </c>
      <c r="I859" s="13">
        <v>0</v>
      </c>
      <c r="J859" t="s">
        <v>6207</v>
      </c>
      <c r="K859">
        <v>3</v>
      </c>
      <c r="L859">
        <v>1</v>
      </c>
      <c r="M859" t="s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">
      <c r="A860" t="s">
        <v>978</v>
      </c>
      <c r="B860" t="s">
        <v>41</v>
      </c>
      <c r="C860">
        <v>2011</v>
      </c>
      <c r="D860" t="s">
        <v>27</v>
      </c>
      <c r="E860" t="s">
        <v>64</v>
      </c>
      <c r="F860" t="s">
        <v>27</v>
      </c>
      <c r="G860">
        <v>30089</v>
      </c>
      <c r="H860">
        <v>24071.200000000001</v>
      </c>
      <c r="I860" s="13">
        <v>0</v>
      </c>
      <c r="J860" t="s">
        <v>6207</v>
      </c>
      <c r="K860">
        <v>1</v>
      </c>
      <c r="L860">
        <v>3</v>
      </c>
      <c r="M860" t="s">
        <v>1</v>
      </c>
      <c r="V860">
        <v>0</v>
      </c>
      <c r="W860">
        <v>1</v>
      </c>
      <c r="X860">
        <v>0</v>
      </c>
      <c r="Y860">
        <v>0</v>
      </c>
      <c r="Z860">
        <v>2</v>
      </c>
    </row>
    <row r="861" spans="1:26" x14ac:dyDescent="0.2">
      <c r="A861" t="s">
        <v>979</v>
      </c>
      <c r="B861" t="s">
        <v>37</v>
      </c>
      <c r="C861">
        <v>2011</v>
      </c>
      <c r="D861" t="s">
        <v>64</v>
      </c>
      <c r="E861" t="s">
        <v>45</v>
      </c>
      <c r="F861" t="s">
        <v>64</v>
      </c>
      <c r="G861">
        <v>52264</v>
      </c>
      <c r="H861">
        <v>41811.200000000004</v>
      </c>
      <c r="I861" s="13">
        <v>0.4</v>
      </c>
      <c r="J861" t="s">
        <v>6206</v>
      </c>
      <c r="K861">
        <v>2</v>
      </c>
      <c r="L861">
        <v>1</v>
      </c>
      <c r="M861" t="s">
        <v>0</v>
      </c>
      <c r="V861">
        <v>2</v>
      </c>
      <c r="W861">
        <v>3</v>
      </c>
      <c r="X861">
        <v>0</v>
      </c>
      <c r="Y861">
        <v>0</v>
      </c>
      <c r="Z861">
        <v>0</v>
      </c>
    </row>
    <row r="862" spans="1:26" x14ac:dyDescent="0.2">
      <c r="A862" t="s">
        <v>980</v>
      </c>
      <c r="B862" t="s">
        <v>50</v>
      </c>
      <c r="C862">
        <v>2011</v>
      </c>
      <c r="D862" t="s">
        <v>48</v>
      </c>
      <c r="E862" t="s">
        <v>35</v>
      </c>
      <c r="F862" t="s">
        <v>49</v>
      </c>
      <c r="G862">
        <v>74197</v>
      </c>
      <c r="H862">
        <v>59357.600000000006</v>
      </c>
      <c r="I862" s="13">
        <v>1</v>
      </c>
      <c r="J862" t="s">
        <v>6207</v>
      </c>
      <c r="K862">
        <v>1</v>
      </c>
      <c r="L862">
        <v>0</v>
      </c>
      <c r="M862" t="s">
        <v>0</v>
      </c>
      <c r="V862">
        <v>0</v>
      </c>
      <c r="W862">
        <v>1</v>
      </c>
      <c r="X862">
        <v>0</v>
      </c>
      <c r="Y862">
        <v>0</v>
      </c>
      <c r="Z862">
        <v>0</v>
      </c>
    </row>
    <row r="863" spans="1:26" x14ac:dyDescent="0.2">
      <c r="A863" t="s">
        <v>981</v>
      </c>
      <c r="B863" t="s">
        <v>52</v>
      </c>
      <c r="C863">
        <v>2011</v>
      </c>
      <c r="D863" t="s">
        <v>26</v>
      </c>
      <c r="E863" t="s">
        <v>71</v>
      </c>
      <c r="F863" t="s">
        <v>26</v>
      </c>
      <c r="G863">
        <v>61276</v>
      </c>
      <c r="H863">
        <v>49020.800000000003</v>
      </c>
      <c r="I863" s="13">
        <v>0.25</v>
      </c>
      <c r="J863" t="s">
        <v>6207</v>
      </c>
      <c r="K863">
        <v>0</v>
      </c>
      <c r="L863">
        <v>0</v>
      </c>
      <c r="M863" t="s">
        <v>58</v>
      </c>
      <c r="V863">
        <v>2</v>
      </c>
      <c r="W863">
        <v>2</v>
      </c>
      <c r="X863">
        <v>0</v>
      </c>
      <c r="Y863">
        <v>0</v>
      </c>
      <c r="Z863">
        <v>0</v>
      </c>
    </row>
    <row r="864" spans="1:26" x14ac:dyDescent="0.2">
      <c r="A864" t="s">
        <v>982</v>
      </c>
      <c r="B864" t="s">
        <v>41</v>
      </c>
      <c r="C864">
        <v>2011</v>
      </c>
      <c r="D864" t="s">
        <v>39</v>
      </c>
      <c r="E864" t="s">
        <v>18</v>
      </c>
      <c r="F864" t="s">
        <v>39</v>
      </c>
      <c r="G864">
        <v>31367</v>
      </c>
      <c r="H864">
        <v>25093.600000000002</v>
      </c>
      <c r="I864" s="13">
        <v>0.66666666666666663</v>
      </c>
      <c r="J864" t="s">
        <v>6207</v>
      </c>
      <c r="K864">
        <v>0</v>
      </c>
      <c r="L864">
        <v>1</v>
      </c>
      <c r="M864" t="s">
        <v>1</v>
      </c>
      <c r="V864">
        <v>4</v>
      </c>
      <c r="W864">
        <v>2</v>
      </c>
      <c r="X864">
        <v>0</v>
      </c>
      <c r="Y864">
        <v>0</v>
      </c>
      <c r="Z864">
        <v>0</v>
      </c>
    </row>
    <row r="865" spans="1:26" x14ac:dyDescent="0.2">
      <c r="A865" t="s">
        <v>983</v>
      </c>
      <c r="B865" t="s">
        <v>60</v>
      </c>
      <c r="C865">
        <v>2011</v>
      </c>
      <c r="D865" t="s">
        <v>42</v>
      </c>
      <c r="E865" t="s">
        <v>69</v>
      </c>
      <c r="F865" t="s">
        <v>38</v>
      </c>
      <c r="G865">
        <v>42918</v>
      </c>
      <c r="H865">
        <v>34334.400000000001</v>
      </c>
      <c r="I865" s="13">
        <v>0.5</v>
      </c>
      <c r="J865" t="s">
        <v>6208</v>
      </c>
      <c r="K865">
        <v>3</v>
      </c>
      <c r="L865">
        <v>2</v>
      </c>
      <c r="M865" t="s">
        <v>0</v>
      </c>
      <c r="V865">
        <v>1</v>
      </c>
      <c r="W865">
        <v>5</v>
      </c>
      <c r="X865">
        <v>0</v>
      </c>
      <c r="Y865">
        <v>0</v>
      </c>
      <c r="Z865">
        <v>0</v>
      </c>
    </row>
    <row r="866" spans="1:26" x14ac:dyDescent="0.2">
      <c r="A866" t="s">
        <v>984</v>
      </c>
      <c r="B866" t="s">
        <v>66</v>
      </c>
      <c r="C866">
        <v>2011</v>
      </c>
      <c r="D866" t="s">
        <v>46</v>
      </c>
      <c r="E866" t="s">
        <v>63</v>
      </c>
      <c r="F866" t="s">
        <v>20</v>
      </c>
      <c r="G866">
        <v>60704</v>
      </c>
      <c r="H866">
        <v>48563.200000000004</v>
      </c>
      <c r="I866" s="13">
        <v>0</v>
      </c>
      <c r="J866" t="s">
        <v>6207</v>
      </c>
      <c r="K866">
        <v>3</v>
      </c>
      <c r="L866">
        <v>0</v>
      </c>
      <c r="M866" t="s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2">
      <c r="A867" t="s">
        <v>985</v>
      </c>
      <c r="B867" t="s">
        <v>32</v>
      </c>
      <c r="C867">
        <v>2011</v>
      </c>
      <c r="D867" t="s">
        <v>70</v>
      </c>
      <c r="E867" t="s">
        <v>40</v>
      </c>
      <c r="F867" t="s">
        <v>20</v>
      </c>
      <c r="G867">
        <v>18439</v>
      </c>
      <c r="H867">
        <v>14751.2</v>
      </c>
      <c r="I867" s="13">
        <v>0.5</v>
      </c>
      <c r="J867" t="s">
        <v>6207</v>
      </c>
      <c r="K867">
        <v>2</v>
      </c>
      <c r="L867">
        <v>3</v>
      </c>
      <c r="M867" t="s">
        <v>1</v>
      </c>
      <c r="V867">
        <v>1</v>
      </c>
      <c r="W867">
        <v>1</v>
      </c>
      <c r="X867">
        <v>0</v>
      </c>
      <c r="Y867">
        <v>0</v>
      </c>
      <c r="Z867">
        <v>0</v>
      </c>
    </row>
    <row r="868" spans="1:26" x14ac:dyDescent="0.2">
      <c r="A868" t="s">
        <v>986</v>
      </c>
      <c r="B868" t="s">
        <v>54</v>
      </c>
      <c r="C868">
        <v>2011</v>
      </c>
      <c r="D868" t="s">
        <v>22</v>
      </c>
      <c r="E868" t="s">
        <v>43</v>
      </c>
      <c r="F868" t="s">
        <v>24</v>
      </c>
      <c r="G868">
        <v>31750</v>
      </c>
      <c r="H868">
        <v>25400</v>
      </c>
      <c r="I868" s="13">
        <v>0.66666666666666663</v>
      </c>
      <c r="J868" t="s">
        <v>6206</v>
      </c>
      <c r="K868">
        <v>3</v>
      </c>
      <c r="L868">
        <v>1</v>
      </c>
      <c r="M868" t="s">
        <v>0</v>
      </c>
      <c r="V868">
        <v>2</v>
      </c>
      <c r="W868">
        <v>1</v>
      </c>
      <c r="X868">
        <v>0</v>
      </c>
      <c r="Y868">
        <v>0</v>
      </c>
      <c r="Z868">
        <v>0</v>
      </c>
    </row>
    <row r="869" spans="1:26" x14ac:dyDescent="0.2">
      <c r="A869" t="s">
        <v>987</v>
      </c>
      <c r="B869" t="s">
        <v>56</v>
      </c>
      <c r="C869">
        <v>2011</v>
      </c>
      <c r="D869" t="s">
        <v>34</v>
      </c>
      <c r="E869" t="s">
        <v>27</v>
      </c>
      <c r="F869" t="s">
        <v>36</v>
      </c>
      <c r="G869">
        <v>28723</v>
      </c>
      <c r="H869">
        <v>22978.400000000001</v>
      </c>
      <c r="I869" s="13">
        <v>1</v>
      </c>
      <c r="J869" t="s">
        <v>6207</v>
      </c>
      <c r="K869">
        <v>5</v>
      </c>
      <c r="L869">
        <v>0</v>
      </c>
      <c r="M869" t="s">
        <v>0</v>
      </c>
      <c r="V869">
        <v>0</v>
      </c>
      <c r="W869">
        <v>1</v>
      </c>
      <c r="X869">
        <v>0</v>
      </c>
      <c r="Y869">
        <v>0</v>
      </c>
      <c r="Z869">
        <v>0</v>
      </c>
    </row>
    <row r="870" spans="1:26" x14ac:dyDescent="0.2">
      <c r="A870" t="s">
        <v>988</v>
      </c>
      <c r="B870" t="s">
        <v>55</v>
      </c>
      <c r="C870">
        <v>2011</v>
      </c>
      <c r="D870" t="s">
        <v>31</v>
      </c>
      <c r="E870" t="s">
        <v>51</v>
      </c>
      <c r="F870" t="s">
        <v>20</v>
      </c>
      <c r="G870">
        <v>28500</v>
      </c>
      <c r="H870">
        <v>22800</v>
      </c>
      <c r="I870" s="13">
        <v>1</v>
      </c>
      <c r="J870" t="s">
        <v>6206</v>
      </c>
      <c r="K870">
        <v>1</v>
      </c>
      <c r="L870">
        <v>3</v>
      </c>
      <c r="M870" t="s">
        <v>1</v>
      </c>
      <c r="V870">
        <v>0</v>
      </c>
      <c r="W870">
        <v>1</v>
      </c>
      <c r="X870">
        <v>0</v>
      </c>
      <c r="Y870">
        <v>0</v>
      </c>
      <c r="Z870">
        <v>0</v>
      </c>
    </row>
    <row r="871" spans="1:26" x14ac:dyDescent="0.2">
      <c r="A871" t="s">
        <v>989</v>
      </c>
      <c r="B871" t="s">
        <v>52</v>
      </c>
      <c r="C871">
        <v>2011</v>
      </c>
      <c r="D871" t="s">
        <v>69</v>
      </c>
      <c r="E871" t="s">
        <v>46</v>
      </c>
      <c r="F871" t="s">
        <v>69</v>
      </c>
      <c r="G871">
        <v>27359</v>
      </c>
      <c r="H871">
        <v>21887.200000000001</v>
      </c>
      <c r="I871" s="13">
        <v>0.33333333333333331</v>
      </c>
      <c r="J871" t="s">
        <v>6207</v>
      </c>
      <c r="K871">
        <v>1</v>
      </c>
      <c r="L871">
        <v>2</v>
      </c>
      <c r="M871" t="s">
        <v>1</v>
      </c>
      <c r="V871">
        <v>3</v>
      </c>
      <c r="W871">
        <v>0</v>
      </c>
      <c r="X871">
        <v>0</v>
      </c>
      <c r="Y871">
        <v>0</v>
      </c>
      <c r="Z871">
        <v>0</v>
      </c>
    </row>
    <row r="872" spans="1:26" x14ac:dyDescent="0.2">
      <c r="A872" t="s">
        <v>990</v>
      </c>
      <c r="B872" t="s">
        <v>37</v>
      </c>
      <c r="C872">
        <v>2011</v>
      </c>
      <c r="D872" t="s">
        <v>43</v>
      </c>
      <c r="E872" t="s">
        <v>39</v>
      </c>
      <c r="F872" t="s">
        <v>43</v>
      </c>
      <c r="G872">
        <v>25138</v>
      </c>
      <c r="H872">
        <v>20110.400000000001</v>
      </c>
      <c r="I872" s="13">
        <v>0.66666666666666663</v>
      </c>
      <c r="J872" t="s">
        <v>6206</v>
      </c>
      <c r="K872">
        <v>3</v>
      </c>
      <c r="L872">
        <v>3</v>
      </c>
      <c r="M872" t="s">
        <v>58</v>
      </c>
      <c r="V872">
        <v>2</v>
      </c>
      <c r="W872">
        <v>3</v>
      </c>
      <c r="X872">
        <v>0</v>
      </c>
      <c r="Y872">
        <v>1</v>
      </c>
      <c r="Z872">
        <v>1</v>
      </c>
    </row>
    <row r="873" spans="1:26" x14ac:dyDescent="0.2">
      <c r="A873" t="s">
        <v>991</v>
      </c>
      <c r="B873" t="s">
        <v>67</v>
      </c>
      <c r="C873">
        <v>2011</v>
      </c>
      <c r="D873" t="s">
        <v>63</v>
      </c>
      <c r="E873" t="s">
        <v>34</v>
      </c>
      <c r="F873" t="s">
        <v>65</v>
      </c>
      <c r="G873">
        <v>26804</v>
      </c>
      <c r="H873">
        <v>21443.200000000001</v>
      </c>
      <c r="I873" s="13">
        <v>0</v>
      </c>
      <c r="J873" t="s">
        <v>6207</v>
      </c>
      <c r="K873">
        <v>2</v>
      </c>
      <c r="L873">
        <v>1</v>
      </c>
      <c r="M873" t="s">
        <v>0</v>
      </c>
      <c r="V873">
        <v>1</v>
      </c>
      <c r="W873">
        <v>0</v>
      </c>
      <c r="X873">
        <v>0</v>
      </c>
      <c r="Y873">
        <v>0</v>
      </c>
      <c r="Z873">
        <v>1</v>
      </c>
    </row>
    <row r="874" spans="1:26" x14ac:dyDescent="0.2">
      <c r="A874" t="s">
        <v>992</v>
      </c>
      <c r="B874" t="s">
        <v>61</v>
      </c>
      <c r="C874">
        <v>2011</v>
      </c>
      <c r="D874" t="s">
        <v>35</v>
      </c>
      <c r="E874" t="s">
        <v>31</v>
      </c>
      <c r="F874" t="s">
        <v>35</v>
      </c>
      <c r="G874">
        <v>49000</v>
      </c>
      <c r="H874">
        <v>39200</v>
      </c>
      <c r="I874" s="13">
        <v>0.5</v>
      </c>
      <c r="J874" t="s">
        <v>6207</v>
      </c>
      <c r="K874">
        <v>0</v>
      </c>
      <c r="L874">
        <v>0</v>
      </c>
      <c r="M874" t="s">
        <v>58</v>
      </c>
      <c r="V874">
        <v>1</v>
      </c>
      <c r="W874">
        <v>1</v>
      </c>
      <c r="X874">
        <v>0</v>
      </c>
      <c r="Y874">
        <v>0</v>
      </c>
      <c r="Z874">
        <v>0</v>
      </c>
    </row>
    <row r="875" spans="1:26" x14ac:dyDescent="0.2">
      <c r="A875" t="s">
        <v>993</v>
      </c>
      <c r="B875" t="s">
        <v>53</v>
      </c>
      <c r="C875">
        <v>2011</v>
      </c>
      <c r="D875" t="s">
        <v>27</v>
      </c>
      <c r="E875" t="s">
        <v>70</v>
      </c>
      <c r="F875" t="s">
        <v>27</v>
      </c>
      <c r="G875">
        <v>30089</v>
      </c>
      <c r="H875">
        <v>24071.200000000001</v>
      </c>
      <c r="I875" s="13">
        <v>0.5</v>
      </c>
      <c r="J875" t="s">
        <v>6207</v>
      </c>
      <c r="K875">
        <v>2</v>
      </c>
      <c r="L875">
        <v>3</v>
      </c>
      <c r="M875" t="s">
        <v>1</v>
      </c>
      <c r="V875">
        <v>4</v>
      </c>
      <c r="W875">
        <v>2</v>
      </c>
      <c r="X875">
        <v>0</v>
      </c>
      <c r="Y875">
        <v>0</v>
      </c>
      <c r="Z875">
        <v>0</v>
      </c>
    </row>
    <row r="876" spans="1:26" x14ac:dyDescent="0.2">
      <c r="A876" t="s">
        <v>994</v>
      </c>
      <c r="B876" t="s">
        <v>25</v>
      </c>
      <c r="C876">
        <v>2011</v>
      </c>
      <c r="D876" t="s">
        <v>40</v>
      </c>
      <c r="E876" t="s">
        <v>64</v>
      </c>
      <c r="F876" t="s">
        <v>49</v>
      </c>
      <c r="G876">
        <v>53400</v>
      </c>
      <c r="H876">
        <v>42720</v>
      </c>
      <c r="I876" s="13">
        <v>0</v>
      </c>
      <c r="J876" t="s">
        <v>6207</v>
      </c>
      <c r="K876">
        <v>3</v>
      </c>
      <c r="L876">
        <v>1</v>
      </c>
      <c r="M876" t="s">
        <v>0</v>
      </c>
      <c r="V876">
        <v>0</v>
      </c>
      <c r="W876">
        <v>0</v>
      </c>
      <c r="X876">
        <v>0</v>
      </c>
      <c r="Y876">
        <v>0</v>
      </c>
      <c r="Z876">
        <v>2</v>
      </c>
    </row>
    <row r="877" spans="1:26" x14ac:dyDescent="0.2">
      <c r="A877" t="s">
        <v>995</v>
      </c>
      <c r="B877" t="s">
        <v>68</v>
      </c>
      <c r="C877">
        <v>2011</v>
      </c>
      <c r="D877" t="s">
        <v>45</v>
      </c>
      <c r="E877" t="s">
        <v>22</v>
      </c>
      <c r="F877" t="s">
        <v>26</v>
      </c>
      <c r="G877">
        <v>39572</v>
      </c>
      <c r="H877">
        <v>31657.600000000002</v>
      </c>
      <c r="I877" s="13">
        <v>0.25</v>
      </c>
      <c r="J877" t="s">
        <v>6207</v>
      </c>
      <c r="K877">
        <v>2</v>
      </c>
      <c r="L877">
        <v>1</v>
      </c>
      <c r="M877" t="s">
        <v>0</v>
      </c>
      <c r="V877">
        <v>1</v>
      </c>
      <c r="W877">
        <v>3</v>
      </c>
      <c r="X877">
        <v>0</v>
      </c>
      <c r="Y877">
        <v>0</v>
      </c>
      <c r="Z877">
        <v>1</v>
      </c>
    </row>
    <row r="878" spans="1:26" x14ac:dyDescent="0.2">
      <c r="A878" t="s">
        <v>996</v>
      </c>
      <c r="B878" t="s">
        <v>41</v>
      </c>
      <c r="C878">
        <v>2011</v>
      </c>
      <c r="D878" t="s">
        <v>71</v>
      </c>
      <c r="E878" t="s">
        <v>48</v>
      </c>
      <c r="F878" t="s">
        <v>71</v>
      </c>
      <c r="G878">
        <v>21088</v>
      </c>
      <c r="H878">
        <v>16870.400000000001</v>
      </c>
      <c r="I878" s="13">
        <v>1</v>
      </c>
      <c r="J878" t="s">
        <v>6207</v>
      </c>
      <c r="K878">
        <v>0</v>
      </c>
      <c r="L878">
        <v>1</v>
      </c>
      <c r="M878" t="s">
        <v>1</v>
      </c>
      <c r="V878">
        <v>0</v>
      </c>
      <c r="W878">
        <v>1</v>
      </c>
      <c r="X878">
        <v>0</v>
      </c>
      <c r="Y878">
        <v>0</v>
      </c>
      <c r="Z878">
        <v>0</v>
      </c>
    </row>
    <row r="879" spans="1:26" x14ac:dyDescent="0.2">
      <c r="A879" t="s">
        <v>997</v>
      </c>
      <c r="B879" t="s">
        <v>54</v>
      </c>
      <c r="C879">
        <v>2011</v>
      </c>
      <c r="D879" t="s">
        <v>18</v>
      </c>
      <c r="E879" t="s">
        <v>26</v>
      </c>
      <c r="F879" t="s">
        <v>20</v>
      </c>
      <c r="G879">
        <v>40341</v>
      </c>
      <c r="H879">
        <v>32272.800000000003</v>
      </c>
      <c r="I879" s="13">
        <v>1</v>
      </c>
      <c r="J879" t="s">
        <v>6206</v>
      </c>
      <c r="K879">
        <v>1</v>
      </c>
      <c r="L879">
        <v>2</v>
      </c>
      <c r="M879" t="s">
        <v>1</v>
      </c>
      <c r="V879">
        <v>3</v>
      </c>
      <c r="W879">
        <v>2</v>
      </c>
      <c r="X879">
        <v>0</v>
      </c>
      <c r="Y879">
        <v>0</v>
      </c>
      <c r="Z879">
        <v>0</v>
      </c>
    </row>
    <row r="880" spans="1:26" x14ac:dyDescent="0.2">
      <c r="A880" t="s">
        <v>998</v>
      </c>
      <c r="B880" t="s">
        <v>47</v>
      </c>
      <c r="C880">
        <v>2011</v>
      </c>
      <c r="D880" t="s">
        <v>51</v>
      </c>
      <c r="E880" t="s">
        <v>42</v>
      </c>
      <c r="F880" t="s">
        <v>20</v>
      </c>
      <c r="G880">
        <v>36284</v>
      </c>
      <c r="H880">
        <v>29027.200000000001</v>
      </c>
      <c r="I880" s="13">
        <v>1</v>
      </c>
      <c r="J880" t="s">
        <v>6208</v>
      </c>
      <c r="K880">
        <v>2</v>
      </c>
      <c r="L880">
        <v>0</v>
      </c>
      <c r="M880" t="s">
        <v>0</v>
      </c>
      <c r="V880">
        <v>0</v>
      </c>
      <c r="W880">
        <v>2</v>
      </c>
      <c r="X880">
        <v>0</v>
      </c>
      <c r="Y880">
        <v>0</v>
      </c>
      <c r="Z880">
        <v>0</v>
      </c>
    </row>
    <row r="881" spans="1:26" x14ac:dyDescent="0.2">
      <c r="A881" t="s">
        <v>999</v>
      </c>
      <c r="B881" t="s">
        <v>47</v>
      </c>
      <c r="C881">
        <v>2011</v>
      </c>
      <c r="D881" t="s">
        <v>27</v>
      </c>
      <c r="E881" t="s">
        <v>39</v>
      </c>
      <c r="F881" t="s">
        <v>27</v>
      </c>
      <c r="G881">
        <v>30089</v>
      </c>
      <c r="H881">
        <v>24071.200000000001</v>
      </c>
      <c r="I881" s="13">
        <v>0</v>
      </c>
      <c r="J881" t="s">
        <v>6208</v>
      </c>
      <c r="K881">
        <v>3</v>
      </c>
      <c r="L881">
        <v>1</v>
      </c>
      <c r="M881" t="s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2">
      <c r="A882" t="s">
        <v>1000</v>
      </c>
      <c r="B882" t="s">
        <v>54</v>
      </c>
      <c r="C882">
        <v>2011</v>
      </c>
      <c r="D882" t="s">
        <v>63</v>
      </c>
      <c r="E882" t="s">
        <v>51</v>
      </c>
      <c r="F882" t="s">
        <v>65</v>
      </c>
      <c r="G882">
        <v>26804</v>
      </c>
      <c r="H882">
        <v>21443.200000000001</v>
      </c>
      <c r="I882" s="13">
        <v>0.66666666666666663</v>
      </c>
      <c r="J882" t="s">
        <v>6206</v>
      </c>
      <c r="K882">
        <v>1</v>
      </c>
      <c r="L882">
        <v>3</v>
      </c>
      <c r="M882" t="s">
        <v>1</v>
      </c>
      <c r="V882">
        <v>2</v>
      </c>
      <c r="W882">
        <v>1</v>
      </c>
      <c r="X882">
        <v>0</v>
      </c>
      <c r="Y882">
        <v>0</v>
      </c>
      <c r="Z882">
        <v>0</v>
      </c>
    </row>
    <row r="883" spans="1:26" x14ac:dyDescent="0.2">
      <c r="A883" t="s">
        <v>1001</v>
      </c>
      <c r="B883" t="s">
        <v>60</v>
      </c>
      <c r="C883">
        <v>2011</v>
      </c>
      <c r="D883" t="s">
        <v>35</v>
      </c>
      <c r="E883" t="s">
        <v>43</v>
      </c>
      <c r="F883" t="s">
        <v>35</v>
      </c>
      <c r="G883">
        <v>49000</v>
      </c>
      <c r="H883">
        <v>39200</v>
      </c>
      <c r="I883" s="13">
        <v>0.75</v>
      </c>
      <c r="J883" t="s">
        <v>6208</v>
      </c>
      <c r="K883">
        <v>1</v>
      </c>
      <c r="L883">
        <v>2</v>
      </c>
      <c r="M883" t="s">
        <v>1</v>
      </c>
      <c r="V883">
        <v>3</v>
      </c>
      <c r="W883">
        <v>1</v>
      </c>
      <c r="X883">
        <v>0</v>
      </c>
      <c r="Y883">
        <v>0</v>
      </c>
      <c r="Z883">
        <v>0</v>
      </c>
    </row>
    <row r="884" spans="1:26" x14ac:dyDescent="0.2">
      <c r="A884" t="s">
        <v>1002</v>
      </c>
      <c r="B884" t="s">
        <v>44</v>
      </c>
      <c r="C884">
        <v>2011</v>
      </c>
      <c r="D884" t="s">
        <v>69</v>
      </c>
      <c r="E884" t="s">
        <v>70</v>
      </c>
      <c r="F884" t="s">
        <v>69</v>
      </c>
      <c r="G884">
        <v>27359</v>
      </c>
      <c r="H884">
        <v>21887.200000000001</v>
      </c>
      <c r="I884" s="13">
        <v>0</v>
      </c>
      <c r="J884" t="s">
        <v>6207</v>
      </c>
      <c r="K884">
        <v>2</v>
      </c>
      <c r="L884">
        <v>1</v>
      </c>
      <c r="M884" t="s">
        <v>0</v>
      </c>
      <c r="V884">
        <v>1</v>
      </c>
      <c r="W884">
        <v>0</v>
      </c>
      <c r="X884">
        <v>0</v>
      </c>
      <c r="Y884">
        <v>0</v>
      </c>
      <c r="Z884">
        <v>0</v>
      </c>
    </row>
    <row r="885" spans="1:26" x14ac:dyDescent="0.2">
      <c r="A885" t="s">
        <v>1003</v>
      </c>
      <c r="B885" t="s">
        <v>53</v>
      </c>
      <c r="C885">
        <v>2011</v>
      </c>
      <c r="D885" t="s">
        <v>48</v>
      </c>
      <c r="E885" t="s">
        <v>64</v>
      </c>
      <c r="F885" t="s">
        <v>49</v>
      </c>
      <c r="G885">
        <v>74197</v>
      </c>
      <c r="H885">
        <v>59357.600000000006</v>
      </c>
      <c r="I885" s="13">
        <v>0.66666666666666663</v>
      </c>
      <c r="J885" t="s">
        <v>6207</v>
      </c>
      <c r="K885">
        <v>1</v>
      </c>
      <c r="L885">
        <v>1</v>
      </c>
      <c r="M885" t="s">
        <v>58</v>
      </c>
      <c r="V885">
        <v>1</v>
      </c>
      <c r="W885">
        <v>4</v>
      </c>
      <c r="X885">
        <v>0</v>
      </c>
      <c r="Y885">
        <v>1</v>
      </c>
      <c r="Z885">
        <v>1</v>
      </c>
    </row>
    <row r="886" spans="1:26" x14ac:dyDescent="0.2">
      <c r="A886" t="s">
        <v>1004</v>
      </c>
      <c r="B886" t="s">
        <v>50</v>
      </c>
      <c r="C886">
        <v>2011</v>
      </c>
      <c r="D886" t="s">
        <v>18</v>
      </c>
      <c r="E886" t="s">
        <v>22</v>
      </c>
      <c r="F886" t="s">
        <v>20</v>
      </c>
      <c r="G886">
        <v>40341</v>
      </c>
      <c r="H886">
        <v>32272.800000000003</v>
      </c>
      <c r="I886" s="13">
        <v>0</v>
      </c>
      <c r="J886" t="s">
        <v>6207</v>
      </c>
      <c r="K886">
        <v>3</v>
      </c>
      <c r="L886">
        <v>0</v>
      </c>
      <c r="M886" t="s">
        <v>0</v>
      </c>
      <c r="V886">
        <v>1</v>
      </c>
      <c r="W886">
        <v>2</v>
      </c>
      <c r="X886">
        <v>0</v>
      </c>
      <c r="Y886">
        <v>0</v>
      </c>
      <c r="Z886">
        <v>0</v>
      </c>
    </row>
    <row r="887" spans="1:26" x14ac:dyDescent="0.2">
      <c r="A887" t="s">
        <v>1005</v>
      </c>
      <c r="B887" t="s">
        <v>66</v>
      </c>
      <c r="C887">
        <v>2011</v>
      </c>
      <c r="D887" t="s">
        <v>34</v>
      </c>
      <c r="E887" t="s">
        <v>45</v>
      </c>
      <c r="F887" t="s">
        <v>36</v>
      </c>
      <c r="G887">
        <v>28723</v>
      </c>
      <c r="H887">
        <v>22978.400000000001</v>
      </c>
      <c r="I887" s="13">
        <v>0</v>
      </c>
      <c r="J887" t="s">
        <v>6207</v>
      </c>
      <c r="K887">
        <v>0</v>
      </c>
      <c r="L887">
        <v>2</v>
      </c>
      <c r="M887" t="s">
        <v>1</v>
      </c>
      <c r="V887">
        <v>1</v>
      </c>
      <c r="W887">
        <v>1</v>
      </c>
      <c r="X887">
        <v>1</v>
      </c>
      <c r="Y887">
        <v>0</v>
      </c>
      <c r="Z887">
        <v>0</v>
      </c>
    </row>
    <row r="888" spans="1:26" x14ac:dyDescent="0.2">
      <c r="A888" t="s">
        <v>1006</v>
      </c>
      <c r="B888" t="s">
        <v>41</v>
      </c>
      <c r="C888">
        <v>2011</v>
      </c>
      <c r="D888" t="s">
        <v>46</v>
      </c>
      <c r="E888" t="s">
        <v>31</v>
      </c>
      <c r="F888" t="s">
        <v>20</v>
      </c>
      <c r="G888">
        <v>60704</v>
      </c>
      <c r="H888">
        <v>48563.200000000004</v>
      </c>
      <c r="I888" s="13">
        <v>0.75</v>
      </c>
      <c r="J888" t="s">
        <v>6207</v>
      </c>
      <c r="K888">
        <v>1</v>
      </c>
      <c r="L888">
        <v>1</v>
      </c>
      <c r="M888" t="s">
        <v>58</v>
      </c>
      <c r="V888">
        <v>1</v>
      </c>
      <c r="W888">
        <v>3</v>
      </c>
      <c r="X888">
        <v>0</v>
      </c>
      <c r="Y888">
        <v>0</v>
      </c>
      <c r="Z888">
        <v>0</v>
      </c>
    </row>
    <row r="889" spans="1:26" x14ac:dyDescent="0.2">
      <c r="A889" t="s">
        <v>1007</v>
      </c>
      <c r="B889" t="s">
        <v>67</v>
      </c>
      <c r="C889">
        <v>2011</v>
      </c>
      <c r="D889" t="s">
        <v>71</v>
      </c>
      <c r="E889" t="s">
        <v>42</v>
      </c>
      <c r="F889" t="s">
        <v>71</v>
      </c>
      <c r="G889">
        <v>21088</v>
      </c>
      <c r="H889">
        <v>16870.400000000001</v>
      </c>
      <c r="I889" s="13">
        <v>0.14285714285714285</v>
      </c>
      <c r="J889" t="s">
        <v>6207</v>
      </c>
      <c r="K889">
        <v>0</v>
      </c>
      <c r="L889">
        <v>0</v>
      </c>
      <c r="M889" t="s">
        <v>58</v>
      </c>
      <c r="V889">
        <v>3</v>
      </c>
      <c r="W889">
        <v>4</v>
      </c>
      <c r="X889">
        <v>0</v>
      </c>
      <c r="Y889">
        <v>0</v>
      </c>
      <c r="Z889">
        <v>0</v>
      </c>
    </row>
    <row r="890" spans="1:26" x14ac:dyDescent="0.2">
      <c r="A890" t="s">
        <v>1008</v>
      </c>
      <c r="B890" t="s">
        <v>32</v>
      </c>
      <c r="C890">
        <v>2011</v>
      </c>
      <c r="D890" t="s">
        <v>26</v>
      </c>
      <c r="E890" t="s">
        <v>40</v>
      </c>
      <c r="F890" t="s">
        <v>26</v>
      </c>
      <c r="G890">
        <v>61276</v>
      </c>
      <c r="H890">
        <v>49020.800000000003</v>
      </c>
      <c r="I890" s="13">
        <v>0.33333333333333331</v>
      </c>
      <c r="J890" t="s">
        <v>6207</v>
      </c>
      <c r="K890">
        <v>1</v>
      </c>
      <c r="L890">
        <v>1</v>
      </c>
      <c r="M890" t="s">
        <v>58</v>
      </c>
      <c r="V890">
        <v>1</v>
      </c>
      <c r="W890">
        <v>4</v>
      </c>
      <c r="X890">
        <v>0</v>
      </c>
      <c r="Y890">
        <v>1</v>
      </c>
      <c r="Z890">
        <v>0</v>
      </c>
    </row>
    <row r="891" spans="1:26" x14ac:dyDescent="0.2">
      <c r="A891" t="s">
        <v>1009</v>
      </c>
      <c r="B891" t="s">
        <v>41</v>
      </c>
      <c r="C891">
        <v>2011</v>
      </c>
      <c r="D891" t="s">
        <v>64</v>
      </c>
      <c r="E891" t="s">
        <v>18</v>
      </c>
      <c r="F891" t="s">
        <v>64</v>
      </c>
      <c r="G891">
        <v>52264</v>
      </c>
      <c r="H891">
        <v>41811.200000000004</v>
      </c>
      <c r="I891" s="13">
        <v>0.2</v>
      </c>
      <c r="J891" t="s">
        <v>6207</v>
      </c>
      <c r="K891">
        <v>0</v>
      </c>
      <c r="L891">
        <v>3</v>
      </c>
      <c r="M891" t="s">
        <v>1</v>
      </c>
      <c r="V891">
        <v>2</v>
      </c>
      <c r="W891">
        <v>3</v>
      </c>
      <c r="X891">
        <v>0</v>
      </c>
      <c r="Y891">
        <v>0</v>
      </c>
      <c r="Z891">
        <v>0</v>
      </c>
    </row>
    <row r="892" spans="1:26" x14ac:dyDescent="0.2">
      <c r="A892" t="s">
        <v>1010</v>
      </c>
      <c r="B892" t="s">
        <v>44</v>
      </c>
      <c r="C892">
        <v>2011</v>
      </c>
      <c r="D892" t="s">
        <v>43</v>
      </c>
      <c r="E892" t="s">
        <v>46</v>
      </c>
      <c r="F892" t="s">
        <v>43</v>
      </c>
      <c r="G892">
        <v>25138</v>
      </c>
      <c r="H892">
        <v>20110.400000000001</v>
      </c>
      <c r="I892" s="13">
        <v>0.8</v>
      </c>
      <c r="J892" t="s">
        <v>6207</v>
      </c>
      <c r="K892">
        <v>0</v>
      </c>
      <c r="L892">
        <v>4</v>
      </c>
      <c r="M892" t="s">
        <v>1</v>
      </c>
      <c r="V892">
        <v>3</v>
      </c>
      <c r="W892">
        <v>2</v>
      </c>
      <c r="X892">
        <v>0</v>
      </c>
      <c r="Y892">
        <v>0</v>
      </c>
      <c r="Z892">
        <v>0</v>
      </c>
    </row>
    <row r="893" spans="1:26" x14ac:dyDescent="0.2">
      <c r="A893" t="s">
        <v>1011</v>
      </c>
      <c r="B893" t="s">
        <v>59</v>
      </c>
      <c r="C893">
        <v>2011</v>
      </c>
      <c r="D893" t="s">
        <v>51</v>
      </c>
      <c r="E893" t="s">
        <v>34</v>
      </c>
      <c r="F893" t="s">
        <v>20</v>
      </c>
      <c r="G893">
        <v>36284</v>
      </c>
      <c r="H893">
        <v>29027.200000000001</v>
      </c>
      <c r="I893" s="13">
        <v>0.33333333333333331</v>
      </c>
      <c r="J893" t="s">
        <v>6206</v>
      </c>
      <c r="K893">
        <v>3</v>
      </c>
      <c r="L893">
        <v>0</v>
      </c>
      <c r="M893" t="s">
        <v>0</v>
      </c>
      <c r="V893">
        <v>0</v>
      </c>
      <c r="W893">
        <v>2</v>
      </c>
      <c r="X893">
        <v>0</v>
      </c>
      <c r="Y893">
        <v>1</v>
      </c>
      <c r="Z893">
        <v>0</v>
      </c>
    </row>
    <row r="894" spans="1:26" x14ac:dyDescent="0.2">
      <c r="A894" t="s">
        <v>1012</v>
      </c>
      <c r="B894" t="s">
        <v>32</v>
      </c>
      <c r="C894">
        <v>2011</v>
      </c>
      <c r="D894" t="s">
        <v>70</v>
      </c>
      <c r="E894" t="s">
        <v>63</v>
      </c>
      <c r="F894" t="s">
        <v>20</v>
      </c>
      <c r="G894">
        <v>18439</v>
      </c>
      <c r="H894">
        <v>14751.2</v>
      </c>
      <c r="I894" s="13">
        <v>0.66666666666666663</v>
      </c>
      <c r="J894" t="s">
        <v>6207</v>
      </c>
      <c r="K894">
        <v>1</v>
      </c>
      <c r="L894">
        <v>1</v>
      </c>
      <c r="M894" t="s">
        <v>58</v>
      </c>
      <c r="V894">
        <v>0</v>
      </c>
      <c r="W894">
        <v>3</v>
      </c>
      <c r="X894">
        <v>0</v>
      </c>
      <c r="Y894">
        <v>0</v>
      </c>
      <c r="Z894">
        <v>0</v>
      </c>
    </row>
    <row r="895" spans="1:26" x14ac:dyDescent="0.2">
      <c r="A895" t="s">
        <v>1013</v>
      </c>
      <c r="B895" t="s">
        <v>56</v>
      </c>
      <c r="C895">
        <v>2011</v>
      </c>
      <c r="D895" t="s">
        <v>40</v>
      </c>
      <c r="E895" t="s">
        <v>69</v>
      </c>
      <c r="F895" t="s">
        <v>49</v>
      </c>
      <c r="G895">
        <v>53400</v>
      </c>
      <c r="H895">
        <v>42720</v>
      </c>
      <c r="I895" s="13">
        <v>0</v>
      </c>
      <c r="J895" t="s">
        <v>6207</v>
      </c>
      <c r="K895">
        <v>5</v>
      </c>
      <c r="L895">
        <v>1</v>
      </c>
      <c r="M895" t="s">
        <v>0</v>
      </c>
      <c r="V895">
        <v>0</v>
      </c>
      <c r="W895">
        <v>1</v>
      </c>
      <c r="X895">
        <v>0</v>
      </c>
      <c r="Y895">
        <v>0</v>
      </c>
      <c r="Z895">
        <v>0</v>
      </c>
    </row>
    <row r="896" spans="1:26" x14ac:dyDescent="0.2">
      <c r="A896" t="s">
        <v>1014</v>
      </c>
      <c r="B896" t="s">
        <v>25</v>
      </c>
      <c r="C896">
        <v>2011</v>
      </c>
      <c r="D896" t="s">
        <v>39</v>
      </c>
      <c r="E896" t="s">
        <v>71</v>
      </c>
      <c r="F896" t="s">
        <v>39</v>
      </c>
      <c r="G896">
        <v>31367</v>
      </c>
      <c r="H896">
        <v>25093.600000000002</v>
      </c>
      <c r="I896" s="13">
        <v>0.33333333333333331</v>
      </c>
      <c r="J896" t="s">
        <v>6207</v>
      </c>
      <c r="K896">
        <v>4</v>
      </c>
      <c r="L896">
        <v>2</v>
      </c>
      <c r="M896" t="s">
        <v>0</v>
      </c>
      <c r="V896">
        <v>1</v>
      </c>
      <c r="W896">
        <v>1</v>
      </c>
      <c r="X896">
        <v>0</v>
      </c>
      <c r="Y896">
        <v>1</v>
      </c>
      <c r="Z896">
        <v>1</v>
      </c>
    </row>
    <row r="897" spans="1:26" x14ac:dyDescent="0.2">
      <c r="A897" t="s">
        <v>1015</v>
      </c>
      <c r="B897" t="s">
        <v>54</v>
      </c>
      <c r="C897">
        <v>2011</v>
      </c>
      <c r="D897" t="s">
        <v>42</v>
      </c>
      <c r="E897" t="s">
        <v>48</v>
      </c>
      <c r="F897" t="s">
        <v>38</v>
      </c>
      <c r="G897">
        <v>42918</v>
      </c>
      <c r="H897">
        <v>34334.400000000001</v>
      </c>
      <c r="I897" s="13">
        <v>0</v>
      </c>
      <c r="J897" t="s">
        <v>6206</v>
      </c>
      <c r="K897">
        <v>0</v>
      </c>
      <c r="L897">
        <v>1</v>
      </c>
      <c r="M897" t="s">
        <v>1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 x14ac:dyDescent="0.2">
      <c r="A898" t="s">
        <v>1016</v>
      </c>
      <c r="B898" t="s">
        <v>50</v>
      </c>
      <c r="C898">
        <v>2011</v>
      </c>
      <c r="D898" t="s">
        <v>45</v>
      </c>
      <c r="E898" t="s">
        <v>27</v>
      </c>
      <c r="F898" t="s">
        <v>26</v>
      </c>
      <c r="G898">
        <v>39572</v>
      </c>
      <c r="H898">
        <v>31657.600000000002</v>
      </c>
      <c r="I898" s="13">
        <v>1</v>
      </c>
      <c r="J898" t="s">
        <v>6207</v>
      </c>
      <c r="K898">
        <v>0</v>
      </c>
      <c r="L898">
        <v>1</v>
      </c>
      <c r="M898" t="s">
        <v>1</v>
      </c>
      <c r="V898">
        <v>0</v>
      </c>
      <c r="W898">
        <v>1</v>
      </c>
      <c r="X898">
        <v>0</v>
      </c>
      <c r="Y898">
        <v>0</v>
      </c>
      <c r="Z898">
        <v>0</v>
      </c>
    </row>
    <row r="899" spans="1:26" x14ac:dyDescent="0.2">
      <c r="A899" t="s">
        <v>1017</v>
      </c>
      <c r="B899" t="s">
        <v>52</v>
      </c>
      <c r="C899">
        <v>2011</v>
      </c>
      <c r="D899" t="s">
        <v>22</v>
      </c>
      <c r="E899" t="s">
        <v>35</v>
      </c>
      <c r="F899" t="s">
        <v>24</v>
      </c>
      <c r="G899">
        <v>31750</v>
      </c>
      <c r="H899">
        <v>25400</v>
      </c>
      <c r="I899" s="13">
        <v>0.4</v>
      </c>
      <c r="J899" t="s">
        <v>6207</v>
      </c>
      <c r="K899">
        <v>2</v>
      </c>
      <c r="L899">
        <v>1</v>
      </c>
      <c r="M899" t="s">
        <v>0</v>
      </c>
      <c r="V899">
        <v>2</v>
      </c>
      <c r="W899">
        <v>3</v>
      </c>
      <c r="X899">
        <v>0</v>
      </c>
      <c r="Y899">
        <v>0</v>
      </c>
      <c r="Z899">
        <v>0</v>
      </c>
    </row>
    <row r="900" spans="1:26" x14ac:dyDescent="0.2">
      <c r="A900" t="s">
        <v>1018</v>
      </c>
      <c r="B900" t="s">
        <v>60</v>
      </c>
      <c r="C900">
        <v>2011</v>
      </c>
      <c r="D900" t="s">
        <v>31</v>
      </c>
      <c r="E900" t="s">
        <v>26</v>
      </c>
      <c r="F900" t="s">
        <v>20</v>
      </c>
      <c r="G900">
        <v>28500</v>
      </c>
      <c r="H900">
        <v>22800</v>
      </c>
      <c r="I900" s="13">
        <v>0.6</v>
      </c>
      <c r="J900" t="s">
        <v>6208</v>
      </c>
      <c r="K900">
        <v>1</v>
      </c>
      <c r="L900">
        <v>0</v>
      </c>
      <c r="M900" t="s">
        <v>0</v>
      </c>
      <c r="V900">
        <v>3</v>
      </c>
      <c r="W900">
        <v>1</v>
      </c>
      <c r="X900">
        <v>0</v>
      </c>
      <c r="Y900">
        <v>1</v>
      </c>
      <c r="Z900">
        <v>0</v>
      </c>
    </row>
    <row r="901" spans="1:26" x14ac:dyDescent="0.2">
      <c r="A901" t="s">
        <v>1019</v>
      </c>
      <c r="B901" t="s">
        <v>41</v>
      </c>
      <c r="C901">
        <v>2011</v>
      </c>
      <c r="D901" t="s">
        <v>63</v>
      </c>
      <c r="E901" t="s">
        <v>43</v>
      </c>
      <c r="F901" t="s">
        <v>65</v>
      </c>
      <c r="G901">
        <v>26804</v>
      </c>
      <c r="H901">
        <v>21443.200000000001</v>
      </c>
      <c r="I901" s="13">
        <v>0.66666666666666663</v>
      </c>
      <c r="J901" t="s">
        <v>6207</v>
      </c>
      <c r="K901">
        <v>1</v>
      </c>
      <c r="L901">
        <v>2</v>
      </c>
      <c r="M901" t="s">
        <v>1</v>
      </c>
      <c r="V901">
        <v>2</v>
      </c>
      <c r="W901">
        <v>1</v>
      </c>
      <c r="X901">
        <v>0</v>
      </c>
      <c r="Y901">
        <v>0</v>
      </c>
      <c r="Z901">
        <v>1</v>
      </c>
    </row>
    <row r="902" spans="1:26" x14ac:dyDescent="0.2">
      <c r="A902" t="s">
        <v>1020</v>
      </c>
      <c r="B902" t="s">
        <v>68</v>
      </c>
      <c r="C902">
        <v>2011</v>
      </c>
      <c r="D902" t="s">
        <v>71</v>
      </c>
      <c r="E902" t="s">
        <v>31</v>
      </c>
      <c r="F902" t="s">
        <v>71</v>
      </c>
      <c r="G902">
        <v>21088</v>
      </c>
      <c r="H902">
        <v>16870.400000000001</v>
      </c>
      <c r="I902" s="13">
        <v>1</v>
      </c>
      <c r="J902" t="s">
        <v>6207</v>
      </c>
      <c r="K902">
        <v>2</v>
      </c>
      <c r="L902">
        <v>0</v>
      </c>
      <c r="M902" t="s">
        <v>0</v>
      </c>
      <c r="V902">
        <v>1</v>
      </c>
      <c r="W902">
        <v>1</v>
      </c>
      <c r="X902">
        <v>0</v>
      </c>
      <c r="Y902">
        <v>0</v>
      </c>
      <c r="Z902">
        <v>0</v>
      </c>
    </row>
    <row r="903" spans="1:26" x14ac:dyDescent="0.2">
      <c r="A903" t="s">
        <v>1021</v>
      </c>
      <c r="B903" t="s">
        <v>32</v>
      </c>
      <c r="C903">
        <v>2011</v>
      </c>
      <c r="D903" t="s">
        <v>69</v>
      </c>
      <c r="E903" t="s">
        <v>64</v>
      </c>
      <c r="F903" t="s">
        <v>69</v>
      </c>
      <c r="G903">
        <v>27359</v>
      </c>
      <c r="H903">
        <v>21887.200000000001</v>
      </c>
      <c r="I903" s="13">
        <v>0.33333333333333331</v>
      </c>
      <c r="J903" t="s">
        <v>6207</v>
      </c>
      <c r="K903">
        <v>4</v>
      </c>
      <c r="L903">
        <v>2</v>
      </c>
      <c r="M903" t="s">
        <v>0</v>
      </c>
      <c r="V903">
        <v>3</v>
      </c>
      <c r="W903">
        <v>2</v>
      </c>
      <c r="X903">
        <v>0</v>
      </c>
      <c r="Y903">
        <v>1</v>
      </c>
      <c r="Z903">
        <v>0</v>
      </c>
    </row>
    <row r="904" spans="1:26" x14ac:dyDescent="0.2">
      <c r="A904" t="s">
        <v>1022</v>
      </c>
      <c r="B904" t="s">
        <v>66</v>
      </c>
      <c r="C904">
        <v>2011</v>
      </c>
      <c r="D904" t="s">
        <v>48</v>
      </c>
      <c r="E904" t="s">
        <v>22</v>
      </c>
      <c r="F904" t="s">
        <v>49</v>
      </c>
      <c r="G904">
        <v>74197</v>
      </c>
      <c r="H904">
        <v>59357.600000000006</v>
      </c>
      <c r="I904" s="13">
        <v>0</v>
      </c>
      <c r="J904" t="s">
        <v>6207</v>
      </c>
      <c r="K904">
        <v>4</v>
      </c>
      <c r="L904">
        <v>1</v>
      </c>
      <c r="M904" t="s">
        <v>0</v>
      </c>
      <c r="V904">
        <v>1</v>
      </c>
      <c r="W904">
        <v>0</v>
      </c>
      <c r="X904">
        <v>0</v>
      </c>
      <c r="Y904">
        <v>0</v>
      </c>
      <c r="Z904">
        <v>0</v>
      </c>
    </row>
    <row r="905" spans="1:26" x14ac:dyDescent="0.2">
      <c r="A905" t="s">
        <v>1023</v>
      </c>
      <c r="B905" t="s">
        <v>50</v>
      </c>
      <c r="C905">
        <v>2011</v>
      </c>
      <c r="D905" t="s">
        <v>26</v>
      </c>
      <c r="E905" t="s">
        <v>70</v>
      </c>
      <c r="F905" t="s">
        <v>26</v>
      </c>
      <c r="G905">
        <v>61276</v>
      </c>
      <c r="H905">
        <v>49020.800000000003</v>
      </c>
      <c r="I905" s="13">
        <v>0.5</v>
      </c>
      <c r="J905" t="s">
        <v>6207</v>
      </c>
      <c r="K905">
        <v>1</v>
      </c>
      <c r="L905">
        <v>0</v>
      </c>
      <c r="M905" t="s">
        <v>0</v>
      </c>
      <c r="V905">
        <v>2</v>
      </c>
      <c r="W905">
        <v>0</v>
      </c>
      <c r="X905">
        <v>0</v>
      </c>
      <c r="Y905">
        <v>0</v>
      </c>
      <c r="Z905">
        <v>0</v>
      </c>
    </row>
    <row r="906" spans="1:26" x14ac:dyDescent="0.2">
      <c r="A906" t="s">
        <v>1024</v>
      </c>
      <c r="B906" t="s">
        <v>52</v>
      </c>
      <c r="C906">
        <v>2011</v>
      </c>
      <c r="D906" t="s">
        <v>34</v>
      </c>
      <c r="E906" t="s">
        <v>42</v>
      </c>
      <c r="F906" t="s">
        <v>36</v>
      </c>
      <c r="G906">
        <v>28723</v>
      </c>
      <c r="H906">
        <v>22978.400000000001</v>
      </c>
      <c r="I906" s="13">
        <v>0</v>
      </c>
      <c r="J906" t="s">
        <v>6207</v>
      </c>
      <c r="K906">
        <v>1</v>
      </c>
      <c r="L906">
        <v>2</v>
      </c>
      <c r="M906" t="s">
        <v>1</v>
      </c>
      <c r="V906">
        <v>1</v>
      </c>
      <c r="W906">
        <v>2</v>
      </c>
      <c r="X906">
        <v>0</v>
      </c>
      <c r="Y906">
        <v>0</v>
      </c>
      <c r="Z906">
        <v>0</v>
      </c>
    </row>
    <row r="907" spans="1:26" x14ac:dyDescent="0.2">
      <c r="A907" t="s">
        <v>1025</v>
      </c>
      <c r="B907" t="s">
        <v>56</v>
      </c>
      <c r="C907">
        <v>2011</v>
      </c>
      <c r="D907" t="s">
        <v>46</v>
      </c>
      <c r="E907" t="s">
        <v>45</v>
      </c>
      <c r="F907" t="s">
        <v>20</v>
      </c>
      <c r="G907">
        <v>60704</v>
      </c>
      <c r="H907">
        <v>48563.200000000004</v>
      </c>
      <c r="I907" s="13">
        <v>0.75</v>
      </c>
      <c r="J907" t="s">
        <v>6207</v>
      </c>
      <c r="K907">
        <v>1</v>
      </c>
      <c r="L907">
        <v>0</v>
      </c>
      <c r="M907" t="s">
        <v>0</v>
      </c>
      <c r="V907">
        <v>2</v>
      </c>
      <c r="W907">
        <v>2</v>
      </c>
      <c r="X907">
        <v>0</v>
      </c>
      <c r="Y907">
        <v>0</v>
      </c>
      <c r="Z907">
        <v>0</v>
      </c>
    </row>
    <row r="908" spans="1:26" x14ac:dyDescent="0.2">
      <c r="A908" t="s">
        <v>1026</v>
      </c>
      <c r="B908" t="s">
        <v>55</v>
      </c>
      <c r="C908">
        <v>2011</v>
      </c>
      <c r="D908" t="s">
        <v>35</v>
      </c>
      <c r="E908" t="s">
        <v>39</v>
      </c>
      <c r="F908" t="s">
        <v>35</v>
      </c>
      <c r="G908">
        <v>49000</v>
      </c>
      <c r="H908">
        <v>39200</v>
      </c>
      <c r="I908" s="13">
        <v>1</v>
      </c>
      <c r="J908" t="s">
        <v>6206</v>
      </c>
      <c r="K908">
        <v>2</v>
      </c>
      <c r="L908">
        <v>1</v>
      </c>
      <c r="M908" t="s">
        <v>0</v>
      </c>
      <c r="V908">
        <v>2</v>
      </c>
      <c r="W908">
        <v>2</v>
      </c>
      <c r="X908">
        <v>0</v>
      </c>
      <c r="Y908">
        <v>0</v>
      </c>
      <c r="Z908">
        <v>0</v>
      </c>
    </row>
    <row r="909" spans="1:26" x14ac:dyDescent="0.2">
      <c r="A909" t="s">
        <v>1027</v>
      </c>
      <c r="B909" t="s">
        <v>25</v>
      </c>
      <c r="C909">
        <v>2011</v>
      </c>
      <c r="D909" t="s">
        <v>27</v>
      </c>
      <c r="E909" t="s">
        <v>51</v>
      </c>
      <c r="F909" t="s">
        <v>27</v>
      </c>
      <c r="G909">
        <v>30089</v>
      </c>
      <c r="H909">
        <v>24071.200000000001</v>
      </c>
      <c r="I909" s="13">
        <v>0.4</v>
      </c>
      <c r="J909" t="s">
        <v>6207</v>
      </c>
      <c r="K909">
        <v>2</v>
      </c>
      <c r="L909">
        <v>1</v>
      </c>
      <c r="M909" t="s">
        <v>0</v>
      </c>
      <c r="V909">
        <v>2</v>
      </c>
      <c r="W909">
        <v>2</v>
      </c>
      <c r="X909">
        <v>0</v>
      </c>
      <c r="Y909">
        <v>1</v>
      </c>
      <c r="Z909">
        <v>0</v>
      </c>
    </row>
    <row r="910" spans="1:26" x14ac:dyDescent="0.2">
      <c r="A910" t="s">
        <v>1028</v>
      </c>
      <c r="B910" t="s">
        <v>44</v>
      </c>
      <c r="C910">
        <v>2011</v>
      </c>
      <c r="D910" t="s">
        <v>18</v>
      </c>
      <c r="E910" t="s">
        <v>40</v>
      </c>
      <c r="F910" t="s">
        <v>20</v>
      </c>
      <c r="G910">
        <v>40341</v>
      </c>
      <c r="H910">
        <v>32272.800000000003</v>
      </c>
      <c r="I910" s="13">
        <v>0.8571428571428571</v>
      </c>
      <c r="J910" t="s">
        <v>6207</v>
      </c>
      <c r="K910">
        <v>2</v>
      </c>
      <c r="L910">
        <v>1</v>
      </c>
      <c r="M910" t="s">
        <v>0</v>
      </c>
      <c r="V910">
        <v>4</v>
      </c>
      <c r="W910">
        <v>2</v>
      </c>
      <c r="X910">
        <v>0</v>
      </c>
      <c r="Y910">
        <v>1</v>
      </c>
      <c r="Z910">
        <v>1</v>
      </c>
    </row>
    <row r="911" spans="1:26" x14ac:dyDescent="0.2">
      <c r="A911" t="s">
        <v>1029</v>
      </c>
      <c r="B911" t="s">
        <v>61</v>
      </c>
      <c r="C911">
        <v>2011</v>
      </c>
      <c r="D911" t="s">
        <v>22</v>
      </c>
      <c r="E911" t="s">
        <v>27</v>
      </c>
      <c r="F911" t="s">
        <v>24</v>
      </c>
      <c r="G911">
        <v>31750</v>
      </c>
      <c r="H911">
        <v>25400</v>
      </c>
      <c r="I911" s="13">
        <v>0.2</v>
      </c>
      <c r="J911" t="s">
        <v>6207</v>
      </c>
      <c r="K911">
        <v>1</v>
      </c>
      <c r="L911">
        <v>2</v>
      </c>
      <c r="M911" t="s">
        <v>1</v>
      </c>
      <c r="V911">
        <v>2</v>
      </c>
      <c r="W911">
        <v>3</v>
      </c>
      <c r="X911">
        <v>0</v>
      </c>
      <c r="Y911">
        <v>0</v>
      </c>
      <c r="Z911">
        <v>0</v>
      </c>
    </row>
    <row r="912" spans="1:26" x14ac:dyDescent="0.2">
      <c r="A912" t="s">
        <v>1030</v>
      </c>
      <c r="B912" t="s">
        <v>50</v>
      </c>
      <c r="C912">
        <v>2011</v>
      </c>
      <c r="D912" t="s">
        <v>64</v>
      </c>
      <c r="E912" t="s">
        <v>71</v>
      </c>
      <c r="F912" t="s">
        <v>64</v>
      </c>
      <c r="G912">
        <v>52264</v>
      </c>
      <c r="H912">
        <v>41811.200000000004</v>
      </c>
      <c r="I912" s="13">
        <v>0.5</v>
      </c>
      <c r="J912" t="s">
        <v>6207</v>
      </c>
      <c r="K912">
        <v>0</v>
      </c>
      <c r="L912">
        <v>0</v>
      </c>
      <c r="M912" t="s">
        <v>58</v>
      </c>
      <c r="V912">
        <v>1</v>
      </c>
      <c r="W912">
        <v>1</v>
      </c>
      <c r="X912">
        <v>0</v>
      </c>
      <c r="Y912">
        <v>0</v>
      </c>
      <c r="Z912">
        <v>0</v>
      </c>
    </row>
    <row r="913" spans="1:26" x14ac:dyDescent="0.2">
      <c r="A913" t="s">
        <v>1031</v>
      </c>
      <c r="B913" t="s">
        <v>25</v>
      </c>
      <c r="C913">
        <v>2011</v>
      </c>
      <c r="D913" t="s">
        <v>31</v>
      </c>
      <c r="E913" t="s">
        <v>34</v>
      </c>
      <c r="F913" t="s">
        <v>20</v>
      </c>
      <c r="G913">
        <v>28500</v>
      </c>
      <c r="H913">
        <v>22800</v>
      </c>
      <c r="I913" s="13">
        <v>0.5</v>
      </c>
      <c r="J913" t="s">
        <v>6207</v>
      </c>
      <c r="K913">
        <v>2</v>
      </c>
      <c r="L913">
        <v>0</v>
      </c>
      <c r="M913" t="s">
        <v>0</v>
      </c>
      <c r="V913">
        <v>1</v>
      </c>
      <c r="W913">
        <v>3</v>
      </c>
      <c r="X913">
        <v>0</v>
      </c>
      <c r="Y913">
        <v>0</v>
      </c>
      <c r="Z913">
        <v>0</v>
      </c>
    </row>
    <row r="914" spans="1:26" x14ac:dyDescent="0.2">
      <c r="A914" t="s">
        <v>1032</v>
      </c>
      <c r="B914" t="s">
        <v>54</v>
      </c>
      <c r="C914">
        <v>2011</v>
      </c>
      <c r="D914" t="s">
        <v>45</v>
      </c>
      <c r="E914" t="s">
        <v>69</v>
      </c>
      <c r="F914" t="s">
        <v>26</v>
      </c>
      <c r="G914">
        <v>39572</v>
      </c>
      <c r="H914">
        <v>31657.600000000002</v>
      </c>
      <c r="I914" s="13">
        <v>0</v>
      </c>
      <c r="J914" t="s">
        <v>6206</v>
      </c>
      <c r="K914">
        <v>1</v>
      </c>
      <c r="L914">
        <v>1</v>
      </c>
      <c r="M914" t="s">
        <v>58</v>
      </c>
      <c r="V914">
        <v>1</v>
      </c>
      <c r="W914">
        <v>1</v>
      </c>
      <c r="X914">
        <v>0</v>
      </c>
      <c r="Y914">
        <v>0</v>
      </c>
      <c r="Z914">
        <v>0</v>
      </c>
    </row>
    <row r="915" spans="1:26" x14ac:dyDescent="0.2">
      <c r="A915" t="s">
        <v>1033</v>
      </c>
      <c r="B915" t="s">
        <v>44</v>
      </c>
      <c r="C915">
        <v>2011</v>
      </c>
      <c r="D915" t="s">
        <v>39</v>
      </c>
      <c r="E915" t="s">
        <v>63</v>
      </c>
      <c r="F915" t="s">
        <v>39</v>
      </c>
      <c r="G915">
        <v>31367</v>
      </c>
      <c r="H915">
        <v>25093.600000000002</v>
      </c>
      <c r="I915" s="13">
        <v>1</v>
      </c>
      <c r="J915" t="s">
        <v>6207</v>
      </c>
      <c r="K915">
        <v>1</v>
      </c>
      <c r="L915">
        <v>2</v>
      </c>
      <c r="M915" t="s">
        <v>1</v>
      </c>
      <c r="V915">
        <v>1</v>
      </c>
      <c r="W915">
        <v>1</v>
      </c>
      <c r="X915">
        <v>0</v>
      </c>
      <c r="Y915">
        <v>0</v>
      </c>
      <c r="Z915">
        <v>0</v>
      </c>
    </row>
    <row r="916" spans="1:26" x14ac:dyDescent="0.2">
      <c r="A916" t="s">
        <v>1034</v>
      </c>
      <c r="B916" t="s">
        <v>32</v>
      </c>
      <c r="C916">
        <v>2011</v>
      </c>
      <c r="D916" t="s">
        <v>43</v>
      </c>
      <c r="E916" t="s">
        <v>18</v>
      </c>
      <c r="F916" t="s">
        <v>43</v>
      </c>
      <c r="G916">
        <v>25138</v>
      </c>
      <c r="H916">
        <v>20110.400000000001</v>
      </c>
      <c r="I916" s="13">
        <v>0</v>
      </c>
      <c r="J916" t="s">
        <v>6207</v>
      </c>
      <c r="K916">
        <v>1</v>
      </c>
      <c r="L916">
        <v>1</v>
      </c>
      <c r="M916" t="s">
        <v>58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2">
      <c r="A917" t="s">
        <v>1035</v>
      </c>
      <c r="B917" t="s">
        <v>56</v>
      </c>
      <c r="C917">
        <v>2011</v>
      </c>
      <c r="D917" t="s">
        <v>70</v>
      </c>
      <c r="E917" t="s">
        <v>48</v>
      </c>
      <c r="F917" t="s">
        <v>20</v>
      </c>
      <c r="G917">
        <v>18439</v>
      </c>
      <c r="H917">
        <v>14751.2</v>
      </c>
      <c r="I917" s="13">
        <v>0</v>
      </c>
      <c r="J917" t="s">
        <v>6207</v>
      </c>
      <c r="K917">
        <v>0</v>
      </c>
      <c r="L917">
        <v>2</v>
      </c>
      <c r="M917" t="s">
        <v>1</v>
      </c>
      <c r="V917">
        <v>1</v>
      </c>
      <c r="W917">
        <v>2</v>
      </c>
      <c r="X917">
        <v>0</v>
      </c>
      <c r="Y917">
        <v>0</v>
      </c>
      <c r="Z917">
        <v>0</v>
      </c>
    </row>
    <row r="918" spans="1:26" x14ac:dyDescent="0.2">
      <c r="A918" t="s">
        <v>1036</v>
      </c>
      <c r="B918" t="s">
        <v>55</v>
      </c>
      <c r="C918">
        <v>2011</v>
      </c>
      <c r="D918" t="s">
        <v>42</v>
      </c>
      <c r="E918" t="s">
        <v>26</v>
      </c>
      <c r="F918" t="s">
        <v>38</v>
      </c>
      <c r="G918">
        <v>42918</v>
      </c>
      <c r="H918">
        <v>34334.400000000001</v>
      </c>
      <c r="I918" s="13">
        <v>0.33333333333333331</v>
      </c>
      <c r="J918" t="s">
        <v>6206</v>
      </c>
      <c r="K918">
        <v>0</v>
      </c>
      <c r="L918">
        <v>2</v>
      </c>
      <c r="M918" t="s">
        <v>1</v>
      </c>
      <c r="V918">
        <v>1</v>
      </c>
      <c r="W918">
        <v>2</v>
      </c>
      <c r="X918">
        <v>0</v>
      </c>
      <c r="Y918">
        <v>0</v>
      </c>
      <c r="Z918">
        <v>0</v>
      </c>
    </row>
    <row r="919" spans="1:26" x14ac:dyDescent="0.2">
      <c r="A919" t="s">
        <v>1037</v>
      </c>
      <c r="B919" t="s">
        <v>41</v>
      </c>
      <c r="C919">
        <v>2011</v>
      </c>
      <c r="D919" t="s">
        <v>51</v>
      </c>
      <c r="E919" t="s">
        <v>35</v>
      </c>
      <c r="F919" t="s">
        <v>20</v>
      </c>
      <c r="G919">
        <v>36284</v>
      </c>
      <c r="H919">
        <v>29027.200000000001</v>
      </c>
      <c r="I919" s="13">
        <v>0</v>
      </c>
      <c r="J919" t="s">
        <v>6207</v>
      </c>
      <c r="K919">
        <v>1</v>
      </c>
      <c r="L919">
        <v>0</v>
      </c>
      <c r="M919" t="s">
        <v>0</v>
      </c>
      <c r="V919">
        <v>1</v>
      </c>
      <c r="W919">
        <v>2</v>
      </c>
      <c r="X919">
        <v>0</v>
      </c>
      <c r="Y919">
        <v>0</v>
      </c>
      <c r="Z919">
        <v>0</v>
      </c>
    </row>
    <row r="920" spans="1:26" x14ac:dyDescent="0.2">
      <c r="A920" t="s">
        <v>1038</v>
      </c>
      <c r="B920" t="s">
        <v>52</v>
      </c>
      <c r="C920">
        <v>2011</v>
      </c>
      <c r="D920" t="s">
        <v>40</v>
      </c>
      <c r="E920" t="s">
        <v>46</v>
      </c>
      <c r="F920" t="s">
        <v>49</v>
      </c>
      <c r="G920">
        <v>53400</v>
      </c>
      <c r="H920">
        <v>42720</v>
      </c>
      <c r="I920" s="13">
        <v>0.8</v>
      </c>
      <c r="J920" t="s">
        <v>6207</v>
      </c>
      <c r="K920">
        <v>1</v>
      </c>
      <c r="L920">
        <v>0</v>
      </c>
      <c r="M920" t="s">
        <v>0</v>
      </c>
      <c r="V920">
        <v>2</v>
      </c>
      <c r="W920">
        <v>3</v>
      </c>
      <c r="X920">
        <v>0</v>
      </c>
      <c r="Y920">
        <v>0</v>
      </c>
      <c r="Z920">
        <v>0</v>
      </c>
    </row>
    <row r="921" spans="1:26" x14ac:dyDescent="0.2">
      <c r="A921" t="s">
        <v>1039</v>
      </c>
      <c r="B921" t="s">
        <v>25</v>
      </c>
      <c r="C921">
        <v>2011</v>
      </c>
      <c r="D921" t="s">
        <v>22</v>
      </c>
      <c r="E921" t="s">
        <v>69</v>
      </c>
      <c r="F921" t="s">
        <v>24</v>
      </c>
      <c r="G921">
        <v>31750</v>
      </c>
      <c r="H921">
        <v>25400</v>
      </c>
      <c r="I921" s="13">
        <v>0.5</v>
      </c>
      <c r="J921" t="s">
        <v>6207</v>
      </c>
      <c r="K921">
        <v>2</v>
      </c>
      <c r="L921">
        <v>2</v>
      </c>
      <c r="M921" t="s">
        <v>58</v>
      </c>
      <c r="V921">
        <v>2</v>
      </c>
      <c r="W921">
        <v>2</v>
      </c>
      <c r="X921">
        <v>0</v>
      </c>
      <c r="Y921">
        <v>0</v>
      </c>
      <c r="Z921">
        <v>0</v>
      </c>
    </row>
    <row r="922" spans="1:26" x14ac:dyDescent="0.2">
      <c r="A922" t="s">
        <v>1040</v>
      </c>
      <c r="B922" t="s">
        <v>32</v>
      </c>
      <c r="C922">
        <v>2011</v>
      </c>
      <c r="D922" t="s">
        <v>39</v>
      </c>
      <c r="E922" t="s">
        <v>34</v>
      </c>
      <c r="F922" t="s">
        <v>39</v>
      </c>
      <c r="G922">
        <v>31367</v>
      </c>
      <c r="H922">
        <v>25093.600000000002</v>
      </c>
      <c r="I922" s="13">
        <v>0.66666666666666663</v>
      </c>
      <c r="J922" t="s">
        <v>6207</v>
      </c>
      <c r="K922">
        <v>1</v>
      </c>
      <c r="L922">
        <v>2</v>
      </c>
      <c r="M922" t="s">
        <v>1</v>
      </c>
      <c r="V922">
        <v>3</v>
      </c>
      <c r="W922">
        <v>0</v>
      </c>
      <c r="X922">
        <v>0</v>
      </c>
      <c r="Y922">
        <v>0</v>
      </c>
      <c r="Z922">
        <v>0</v>
      </c>
    </row>
    <row r="923" spans="1:26" x14ac:dyDescent="0.2">
      <c r="A923" t="s">
        <v>1041</v>
      </c>
      <c r="B923" t="s">
        <v>61</v>
      </c>
      <c r="C923">
        <v>2011</v>
      </c>
      <c r="D923" t="s">
        <v>64</v>
      </c>
      <c r="E923" t="s">
        <v>63</v>
      </c>
      <c r="F923" t="s">
        <v>64</v>
      </c>
      <c r="G923">
        <v>52264</v>
      </c>
      <c r="H923">
        <v>41811.200000000004</v>
      </c>
      <c r="I923" s="13">
        <v>1</v>
      </c>
      <c r="J923" t="s">
        <v>6207</v>
      </c>
      <c r="K923">
        <v>2</v>
      </c>
      <c r="L923">
        <v>3</v>
      </c>
      <c r="M923" t="s">
        <v>1</v>
      </c>
      <c r="V923">
        <v>1</v>
      </c>
      <c r="W923">
        <v>0</v>
      </c>
      <c r="X923">
        <v>0</v>
      </c>
      <c r="Y923">
        <v>0</v>
      </c>
      <c r="Z923">
        <v>0</v>
      </c>
    </row>
    <row r="924" spans="1:26" x14ac:dyDescent="0.2">
      <c r="A924" t="s">
        <v>1042</v>
      </c>
      <c r="B924" t="s">
        <v>41</v>
      </c>
      <c r="C924">
        <v>2011</v>
      </c>
      <c r="D924" t="s">
        <v>40</v>
      </c>
      <c r="E924" t="s">
        <v>27</v>
      </c>
      <c r="F924" t="s">
        <v>49</v>
      </c>
      <c r="G924">
        <v>53400</v>
      </c>
      <c r="H924">
        <v>42720</v>
      </c>
      <c r="I924" s="13">
        <v>0.33333333333333331</v>
      </c>
      <c r="J924" t="s">
        <v>6207</v>
      </c>
      <c r="K924">
        <v>3</v>
      </c>
      <c r="L924">
        <v>0</v>
      </c>
      <c r="M924" t="s">
        <v>0</v>
      </c>
      <c r="V924">
        <v>2</v>
      </c>
      <c r="W924">
        <v>1</v>
      </c>
      <c r="X924">
        <v>0</v>
      </c>
      <c r="Y924">
        <v>0</v>
      </c>
      <c r="Z924">
        <v>0</v>
      </c>
    </row>
    <row r="925" spans="1:26" x14ac:dyDescent="0.2">
      <c r="A925" t="s">
        <v>1043</v>
      </c>
      <c r="B925" t="s">
        <v>68</v>
      </c>
      <c r="C925">
        <v>2011</v>
      </c>
      <c r="D925" t="s">
        <v>42</v>
      </c>
      <c r="E925" t="s">
        <v>46</v>
      </c>
      <c r="F925" t="s">
        <v>38</v>
      </c>
      <c r="G925">
        <v>42918</v>
      </c>
      <c r="H925">
        <v>34334.400000000001</v>
      </c>
      <c r="I925" s="13">
        <v>0.5</v>
      </c>
      <c r="J925" t="s">
        <v>6207</v>
      </c>
      <c r="K925">
        <v>1</v>
      </c>
      <c r="L925">
        <v>2</v>
      </c>
      <c r="M925" t="s">
        <v>1</v>
      </c>
      <c r="V925">
        <v>2</v>
      </c>
      <c r="W925">
        <v>3</v>
      </c>
      <c r="X925">
        <v>1</v>
      </c>
      <c r="Y925">
        <v>0</v>
      </c>
      <c r="Z925">
        <v>1</v>
      </c>
    </row>
    <row r="926" spans="1:26" x14ac:dyDescent="0.2">
      <c r="A926" t="s">
        <v>1044</v>
      </c>
      <c r="B926" t="s">
        <v>66</v>
      </c>
      <c r="C926">
        <v>2011</v>
      </c>
      <c r="D926" t="s">
        <v>43</v>
      </c>
      <c r="E926" t="s">
        <v>26</v>
      </c>
      <c r="F926" t="s">
        <v>43</v>
      </c>
      <c r="G926">
        <v>25138</v>
      </c>
      <c r="H926">
        <v>20110.400000000001</v>
      </c>
      <c r="I926" s="13">
        <v>0</v>
      </c>
      <c r="J926" t="s">
        <v>6207</v>
      </c>
      <c r="K926">
        <v>0</v>
      </c>
      <c r="L926">
        <v>0</v>
      </c>
      <c r="M926" t="s">
        <v>58</v>
      </c>
      <c r="N926">
        <v>45</v>
      </c>
      <c r="O926">
        <v>55</v>
      </c>
      <c r="R926">
        <v>7</v>
      </c>
      <c r="S926">
        <v>14</v>
      </c>
      <c r="T926">
        <v>17</v>
      </c>
      <c r="U926">
        <v>12</v>
      </c>
      <c r="V926">
        <v>1</v>
      </c>
      <c r="W926">
        <v>2</v>
      </c>
      <c r="X926">
        <v>0</v>
      </c>
      <c r="Y926">
        <v>0</v>
      </c>
      <c r="Z926">
        <v>0</v>
      </c>
    </row>
    <row r="927" spans="1:26" x14ac:dyDescent="0.2">
      <c r="A927" t="s">
        <v>1045</v>
      </c>
      <c r="B927" t="s">
        <v>37</v>
      </c>
      <c r="C927">
        <v>2011</v>
      </c>
      <c r="D927" t="s">
        <v>70</v>
      </c>
      <c r="E927" t="s">
        <v>35</v>
      </c>
      <c r="F927" t="s">
        <v>20</v>
      </c>
      <c r="G927">
        <v>18439</v>
      </c>
      <c r="H927">
        <v>14751.2</v>
      </c>
      <c r="I927" s="13">
        <v>0.5</v>
      </c>
      <c r="J927" t="s">
        <v>6206</v>
      </c>
      <c r="K927">
        <v>2</v>
      </c>
      <c r="L927">
        <v>3</v>
      </c>
      <c r="M927" t="s">
        <v>1</v>
      </c>
      <c r="V927">
        <v>2</v>
      </c>
      <c r="W927">
        <v>2</v>
      </c>
      <c r="X927">
        <v>0</v>
      </c>
      <c r="Y927">
        <v>0</v>
      </c>
      <c r="Z927">
        <v>0</v>
      </c>
    </row>
    <row r="928" spans="1:26" x14ac:dyDescent="0.2">
      <c r="A928" t="s">
        <v>1046</v>
      </c>
      <c r="B928" t="s">
        <v>47</v>
      </c>
      <c r="C928">
        <v>2011</v>
      </c>
      <c r="D928" t="s">
        <v>31</v>
      </c>
      <c r="E928" t="s">
        <v>48</v>
      </c>
      <c r="F928" t="s">
        <v>20</v>
      </c>
      <c r="G928">
        <v>28500</v>
      </c>
      <c r="H928">
        <v>22800</v>
      </c>
      <c r="I928" s="13">
        <v>0</v>
      </c>
      <c r="J928" t="s">
        <v>6208</v>
      </c>
      <c r="K928">
        <v>0</v>
      </c>
      <c r="L928">
        <v>5</v>
      </c>
      <c r="M928" t="s">
        <v>1</v>
      </c>
      <c r="V928">
        <v>1</v>
      </c>
      <c r="W928">
        <v>0</v>
      </c>
      <c r="X928">
        <v>0</v>
      </c>
      <c r="Y928">
        <v>0</v>
      </c>
      <c r="Z928">
        <v>0</v>
      </c>
    </row>
    <row r="929" spans="1:26" x14ac:dyDescent="0.2">
      <c r="A929" t="s">
        <v>1047</v>
      </c>
      <c r="B929" t="s">
        <v>60</v>
      </c>
      <c r="C929">
        <v>2011</v>
      </c>
      <c r="D929" t="s">
        <v>45</v>
      </c>
      <c r="E929" t="s">
        <v>71</v>
      </c>
      <c r="F929" t="s">
        <v>26</v>
      </c>
      <c r="G929">
        <v>39572</v>
      </c>
      <c r="H929">
        <v>31657.600000000002</v>
      </c>
      <c r="I929" s="13">
        <v>0.33333333333333331</v>
      </c>
      <c r="J929" t="s">
        <v>6208</v>
      </c>
      <c r="K929">
        <v>0</v>
      </c>
      <c r="L929">
        <v>0</v>
      </c>
      <c r="M929" t="s">
        <v>58</v>
      </c>
      <c r="V929">
        <v>1</v>
      </c>
      <c r="W929">
        <v>2</v>
      </c>
      <c r="X929">
        <v>0</v>
      </c>
      <c r="Y929">
        <v>0</v>
      </c>
      <c r="Z929">
        <v>0</v>
      </c>
    </row>
    <row r="930" spans="1:26" x14ac:dyDescent="0.2">
      <c r="A930" t="s">
        <v>1048</v>
      </c>
      <c r="B930" t="s">
        <v>56</v>
      </c>
      <c r="C930">
        <v>2011</v>
      </c>
      <c r="D930" t="s">
        <v>51</v>
      </c>
      <c r="E930" t="s">
        <v>18</v>
      </c>
      <c r="F930" t="s">
        <v>20</v>
      </c>
      <c r="G930">
        <v>36284</v>
      </c>
      <c r="H930">
        <v>29027.200000000001</v>
      </c>
      <c r="I930" s="13">
        <v>0.75</v>
      </c>
      <c r="J930" t="s">
        <v>6207</v>
      </c>
      <c r="K930">
        <v>1</v>
      </c>
      <c r="L930">
        <v>1</v>
      </c>
      <c r="M930" t="s">
        <v>58</v>
      </c>
      <c r="V930">
        <v>2</v>
      </c>
      <c r="W930">
        <v>2</v>
      </c>
      <c r="X930">
        <v>0</v>
      </c>
      <c r="Y930">
        <v>0</v>
      </c>
      <c r="Z930">
        <v>0</v>
      </c>
    </row>
    <row r="931" spans="1:26" x14ac:dyDescent="0.2">
      <c r="A931" t="s">
        <v>1049</v>
      </c>
      <c r="B931" t="s">
        <v>60</v>
      </c>
      <c r="C931">
        <v>2011</v>
      </c>
      <c r="D931" t="s">
        <v>18</v>
      </c>
      <c r="E931" t="s">
        <v>31</v>
      </c>
      <c r="F931" t="s">
        <v>20</v>
      </c>
      <c r="G931">
        <v>40341</v>
      </c>
      <c r="H931">
        <v>32272.800000000003</v>
      </c>
      <c r="I931" s="13">
        <v>1</v>
      </c>
      <c r="J931" t="s">
        <v>6208</v>
      </c>
      <c r="K931">
        <v>1</v>
      </c>
      <c r="L931">
        <v>1</v>
      </c>
      <c r="M931" t="s">
        <v>58</v>
      </c>
      <c r="V931">
        <v>1</v>
      </c>
      <c r="W931">
        <v>1</v>
      </c>
      <c r="X931">
        <v>0</v>
      </c>
      <c r="Y931">
        <v>0</v>
      </c>
      <c r="Z931">
        <v>0</v>
      </c>
    </row>
    <row r="932" spans="1:26" x14ac:dyDescent="0.2">
      <c r="A932" t="s">
        <v>1050</v>
      </c>
      <c r="B932" t="s">
        <v>50</v>
      </c>
      <c r="C932">
        <v>2011</v>
      </c>
      <c r="D932" t="s">
        <v>63</v>
      </c>
      <c r="E932" t="s">
        <v>40</v>
      </c>
      <c r="F932" t="s">
        <v>65</v>
      </c>
      <c r="G932">
        <v>26804</v>
      </c>
      <c r="H932">
        <v>21443.200000000001</v>
      </c>
      <c r="I932" s="13">
        <v>1</v>
      </c>
      <c r="J932" t="s">
        <v>6207</v>
      </c>
      <c r="K932">
        <v>0</v>
      </c>
      <c r="L932">
        <v>0</v>
      </c>
      <c r="M932" t="s">
        <v>58</v>
      </c>
      <c r="V932">
        <v>0</v>
      </c>
      <c r="W932">
        <v>1</v>
      </c>
      <c r="X932">
        <v>0</v>
      </c>
      <c r="Y932">
        <v>0</v>
      </c>
      <c r="Z932">
        <v>0</v>
      </c>
    </row>
    <row r="933" spans="1:26" x14ac:dyDescent="0.2">
      <c r="A933" t="s">
        <v>1051</v>
      </c>
      <c r="B933" t="s">
        <v>56</v>
      </c>
      <c r="C933">
        <v>2011</v>
      </c>
      <c r="D933" t="s">
        <v>35</v>
      </c>
      <c r="E933" t="s">
        <v>45</v>
      </c>
      <c r="F933" t="s">
        <v>35</v>
      </c>
      <c r="G933">
        <v>49000</v>
      </c>
      <c r="H933">
        <v>39200</v>
      </c>
      <c r="I933" s="13">
        <v>1</v>
      </c>
      <c r="J933" t="s">
        <v>6207</v>
      </c>
      <c r="K933">
        <v>1</v>
      </c>
      <c r="L933">
        <v>1</v>
      </c>
      <c r="M933" t="s">
        <v>58</v>
      </c>
      <c r="V933">
        <v>0</v>
      </c>
      <c r="W933">
        <v>1</v>
      </c>
      <c r="X933">
        <v>0</v>
      </c>
      <c r="Y933">
        <v>0</v>
      </c>
      <c r="Z933">
        <v>1</v>
      </c>
    </row>
    <row r="934" spans="1:26" x14ac:dyDescent="0.2">
      <c r="A934" t="s">
        <v>1052</v>
      </c>
      <c r="B934" t="s">
        <v>52</v>
      </c>
      <c r="C934">
        <v>2011</v>
      </c>
      <c r="D934" t="s">
        <v>48</v>
      </c>
      <c r="E934" t="s">
        <v>43</v>
      </c>
      <c r="F934" t="s">
        <v>49</v>
      </c>
      <c r="G934">
        <v>74197</v>
      </c>
      <c r="H934">
        <v>59357.600000000006</v>
      </c>
      <c r="I934" s="13">
        <v>0.25</v>
      </c>
      <c r="J934" t="s">
        <v>6207</v>
      </c>
      <c r="K934">
        <v>5</v>
      </c>
      <c r="L934">
        <v>0</v>
      </c>
      <c r="M934" t="s">
        <v>0</v>
      </c>
      <c r="V934">
        <v>2</v>
      </c>
      <c r="W934">
        <v>1</v>
      </c>
      <c r="X934">
        <v>0</v>
      </c>
      <c r="Y934">
        <v>1</v>
      </c>
      <c r="Z934">
        <v>1</v>
      </c>
    </row>
    <row r="935" spans="1:26" x14ac:dyDescent="0.2">
      <c r="A935" t="s">
        <v>1053</v>
      </c>
      <c r="B935" t="s">
        <v>53</v>
      </c>
      <c r="C935">
        <v>2011</v>
      </c>
      <c r="D935" t="s">
        <v>26</v>
      </c>
      <c r="E935" t="s">
        <v>39</v>
      </c>
      <c r="F935" t="s">
        <v>26</v>
      </c>
      <c r="G935">
        <v>61276</v>
      </c>
      <c r="H935">
        <v>49020.800000000003</v>
      </c>
      <c r="I935" s="13">
        <v>1</v>
      </c>
      <c r="J935" t="s">
        <v>6207</v>
      </c>
      <c r="K935">
        <v>1</v>
      </c>
      <c r="L935">
        <v>1</v>
      </c>
      <c r="M935" t="s">
        <v>58</v>
      </c>
      <c r="V935">
        <v>1</v>
      </c>
      <c r="W935">
        <v>0</v>
      </c>
      <c r="X935">
        <v>0</v>
      </c>
      <c r="Y935">
        <v>0</v>
      </c>
      <c r="Z935">
        <v>0</v>
      </c>
    </row>
    <row r="936" spans="1:26" x14ac:dyDescent="0.2">
      <c r="A936" t="s">
        <v>1054</v>
      </c>
      <c r="B936" t="s">
        <v>55</v>
      </c>
      <c r="C936">
        <v>2011</v>
      </c>
      <c r="D936" t="s">
        <v>34</v>
      </c>
      <c r="E936" t="s">
        <v>64</v>
      </c>
      <c r="F936" t="s">
        <v>36</v>
      </c>
      <c r="G936">
        <v>28723</v>
      </c>
      <c r="H936">
        <v>22978.400000000001</v>
      </c>
      <c r="I936" s="13">
        <v>1</v>
      </c>
      <c r="J936" t="s">
        <v>6206</v>
      </c>
      <c r="K936">
        <v>0</v>
      </c>
      <c r="L936">
        <v>2</v>
      </c>
      <c r="M936" t="s">
        <v>1</v>
      </c>
      <c r="V936">
        <v>1</v>
      </c>
      <c r="W936">
        <v>1</v>
      </c>
      <c r="X936">
        <v>0</v>
      </c>
      <c r="Y936">
        <v>0</v>
      </c>
      <c r="Z936">
        <v>0</v>
      </c>
    </row>
    <row r="937" spans="1:26" x14ac:dyDescent="0.2">
      <c r="A937" t="s">
        <v>1055</v>
      </c>
      <c r="B937" t="s">
        <v>44</v>
      </c>
      <c r="C937">
        <v>2011</v>
      </c>
      <c r="D937" t="s">
        <v>27</v>
      </c>
      <c r="E937" t="s">
        <v>42</v>
      </c>
      <c r="F937" t="s">
        <v>27</v>
      </c>
      <c r="G937">
        <v>30089</v>
      </c>
      <c r="H937">
        <v>24071.200000000001</v>
      </c>
      <c r="I937" s="13">
        <v>0.66666666666666663</v>
      </c>
      <c r="J937" t="s">
        <v>6207</v>
      </c>
      <c r="K937">
        <v>0</v>
      </c>
      <c r="L937">
        <v>0</v>
      </c>
      <c r="M937" t="s">
        <v>58</v>
      </c>
      <c r="V937">
        <v>3</v>
      </c>
      <c r="W937">
        <v>0</v>
      </c>
      <c r="X937">
        <v>0</v>
      </c>
      <c r="Y937">
        <v>0</v>
      </c>
      <c r="Z937">
        <v>0</v>
      </c>
    </row>
    <row r="938" spans="1:26" x14ac:dyDescent="0.2">
      <c r="A938" t="s">
        <v>1056</v>
      </c>
      <c r="B938" t="s">
        <v>59</v>
      </c>
      <c r="C938">
        <v>2011</v>
      </c>
      <c r="D938" t="s">
        <v>46</v>
      </c>
      <c r="E938" t="s">
        <v>22</v>
      </c>
      <c r="F938" t="s">
        <v>20</v>
      </c>
      <c r="G938">
        <v>60704</v>
      </c>
      <c r="H938">
        <v>48563.200000000004</v>
      </c>
      <c r="I938" s="13">
        <v>0.83333333333333337</v>
      </c>
      <c r="J938" t="s">
        <v>6206</v>
      </c>
      <c r="K938">
        <v>1</v>
      </c>
      <c r="L938">
        <v>1</v>
      </c>
      <c r="M938" t="s">
        <v>58</v>
      </c>
      <c r="V938">
        <v>2</v>
      </c>
      <c r="W938">
        <v>3</v>
      </c>
      <c r="X938">
        <v>0</v>
      </c>
      <c r="Y938">
        <v>1</v>
      </c>
      <c r="Z938">
        <v>0</v>
      </c>
    </row>
    <row r="939" spans="1:26" x14ac:dyDescent="0.2">
      <c r="A939" t="s">
        <v>1057</v>
      </c>
      <c r="B939" t="s">
        <v>54</v>
      </c>
      <c r="C939">
        <v>2011</v>
      </c>
      <c r="D939" t="s">
        <v>71</v>
      </c>
      <c r="E939" t="s">
        <v>70</v>
      </c>
      <c r="F939" t="s">
        <v>71</v>
      </c>
      <c r="G939">
        <v>21088</v>
      </c>
      <c r="H939">
        <v>16870.400000000001</v>
      </c>
      <c r="I939" s="13">
        <v>0.25</v>
      </c>
      <c r="J939" t="s">
        <v>6206</v>
      </c>
      <c r="K939">
        <v>1</v>
      </c>
      <c r="L939">
        <v>1</v>
      </c>
      <c r="M939" t="s">
        <v>58</v>
      </c>
      <c r="V939">
        <v>1</v>
      </c>
      <c r="W939">
        <v>3</v>
      </c>
      <c r="X939">
        <v>0</v>
      </c>
      <c r="Y939">
        <v>0</v>
      </c>
      <c r="Z939">
        <v>0</v>
      </c>
    </row>
    <row r="940" spans="1:26" x14ac:dyDescent="0.2">
      <c r="A940" t="s">
        <v>1058</v>
      </c>
      <c r="B940" t="s">
        <v>66</v>
      </c>
      <c r="C940">
        <v>2011</v>
      </c>
      <c r="D940" t="s">
        <v>69</v>
      </c>
      <c r="E940" t="s">
        <v>51</v>
      </c>
      <c r="F940" t="s">
        <v>69</v>
      </c>
      <c r="G940">
        <v>27359</v>
      </c>
      <c r="H940">
        <v>21887.200000000001</v>
      </c>
      <c r="I940" s="13">
        <v>1</v>
      </c>
      <c r="J940" t="s">
        <v>6207</v>
      </c>
      <c r="K940">
        <v>0</v>
      </c>
      <c r="L940">
        <v>2</v>
      </c>
      <c r="M940" t="s">
        <v>1</v>
      </c>
      <c r="V940">
        <v>1</v>
      </c>
      <c r="W940">
        <v>1</v>
      </c>
      <c r="X940">
        <v>0</v>
      </c>
      <c r="Y940">
        <v>0</v>
      </c>
      <c r="Z940">
        <v>0</v>
      </c>
    </row>
    <row r="941" spans="1:26" x14ac:dyDescent="0.2">
      <c r="A941" t="s">
        <v>1059</v>
      </c>
      <c r="B941" t="s">
        <v>54</v>
      </c>
      <c r="C941">
        <v>2011</v>
      </c>
      <c r="D941" t="s">
        <v>26</v>
      </c>
      <c r="E941" t="s">
        <v>64</v>
      </c>
      <c r="F941" t="s">
        <v>26</v>
      </c>
      <c r="G941">
        <v>61276</v>
      </c>
      <c r="H941">
        <v>49020.800000000003</v>
      </c>
      <c r="I941" s="13">
        <v>0.5</v>
      </c>
      <c r="J941" t="s">
        <v>6206</v>
      </c>
      <c r="K941">
        <v>3</v>
      </c>
      <c r="L941">
        <v>1</v>
      </c>
      <c r="M941" t="s">
        <v>0</v>
      </c>
      <c r="V941">
        <v>0</v>
      </c>
      <c r="W941">
        <v>2</v>
      </c>
      <c r="X941">
        <v>0</v>
      </c>
      <c r="Y941">
        <v>0</v>
      </c>
      <c r="Z941">
        <v>0</v>
      </c>
    </row>
    <row r="942" spans="1:26" x14ac:dyDescent="0.2">
      <c r="A942" t="s">
        <v>1060</v>
      </c>
      <c r="B942" t="s">
        <v>41</v>
      </c>
      <c r="C942">
        <v>2011</v>
      </c>
      <c r="D942" t="s">
        <v>48</v>
      </c>
      <c r="E942" t="s">
        <v>39</v>
      </c>
      <c r="F942" t="s">
        <v>49</v>
      </c>
      <c r="G942">
        <v>74197</v>
      </c>
      <c r="H942">
        <v>59357.600000000006</v>
      </c>
      <c r="I942" s="13">
        <v>0.75</v>
      </c>
      <c r="J942" t="s">
        <v>6207</v>
      </c>
      <c r="K942">
        <v>2</v>
      </c>
      <c r="L942">
        <v>3</v>
      </c>
      <c r="M942" t="s">
        <v>1</v>
      </c>
      <c r="V942">
        <v>2</v>
      </c>
      <c r="W942">
        <v>2</v>
      </c>
      <c r="X942">
        <v>0</v>
      </c>
      <c r="Y942">
        <v>0</v>
      </c>
      <c r="Z942">
        <v>1</v>
      </c>
    </row>
    <row r="943" spans="1:26" x14ac:dyDescent="0.2">
      <c r="A943" t="s">
        <v>1061</v>
      </c>
      <c r="B943" t="s">
        <v>52</v>
      </c>
      <c r="C943">
        <v>2011</v>
      </c>
      <c r="D943" t="s">
        <v>71</v>
      </c>
      <c r="E943" t="s">
        <v>51</v>
      </c>
      <c r="F943" t="s">
        <v>71</v>
      </c>
      <c r="G943">
        <v>21088</v>
      </c>
      <c r="H943">
        <v>16870.400000000001</v>
      </c>
      <c r="I943" s="13">
        <v>0</v>
      </c>
      <c r="J943" t="s">
        <v>6207</v>
      </c>
      <c r="K943">
        <v>1</v>
      </c>
      <c r="L943">
        <v>1</v>
      </c>
      <c r="M943" t="s">
        <v>58</v>
      </c>
      <c r="V943">
        <v>1</v>
      </c>
      <c r="W943">
        <v>2</v>
      </c>
      <c r="X943">
        <v>0</v>
      </c>
      <c r="Y943">
        <v>0</v>
      </c>
      <c r="Z943">
        <v>0</v>
      </c>
    </row>
    <row r="944" spans="1:26" x14ac:dyDescent="0.2">
      <c r="A944" t="s">
        <v>1062</v>
      </c>
      <c r="B944" t="s">
        <v>66</v>
      </c>
      <c r="C944">
        <v>2011</v>
      </c>
      <c r="D944" t="s">
        <v>27</v>
      </c>
      <c r="E944" t="s">
        <v>43</v>
      </c>
      <c r="F944" t="s">
        <v>27</v>
      </c>
      <c r="G944">
        <v>30089</v>
      </c>
      <c r="H944">
        <v>24071.200000000001</v>
      </c>
      <c r="I944" s="13">
        <v>0.66666666666666663</v>
      </c>
      <c r="J944" t="s">
        <v>6207</v>
      </c>
      <c r="K944">
        <v>2</v>
      </c>
      <c r="L944">
        <v>2</v>
      </c>
      <c r="M944" t="s">
        <v>58</v>
      </c>
      <c r="V944">
        <v>2</v>
      </c>
      <c r="W944">
        <v>3</v>
      </c>
      <c r="X944">
        <v>0</v>
      </c>
      <c r="Y944">
        <v>1</v>
      </c>
      <c r="Z944">
        <v>2</v>
      </c>
    </row>
    <row r="945" spans="1:26" x14ac:dyDescent="0.2">
      <c r="A945" t="s">
        <v>1063</v>
      </c>
      <c r="B945" t="s">
        <v>56</v>
      </c>
      <c r="C945">
        <v>2011</v>
      </c>
      <c r="D945" t="s">
        <v>69</v>
      </c>
      <c r="E945" t="s">
        <v>31</v>
      </c>
      <c r="F945" t="s">
        <v>69</v>
      </c>
      <c r="G945">
        <v>27359</v>
      </c>
      <c r="H945">
        <v>21887.200000000001</v>
      </c>
      <c r="I945" s="13">
        <v>0</v>
      </c>
      <c r="J945" t="s">
        <v>6207</v>
      </c>
      <c r="K945">
        <v>1</v>
      </c>
      <c r="L945">
        <v>1</v>
      </c>
      <c r="M945" t="s">
        <v>58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 x14ac:dyDescent="0.2">
      <c r="A946" t="s">
        <v>1064</v>
      </c>
      <c r="B946" t="s">
        <v>47</v>
      </c>
      <c r="C946">
        <v>2011</v>
      </c>
      <c r="D946" t="s">
        <v>18</v>
      </c>
      <c r="E946" t="s">
        <v>42</v>
      </c>
      <c r="F946" t="s">
        <v>20</v>
      </c>
      <c r="G946">
        <v>40341</v>
      </c>
      <c r="H946">
        <v>32272.800000000003</v>
      </c>
      <c r="I946" s="13">
        <v>0.5</v>
      </c>
      <c r="J946" t="s">
        <v>6208</v>
      </c>
      <c r="K946">
        <v>1</v>
      </c>
      <c r="L946">
        <v>3</v>
      </c>
      <c r="M946" t="s">
        <v>1</v>
      </c>
      <c r="V946">
        <v>1</v>
      </c>
      <c r="W946">
        <v>1</v>
      </c>
      <c r="X946">
        <v>0</v>
      </c>
      <c r="Y946">
        <v>0</v>
      </c>
      <c r="Z946">
        <v>1</v>
      </c>
    </row>
    <row r="947" spans="1:26" x14ac:dyDescent="0.2">
      <c r="A947" t="s">
        <v>1065</v>
      </c>
      <c r="B947" t="s">
        <v>44</v>
      </c>
      <c r="C947">
        <v>2011</v>
      </c>
      <c r="D947" t="s">
        <v>34</v>
      </c>
      <c r="E947" t="s">
        <v>22</v>
      </c>
      <c r="F947" t="s">
        <v>36</v>
      </c>
      <c r="G947">
        <v>28723</v>
      </c>
      <c r="H947">
        <v>22978.400000000001</v>
      </c>
      <c r="I947" s="13">
        <v>0</v>
      </c>
      <c r="J947" t="s">
        <v>6207</v>
      </c>
      <c r="K947">
        <v>1</v>
      </c>
      <c r="L947">
        <v>1</v>
      </c>
      <c r="M947" t="s">
        <v>58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2">
      <c r="A948" t="s">
        <v>1066</v>
      </c>
      <c r="B948" t="s">
        <v>32</v>
      </c>
      <c r="C948">
        <v>2011</v>
      </c>
      <c r="D948" t="s">
        <v>46</v>
      </c>
      <c r="E948" t="s">
        <v>70</v>
      </c>
      <c r="F948" t="s">
        <v>20</v>
      </c>
      <c r="G948">
        <v>60704</v>
      </c>
      <c r="H948">
        <v>48563.200000000004</v>
      </c>
      <c r="I948" s="13">
        <v>0.5</v>
      </c>
      <c r="J948" t="s">
        <v>6207</v>
      </c>
      <c r="K948">
        <v>1</v>
      </c>
      <c r="L948">
        <v>0</v>
      </c>
      <c r="M948" t="s">
        <v>0</v>
      </c>
      <c r="V948">
        <v>2</v>
      </c>
      <c r="W948">
        <v>2</v>
      </c>
      <c r="X948">
        <v>0</v>
      </c>
      <c r="Y948">
        <v>0</v>
      </c>
      <c r="Z948">
        <v>0</v>
      </c>
    </row>
    <row r="949" spans="1:26" x14ac:dyDescent="0.2">
      <c r="A949" t="s">
        <v>1067</v>
      </c>
      <c r="B949" t="s">
        <v>59</v>
      </c>
      <c r="C949">
        <v>2011</v>
      </c>
      <c r="D949" t="s">
        <v>63</v>
      </c>
      <c r="E949" t="s">
        <v>45</v>
      </c>
      <c r="F949" t="s">
        <v>65</v>
      </c>
      <c r="G949">
        <v>26804</v>
      </c>
      <c r="H949">
        <v>21443.200000000001</v>
      </c>
      <c r="I949" s="13">
        <v>0.5</v>
      </c>
      <c r="J949" t="s">
        <v>6206</v>
      </c>
      <c r="K949">
        <v>0</v>
      </c>
      <c r="L949">
        <v>1</v>
      </c>
      <c r="M949" t="s">
        <v>1</v>
      </c>
      <c r="V949">
        <v>0</v>
      </c>
      <c r="W949">
        <v>2</v>
      </c>
      <c r="X949">
        <v>0</v>
      </c>
      <c r="Y949">
        <v>0</v>
      </c>
      <c r="Z949">
        <v>0</v>
      </c>
    </row>
    <row r="950" spans="1:26" x14ac:dyDescent="0.2">
      <c r="A950" t="s">
        <v>1068</v>
      </c>
      <c r="B950" t="s">
        <v>60</v>
      </c>
      <c r="C950">
        <v>2011</v>
      </c>
      <c r="D950" t="s">
        <v>35</v>
      </c>
      <c r="E950" t="s">
        <v>40</v>
      </c>
      <c r="F950" t="s">
        <v>35</v>
      </c>
      <c r="G950">
        <v>49000</v>
      </c>
      <c r="H950">
        <v>39200</v>
      </c>
      <c r="I950" s="13">
        <v>0.33333333333333331</v>
      </c>
      <c r="J950" t="s">
        <v>6208</v>
      </c>
      <c r="K950">
        <v>1</v>
      </c>
      <c r="L950">
        <v>0</v>
      </c>
      <c r="M950" t="s">
        <v>0</v>
      </c>
      <c r="V950">
        <v>2</v>
      </c>
      <c r="W950">
        <v>1</v>
      </c>
      <c r="X950">
        <v>0</v>
      </c>
      <c r="Y950">
        <v>0</v>
      </c>
      <c r="Z950">
        <v>0</v>
      </c>
    </row>
    <row r="951" spans="1:26" x14ac:dyDescent="0.2">
      <c r="A951" t="s">
        <v>1069</v>
      </c>
      <c r="B951" t="s">
        <v>55</v>
      </c>
      <c r="C951">
        <v>2011</v>
      </c>
      <c r="D951" t="s">
        <v>22</v>
      </c>
      <c r="E951" t="s">
        <v>18</v>
      </c>
      <c r="F951" t="s">
        <v>24</v>
      </c>
      <c r="G951">
        <v>31750</v>
      </c>
      <c r="H951">
        <v>25400</v>
      </c>
      <c r="I951" s="13">
        <v>0.4</v>
      </c>
      <c r="J951" t="s">
        <v>6206</v>
      </c>
      <c r="K951">
        <v>1</v>
      </c>
      <c r="L951">
        <v>2</v>
      </c>
      <c r="M951" t="s">
        <v>1</v>
      </c>
      <c r="V951">
        <v>3</v>
      </c>
      <c r="W951">
        <v>2</v>
      </c>
      <c r="X951">
        <v>0</v>
      </c>
      <c r="Y951">
        <v>0</v>
      </c>
      <c r="Z951">
        <v>0</v>
      </c>
    </row>
    <row r="952" spans="1:26" x14ac:dyDescent="0.2">
      <c r="A952" t="s">
        <v>1070</v>
      </c>
      <c r="B952" t="s">
        <v>67</v>
      </c>
      <c r="C952">
        <v>2011</v>
      </c>
      <c r="D952" t="s">
        <v>70</v>
      </c>
      <c r="E952" t="s">
        <v>69</v>
      </c>
      <c r="F952" t="s">
        <v>20</v>
      </c>
      <c r="G952">
        <v>18439</v>
      </c>
      <c r="H952">
        <v>14751.2</v>
      </c>
      <c r="I952" s="13">
        <v>0.5</v>
      </c>
      <c r="J952" t="s">
        <v>6207</v>
      </c>
      <c r="K952">
        <v>1</v>
      </c>
      <c r="L952">
        <v>2</v>
      </c>
      <c r="M952" t="s">
        <v>1</v>
      </c>
      <c r="V952">
        <v>2</v>
      </c>
      <c r="W952">
        <v>1</v>
      </c>
      <c r="X952">
        <v>1</v>
      </c>
      <c r="Y952">
        <v>0</v>
      </c>
      <c r="Z952">
        <v>0</v>
      </c>
    </row>
    <row r="953" spans="1:26" x14ac:dyDescent="0.2">
      <c r="A953" t="s">
        <v>1071</v>
      </c>
      <c r="B953" t="s">
        <v>50</v>
      </c>
      <c r="C953">
        <v>2011</v>
      </c>
      <c r="D953" t="s">
        <v>39</v>
      </c>
      <c r="E953" t="s">
        <v>27</v>
      </c>
      <c r="F953" t="s">
        <v>39</v>
      </c>
      <c r="G953">
        <v>31367</v>
      </c>
      <c r="H953">
        <v>25093.600000000002</v>
      </c>
      <c r="I953" s="13">
        <v>0.66666666666666663</v>
      </c>
      <c r="J953" t="s">
        <v>6207</v>
      </c>
      <c r="K953">
        <v>1</v>
      </c>
      <c r="L953">
        <v>2</v>
      </c>
      <c r="M953" t="s">
        <v>1</v>
      </c>
      <c r="V953">
        <v>2</v>
      </c>
      <c r="W953">
        <v>1</v>
      </c>
      <c r="X953">
        <v>0</v>
      </c>
      <c r="Y953">
        <v>0</v>
      </c>
      <c r="Z953">
        <v>0</v>
      </c>
    </row>
    <row r="954" spans="1:26" x14ac:dyDescent="0.2">
      <c r="A954" t="s">
        <v>1072</v>
      </c>
      <c r="B954" t="s">
        <v>61</v>
      </c>
      <c r="C954">
        <v>2011</v>
      </c>
      <c r="D954" t="s">
        <v>42</v>
      </c>
      <c r="E954" t="s">
        <v>71</v>
      </c>
      <c r="F954" t="s">
        <v>38</v>
      </c>
      <c r="G954">
        <v>42918</v>
      </c>
      <c r="H954">
        <v>34334.400000000001</v>
      </c>
      <c r="I954" s="13">
        <v>0.83333333333333337</v>
      </c>
      <c r="J954" t="s">
        <v>6207</v>
      </c>
      <c r="K954">
        <v>0</v>
      </c>
      <c r="L954">
        <v>2</v>
      </c>
      <c r="M954" t="s">
        <v>1</v>
      </c>
      <c r="V954">
        <v>2</v>
      </c>
      <c r="W954">
        <v>4</v>
      </c>
      <c r="X954">
        <v>0</v>
      </c>
      <c r="Y954">
        <v>0</v>
      </c>
      <c r="Z954">
        <v>0</v>
      </c>
    </row>
    <row r="955" spans="1:26" x14ac:dyDescent="0.2">
      <c r="A955" t="s">
        <v>1073</v>
      </c>
      <c r="B955" t="s">
        <v>54</v>
      </c>
      <c r="C955">
        <v>2011</v>
      </c>
      <c r="D955" t="s">
        <v>31</v>
      </c>
      <c r="E955" t="s">
        <v>46</v>
      </c>
      <c r="F955" t="s">
        <v>20</v>
      </c>
      <c r="G955">
        <v>28500</v>
      </c>
      <c r="H955">
        <v>22800</v>
      </c>
      <c r="I955" s="13">
        <v>0.5</v>
      </c>
      <c r="J955" t="s">
        <v>6206</v>
      </c>
      <c r="K955">
        <v>2</v>
      </c>
      <c r="L955">
        <v>1</v>
      </c>
      <c r="M955" t="s">
        <v>0</v>
      </c>
      <c r="V955">
        <v>0</v>
      </c>
      <c r="W955">
        <v>1</v>
      </c>
      <c r="X955">
        <v>0</v>
      </c>
      <c r="Y955">
        <v>1</v>
      </c>
      <c r="Z955">
        <v>0</v>
      </c>
    </row>
    <row r="956" spans="1:26" x14ac:dyDescent="0.2">
      <c r="A956" t="s">
        <v>1074</v>
      </c>
      <c r="B956" t="s">
        <v>41</v>
      </c>
      <c r="C956">
        <v>2011</v>
      </c>
      <c r="D956" t="s">
        <v>43</v>
      </c>
      <c r="E956" t="s">
        <v>35</v>
      </c>
      <c r="F956" t="s">
        <v>43</v>
      </c>
      <c r="G956">
        <v>25138</v>
      </c>
      <c r="H956">
        <v>20110.400000000001</v>
      </c>
      <c r="I956" s="13">
        <v>1</v>
      </c>
      <c r="J956" t="s">
        <v>6207</v>
      </c>
      <c r="K956">
        <v>1</v>
      </c>
      <c r="L956">
        <v>4</v>
      </c>
      <c r="M956" t="s">
        <v>1</v>
      </c>
      <c r="V956">
        <v>1</v>
      </c>
      <c r="W956">
        <v>0</v>
      </c>
      <c r="X956">
        <v>0</v>
      </c>
      <c r="Y956">
        <v>0</v>
      </c>
      <c r="Z956">
        <v>0</v>
      </c>
    </row>
    <row r="957" spans="1:26" x14ac:dyDescent="0.2">
      <c r="A957" t="s">
        <v>1075</v>
      </c>
      <c r="B957" t="s">
        <v>47</v>
      </c>
      <c r="C957">
        <v>2011</v>
      </c>
      <c r="D957" t="s">
        <v>51</v>
      </c>
      <c r="E957" t="s">
        <v>63</v>
      </c>
      <c r="F957" t="s">
        <v>20</v>
      </c>
      <c r="G957">
        <v>36284</v>
      </c>
      <c r="H957">
        <v>29027.200000000001</v>
      </c>
      <c r="I957" s="13">
        <v>0.6</v>
      </c>
      <c r="J957" t="s">
        <v>6208</v>
      </c>
      <c r="K957">
        <v>1</v>
      </c>
      <c r="L957">
        <v>0</v>
      </c>
      <c r="M957" t="s">
        <v>0</v>
      </c>
      <c r="V957">
        <v>0</v>
      </c>
      <c r="W957">
        <v>5</v>
      </c>
      <c r="X957">
        <v>0</v>
      </c>
      <c r="Y957">
        <v>0</v>
      </c>
      <c r="Z957">
        <v>0</v>
      </c>
    </row>
    <row r="958" spans="1:26" x14ac:dyDescent="0.2">
      <c r="A958" t="s">
        <v>1076</v>
      </c>
      <c r="B958" t="s">
        <v>53</v>
      </c>
      <c r="C958">
        <v>2011</v>
      </c>
      <c r="D958" t="s">
        <v>40</v>
      </c>
      <c r="E958" t="s">
        <v>26</v>
      </c>
      <c r="F958" t="s">
        <v>49</v>
      </c>
      <c r="G958">
        <v>53400</v>
      </c>
      <c r="H958">
        <v>42720</v>
      </c>
      <c r="I958" s="13">
        <v>0</v>
      </c>
      <c r="J958" t="s">
        <v>6207</v>
      </c>
      <c r="K958">
        <v>3</v>
      </c>
      <c r="L958">
        <v>0</v>
      </c>
      <c r="M958" t="s">
        <v>0</v>
      </c>
      <c r="V958">
        <v>1</v>
      </c>
      <c r="W958">
        <v>1</v>
      </c>
      <c r="X958">
        <v>1</v>
      </c>
      <c r="Y958">
        <v>0</v>
      </c>
      <c r="Z958">
        <v>1</v>
      </c>
    </row>
    <row r="959" spans="1:26" x14ac:dyDescent="0.2">
      <c r="A959" t="s">
        <v>1077</v>
      </c>
      <c r="B959" t="s">
        <v>56</v>
      </c>
      <c r="C959">
        <v>2011</v>
      </c>
      <c r="D959" t="s">
        <v>64</v>
      </c>
      <c r="E959" t="s">
        <v>48</v>
      </c>
      <c r="F959" t="s">
        <v>64</v>
      </c>
      <c r="G959">
        <v>52264</v>
      </c>
      <c r="H959">
        <v>41811.200000000004</v>
      </c>
      <c r="I959" s="13">
        <v>0.66666666666666663</v>
      </c>
      <c r="J959" t="s">
        <v>6207</v>
      </c>
      <c r="K959">
        <v>3</v>
      </c>
      <c r="L959">
        <v>0</v>
      </c>
      <c r="M959" t="s">
        <v>0</v>
      </c>
      <c r="V959">
        <v>1</v>
      </c>
      <c r="W959">
        <v>2</v>
      </c>
      <c r="X959">
        <v>0</v>
      </c>
      <c r="Y959">
        <v>0</v>
      </c>
      <c r="Z959">
        <v>0</v>
      </c>
    </row>
    <row r="960" spans="1:26" x14ac:dyDescent="0.2">
      <c r="A960" t="s">
        <v>1078</v>
      </c>
      <c r="B960" t="s">
        <v>52</v>
      </c>
      <c r="C960">
        <v>2011</v>
      </c>
      <c r="D960" t="s">
        <v>45</v>
      </c>
      <c r="E960" t="s">
        <v>34</v>
      </c>
      <c r="F960" t="s">
        <v>26</v>
      </c>
      <c r="G960">
        <v>39572</v>
      </c>
      <c r="H960">
        <v>31657.600000000002</v>
      </c>
      <c r="I960" s="13">
        <v>0.25</v>
      </c>
      <c r="J960" t="s">
        <v>6207</v>
      </c>
      <c r="K960">
        <v>1</v>
      </c>
      <c r="L960">
        <v>2</v>
      </c>
      <c r="M960" t="s">
        <v>1</v>
      </c>
      <c r="V960">
        <v>1</v>
      </c>
      <c r="W960">
        <v>3</v>
      </c>
      <c r="X960">
        <v>0</v>
      </c>
      <c r="Y960">
        <v>0</v>
      </c>
      <c r="Z960">
        <v>0</v>
      </c>
    </row>
    <row r="961" spans="1:26" x14ac:dyDescent="0.2">
      <c r="A961" t="s">
        <v>1079</v>
      </c>
      <c r="B961" t="s">
        <v>32</v>
      </c>
      <c r="C961">
        <v>2011</v>
      </c>
      <c r="D961" t="s">
        <v>51</v>
      </c>
      <c r="E961" t="s">
        <v>45</v>
      </c>
      <c r="F961" t="s">
        <v>20</v>
      </c>
      <c r="G961">
        <v>36284</v>
      </c>
      <c r="H961">
        <v>29027.200000000001</v>
      </c>
      <c r="I961" s="13">
        <v>0.75</v>
      </c>
      <c r="J961" t="s">
        <v>6207</v>
      </c>
      <c r="K961">
        <v>2</v>
      </c>
      <c r="L961">
        <v>0</v>
      </c>
      <c r="M961" t="s">
        <v>0</v>
      </c>
      <c r="V961">
        <v>1</v>
      </c>
      <c r="W961">
        <v>3</v>
      </c>
      <c r="X961">
        <v>0</v>
      </c>
      <c r="Y961">
        <v>0</v>
      </c>
      <c r="Z961">
        <v>0</v>
      </c>
    </row>
    <row r="962" spans="1:26" x14ac:dyDescent="0.2">
      <c r="A962" t="s">
        <v>1080</v>
      </c>
      <c r="B962" t="s">
        <v>41</v>
      </c>
      <c r="C962">
        <v>2011</v>
      </c>
      <c r="D962" t="s">
        <v>63</v>
      </c>
      <c r="E962" t="s">
        <v>69</v>
      </c>
      <c r="F962" t="s">
        <v>65</v>
      </c>
      <c r="G962">
        <v>26804</v>
      </c>
      <c r="H962">
        <v>21443.200000000001</v>
      </c>
      <c r="I962" s="13">
        <v>1</v>
      </c>
      <c r="J962" t="s">
        <v>6207</v>
      </c>
      <c r="K962">
        <v>1</v>
      </c>
      <c r="L962">
        <v>2</v>
      </c>
      <c r="M962" t="s">
        <v>1</v>
      </c>
      <c r="V962">
        <v>0</v>
      </c>
      <c r="W962">
        <v>1</v>
      </c>
      <c r="X962">
        <v>0</v>
      </c>
      <c r="Y962">
        <v>0</v>
      </c>
      <c r="Z962">
        <v>1</v>
      </c>
    </row>
    <row r="963" spans="1:26" x14ac:dyDescent="0.2">
      <c r="A963" t="s">
        <v>1081</v>
      </c>
      <c r="B963" t="s">
        <v>53</v>
      </c>
      <c r="C963">
        <v>2011</v>
      </c>
      <c r="D963" t="s">
        <v>51</v>
      </c>
      <c r="E963" t="s">
        <v>22</v>
      </c>
      <c r="F963" t="s">
        <v>20</v>
      </c>
      <c r="G963">
        <v>36284</v>
      </c>
      <c r="H963">
        <v>29027.200000000001</v>
      </c>
      <c r="I963" s="13">
        <v>0.5</v>
      </c>
      <c r="J963" t="s">
        <v>6207</v>
      </c>
      <c r="K963">
        <v>1</v>
      </c>
      <c r="L963">
        <v>1</v>
      </c>
      <c r="M963" t="s">
        <v>58</v>
      </c>
      <c r="V963">
        <v>1</v>
      </c>
      <c r="W963">
        <v>3</v>
      </c>
      <c r="X963">
        <v>0</v>
      </c>
      <c r="Y963">
        <v>0</v>
      </c>
      <c r="Z963">
        <v>0</v>
      </c>
    </row>
    <row r="964" spans="1:26" x14ac:dyDescent="0.2">
      <c r="A964" t="s">
        <v>1082</v>
      </c>
      <c r="B964" t="s">
        <v>55</v>
      </c>
      <c r="C964">
        <v>2011</v>
      </c>
      <c r="D964" t="s">
        <v>48</v>
      </c>
      <c r="E964" t="s">
        <v>34</v>
      </c>
      <c r="F964" t="s">
        <v>49</v>
      </c>
      <c r="G964">
        <v>74197</v>
      </c>
      <c r="H964">
        <v>59357.600000000006</v>
      </c>
      <c r="I964" s="13">
        <v>0</v>
      </c>
      <c r="J964" t="s">
        <v>6206</v>
      </c>
      <c r="K964">
        <v>3</v>
      </c>
      <c r="L964">
        <v>0</v>
      </c>
      <c r="M964" t="s">
        <v>0</v>
      </c>
      <c r="V964">
        <v>0</v>
      </c>
      <c r="W964">
        <v>1</v>
      </c>
      <c r="X964">
        <v>0</v>
      </c>
      <c r="Y964">
        <v>0</v>
      </c>
      <c r="Z964">
        <v>0</v>
      </c>
    </row>
    <row r="965" spans="1:26" x14ac:dyDescent="0.2">
      <c r="A965" t="s">
        <v>1083</v>
      </c>
      <c r="B965" t="s">
        <v>56</v>
      </c>
      <c r="C965">
        <v>2011</v>
      </c>
      <c r="D965" t="s">
        <v>26</v>
      </c>
      <c r="E965" t="s">
        <v>27</v>
      </c>
      <c r="F965" t="s">
        <v>26</v>
      </c>
      <c r="G965">
        <v>61276</v>
      </c>
      <c r="H965">
        <v>49020.800000000003</v>
      </c>
      <c r="I965" s="13">
        <v>0.66666666666666663</v>
      </c>
      <c r="J965" t="s">
        <v>6207</v>
      </c>
      <c r="K965">
        <v>0</v>
      </c>
      <c r="L965">
        <v>0</v>
      </c>
      <c r="M965" t="s">
        <v>58</v>
      </c>
      <c r="V965">
        <v>0</v>
      </c>
      <c r="W965">
        <v>3</v>
      </c>
      <c r="X965">
        <v>0</v>
      </c>
      <c r="Y965">
        <v>0</v>
      </c>
      <c r="Z965">
        <v>0</v>
      </c>
    </row>
    <row r="966" spans="1:26" x14ac:dyDescent="0.2">
      <c r="A966" t="s">
        <v>1084</v>
      </c>
      <c r="B966" t="s">
        <v>52</v>
      </c>
      <c r="C966">
        <v>2011</v>
      </c>
      <c r="D966" t="s">
        <v>18</v>
      </c>
      <c r="E966" t="s">
        <v>35</v>
      </c>
      <c r="F966" t="s">
        <v>20</v>
      </c>
      <c r="G966">
        <v>40341</v>
      </c>
      <c r="H966">
        <v>32272.800000000003</v>
      </c>
      <c r="I966" s="13">
        <v>0.75</v>
      </c>
      <c r="J966" t="s">
        <v>6207</v>
      </c>
      <c r="K966">
        <v>1</v>
      </c>
      <c r="L966">
        <v>0</v>
      </c>
      <c r="M966" t="s">
        <v>0</v>
      </c>
      <c r="V966">
        <v>3</v>
      </c>
      <c r="W966">
        <v>1</v>
      </c>
      <c r="X966">
        <v>0</v>
      </c>
      <c r="Y966">
        <v>0</v>
      </c>
      <c r="Z966">
        <v>0</v>
      </c>
    </row>
    <row r="967" spans="1:26" x14ac:dyDescent="0.2">
      <c r="A967" t="s">
        <v>1085</v>
      </c>
      <c r="B967" t="s">
        <v>61</v>
      </c>
      <c r="C967">
        <v>2011</v>
      </c>
      <c r="D967" t="s">
        <v>39</v>
      </c>
      <c r="E967" t="s">
        <v>31</v>
      </c>
      <c r="F967" t="s">
        <v>39</v>
      </c>
      <c r="G967">
        <v>31367</v>
      </c>
      <c r="H967">
        <v>25093.600000000002</v>
      </c>
      <c r="I967" s="13">
        <v>1</v>
      </c>
      <c r="J967" t="s">
        <v>6207</v>
      </c>
      <c r="K967">
        <v>3</v>
      </c>
      <c r="L967">
        <v>1</v>
      </c>
      <c r="M967" t="s">
        <v>0</v>
      </c>
      <c r="V967">
        <v>1</v>
      </c>
      <c r="W967">
        <v>1</v>
      </c>
      <c r="X967">
        <v>1</v>
      </c>
      <c r="Y967">
        <v>0</v>
      </c>
      <c r="Z967">
        <v>0</v>
      </c>
    </row>
    <row r="968" spans="1:26" x14ac:dyDescent="0.2">
      <c r="A968" t="s">
        <v>1086</v>
      </c>
      <c r="B968" t="s">
        <v>44</v>
      </c>
      <c r="C968">
        <v>2011</v>
      </c>
      <c r="D968" t="s">
        <v>42</v>
      </c>
      <c r="E968" t="s">
        <v>45</v>
      </c>
      <c r="F968" t="s">
        <v>38</v>
      </c>
      <c r="G968">
        <v>42918</v>
      </c>
      <c r="H968">
        <v>34334.400000000001</v>
      </c>
      <c r="I968" s="13">
        <v>0.5</v>
      </c>
      <c r="J968" t="s">
        <v>6207</v>
      </c>
      <c r="K968">
        <v>1</v>
      </c>
      <c r="L968">
        <v>1</v>
      </c>
      <c r="M968" t="s">
        <v>58</v>
      </c>
      <c r="V968">
        <v>1</v>
      </c>
      <c r="W968">
        <v>1</v>
      </c>
      <c r="X968">
        <v>0</v>
      </c>
      <c r="Y968">
        <v>0</v>
      </c>
      <c r="Z968">
        <v>0</v>
      </c>
    </row>
    <row r="969" spans="1:26" x14ac:dyDescent="0.2">
      <c r="A969" t="s">
        <v>1087</v>
      </c>
      <c r="B969" t="s">
        <v>25</v>
      </c>
      <c r="C969">
        <v>2011</v>
      </c>
      <c r="D969" t="s">
        <v>64</v>
      </c>
      <c r="E969" t="s">
        <v>70</v>
      </c>
      <c r="F969" t="s">
        <v>64</v>
      </c>
      <c r="G969">
        <v>52264</v>
      </c>
      <c r="H969">
        <v>41811.200000000004</v>
      </c>
      <c r="I969" s="13">
        <v>0.25</v>
      </c>
      <c r="J969" t="s">
        <v>6207</v>
      </c>
      <c r="K969">
        <v>1</v>
      </c>
      <c r="L969">
        <v>0</v>
      </c>
      <c r="M969" t="s">
        <v>0</v>
      </c>
      <c r="V969">
        <v>0</v>
      </c>
      <c r="W969">
        <v>4</v>
      </c>
      <c r="X969">
        <v>0</v>
      </c>
      <c r="Y969">
        <v>0</v>
      </c>
      <c r="Z969">
        <v>0</v>
      </c>
    </row>
    <row r="970" spans="1:26" x14ac:dyDescent="0.2">
      <c r="A970" t="s">
        <v>1088</v>
      </c>
      <c r="B970" t="s">
        <v>66</v>
      </c>
      <c r="C970">
        <v>2011</v>
      </c>
      <c r="D970" t="s">
        <v>71</v>
      </c>
      <c r="E970" t="s">
        <v>46</v>
      </c>
      <c r="F970" t="s">
        <v>71</v>
      </c>
      <c r="G970">
        <v>21088</v>
      </c>
      <c r="H970">
        <v>16870.400000000001</v>
      </c>
      <c r="I970" s="13">
        <v>0</v>
      </c>
      <c r="J970" t="s">
        <v>6207</v>
      </c>
      <c r="K970">
        <v>3</v>
      </c>
      <c r="L970">
        <v>2</v>
      </c>
      <c r="M970" t="s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 x14ac:dyDescent="0.2">
      <c r="A971" t="s">
        <v>1089</v>
      </c>
      <c r="B971" t="s">
        <v>32</v>
      </c>
      <c r="C971">
        <v>2011</v>
      </c>
      <c r="D971" t="s">
        <v>43</v>
      </c>
      <c r="E971" t="s">
        <v>40</v>
      </c>
      <c r="F971" t="s">
        <v>43</v>
      </c>
      <c r="G971">
        <v>25138</v>
      </c>
      <c r="H971">
        <v>20110.400000000001</v>
      </c>
      <c r="I971" s="13">
        <v>0.5</v>
      </c>
      <c r="J971" t="s">
        <v>6207</v>
      </c>
      <c r="K971">
        <v>0</v>
      </c>
      <c r="L971">
        <v>1</v>
      </c>
      <c r="M971" t="s">
        <v>1</v>
      </c>
      <c r="V971">
        <v>3</v>
      </c>
      <c r="W971">
        <v>3</v>
      </c>
      <c r="X971">
        <v>0</v>
      </c>
      <c r="Y971">
        <v>0</v>
      </c>
      <c r="Z971">
        <v>0</v>
      </c>
    </row>
    <row r="972" spans="1:26" x14ac:dyDescent="0.2">
      <c r="A972" t="s">
        <v>1090</v>
      </c>
      <c r="B972" t="s">
        <v>44</v>
      </c>
      <c r="C972">
        <v>2011</v>
      </c>
      <c r="D972" t="s">
        <v>69</v>
      </c>
      <c r="E972" t="s">
        <v>18</v>
      </c>
      <c r="F972" t="s">
        <v>69</v>
      </c>
      <c r="G972">
        <v>27359</v>
      </c>
      <c r="H972">
        <v>21887.200000000001</v>
      </c>
      <c r="I972" s="13">
        <v>0</v>
      </c>
      <c r="J972" t="s">
        <v>6207</v>
      </c>
      <c r="K972">
        <v>0</v>
      </c>
      <c r="L972">
        <v>0</v>
      </c>
      <c r="M972" t="s">
        <v>58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x14ac:dyDescent="0.2">
      <c r="A973" t="s">
        <v>1091</v>
      </c>
      <c r="B973" t="s">
        <v>66</v>
      </c>
      <c r="C973">
        <v>2011</v>
      </c>
      <c r="D973" t="s">
        <v>22</v>
      </c>
      <c r="E973" t="s">
        <v>42</v>
      </c>
      <c r="F973" t="s">
        <v>24</v>
      </c>
      <c r="G973">
        <v>31750</v>
      </c>
      <c r="H973">
        <v>25400</v>
      </c>
      <c r="I973" s="13">
        <v>0</v>
      </c>
      <c r="J973" t="s">
        <v>6207</v>
      </c>
      <c r="K973">
        <v>2</v>
      </c>
      <c r="L973">
        <v>3</v>
      </c>
      <c r="M973" t="s">
        <v>1</v>
      </c>
      <c r="V973">
        <v>1</v>
      </c>
      <c r="W973">
        <v>0</v>
      </c>
      <c r="X973">
        <v>1</v>
      </c>
      <c r="Y973">
        <v>0</v>
      </c>
      <c r="Z973">
        <v>1</v>
      </c>
    </row>
    <row r="974" spans="1:26" x14ac:dyDescent="0.2">
      <c r="A974" t="s">
        <v>1092</v>
      </c>
      <c r="B974" t="s">
        <v>25</v>
      </c>
      <c r="C974">
        <v>2011</v>
      </c>
      <c r="D974" t="s">
        <v>35</v>
      </c>
      <c r="E974" t="s">
        <v>71</v>
      </c>
      <c r="F974" t="s">
        <v>35</v>
      </c>
      <c r="G974">
        <v>49000</v>
      </c>
      <c r="H974">
        <v>39200</v>
      </c>
      <c r="I974" s="13">
        <v>0</v>
      </c>
      <c r="J974" t="s">
        <v>6207</v>
      </c>
      <c r="K974">
        <v>2</v>
      </c>
      <c r="L974">
        <v>0</v>
      </c>
      <c r="M974" t="s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2">
      <c r="A975" t="s">
        <v>1093</v>
      </c>
      <c r="B975" t="s">
        <v>61</v>
      </c>
      <c r="C975">
        <v>2011</v>
      </c>
      <c r="D975" t="s">
        <v>27</v>
      </c>
      <c r="E975" t="s">
        <v>63</v>
      </c>
      <c r="F975" t="s">
        <v>27</v>
      </c>
      <c r="G975">
        <v>30089</v>
      </c>
      <c r="H975">
        <v>24071.200000000001</v>
      </c>
      <c r="I975" s="13">
        <v>0</v>
      </c>
      <c r="J975" t="s">
        <v>6207</v>
      </c>
      <c r="K975">
        <v>1</v>
      </c>
      <c r="L975">
        <v>2</v>
      </c>
      <c r="M975" t="s">
        <v>1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1:26" x14ac:dyDescent="0.2">
      <c r="A976" t="s">
        <v>1094</v>
      </c>
      <c r="B976" t="s">
        <v>68</v>
      </c>
      <c r="C976">
        <v>2011</v>
      </c>
      <c r="D976" t="s">
        <v>70</v>
      </c>
      <c r="E976" t="s">
        <v>43</v>
      </c>
      <c r="F976" t="s">
        <v>20</v>
      </c>
      <c r="G976">
        <v>18439</v>
      </c>
      <c r="H976">
        <v>14751.2</v>
      </c>
      <c r="I976" s="13">
        <v>0.5</v>
      </c>
      <c r="J976" t="s">
        <v>6207</v>
      </c>
      <c r="K976">
        <v>3</v>
      </c>
      <c r="L976">
        <v>1</v>
      </c>
      <c r="M976" t="s">
        <v>0</v>
      </c>
      <c r="V976">
        <v>2</v>
      </c>
      <c r="W976">
        <v>2</v>
      </c>
      <c r="X976">
        <v>0</v>
      </c>
      <c r="Y976">
        <v>0</v>
      </c>
      <c r="Z976">
        <v>1</v>
      </c>
    </row>
    <row r="977" spans="1:26" x14ac:dyDescent="0.2">
      <c r="A977" t="s">
        <v>1095</v>
      </c>
      <c r="B977" t="s">
        <v>50</v>
      </c>
      <c r="C977">
        <v>2011</v>
      </c>
      <c r="D977" t="s">
        <v>31</v>
      </c>
      <c r="E977" t="s">
        <v>64</v>
      </c>
      <c r="F977" t="s">
        <v>20</v>
      </c>
      <c r="G977">
        <v>28500</v>
      </c>
      <c r="H977">
        <v>22800</v>
      </c>
      <c r="I977" s="13">
        <v>0.5</v>
      </c>
      <c r="J977" t="s">
        <v>6207</v>
      </c>
      <c r="K977">
        <v>5</v>
      </c>
      <c r="L977">
        <v>2</v>
      </c>
      <c r="M977" t="s">
        <v>0</v>
      </c>
      <c r="V977">
        <v>0</v>
      </c>
      <c r="W977">
        <v>4</v>
      </c>
      <c r="X977">
        <v>0</v>
      </c>
      <c r="Y977">
        <v>0</v>
      </c>
      <c r="Z977">
        <v>2</v>
      </c>
    </row>
    <row r="978" spans="1:26" x14ac:dyDescent="0.2">
      <c r="A978" t="s">
        <v>1096</v>
      </c>
      <c r="B978" t="s">
        <v>47</v>
      </c>
      <c r="C978">
        <v>2011</v>
      </c>
      <c r="D978" t="s">
        <v>45</v>
      </c>
      <c r="E978" t="s">
        <v>39</v>
      </c>
      <c r="F978" t="s">
        <v>26</v>
      </c>
      <c r="G978">
        <v>39572</v>
      </c>
      <c r="H978">
        <v>31657.600000000002</v>
      </c>
      <c r="I978" s="13">
        <v>1</v>
      </c>
      <c r="J978" t="s">
        <v>6208</v>
      </c>
      <c r="K978">
        <v>1</v>
      </c>
      <c r="L978">
        <v>1</v>
      </c>
      <c r="M978" t="s">
        <v>58</v>
      </c>
      <c r="V978">
        <v>2</v>
      </c>
      <c r="W978">
        <v>2</v>
      </c>
      <c r="X978">
        <v>0</v>
      </c>
      <c r="Y978">
        <v>0</v>
      </c>
      <c r="Z978">
        <v>0</v>
      </c>
    </row>
    <row r="979" spans="1:26" x14ac:dyDescent="0.2">
      <c r="A979" t="s">
        <v>1097</v>
      </c>
      <c r="B979" t="s">
        <v>60</v>
      </c>
      <c r="C979">
        <v>2011</v>
      </c>
      <c r="D979" t="s">
        <v>34</v>
      </c>
      <c r="E979" t="s">
        <v>26</v>
      </c>
      <c r="F979" t="s">
        <v>36</v>
      </c>
      <c r="G979">
        <v>28723</v>
      </c>
      <c r="H979">
        <v>22978.400000000001</v>
      </c>
      <c r="I979" s="13">
        <v>1</v>
      </c>
      <c r="J979" t="s">
        <v>6208</v>
      </c>
      <c r="K979">
        <v>3</v>
      </c>
      <c r="L979">
        <v>1</v>
      </c>
      <c r="M979" t="s">
        <v>0</v>
      </c>
      <c r="V979">
        <v>0</v>
      </c>
      <c r="W979">
        <v>2</v>
      </c>
      <c r="X979">
        <v>0</v>
      </c>
      <c r="Y979">
        <v>0</v>
      </c>
      <c r="Z979">
        <v>0</v>
      </c>
    </row>
    <row r="980" spans="1:26" x14ac:dyDescent="0.2">
      <c r="A980" t="s">
        <v>1098</v>
      </c>
      <c r="B980" t="s">
        <v>56</v>
      </c>
      <c r="C980">
        <v>2011</v>
      </c>
      <c r="D980" t="s">
        <v>40</v>
      </c>
      <c r="E980" t="s">
        <v>51</v>
      </c>
      <c r="F980" t="s">
        <v>49</v>
      </c>
      <c r="G980">
        <v>53400</v>
      </c>
      <c r="H980">
        <v>42720</v>
      </c>
      <c r="I980" s="13">
        <v>0.66666666666666663</v>
      </c>
      <c r="J980" t="s">
        <v>6207</v>
      </c>
      <c r="K980">
        <v>3</v>
      </c>
      <c r="L980">
        <v>2</v>
      </c>
      <c r="M980" t="s">
        <v>0</v>
      </c>
      <c r="V980">
        <v>2</v>
      </c>
      <c r="W980">
        <v>1</v>
      </c>
      <c r="X980">
        <v>0</v>
      </c>
      <c r="Y980">
        <v>0</v>
      </c>
      <c r="Z980">
        <v>1</v>
      </c>
    </row>
    <row r="981" spans="1:26" x14ac:dyDescent="0.2">
      <c r="A981" t="s">
        <v>1099</v>
      </c>
      <c r="B981" t="s">
        <v>41</v>
      </c>
      <c r="C981">
        <v>2011</v>
      </c>
      <c r="D981" t="s">
        <v>46</v>
      </c>
      <c r="E981" t="s">
        <v>48</v>
      </c>
      <c r="F981" t="s">
        <v>20</v>
      </c>
      <c r="G981">
        <v>60704</v>
      </c>
      <c r="H981">
        <v>48563.200000000004</v>
      </c>
      <c r="I981" s="13">
        <v>0.7142857142857143</v>
      </c>
      <c r="J981" t="s">
        <v>6207</v>
      </c>
      <c r="K981">
        <v>1</v>
      </c>
      <c r="L981">
        <v>2</v>
      </c>
      <c r="M981" t="s">
        <v>1</v>
      </c>
      <c r="V981">
        <v>5</v>
      </c>
      <c r="W981">
        <v>2</v>
      </c>
      <c r="X981">
        <v>0</v>
      </c>
      <c r="Y981">
        <v>0</v>
      </c>
      <c r="Z981">
        <v>0</v>
      </c>
    </row>
    <row r="982" spans="1:26" x14ac:dyDescent="0.2">
      <c r="A982" t="s">
        <v>1100</v>
      </c>
      <c r="B982" t="s">
        <v>61</v>
      </c>
      <c r="C982">
        <v>2011</v>
      </c>
      <c r="D982" t="s">
        <v>22</v>
      </c>
      <c r="E982" t="s">
        <v>26</v>
      </c>
      <c r="F982" t="s">
        <v>24</v>
      </c>
      <c r="G982">
        <v>31750</v>
      </c>
      <c r="H982">
        <v>25400</v>
      </c>
      <c r="I982" s="13">
        <v>0.25</v>
      </c>
      <c r="J982" t="s">
        <v>6207</v>
      </c>
      <c r="K982">
        <v>0</v>
      </c>
      <c r="L982">
        <v>3</v>
      </c>
      <c r="M982" t="s">
        <v>1</v>
      </c>
      <c r="V982">
        <v>1</v>
      </c>
      <c r="W982">
        <v>3</v>
      </c>
      <c r="X982">
        <v>0</v>
      </c>
      <c r="Y982">
        <v>0</v>
      </c>
      <c r="Z982">
        <v>0</v>
      </c>
    </row>
    <row r="983" spans="1:26" x14ac:dyDescent="0.2">
      <c r="A983" t="s">
        <v>1101</v>
      </c>
      <c r="B983" t="s">
        <v>54</v>
      </c>
      <c r="C983">
        <v>2011</v>
      </c>
      <c r="D983" t="s">
        <v>51</v>
      </c>
      <c r="E983" t="s">
        <v>43</v>
      </c>
      <c r="F983" t="s">
        <v>20</v>
      </c>
      <c r="G983">
        <v>36284</v>
      </c>
      <c r="H983">
        <v>29027.200000000001</v>
      </c>
      <c r="I983" s="13">
        <v>1</v>
      </c>
      <c r="J983" t="s">
        <v>6206</v>
      </c>
      <c r="K983">
        <v>3</v>
      </c>
      <c r="L983">
        <v>1</v>
      </c>
      <c r="M983" t="s">
        <v>0</v>
      </c>
      <c r="V983">
        <v>0</v>
      </c>
      <c r="W983">
        <v>1</v>
      </c>
      <c r="X983">
        <v>0</v>
      </c>
      <c r="Y983">
        <v>0</v>
      </c>
      <c r="Z983">
        <v>0</v>
      </c>
    </row>
    <row r="984" spans="1:26" x14ac:dyDescent="0.2">
      <c r="A984" t="s">
        <v>1102</v>
      </c>
      <c r="B984" t="s">
        <v>37</v>
      </c>
      <c r="C984">
        <v>2011</v>
      </c>
      <c r="D984" t="s">
        <v>71</v>
      </c>
      <c r="E984" t="s">
        <v>18</v>
      </c>
      <c r="F984" t="s">
        <v>71</v>
      </c>
      <c r="G984">
        <v>21088</v>
      </c>
      <c r="H984">
        <v>16870.400000000001</v>
      </c>
      <c r="I984" s="13">
        <v>0.5</v>
      </c>
      <c r="J984" t="s">
        <v>6206</v>
      </c>
      <c r="K984">
        <v>1</v>
      </c>
      <c r="L984">
        <v>1</v>
      </c>
      <c r="M984" t="s">
        <v>58</v>
      </c>
      <c r="V984">
        <v>2</v>
      </c>
      <c r="W984">
        <v>3</v>
      </c>
      <c r="X984">
        <v>0</v>
      </c>
      <c r="Y984">
        <v>1</v>
      </c>
      <c r="Z984">
        <v>0</v>
      </c>
    </row>
    <row r="985" spans="1:26" x14ac:dyDescent="0.2">
      <c r="A985" t="s">
        <v>1103</v>
      </c>
      <c r="B985" t="s">
        <v>53</v>
      </c>
      <c r="C985">
        <v>2011</v>
      </c>
      <c r="D985" t="s">
        <v>48</v>
      </c>
      <c r="E985" t="s">
        <v>27</v>
      </c>
      <c r="F985" t="s">
        <v>49</v>
      </c>
      <c r="G985">
        <v>74197</v>
      </c>
      <c r="H985">
        <v>59357.600000000006</v>
      </c>
      <c r="I985" s="13">
        <v>0.5</v>
      </c>
      <c r="J985" t="s">
        <v>6207</v>
      </c>
      <c r="K985">
        <v>2</v>
      </c>
      <c r="L985">
        <v>0</v>
      </c>
      <c r="M985" t="s">
        <v>0</v>
      </c>
      <c r="V985">
        <v>1</v>
      </c>
      <c r="W985">
        <v>3</v>
      </c>
      <c r="X985">
        <v>0</v>
      </c>
      <c r="Y985">
        <v>0</v>
      </c>
      <c r="Z985">
        <v>2</v>
      </c>
    </row>
    <row r="986" spans="1:26" x14ac:dyDescent="0.2">
      <c r="A986" t="s">
        <v>1104</v>
      </c>
      <c r="B986" t="s">
        <v>55</v>
      </c>
      <c r="C986">
        <v>2011</v>
      </c>
      <c r="D986" t="s">
        <v>45</v>
      </c>
      <c r="E986" t="s">
        <v>40</v>
      </c>
      <c r="F986" t="s">
        <v>26</v>
      </c>
      <c r="G986">
        <v>39572</v>
      </c>
      <c r="H986">
        <v>31657.600000000002</v>
      </c>
      <c r="I986" s="13">
        <v>0.66666666666666663</v>
      </c>
      <c r="J986" t="s">
        <v>6206</v>
      </c>
      <c r="K986">
        <v>1</v>
      </c>
      <c r="L986">
        <v>0</v>
      </c>
      <c r="M986" t="s">
        <v>0</v>
      </c>
      <c r="V986">
        <v>1</v>
      </c>
      <c r="W986">
        <v>2</v>
      </c>
      <c r="X986">
        <v>0</v>
      </c>
      <c r="Y986">
        <v>0</v>
      </c>
      <c r="Z986">
        <v>0</v>
      </c>
    </row>
    <row r="987" spans="1:26" x14ac:dyDescent="0.2">
      <c r="A987" t="s">
        <v>1105</v>
      </c>
      <c r="B987" t="s">
        <v>67</v>
      </c>
      <c r="C987">
        <v>2011</v>
      </c>
      <c r="D987" t="s">
        <v>42</v>
      </c>
      <c r="E987" t="s">
        <v>70</v>
      </c>
      <c r="F987" t="s">
        <v>38</v>
      </c>
      <c r="G987">
        <v>42918</v>
      </c>
      <c r="H987">
        <v>34334.400000000001</v>
      </c>
      <c r="I987" s="13">
        <v>0</v>
      </c>
      <c r="J987" t="s">
        <v>6207</v>
      </c>
      <c r="K987">
        <v>2</v>
      </c>
      <c r="L987">
        <v>2</v>
      </c>
      <c r="M987" t="s">
        <v>58</v>
      </c>
      <c r="V987">
        <v>0</v>
      </c>
      <c r="W987">
        <v>1</v>
      </c>
      <c r="X987">
        <v>0</v>
      </c>
      <c r="Y987">
        <v>0</v>
      </c>
      <c r="Z987">
        <v>0</v>
      </c>
    </row>
    <row r="988" spans="1:26" x14ac:dyDescent="0.2">
      <c r="A988" t="s">
        <v>1106</v>
      </c>
      <c r="B988" t="s">
        <v>50</v>
      </c>
      <c r="C988">
        <v>2011</v>
      </c>
      <c r="D988" t="s">
        <v>35</v>
      </c>
      <c r="E988" t="s">
        <v>69</v>
      </c>
      <c r="F988" t="s">
        <v>35</v>
      </c>
      <c r="G988">
        <v>49000</v>
      </c>
      <c r="H988">
        <v>39200</v>
      </c>
      <c r="I988" s="13">
        <v>0</v>
      </c>
      <c r="J988" t="s">
        <v>6207</v>
      </c>
      <c r="K988">
        <v>3</v>
      </c>
      <c r="L988">
        <v>0</v>
      </c>
      <c r="M988" t="s">
        <v>0</v>
      </c>
      <c r="V988">
        <v>1</v>
      </c>
      <c r="W988">
        <v>1</v>
      </c>
      <c r="X988">
        <v>0</v>
      </c>
      <c r="Y988">
        <v>0</v>
      </c>
      <c r="Z988">
        <v>0</v>
      </c>
    </row>
    <row r="989" spans="1:26" x14ac:dyDescent="0.2">
      <c r="A989" t="s">
        <v>1107</v>
      </c>
      <c r="B989" t="s">
        <v>47</v>
      </c>
      <c r="C989">
        <v>2011</v>
      </c>
      <c r="D989" t="s">
        <v>31</v>
      </c>
      <c r="E989" t="s">
        <v>63</v>
      </c>
      <c r="F989" t="s">
        <v>20</v>
      </c>
      <c r="G989">
        <v>28500</v>
      </c>
      <c r="H989">
        <v>22800</v>
      </c>
      <c r="I989" s="13">
        <v>1</v>
      </c>
      <c r="J989" t="s">
        <v>6208</v>
      </c>
      <c r="K989">
        <v>1</v>
      </c>
      <c r="L989">
        <v>1</v>
      </c>
      <c r="M989" t="s">
        <v>58</v>
      </c>
      <c r="V989">
        <v>1</v>
      </c>
      <c r="W989">
        <v>0</v>
      </c>
      <c r="X989">
        <v>0</v>
      </c>
      <c r="Y989">
        <v>0</v>
      </c>
      <c r="Z989">
        <v>0</v>
      </c>
    </row>
    <row r="990" spans="1:26" x14ac:dyDescent="0.2">
      <c r="A990" t="s">
        <v>1108</v>
      </c>
      <c r="B990" t="s">
        <v>25</v>
      </c>
      <c r="C990">
        <v>2011</v>
      </c>
      <c r="D990" t="s">
        <v>34</v>
      </c>
      <c r="E990" t="s">
        <v>46</v>
      </c>
      <c r="F990" t="s">
        <v>36</v>
      </c>
      <c r="G990">
        <v>28723</v>
      </c>
      <c r="H990">
        <v>22978.400000000001</v>
      </c>
      <c r="I990" s="13">
        <v>1</v>
      </c>
      <c r="J990" t="s">
        <v>6207</v>
      </c>
      <c r="K990">
        <v>0</v>
      </c>
      <c r="L990">
        <v>0</v>
      </c>
      <c r="M990" t="s">
        <v>58</v>
      </c>
      <c r="V990">
        <v>1</v>
      </c>
      <c r="W990">
        <v>1</v>
      </c>
      <c r="X990">
        <v>0</v>
      </c>
      <c r="Y990">
        <v>0</v>
      </c>
      <c r="Z990">
        <v>0</v>
      </c>
    </row>
    <row r="991" spans="1:26" x14ac:dyDescent="0.2">
      <c r="A991" t="s">
        <v>1109</v>
      </c>
      <c r="B991" t="s">
        <v>52</v>
      </c>
      <c r="C991">
        <v>2011</v>
      </c>
      <c r="D991" t="s">
        <v>39</v>
      </c>
      <c r="E991" t="s">
        <v>64</v>
      </c>
      <c r="F991" t="s">
        <v>39</v>
      </c>
      <c r="G991">
        <v>31367</v>
      </c>
      <c r="H991">
        <v>25093.600000000002</v>
      </c>
      <c r="I991" s="13">
        <v>0.33333333333333331</v>
      </c>
      <c r="J991" t="s">
        <v>6207</v>
      </c>
      <c r="K991">
        <v>0</v>
      </c>
      <c r="L991">
        <v>2</v>
      </c>
      <c r="M991" t="s">
        <v>1</v>
      </c>
      <c r="V991">
        <v>1</v>
      </c>
      <c r="W991">
        <v>2</v>
      </c>
      <c r="X991">
        <v>0</v>
      </c>
      <c r="Y991">
        <v>0</v>
      </c>
      <c r="Z991">
        <v>0</v>
      </c>
    </row>
    <row r="992" spans="1:26" x14ac:dyDescent="0.2">
      <c r="A992" t="s">
        <v>1110</v>
      </c>
      <c r="B992" t="s">
        <v>37</v>
      </c>
      <c r="C992">
        <v>2011</v>
      </c>
      <c r="D992" t="s">
        <v>46</v>
      </c>
      <c r="E992" t="s">
        <v>39</v>
      </c>
      <c r="F992" t="s">
        <v>20</v>
      </c>
      <c r="G992">
        <v>60704</v>
      </c>
      <c r="H992">
        <v>48563.200000000004</v>
      </c>
      <c r="I992" s="13">
        <v>1</v>
      </c>
      <c r="J992" t="s">
        <v>6206</v>
      </c>
      <c r="K992">
        <v>7</v>
      </c>
      <c r="L992">
        <v>1</v>
      </c>
      <c r="M992" t="s">
        <v>0</v>
      </c>
      <c r="V992">
        <v>2</v>
      </c>
      <c r="W992">
        <v>3</v>
      </c>
      <c r="X992">
        <v>0</v>
      </c>
      <c r="Y992">
        <v>1</v>
      </c>
      <c r="Z992">
        <v>0</v>
      </c>
    </row>
    <row r="993" spans="1:26" x14ac:dyDescent="0.2">
      <c r="A993" t="s">
        <v>1111</v>
      </c>
      <c r="B993" t="s">
        <v>61</v>
      </c>
      <c r="C993">
        <v>2011</v>
      </c>
      <c r="D993" t="s">
        <v>43</v>
      </c>
      <c r="E993" t="s">
        <v>45</v>
      </c>
      <c r="F993" t="s">
        <v>43</v>
      </c>
      <c r="G993">
        <v>25138</v>
      </c>
      <c r="H993">
        <v>20110.400000000001</v>
      </c>
      <c r="I993" s="13">
        <v>0.5</v>
      </c>
      <c r="J993" t="s">
        <v>6207</v>
      </c>
      <c r="K993">
        <v>1</v>
      </c>
      <c r="L993">
        <v>1</v>
      </c>
      <c r="M993" t="s">
        <v>58</v>
      </c>
      <c r="V993">
        <v>2</v>
      </c>
      <c r="W993">
        <v>0</v>
      </c>
      <c r="X993">
        <v>0</v>
      </c>
      <c r="Y993">
        <v>0</v>
      </c>
      <c r="Z993">
        <v>0</v>
      </c>
    </row>
    <row r="994" spans="1:26" x14ac:dyDescent="0.2">
      <c r="A994" t="s">
        <v>1112</v>
      </c>
      <c r="B994" t="s">
        <v>68</v>
      </c>
      <c r="C994">
        <v>2011</v>
      </c>
      <c r="D994" t="s">
        <v>63</v>
      </c>
      <c r="E994" t="s">
        <v>71</v>
      </c>
      <c r="F994" t="s">
        <v>65</v>
      </c>
      <c r="G994">
        <v>26804</v>
      </c>
      <c r="H994">
        <v>21443.200000000001</v>
      </c>
      <c r="I994" s="13">
        <v>0</v>
      </c>
      <c r="J994" t="s">
        <v>6207</v>
      </c>
      <c r="K994">
        <v>1</v>
      </c>
      <c r="L994">
        <v>2</v>
      </c>
      <c r="M994" t="s">
        <v>1</v>
      </c>
      <c r="V994">
        <v>2</v>
      </c>
      <c r="W994">
        <v>1</v>
      </c>
      <c r="X994">
        <v>0</v>
      </c>
      <c r="Y994">
        <v>0</v>
      </c>
      <c r="Z994">
        <v>0</v>
      </c>
    </row>
    <row r="995" spans="1:26" x14ac:dyDescent="0.2">
      <c r="A995" t="s">
        <v>1113</v>
      </c>
      <c r="B995" t="s">
        <v>32</v>
      </c>
      <c r="C995">
        <v>2011</v>
      </c>
      <c r="D995" t="s">
        <v>27</v>
      </c>
      <c r="E995" t="s">
        <v>35</v>
      </c>
      <c r="F995" t="s">
        <v>27</v>
      </c>
      <c r="G995">
        <v>30089</v>
      </c>
      <c r="H995">
        <v>24071.200000000001</v>
      </c>
      <c r="I995" s="13">
        <v>1</v>
      </c>
      <c r="J995" t="s">
        <v>6207</v>
      </c>
      <c r="K995">
        <v>0</v>
      </c>
      <c r="L995">
        <v>1</v>
      </c>
      <c r="M995" t="s">
        <v>1</v>
      </c>
      <c r="V995">
        <v>0</v>
      </c>
      <c r="W995">
        <v>1</v>
      </c>
      <c r="X995">
        <v>1</v>
      </c>
      <c r="Y995">
        <v>0</v>
      </c>
      <c r="Z995">
        <v>0</v>
      </c>
    </row>
    <row r="996" spans="1:26" x14ac:dyDescent="0.2">
      <c r="A996" t="s">
        <v>1114</v>
      </c>
      <c r="B996" t="s">
        <v>44</v>
      </c>
      <c r="C996">
        <v>2011</v>
      </c>
      <c r="D996" t="s">
        <v>70</v>
      </c>
      <c r="E996" t="s">
        <v>22</v>
      </c>
      <c r="F996" t="s">
        <v>20</v>
      </c>
      <c r="G996">
        <v>18439</v>
      </c>
      <c r="H996">
        <v>14751.2</v>
      </c>
      <c r="I996" s="13">
        <v>0.75</v>
      </c>
      <c r="J996" t="s">
        <v>6207</v>
      </c>
      <c r="K996">
        <v>1</v>
      </c>
      <c r="L996">
        <v>2</v>
      </c>
      <c r="M996" t="s">
        <v>1</v>
      </c>
      <c r="V996">
        <v>0</v>
      </c>
      <c r="W996">
        <v>3</v>
      </c>
      <c r="X996">
        <v>1</v>
      </c>
      <c r="Y996">
        <v>0</v>
      </c>
      <c r="Z996">
        <v>0</v>
      </c>
    </row>
    <row r="997" spans="1:26" x14ac:dyDescent="0.2">
      <c r="A997" t="s">
        <v>1115</v>
      </c>
      <c r="B997" t="s">
        <v>54</v>
      </c>
      <c r="C997">
        <v>2011</v>
      </c>
      <c r="D997" t="s">
        <v>69</v>
      </c>
      <c r="E997" t="s">
        <v>34</v>
      </c>
      <c r="F997" t="s">
        <v>69</v>
      </c>
      <c r="G997">
        <v>27359</v>
      </c>
      <c r="H997">
        <v>21887.200000000001</v>
      </c>
      <c r="I997" s="13">
        <v>0</v>
      </c>
      <c r="J997" t="s">
        <v>6206</v>
      </c>
      <c r="K997">
        <v>2</v>
      </c>
      <c r="L997">
        <v>0</v>
      </c>
      <c r="M997" t="s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x14ac:dyDescent="0.2">
      <c r="A998" t="s">
        <v>1116</v>
      </c>
      <c r="B998" t="s">
        <v>41</v>
      </c>
      <c r="C998">
        <v>2011</v>
      </c>
      <c r="D998" t="s">
        <v>40</v>
      </c>
      <c r="E998" t="s">
        <v>31</v>
      </c>
      <c r="F998" t="s">
        <v>49</v>
      </c>
      <c r="G998">
        <v>53400</v>
      </c>
      <c r="H998">
        <v>42720</v>
      </c>
      <c r="I998" s="13">
        <v>0.75</v>
      </c>
      <c r="J998" t="s">
        <v>6207</v>
      </c>
      <c r="K998">
        <v>3</v>
      </c>
      <c r="L998">
        <v>0</v>
      </c>
      <c r="M998" t="s">
        <v>0</v>
      </c>
      <c r="V998">
        <v>1</v>
      </c>
      <c r="W998">
        <v>3</v>
      </c>
      <c r="X998">
        <v>0</v>
      </c>
      <c r="Y998">
        <v>0</v>
      </c>
      <c r="Z998">
        <v>1</v>
      </c>
    </row>
    <row r="999" spans="1:26" x14ac:dyDescent="0.2">
      <c r="A999" t="s">
        <v>1117</v>
      </c>
      <c r="B999" t="s">
        <v>47</v>
      </c>
      <c r="C999">
        <v>2011</v>
      </c>
      <c r="D999" t="s">
        <v>64</v>
      </c>
      <c r="E999" t="s">
        <v>42</v>
      </c>
      <c r="F999" t="s">
        <v>64</v>
      </c>
      <c r="G999">
        <v>52264</v>
      </c>
      <c r="H999">
        <v>41811.200000000004</v>
      </c>
      <c r="I999" s="13">
        <v>0.33333333333333331</v>
      </c>
      <c r="J999" t="s">
        <v>6208</v>
      </c>
      <c r="K999">
        <v>2</v>
      </c>
      <c r="L999">
        <v>1</v>
      </c>
      <c r="M999" t="s">
        <v>0</v>
      </c>
      <c r="V999">
        <v>1</v>
      </c>
      <c r="W999">
        <v>2</v>
      </c>
      <c r="X999">
        <v>0</v>
      </c>
      <c r="Y999">
        <v>0</v>
      </c>
      <c r="Z999">
        <v>0</v>
      </c>
    </row>
    <row r="1000" spans="1:26" x14ac:dyDescent="0.2">
      <c r="A1000" t="s">
        <v>1118</v>
      </c>
      <c r="B1000" t="s">
        <v>56</v>
      </c>
      <c r="C1000">
        <v>2011</v>
      </c>
      <c r="D1000" t="s">
        <v>18</v>
      </c>
      <c r="E1000" t="s">
        <v>48</v>
      </c>
      <c r="F1000" t="s">
        <v>20</v>
      </c>
      <c r="G1000">
        <v>40341</v>
      </c>
      <c r="H1000">
        <v>32272.800000000003</v>
      </c>
      <c r="I1000" s="13">
        <v>1</v>
      </c>
      <c r="J1000" t="s">
        <v>6207</v>
      </c>
      <c r="K1000">
        <v>3</v>
      </c>
      <c r="L1000">
        <v>3</v>
      </c>
      <c r="M1000" t="s">
        <v>58</v>
      </c>
      <c r="V1000">
        <v>2</v>
      </c>
      <c r="W1000">
        <v>1</v>
      </c>
      <c r="X1000">
        <v>0</v>
      </c>
      <c r="Y1000">
        <v>0</v>
      </c>
      <c r="Z1000">
        <v>2</v>
      </c>
    </row>
    <row r="1001" spans="1:26" x14ac:dyDescent="0.2">
      <c r="A1001" t="s">
        <v>1119</v>
      </c>
      <c r="B1001" t="s">
        <v>66</v>
      </c>
      <c r="C1001">
        <v>2011</v>
      </c>
      <c r="D1001" t="s">
        <v>26</v>
      </c>
      <c r="E1001" t="s">
        <v>51</v>
      </c>
      <c r="F1001" t="s">
        <v>26</v>
      </c>
      <c r="G1001">
        <v>61276</v>
      </c>
      <c r="H1001">
        <v>49020.800000000003</v>
      </c>
      <c r="I1001" s="13">
        <v>0.5</v>
      </c>
      <c r="J1001" t="s">
        <v>6207</v>
      </c>
      <c r="K1001">
        <v>0</v>
      </c>
      <c r="L1001">
        <v>0</v>
      </c>
      <c r="M1001" t="s">
        <v>58</v>
      </c>
      <c r="V1001">
        <v>2</v>
      </c>
      <c r="W1001">
        <v>2</v>
      </c>
      <c r="X1001">
        <v>0</v>
      </c>
      <c r="Y1001">
        <v>0</v>
      </c>
      <c r="Z1001">
        <v>0</v>
      </c>
    </row>
    <row r="1002" spans="1:26" x14ac:dyDescent="0.2">
      <c r="A1002" t="s">
        <v>1120</v>
      </c>
      <c r="B1002" t="s">
        <v>52</v>
      </c>
      <c r="C1002">
        <v>2011</v>
      </c>
      <c r="D1002" t="s">
        <v>48</v>
      </c>
      <c r="E1002" t="s">
        <v>26</v>
      </c>
      <c r="F1002" t="s">
        <v>49</v>
      </c>
      <c r="G1002">
        <v>74197</v>
      </c>
      <c r="H1002">
        <v>59357.600000000006</v>
      </c>
      <c r="I1002" s="13">
        <v>0</v>
      </c>
      <c r="J1002" t="s">
        <v>6207</v>
      </c>
      <c r="K1002">
        <v>2</v>
      </c>
      <c r="L1002">
        <v>1</v>
      </c>
      <c r="M1002" t="s">
        <v>0</v>
      </c>
      <c r="V1002">
        <v>1</v>
      </c>
      <c r="W1002">
        <v>1</v>
      </c>
      <c r="X1002">
        <v>0</v>
      </c>
      <c r="Y1002">
        <v>0</v>
      </c>
      <c r="Z1002">
        <v>0</v>
      </c>
    </row>
    <row r="1003" spans="1:26" x14ac:dyDescent="0.2">
      <c r="A1003" t="s">
        <v>1121</v>
      </c>
      <c r="B1003" t="s">
        <v>32</v>
      </c>
      <c r="C1003">
        <v>2011</v>
      </c>
      <c r="D1003" t="s">
        <v>71</v>
      </c>
      <c r="E1003" t="s">
        <v>69</v>
      </c>
      <c r="F1003" t="s">
        <v>71</v>
      </c>
      <c r="G1003">
        <v>21088</v>
      </c>
      <c r="H1003">
        <v>16870.400000000001</v>
      </c>
      <c r="I1003" s="13">
        <v>0</v>
      </c>
      <c r="J1003" t="s">
        <v>6207</v>
      </c>
      <c r="K1003">
        <v>2</v>
      </c>
      <c r="L1003">
        <v>3</v>
      </c>
      <c r="M1003" t="s">
        <v>1</v>
      </c>
      <c r="V1003">
        <v>0</v>
      </c>
      <c r="W1003">
        <v>2</v>
      </c>
      <c r="X1003">
        <v>0</v>
      </c>
      <c r="Y1003">
        <v>0</v>
      </c>
      <c r="Z1003">
        <v>1</v>
      </c>
    </row>
    <row r="1004" spans="1:26" x14ac:dyDescent="0.2">
      <c r="A1004" t="s">
        <v>1122</v>
      </c>
      <c r="B1004" t="s">
        <v>67</v>
      </c>
      <c r="C1004">
        <v>2011</v>
      </c>
      <c r="D1004" t="s">
        <v>35</v>
      </c>
      <c r="E1004" t="s">
        <v>46</v>
      </c>
      <c r="F1004" t="s">
        <v>35</v>
      </c>
      <c r="G1004">
        <v>49000</v>
      </c>
      <c r="H1004">
        <v>39200</v>
      </c>
      <c r="I1004" s="13">
        <v>0.33333333333333331</v>
      </c>
      <c r="J1004" t="s">
        <v>6207</v>
      </c>
      <c r="K1004">
        <v>1</v>
      </c>
      <c r="L1004">
        <v>2</v>
      </c>
      <c r="M1004" t="s">
        <v>1</v>
      </c>
      <c r="V1004">
        <v>2</v>
      </c>
      <c r="W1004">
        <v>1</v>
      </c>
      <c r="X1004">
        <v>0</v>
      </c>
      <c r="Y1004">
        <v>0</v>
      </c>
      <c r="Z1004">
        <v>0</v>
      </c>
    </row>
    <row r="1005" spans="1:26" x14ac:dyDescent="0.2">
      <c r="A1005" t="s">
        <v>1123</v>
      </c>
      <c r="B1005" t="s">
        <v>25</v>
      </c>
      <c r="C1005">
        <v>2011</v>
      </c>
      <c r="D1005" t="s">
        <v>31</v>
      </c>
      <c r="E1005" t="s">
        <v>27</v>
      </c>
      <c r="F1005" t="s">
        <v>20</v>
      </c>
      <c r="G1005">
        <v>28500</v>
      </c>
      <c r="H1005">
        <v>22800</v>
      </c>
      <c r="I1005" s="13">
        <v>1</v>
      </c>
      <c r="J1005" t="s">
        <v>6207</v>
      </c>
      <c r="K1005">
        <v>2</v>
      </c>
      <c r="L1005">
        <v>1</v>
      </c>
      <c r="M1005" t="s">
        <v>0</v>
      </c>
      <c r="V1005">
        <v>1</v>
      </c>
      <c r="W1005">
        <v>2</v>
      </c>
      <c r="X1005">
        <v>0</v>
      </c>
      <c r="Y1005">
        <v>0</v>
      </c>
      <c r="Z1005">
        <v>0</v>
      </c>
    </row>
    <row r="1006" spans="1:26" x14ac:dyDescent="0.2">
      <c r="A1006" t="s">
        <v>1124</v>
      </c>
      <c r="B1006" t="s">
        <v>53</v>
      </c>
      <c r="C1006">
        <v>2011</v>
      </c>
      <c r="D1006" t="s">
        <v>45</v>
      </c>
      <c r="E1006" t="s">
        <v>18</v>
      </c>
      <c r="F1006" t="s">
        <v>26</v>
      </c>
      <c r="G1006">
        <v>39572</v>
      </c>
      <c r="H1006">
        <v>31657.600000000002</v>
      </c>
      <c r="I1006" s="13">
        <v>1</v>
      </c>
      <c r="J1006" t="s">
        <v>6207</v>
      </c>
      <c r="K1006">
        <v>2</v>
      </c>
      <c r="L1006">
        <v>0</v>
      </c>
      <c r="M1006" t="s">
        <v>0</v>
      </c>
      <c r="V1006">
        <v>0</v>
      </c>
      <c r="W1006">
        <v>3</v>
      </c>
      <c r="X1006">
        <v>0</v>
      </c>
      <c r="Y1006">
        <v>0</v>
      </c>
      <c r="Z1006">
        <v>0</v>
      </c>
    </row>
    <row r="1007" spans="1:26" x14ac:dyDescent="0.2">
      <c r="A1007" t="s">
        <v>1125</v>
      </c>
      <c r="B1007" t="s">
        <v>56</v>
      </c>
      <c r="C1007">
        <v>2011</v>
      </c>
      <c r="D1007" t="s">
        <v>34</v>
      </c>
      <c r="E1007" t="s">
        <v>43</v>
      </c>
      <c r="F1007" t="s">
        <v>36</v>
      </c>
      <c r="G1007">
        <v>28723</v>
      </c>
      <c r="H1007">
        <v>22978.400000000001</v>
      </c>
      <c r="I1007" s="13">
        <v>0.6</v>
      </c>
      <c r="J1007" t="s">
        <v>6207</v>
      </c>
      <c r="K1007">
        <v>1</v>
      </c>
      <c r="L1007">
        <v>2</v>
      </c>
      <c r="M1007" t="s">
        <v>1</v>
      </c>
      <c r="V1007">
        <v>3</v>
      </c>
      <c r="W1007">
        <v>2</v>
      </c>
      <c r="X1007">
        <v>0</v>
      </c>
      <c r="Y1007">
        <v>0</v>
      </c>
      <c r="Z1007">
        <v>0</v>
      </c>
    </row>
    <row r="1008" spans="1:26" x14ac:dyDescent="0.2">
      <c r="A1008" t="s">
        <v>1126</v>
      </c>
      <c r="B1008" t="s">
        <v>41</v>
      </c>
      <c r="C1008">
        <v>2011</v>
      </c>
      <c r="D1008" t="s">
        <v>39</v>
      </c>
      <c r="E1008" t="s">
        <v>70</v>
      </c>
      <c r="F1008" t="s">
        <v>39</v>
      </c>
      <c r="G1008">
        <v>31367</v>
      </c>
      <c r="H1008">
        <v>25093.600000000002</v>
      </c>
      <c r="I1008" s="13">
        <v>0.5</v>
      </c>
      <c r="J1008" t="s">
        <v>6207</v>
      </c>
      <c r="K1008">
        <v>3</v>
      </c>
      <c r="L1008">
        <v>2</v>
      </c>
      <c r="M1008" t="s">
        <v>0</v>
      </c>
      <c r="V1008">
        <v>1</v>
      </c>
      <c r="W1008">
        <v>1</v>
      </c>
      <c r="X1008">
        <v>0</v>
      </c>
      <c r="Y1008">
        <v>0</v>
      </c>
      <c r="Z1008">
        <v>0</v>
      </c>
    </row>
    <row r="1009" spans="1:26" x14ac:dyDescent="0.2">
      <c r="A1009" t="s">
        <v>1127</v>
      </c>
      <c r="B1009" t="s">
        <v>37</v>
      </c>
      <c r="C1009">
        <v>2011</v>
      </c>
      <c r="D1009" t="s">
        <v>51</v>
      </c>
      <c r="E1009" t="s">
        <v>64</v>
      </c>
      <c r="F1009" t="s">
        <v>20</v>
      </c>
      <c r="G1009">
        <v>36284</v>
      </c>
      <c r="H1009">
        <v>29027.200000000001</v>
      </c>
      <c r="I1009" s="13">
        <v>0</v>
      </c>
      <c r="J1009" t="s">
        <v>6206</v>
      </c>
      <c r="K1009">
        <v>5</v>
      </c>
      <c r="L1009">
        <v>0</v>
      </c>
      <c r="M1009" t="s">
        <v>0</v>
      </c>
      <c r="V1009">
        <v>2</v>
      </c>
      <c r="W1009">
        <v>1</v>
      </c>
      <c r="X1009">
        <v>0</v>
      </c>
      <c r="Y1009">
        <v>0</v>
      </c>
      <c r="Z1009">
        <v>0</v>
      </c>
    </row>
    <row r="1010" spans="1:26" x14ac:dyDescent="0.2">
      <c r="A1010" t="s">
        <v>1128</v>
      </c>
      <c r="B1010" t="s">
        <v>50</v>
      </c>
      <c r="C1010">
        <v>2011</v>
      </c>
      <c r="D1010" t="s">
        <v>22</v>
      </c>
      <c r="E1010" t="s">
        <v>63</v>
      </c>
      <c r="F1010" t="s">
        <v>24</v>
      </c>
      <c r="G1010">
        <v>31750</v>
      </c>
      <c r="H1010">
        <v>25400</v>
      </c>
      <c r="I1010" s="13">
        <v>0</v>
      </c>
      <c r="J1010" t="s">
        <v>6207</v>
      </c>
      <c r="K1010">
        <v>1</v>
      </c>
      <c r="L1010">
        <v>5</v>
      </c>
      <c r="M1010" t="s">
        <v>1</v>
      </c>
      <c r="V1010">
        <v>1</v>
      </c>
      <c r="W1010">
        <v>0</v>
      </c>
      <c r="X1010">
        <v>0</v>
      </c>
      <c r="Y1010">
        <v>0</v>
      </c>
      <c r="Z1010">
        <v>0</v>
      </c>
    </row>
    <row r="1011" spans="1:26" x14ac:dyDescent="0.2">
      <c r="A1011" t="s">
        <v>1129</v>
      </c>
      <c r="B1011" t="s">
        <v>66</v>
      </c>
      <c r="C1011">
        <v>2011</v>
      </c>
      <c r="D1011" t="s">
        <v>42</v>
      </c>
      <c r="E1011" t="s">
        <v>40</v>
      </c>
      <c r="F1011" t="s">
        <v>38</v>
      </c>
      <c r="G1011">
        <v>42918</v>
      </c>
      <c r="H1011">
        <v>34334.400000000001</v>
      </c>
      <c r="I1011" s="13">
        <v>1</v>
      </c>
      <c r="J1011" t="s">
        <v>6207</v>
      </c>
      <c r="K1011">
        <v>0</v>
      </c>
      <c r="L1011">
        <v>1</v>
      </c>
      <c r="M1011" t="s">
        <v>1</v>
      </c>
      <c r="V1011">
        <v>3</v>
      </c>
      <c r="W1011">
        <v>0</v>
      </c>
      <c r="X1011">
        <v>0</v>
      </c>
      <c r="Y1011">
        <v>0</v>
      </c>
      <c r="Z1011">
        <v>0</v>
      </c>
    </row>
    <row r="1012" spans="1:26" x14ac:dyDescent="0.2">
      <c r="A1012" t="s">
        <v>1130</v>
      </c>
      <c r="B1012" t="s">
        <v>60</v>
      </c>
      <c r="C1012">
        <v>2011</v>
      </c>
      <c r="D1012" t="s">
        <v>43</v>
      </c>
      <c r="E1012" t="s">
        <v>42</v>
      </c>
      <c r="F1012" t="s">
        <v>43</v>
      </c>
      <c r="G1012">
        <v>25138</v>
      </c>
      <c r="H1012">
        <v>20110.400000000001</v>
      </c>
      <c r="I1012" s="13">
        <v>0.25</v>
      </c>
      <c r="J1012" t="s">
        <v>6208</v>
      </c>
      <c r="K1012">
        <v>0</v>
      </c>
      <c r="L1012">
        <v>0</v>
      </c>
      <c r="M1012" t="s">
        <v>58</v>
      </c>
      <c r="V1012">
        <v>0</v>
      </c>
      <c r="W1012">
        <v>4</v>
      </c>
      <c r="X1012">
        <v>0</v>
      </c>
      <c r="Y1012">
        <v>0</v>
      </c>
      <c r="Z1012">
        <v>0</v>
      </c>
    </row>
    <row r="1013" spans="1:26" x14ac:dyDescent="0.2">
      <c r="A1013" t="s">
        <v>1131</v>
      </c>
      <c r="B1013" t="s">
        <v>25</v>
      </c>
      <c r="C1013">
        <v>2011</v>
      </c>
      <c r="D1013" t="s">
        <v>63</v>
      </c>
      <c r="E1013" t="s">
        <v>35</v>
      </c>
      <c r="F1013" t="s">
        <v>65</v>
      </c>
      <c r="G1013">
        <v>26804</v>
      </c>
      <c r="H1013">
        <v>21443.200000000001</v>
      </c>
      <c r="I1013" s="13">
        <v>0.5</v>
      </c>
      <c r="J1013" t="s">
        <v>6207</v>
      </c>
      <c r="K1013">
        <v>4</v>
      </c>
      <c r="L1013">
        <v>0</v>
      </c>
      <c r="M1013" t="s">
        <v>0</v>
      </c>
      <c r="V1013">
        <v>1</v>
      </c>
      <c r="W1013">
        <v>1</v>
      </c>
      <c r="X1013">
        <v>0</v>
      </c>
      <c r="Y1013">
        <v>0</v>
      </c>
      <c r="Z1013">
        <v>0</v>
      </c>
    </row>
    <row r="1014" spans="1:26" x14ac:dyDescent="0.2">
      <c r="A1014" t="s">
        <v>1132</v>
      </c>
      <c r="B1014" t="s">
        <v>52</v>
      </c>
      <c r="C1014">
        <v>2011</v>
      </c>
      <c r="D1014" t="s">
        <v>70</v>
      </c>
      <c r="E1014" t="s">
        <v>31</v>
      </c>
      <c r="F1014" t="s">
        <v>20</v>
      </c>
      <c r="G1014">
        <v>18439</v>
      </c>
      <c r="H1014">
        <v>14751.2</v>
      </c>
      <c r="I1014" s="13">
        <v>0.5</v>
      </c>
      <c r="J1014" t="s">
        <v>6207</v>
      </c>
      <c r="K1014">
        <v>0</v>
      </c>
      <c r="L1014">
        <v>1</v>
      </c>
      <c r="M1014" t="s">
        <v>1</v>
      </c>
      <c r="V1014">
        <v>1</v>
      </c>
      <c r="W1014">
        <v>4</v>
      </c>
      <c r="X1014">
        <v>1</v>
      </c>
      <c r="Y1014">
        <v>0</v>
      </c>
      <c r="Z1014">
        <v>0</v>
      </c>
    </row>
    <row r="1015" spans="1:26" x14ac:dyDescent="0.2">
      <c r="A1015" t="s">
        <v>1133</v>
      </c>
      <c r="B1015" t="s">
        <v>55</v>
      </c>
      <c r="C1015">
        <v>2011</v>
      </c>
      <c r="D1015" t="s">
        <v>64</v>
      </c>
      <c r="E1015" t="s">
        <v>22</v>
      </c>
      <c r="F1015" t="s">
        <v>64</v>
      </c>
      <c r="G1015">
        <v>52264</v>
      </c>
      <c r="H1015">
        <v>41811.200000000004</v>
      </c>
      <c r="I1015" s="13">
        <v>0.5</v>
      </c>
      <c r="J1015" t="s">
        <v>6206</v>
      </c>
      <c r="K1015">
        <v>2</v>
      </c>
      <c r="L1015">
        <v>2</v>
      </c>
      <c r="M1015" t="s">
        <v>58</v>
      </c>
      <c r="V1015">
        <v>1</v>
      </c>
      <c r="W1015">
        <v>1</v>
      </c>
      <c r="X1015">
        <v>0</v>
      </c>
      <c r="Y1015">
        <v>0</v>
      </c>
      <c r="Z1015">
        <v>0</v>
      </c>
    </row>
    <row r="1016" spans="1:26" x14ac:dyDescent="0.2">
      <c r="A1016" t="s">
        <v>1134</v>
      </c>
      <c r="B1016" t="s">
        <v>66</v>
      </c>
      <c r="C1016">
        <v>2011</v>
      </c>
      <c r="D1016" t="s">
        <v>18</v>
      </c>
      <c r="E1016" t="s">
        <v>34</v>
      </c>
      <c r="F1016" t="s">
        <v>20</v>
      </c>
      <c r="G1016">
        <v>40341</v>
      </c>
      <c r="H1016">
        <v>32272.800000000003</v>
      </c>
      <c r="I1016" s="13">
        <v>0</v>
      </c>
      <c r="J1016" t="s">
        <v>6207</v>
      </c>
      <c r="K1016">
        <v>3</v>
      </c>
      <c r="L1016">
        <v>0</v>
      </c>
      <c r="M1016" t="s">
        <v>0</v>
      </c>
      <c r="V1016">
        <v>0</v>
      </c>
      <c r="W1016">
        <v>1</v>
      </c>
      <c r="X1016">
        <v>0</v>
      </c>
      <c r="Y1016">
        <v>0</v>
      </c>
      <c r="Z1016">
        <v>0</v>
      </c>
    </row>
    <row r="1017" spans="1:26" x14ac:dyDescent="0.2">
      <c r="A1017" t="s">
        <v>1135</v>
      </c>
      <c r="B1017" t="s">
        <v>53</v>
      </c>
      <c r="C1017">
        <v>2011</v>
      </c>
      <c r="D1017" t="s">
        <v>40</v>
      </c>
      <c r="E1017" t="s">
        <v>39</v>
      </c>
      <c r="F1017" t="s">
        <v>49</v>
      </c>
      <c r="G1017">
        <v>53400</v>
      </c>
      <c r="H1017">
        <v>42720</v>
      </c>
      <c r="I1017" s="13">
        <v>0</v>
      </c>
      <c r="J1017" t="s">
        <v>6207</v>
      </c>
      <c r="K1017">
        <v>3</v>
      </c>
      <c r="L1017">
        <v>0</v>
      </c>
      <c r="M1017" t="s">
        <v>0</v>
      </c>
      <c r="V1017">
        <v>0</v>
      </c>
      <c r="W1017">
        <v>2</v>
      </c>
      <c r="X1017">
        <v>0</v>
      </c>
      <c r="Y1017">
        <v>0</v>
      </c>
      <c r="Z1017">
        <v>0</v>
      </c>
    </row>
    <row r="1018" spans="1:26" x14ac:dyDescent="0.2">
      <c r="A1018" t="s">
        <v>1136</v>
      </c>
      <c r="B1018" t="s">
        <v>37</v>
      </c>
      <c r="C1018">
        <v>2011</v>
      </c>
      <c r="D1018" t="s">
        <v>69</v>
      </c>
      <c r="E1018" t="s">
        <v>48</v>
      </c>
      <c r="F1018" t="s">
        <v>69</v>
      </c>
      <c r="G1018">
        <v>27359</v>
      </c>
      <c r="H1018">
        <v>21887.200000000001</v>
      </c>
      <c r="I1018" s="13">
        <v>0</v>
      </c>
      <c r="J1018" t="s">
        <v>6206</v>
      </c>
      <c r="K1018">
        <v>1</v>
      </c>
      <c r="L1018">
        <v>2</v>
      </c>
      <c r="M1018" t="s">
        <v>1</v>
      </c>
      <c r="V1018">
        <v>1</v>
      </c>
      <c r="W1018">
        <v>1</v>
      </c>
      <c r="X1018">
        <v>0</v>
      </c>
      <c r="Y1018">
        <v>0</v>
      </c>
      <c r="Z1018">
        <v>0</v>
      </c>
    </row>
    <row r="1019" spans="1:26" x14ac:dyDescent="0.2">
      <c r="A1019" t="s">
        <v>1137</v>
      </c>
      <c r="B1019" t="s">
        <v>41</v>
      </c>
      <c r="C1019">
        <v>2011</v>
      </c>
      <c r="D1019" t="s">
        <v>46</v>
      </c>
      <c r="E1019" t="s">
        <v>51</v>
      </c>
      <c r="F1019" t="s">
        <v>20</v>
      </c>
      <c r="G1019">
        <v>60704</v>
      </c>
      <c r="H1019">
        <v>48563.200000000004</v>
      </c>
      <c r="I1019" s="13">
        <v>0.5714285714285714</v>
      </c>
      <c r="J1019" t="s">
        <v>6207</v>
      </c>
      <c r="K1019">
        <v>5</v>
      </c>
      <c r="L1019">
        <v>2</v>
      </c>
      <c r="M1019" t="s">
        <v>0</v>
      </c>
      <c r="V1019">
        <v>3</v>
      </c>
      <c r="W1019">
        <v>3</v>
      </c>
      <c r="X1019">
        <v>0</v>
      </c>
      <c r="Y1019">
        <v>1</v>
      </c>
      <c r="Z1019">
        <v>1</v>
      </c>
    </row>
    <row r="1020" spans="1:26" x14ac:dyDescent="0.2">
      <c r="A1020" t="s">
        <v>1138</v>
      </c>
      <c r="B1020" t="s">
        <v>56</v>
      </c>
      <c r="C1020">
        <v>2011</v>
      </c>
      <c r="D1020" t="s">
        <v>27</v>
      </c>
      <c r="E1020" t="s">
        <v>71</v>
      </c>
      <c r="F1020" t="s">
        <v>27</v>
      </c>
      <c r="G1020">
        <v>30089</v>
      </c>
      <c r="H1020">
        <v>24071.200000000001</v>
      </c>
      <c r="I1020" s="13">
        <v>0</v>
      </c>
      <c r="J1020" t="s">
        <v>6207</v>
      </c>
      <c r="K1020">
        <v>2</v>
      </c>
      <c r="L1020">
        <v>0</v>
      </c>
      <c r="M1020" t="s">
        <v>0</v>
      </c>
      <c r="V1020">
        <v>1</v>
      </c>
      <c r="W1020">
        <v>0</v>
      </c>
      <c r="X1020">
        <v>0</v>
      </c>
      <c r="Y1020">
        <v>0</v>
      </c>
      <c r="Z1020">
        <v>0</v>
      </c>
    </row>
    <row r="1021" spans="1:26" x14ac:dyDescent="0.2">
      <c r="A1021" t="s">
        <v>1139</v>
      </c>
      <c r="B1021" t="s">
        <v>47</v>
      </c>
      <c r="C1021">
        <v>2011</v>
      </c>
      <c r="D1021" t="s">
        <v>26</v>
      </c>
      <c r="E1021" t="s">
        <v>46</v>
      </c>
      <c r="F1021" t="s">
        <v>26</v>
      </c>
      <c r="G1021">
        <v>61276</v>
      </c>
      <c r="H1021">
        <v>49020.800000000003</v>
      </c>
      <c r="I1021" s="13">
        <v>1</v>
      </c>
      <c r="J1021" t="s">
        <v>6208</v>
      </c>
      <c r="K1021">
        <v>1</v>
      </c>
      <c r="L1021">
        <v>2</v>
      </c>
      <c r="M1021" t="s">
        <v>1</v>
      </c>
      <c r="V1021">
        <v>0</v>
      </c>
      <c r="W1021">
        <v>1</v>
      </c>
      <c r="X1021">
        <v>0</v>
      </c>
      <c r="Y1021">
        <v>0</v>
      </c>
      <c r="Z1021">
        <v>0</v>
      </c>
    </row>
    <row r="1022" spans="1:26" x14ac:dyDescent="0.2">
      <c r="A1022" t="s">
        <v>1140</v>
      </c>
      <c r="B1022" t="s">
        <v>37</v>
      </c>
      <c r="C1022">
        <v>2011</v>
      </c>
      <c r="D1022" t="s">
        <v>43</v>
      </c>
      <c r="E1022" t="s">
        <v>71</v>
      </c>
      <c r="F1022" t="s">
        <v>43</v>
      </c>
      <c r="G1022">
        <v>25138</v>
      </c>
      <c r="H1022">
        <v>20110.400000000001</v>
      </c>
      <c r="I1022" s="13">
        <v>0.6</v>
      </c>
      <c r="J1022" t="s">
        <v>6206</v>
      </c>
      <c r="K1022">
        <v>0</v>
      </c>
      <c r="L1022">
        <v>2</v>
      </c>
      <c r="M1022" t="s">
        <v>1</v>
      </c>
      <c r="V1022">
        <v>2</v>
      </c>
      <c r="W1022">
        <v>2</v>
      </c>
      <c r="X1022">
        <v>0</v>
      </c>
      <c r="Y1022">
        <v>1</v>
      </c>
      <c r="Z1022">
        <v>0</v>
      </c>
    </row>
    <row r="1023" spans="1:26" x14ac:dyDescent="0.2">
      <c r="A1023" t="s">
        <v>1141</v>
      </c>
      <c r="B1023" t="s">
        <v>52</v>
      </c>
      <c r="C1023">
        <v>2011</v>
      </c>
      <c r="D1023" t="s">
        <v>63</v>
      </c>
      <c r="E1023" t="s">
        <v>18</v>
      </c>
      <c r="F1023" t="s">
        <v>65</v>
      </c>
      <c r="G1023">
        <v>26804</v>
      </c>
      <c r="H1023">
        <v>21443.200000000001</v>
      </c>
      <c r="I1023" s="13">
        <v>0.25</v>
      </c>
      <c r="J1023" t="s">
        <v>6207</v>
      </c>
      <c r="K1023">
        <v>1</v>
      </c>
      <c r="L1023">
        <v>0</v>
      </c>
      <c r="M1023" t="s">
        <v>0</v>
      </c>
      <c r="V1023">
        <v>3</v>
      </c>
      <c r="W1023">
        <v>1</v>
      </c>
      <c r="X1023">
        <v>0</v>
      </c>
      <c r="Y1023">
        <v>0</v>
      </c>
      <c r="Z1023">
        <v>0</v>
      </c>
    </row>
    <row r="1024" spans="1:26" x14ac:dyDescent="0.2">
      <c r="A1024" t="s">
        <v>1142</v>
      </c>
      <c r="B1024" t="s">
        <v>66</v>
      </c>
      <c r="C1024">
        <v>2011</v>
      </c>
      <c r="D1024" t="s">
        <v>27</v>
      </c>
      <c r="E1024" t="s">
        <v>69</v>
      </c>
      <c r="F1024" t="s">
        <v>27</v>
      </c>
      <c r="G1024">
        <v>30089</v>
      </c>
      <c r="H1024">
        <v>24071.200000000001</v>
      </c>
      <c r="I1024" s="13">
        <v>0.5</v>
      </c>
      <c r="J1024" t="s">
        <v>6207</v>
      </c>
      <c r="K1024">
        <v>1</v>
      </c>
      <c r="L1024">
        <v>0</v>
      </c>
      <c r="M1024" t="s">
        <v>0</v>
      </c>
      <c r="V1024">
        <v>0</v>
      </c>
      <c r="W1024">
        <v>2</v>
      </c>
      <c r="X1024">
        <v>0</v>
      </c>
      <c r="Y1024">
        <v>0</v>
      </c>
      <c r="Z1024">
        <v>0</v>
      </c>
    </row>
    <row r="1025" spans="1:26" x14ac:dyDescent="0.2">
      <c r="A1025" t="s">
        <v>1143</v>
      </c>
      <c r="B1025" t="s">
        <v>60</v>
      </c>
      <c r="C1025">
        <v>2011</v>
      </c>
      <c r="D1025" t="s">
        <v>70</v>
      </c>
      <c r="E1025" t="s">
        <v>45</v>
      </c>
      <c r="F1025" t="s">
        <v>20</v>
      </c>
      <c r="G1025">
        <v>18439</v>
      </c>
      <c r="H1025">
        <v>14751.2</v>
      </c>
      <c r="I1025" s="13">
        <v>0.66666666666666663</v>
      </c>
      <c r="J1025" t="s">
        <v>6208</v>
      </c>
      <c r="K1025">
        <v>1</v>
      </c>
      <c r="L1025">
        <v>1</v>
      </c>
      <c r="M1025" t="s">
        <v>58</v>
      </c>
      <c r="V1025">
        <v>1</v>
      </c>
      <c r="W1025">
        <v>2</v>
      </c>
      <c r="X1025">
        <v>0</v>
      </c>
      <c r="Y1025">
        <v>0</v>
      </c>
      <c r="Z1025">
        <v>0</v>
      </c>
    </row>
    <row r="1026" spans="1:26" x14ac:dyDescent="0.2">
      <c r="A1026" t="s">
        <v>1144</v>
      </c>
      <c r="B1026" t="s">
        <v>44</v>
      </c>
      <c r="C1026">
        <v>2011</v>
      </c>
      <c r="D1026" t="s">
        <v>40</v>
      </c>
      <c r="E1026" t="s">
        <v>34</v>
      </c>
      <c r="F1026" t="s">
        <v>49</v>
      </c>
      <c r="G1026">
        <v>53400</v>
      </c>
      <c r="H1026">
        <v>42720</v>
      </c>
      <c r="I1026" s="13">
        <v>0</v>
      </c>
      <c r="J1026" t="s">
        <v>6207</v>
      </c>
      <c r="K1026">
        <v>2</v>
      </c>
      <c r="L1026">
        <v>0</v>
      </c>
      <c r="M1026" t="s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 x14ac:dyDescent="0.2">
      <c r="A1027" t="s">
        <v>1145</v>
      </c>
      <c r="B1027" t="s">
        <v>56</v>
      </c>
      <c r="C1027">
        <v>2011</v>
      </c>
      <c r="D1027" t="s">
        <v>39</v>
      </c>
      <c r="E1027" t="s">
        <v>42</v>
      </c>
      <c r="F1027" t="s">
        <v>39</v>
      </c>
      <c r="G1027">
        <v>31367</v>
      </c>
      <c r="H1027">
        <v>25093.600000000002</v>
      </c>
      <c r="I1027" s="13">
        <v>1</v>
      </c>
      <c r="J1027" t="s">
        <v>6207</v>
      </c>
      <c r="K1027">
        <v>1</v>
      </c>
      <c r="L1027">
        <v>1</v>
      </c>
      <c r="M1027" t="s">
        <v>58</v>
      </c>
      <c r="V1027">
        <v>1</v>
      </c>
      <c r="W1027">
        <v>0</v>
      </c>
      <c r="X1027">
        <v>0</v>
      </c>
      <c r="Y1027">
        <v>0</v>
      </c>
      <c r="Z1027">
        <v>0</v>
      </c>
    </row>
    <row r="1028" spans="1:26" x14ac:dyDescent="0.2">
      <c r="A1028" t="s">
        <v>1146</v>
      </c>
      <c r="B1028" t="s">
        <v>41</v>
      </c>
      <c r="C1028">
        <v>2011</v>
      </c>
      <c r="D1028" t="s">
        <v>64</v>
      </c>
      <c r="E1028" t="s">
        <v>35</v>
      </c>
      <c r="F1028" t="s">
        <v>64</v>
      </c>
      <c r="G1028">
        <v>52264</v>
      </c>
      <c r="H1028">
        <v>41811.200000000004</v>
      </c>
      <c r="I1028" s="13">
        <v>0.45454545454545453</v>
      </c>
      <c r="J1028" t="s">
        <v>6207</v>
      </c>
      <c r="K1028">
        <v>1</v>
      </c>
      <c r="L1028">
        <v>1</v>
      </c>
      <c r="M1028" t="s">
        <v>58</v>
      </c>
      <c r="V1028">
        <v>5</v>
      </c>
      <c r="W1028">
        <v>4</v>
      </c>
      <c r="X1028">
        <v>0</v>
      </c>
      <c r="Y1028">
        <v>2</v>
      </c>
      <c r="Z1028">
        <v>0</v>
      </c>
    </row>
    <row r="1029" spans="1:26" x14ac:dyDescent="0.2">
      <c r="A1029" t="s">
        <v>1147</v>
      </c>
      <c r="B1029" t="s">
        <v>53</v>
      </c>
      <c r="C1029">
        <v>2011</v>
      </c>
      <c r="D1029" t="s">
        <v>31</v>
      </c>
      <c r="E1029" t="s">
        <v>22</v>
      </c>
      <c r="F1029" t="s">
        <v>20</v>
      </c>
      <c r="G1029">
        <v>28500</v>
      </c>
      <c r="H1029">
        <v>22800</v>
      </c>
      <c r="I1029" s="13">
        <v>0.66666666666666663</v>
      </c>
      <c r="J1029" t="s">
        <v>6207</v>
      </c>
      <c r="K1029">
        <v>5</v>
      </c>
      <c r="L1029">
        <v>0</v>
      </c>
      <c r="M1029" t="s">
        <v>0</v>
      </c>
      <c r="V1029">
        <v>1</v>
      </c>
      <c r="W1029">
        <v>2</v>
      </c>
      <c r="X1029">
        <v>0</v>
      </c>
      <c r="Y1029">
        <v>0</v>
      </c>
      <c r="Z1029">
        <v>0</v>
      </c>
    </row>
    <row r="1030" spans="1:26" x14ac:dyDescent="0.2">
      <c r="A1030" t="s">
        <v>1148</v>
      </c>
      <c r="B1030" t="s">
        <v>32</v>
      </c>
      <c r="C1030">
        <v>2011</v>
      </c>
      <c r="D1030" t="s">
        <v>51</v>
      </c>
      <c r="E1030" t="s">
        <v>48</v>
      </c>
      <c r="F1030" t="s">
        <v>20</v>
      </c>
      <c r="G1030">
        <v>36284</v>
      </c>
      <c r="H1030">
        <v>29027.200000000001</v>
      </c>
      <c r="I1030" s="13">
        <v>0.33333333333333331</v>
      </c>
      <c r="J1030" t="s">
        <v>6207</v>
      </c>
      <c r="K1030">
        <v>1</v>
      </c>
      <c r="L1030">
        <v>3</v>
      </c>
      <c r="M1030" t="s">
        <v>1</v>
      </c>
      <c r="V1030">
        <v>1</v>
      </c>
      <c r="W1030">
        <v>2</v>
      </c>
      <c r="X1030">
        <v>0</v>
      </c>
      <c r="Y1030">
        <v>0</v>
      </c>
      <c r="Z1030">
        <v>0</v>
      </c>
    </row>
    <row r="1031" spans="1:26" x14ac:dyDescent="0.2">
      <c r="A1031" t="s">
        <v>1149</v>
      </c>
      <c r="B1031" t="s">
        <v>32</v>
      </c>
      <c r="C1031">
        <v>2011</v>
      </c>
      <c r="D1031" t="s">
        <v>34</v>
      </c>
      <c r="E1031" t="s">
        <v>70</v>
      </c>
      <c r="F1031" t="s">
        <v>36</v>
      </c>
      <c r="G1031">
        <v>28723</v>
      </c>
      <c r="H1031">
        <v>22978.400000000001</v>
      </c>
      <c r="I1031" s="13">
        <v>0.25</v>
      </c>
      <c r="J1031" t="s">
        <v>6207</v>
      </c>
      <c r="K1031">
        <v>2</v>
      </c>
      <c r="L1031">
        <v>1</v>
      </c>
      <c r="M1031" t="s">
        <v>0</v>
      </c>
      <c r="V1031">
        <v>2</v>
      </c>
      <c r="W1031">
        <v>2</v>
      </c>
      <c r="X1031">
        <v>0</v>
      </c>
      <c r="Y1031">
        <v>0</v>
      </c>
      <c r="Z1031">
        <v>0</v>
      </c>
    </row>
    <row r="1032" spans="1:26" x14ac:dyDescent="0.2">
      <c r="A1032" t="s">
        <v>1150</v>
      </c>
      <c r="B1032" t="s">
        <v>25</v>
      </c>
      <c r="C1032">
        <v>2011</v>
      </c>
      <c r="D1032" t="s">
        <v>22</v>
      </c>
      <c r="E1032" t="s">
        <v>39</v>
      </c>
      <c r="F1032" t="s">
        <v>24</v>
      </c>
      <c r="G1032">
        <v>31750</v>
      </c>
      <c r="H1032">
        <v>25400</v>
      </c>
      <c r="I1032" s="13">
        <v>0.33333333333333331</v>
      </c>
      <c r="J1032" t="s">
        <v>6207</v>
      </c>
      <c r="K1032">
        <v>0</v>
      </c>
      <c r="L1032">
        <v>2</v>
      </c>
      <c r="M1032" t="s">
        <v>1</v>
      </c>
      <c r="V1032">
        <v>1</v>
      </c>
      <c r="W1032">
        <v>2</v>
      </c>
      <c r="X1032">
        <v>0</v>
      </c>
      <c r="Y1032">
        <v>0</v>
      </c>
      <c r="Z1032">
        <v>0</v>
      </c>
    </row>
    <row r="1033" spans="1:26" x14ac:dyDescent="0.2">
      <c r="A1033" t="s">
        <v>1151</v>
      </c>
      <c r="B1033" t="s">
        <v>61</v>
      </c>
      <c r="C1033">
        <v>2011</v>
      </c>
      <c r="D1033" t="s">
        <v>35</v>
      </c>
      <c r="E1033" t="s">
        <v>26</v>
      </c>
      <c r="F1033" t="s">
        <v>35</v>
      </c>
      <c r="G1033">
        <v>49000</v>
      </c>
      <c r="H1033">
        <v>39200</v>
      </c>
      <c r="I1033" s="13">
        <v>1</v>
      </c>
      <c r="J1033" t="s">
        <v>6207</v>
      </c>
      <c r="K1033">
        <v>1</v>
      </c>
      <c r="L1033">
        <v>0</v>
      </c>
      <c r="M1033" t="s">
        <v>0</v>
      </c>
      <c r="V1033">
        <v>1</v>
      </c>
      <c r="W1033">
        <v>1</v>
      </c>
      <c r="X1033">
        <v>0</v>
      </c>
      <c r="Y1033">
        <v>0</v>
      </c>
      <c r="Z1033">
        <v>0</v>
      </c>
    </row>
    <row r="1034" spans="1:26" x14ac:dyDescent="0.2">
      <c r="A1034" t="s">
        <v>1152</v>
      </c>
      <c r="B1034" t="s">
        <v>37</v>
      </c>
      <c r="C1034">
        <v>2011</v>
      </c>
      <c r="D1034" t="s">
        <v>18</v>
      </c>
      <c r="E1034" t="s">
        <v>27</v>
      </c>
      <c r="F1034" t="s">
        <v>20</v>
      </c>
      <c r="G1034">
        <v>40341</v>
      </c>
      <c r="H1034">
        <v>32272.800000000003</v>
      </c>
      <c r="I1034" s="13">
        <v>1</v>
      </c>
      <c r="J1034" t="s">
        <v>6206</v>
      </c>
      <c r="K1034">
        <v>1</v>
      </c>
      <c r="L1034">
        <v>0</v>
      </c>
      <c r="M1034" t="s">
        <v>0</v>
      </c>
      <c r="V1034">
        <v>1</v>
      </c>
      <c r="W1034">
        <v>2</v>
      </c>
      <c r="X1034">
        <v>0</v>
      </c>
      <c r="Y1034">
        <v>1</v>
      </c>
      <c r="Z1034">
        <v>0</v>
      </c>
    </row>
    <row r="1035" spans="1:26" x14ac:dyDescent="0.2">
      <c r="A1035" t="s">
        <v>1153</v>
      </c>
      <c r="B1035" t="s">
        <v>68</v>
      </c>
      <c r="C1035">
        <v>2011</v>
      </c>
      <c r="D1035" t="s">
        <v>42</v>
      </c>
      <c r="E1035" t="s">
        <v>31</v>
      </c>
      <c r="F1035" t="s">
        <v>38</v>
      </c>
      <c r="G1035">
        <v>42918</v>
      </c>
      <c r="H1035">
        <v>34334.400000000001</v>
      </c>
      <c r="I1035" s="13">
        <v>1</v>
      </c>
      <c r="J1035" t="s">
        <v>6207</v>
      </c>
      <c r="K1035">
        <v>1</v>
      </c>
      <c r="L1035">
        <v>0</v>
      </c>
      <c r="M1035" t="s">
        <v>0</v>
      </c>
      <c r="V1035">
        <v>2</v>
      </c>
      <c r="W1035">
        <v>0</v>
      </c>
      <c r="X1035">
        <v>0</v>
      </c>
      <c r="Y1035">
        <v>0</v>
      </c>
      <c r="Z1035">
        <v>0</v>
      </c>
    </row>
    <row r="1036" spans="1:26" x14ac:dyDescent="0.2">
      <c r="A1036" t="s">
        <v>1154</v>
      </c>
      <c r="B1036" t="s">
        <v>47</v>
      </c>
      <c r="C1036">
        <v>2011</v>
      </c>
      <c r="D1036" t="s">
        <v>45</v>
      </c>
      <c r="E1036" t="s">
        <v>51</v>
      </c>
      <c r="F1036" t="s">
        <v>26</v>
      </c>
      <c r="G1036">
        <v>39572</v>
      </c>
      <c r="H1036">
        <v>31657.600000000002</v>
      </c>
      <c r="I1036" s="13">
        <v>0.5</v>
      </c>
      <c r="J1036" t="s">
        <v>6208</v>
      </c>
      <c r="K1036">
        <v>1</v>
      </c>
      <c r="L1036">
        <v>0</v>
      </c>
      <c r="M1036" t="s">
        <v>0</v>
      </c>
      <c r="V1036">
        <v>2</v>
      </c>
      <c r="W1036">
        <v>2</v>
      </c>
      <c r="X1036">
        <v>0</v>
      </c>
      <c r="Y1036">
        <v>0</v>
      </c>
      <c r="Z1036">
        <v>0</v>
      </c>
    </row>
    <row r="1037" spans="1:26" x14ac:dyDescent="0.2">
      <c r="A1037" t="s">
        <v>1155</v>
      </c>
      <c r="B1037" t="s">
        <v>50</v>
      </c>
      <c r="C1037">
        <v>2011</v>
      </c>
      <c r="D1037" t="s">
        <v>71</v>
      </c>
      <c r="E1037" t="s">
        <v>40</v>
      </c>
      <c r="F1037" t="s">
        <v>71</v>
      </c>
      <c r="G1037">
        <v>21088</v>
      </c>
      <c r="H1037">
        <v>16870.400000000001</v>
      </c>
      <c r="I1037" s="13">
        <v>0.5</v>
      </c>
      <c r="J1037" t="s">
        <v>6207</v>
      </c>
      <c r="K1037">
        <v>1</v>
      </c>
      <c r="L1037">
        <v>0</v>
      </c>
      <c r="M1037" t="s">
        <v>0</v>
      </c>
      <c r="V1037">
        <v>0</v>
      </c>
      <c r="W1037">
        <v>2</v>
      </c>
      <c r="X1037">
        <v>0</v>
      </c>
      <c r="Y1037">
        <v>0</v>
      </c>
      <c r="Z1037">
        <v>0</v>
      </c>
    </row>
    <row r="1038" spans="1:26" x14ac:dyDescent="0.2">
      <c r="A1038" t="s">
        <v>1156</v>
      </c>
      <c r="B1038" t="s">
        <v>54</v>
      </c>
      <c r="C1038">
        <v>2011</v>
      </c>
      <c r="D1038" t="s">
        <v>48</v>
      </c>
      <c r="E1038" t="s">
        <v>63</v>
      </c>
      <c r="F1038" t="s">
        <v>49</v>
      </c>
      <c r="G1038">
        <v>74197</v>
      </c>
      <c r="H1038">
        <v>59357.600000000006</v>
      </c>
      <c r="I1038" s="13">
        <v>0.5</v>
      </c>
      <c r="J1038" t="s">
        <v>6206</v>
      </c>
      <c r="K1038">
        <v>2</v>
      </c>
      <c r="L1038">
        <v>0</v>
      </c>
      <c r="M1038" t="s">
        <v>0</v>
      </c>
      <c r="V1038">
        <v>0</v>
      </c>
      <c r="W1038">
        <v>1</v>
      </c>
      <c r="X1038">
        <v>0</v>
      </c>
      <c r="Y1038">
        <v>1</v>
      </c>
      <c r="Z1038">
        <v>1</v>
      </c>
    </row>
    <row r="1039" spans="1:26" x14ac:dyDescent="0.2">
      <c r="A1039" t="s">
        <v>1157</v>
      </c>
      <c r="B1039" t="s">
        <v>60</v>
      </c>
      <c r="C1039">
        <v>2011</v>
      </c>
      <c r="D1039" t="s">
        <v>69</v>
      </c>
      <c r="E1039" t="s">
        <v>43</v>
      </c>
      <c r="F1039" t="s">
        <v>69</v>
      </c>
      <c r="G1039">
        <v>27359</v>
      </c>
      <c r="H1039">
        <v>21887.200000000001</v>
      </c>
      <c r="I1039" s="13">
        <v>0.625</v>
      </c>
      <c r="J1039" t="s">
        <v>6208</v>
      </c>
      <c r="K1039">
        <v>1</v>
      </c>
      <c r="L1039">
        <v>1</v>
      </c>
      <c r="M1039" t="s">
        <v>58</v>
      </c>
      <c r="V1039">
        <v>4</v>
      </c>
      <c r="W1039">
        <v>4</v>
      </c>
      <c r="X1039">
        <v>0</v>
      </c>
      <c r="Y1039">
        <v>0</v>
      </c>
      <c r="Z1039">
        <v>0</v>
      </c>
    </row>
    <row r="1040" spans="1:26" x14ac:dyDescent="0.2">
      <c r="A1040" t="s">
        <v>1158</v>
      </c>
      <c r="B1040" t="s">
        <v>56</v>
      </c>
      <c r="C1040">
        <v>2011</v>
      </c>
      <c r="D1040" t="s">
        <v>46</v>
      </c>
      <c r="E1040" t="s">
        <v>64</v>
      </c>
      <c r="F1040" t="s">
        <v>20</v>
      </c>
      <c r="G1040">
        <v>60704</v>
      </c>
      <c r="H1040">
        <v>48563.200000000004</v>
      </c>
      <c r="I1040" s="13">
        <v>0.8</v>
      </c>
      <c r="J1040" t="s">
        <v>6207</v>
      </c>
      <c r="K1040">
        <v>2</v>
      </c>
      <c r="L1040">
        <v>1</v>
      </c>
      <c r="M1040" t="s">
        <v>0</v>
      </c>
      <c r="V1040">
        <v>2</v>
      </c>
      <c r="W1040">
        <v>3</v>
      </c>
      <c r="X1040">
        <v>0</v>
      </c>
      <c r="Y1040">
        <v>0</v>
      </c>
      <c r="Z1040">
        <v>0</v>
      </c>
    </row>
    <row r="1041" spans="1:26" x14ac:dyDescent="0.2">
      <c r="A1041" t="s">
        <v>1159</v>
      </c>
      <c r="B1041" t="s">
        <v>52</v>
      </c>
      <c r="C1041">
        <v>2011</v>
      </c>
      <c r="D1041" t="s">
        <v>26</v>
      </c>
      <c r="E1041" t="s">
        <v>45</v>
      </c>
      <c r="F1041" t="s">
        <v>26</v>
      </c>
      <c r="G1041">
        <v>61276</v>
      </c>
      <c r="H1041">
        <v>49020.800000000003</v>
      </c>
      <c r="I1041" s="13">
        <v>0.6</v>
      </c>
      <c r="J1041" t="s">
        <v>6207</v>
      </c>
      <c r="K1041">
        <v>3</v>
      </c>
      <c r="L1041">
        <v>0</v>
      </c>
      <c r="M1041" t="s">
        <v>0</v>
      </c>
      <c r="V1041">
        <v>1</v>
      </c>
      <c r="W1041">
        <v>4</v>
      </c>
      <c r="X1041">
        <v>0</v>
      </c>
      <c r="Y1041">
        <v>0</v>
      </c>
      <c r="Z1041">
        <v>0</v>
      </c>
    </row>
    <row r="1042" spans="1:26" x14ac:dyDescent="0.2">
      <c r="A1042" t="s">
        <v>1160</v>
      </c>
      <c r="B1042" t="s">
        <v>66</v>
      </c>
      <c r="C1042">
        <v>2011</v>
      </c>
      <c r="D1042" t="s">
        <v>43</v>
      </c>
      <c r="E1042" t="s">
        <v>63</v>
      </c>
      <c r="F1042" t="s">
        <v>43</v>
      </c>
      <c r="G1042">
        <v>25138</v>
      </c>
      <c r="H1042">
        <v>20110.400000000001</v>
      </c>
      <c r="I1042" s="13">
        <v>0.5</v>
      </c>
      <c r="J1042" t="s">
        <v>6207</v>
      </c>
      <c r="K1042">
        <v>1</v>
      </c>
      <c r="L1042">
        <v>1</v>
      </c>
      <c r="M1042" t="s">
        <v>58</v>
      </c>
      <c r="V1042">
        <v>2</v>
      </c>
      <c r="W1042">
        <v>4</v>
      </c>
      <c r="X1042">
        <v>0</v>
      </c>
      <c r="Y1042">
        <v>0</v>
      </c>
      <c r="Z1042">
        <v>0</v>
      </c>
    </row>
    <row r="1043" spans="1:26" x14ac:dyDescent="0.2">
      <c r="A1043" t="s">
        <v>1161</v>
      </c>
      <c r="B1043" t="s">
        <v>47</v>
      </c>
      <c r="C1043">
        <v>2011</v>
      </c>
      <c r="D1043" t="s">
        <v>31</v>
      </c>
      <c r="E1043" t="s">
        <v>71</v>
      </c>
      <c r="F1043" t="s">
        <v>20</v>
      </c>
      <c r="G1043">
        <v>28500</v>
      </c>
      <c r="H1043">
        <v>22800</v>
      </c>
      <c r="I1043" s="13">
        <v>0</v>
      </c>
      <c r="J1043" t="s">
        <v>6208</v>
      </c>
      <c r="K1043">
        <v>0</v>
      </c>
      <c r="L1043">
        <v>3</v>
      </c>
      <c r="M1043" t="s">
        <v>1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2">
      <c r="A1044" t="s">
        <v>1162</v>
      </c>
      <c r="B1044" t="s">
        <v>61</v>
      </c>
      <c r="C1044">
        <v>2011</v>
      </c>
      <c r="D1044" t="s">
        <v>22</v>
      </c>
      <c r="E1044" t="s">
        <v>48</v>
      </c>
      <c r="F1044" t="s">
        <v>24</v>
      </c>
      <c r="G1044">
        <v>31750</v>
      </c>
      <c r="H1044">
        <v>25400</v>
      </c>
      <c r="I1044" s="13">
        <v>0.33333333333333331</v>
      </c>
      <c r="J1044" t="s">
        <v>6207</v>
      </c>
      <c r="K1044">
        <v>0</v>
      </c>
      <c r="L1044">
        <v>5</v>
      </c>
      <c r="M1044" t="s">
        <v>1</v>
      </c>
      <c r="V1044">
        <v>1</v>
      </c>
      <c r="W1044">
        <v>1</v>
      </c>
      <c r="X1044">
        <v>1</v>
      </c>
      <c r="Y1044">
        <v>0</v>
      </c>
      <c r="Z1044">
        <v>0</v>
      </c>
    </row>
    <row r="1045" spans="1:26" x14ac:dyDescent="0.2">
      <c r="A1045" t="s">
        <v>1163</v>
      </c>
      <c r="B1045" t="s">
        <v>52</v>
      </c>
      <c r="C1045">
        <v>2011</v>
      </c>
      <c r="D1045" t="s">
        <v>64</v>
      </c>
      <c r="E1045" t="s">
        <v>69</v>
      </c>
      <c r="F1045" t="s">
        <v>64</v>
      </c>
      <c r="G1045">
        <v>52264</v>
      </c>
      <c r="H1045">
        <v>41811.200000000004</v>
      </c>
      <c r="I1045" s="13">
        <v>0.66666666666666663</v>
      </c>
      <c r="J1045" t="s">
        <v>6207</v>
      </c>
      <c r="K1045">
        <v>1</v>
      </c>
      <c r="L1045">
        <v>0</v>
      </c>
      <c r="M1045" t="s">
        <v>0</v>
      </c>
      <c r="V1045">
        <v>0</v>
      </c>
      <c r="W1045">
        <v>3</v>
      </c>
      <c r="X1045">
        <v>0</v>
      </c>
      <c r="Y1045">
        <v>0</v>
      </c>
      <c r="Z1045">
        <v>0</v>
      </c>
    </row>
    <row r="1046" spans="1:26" x14ac:dyDescent="0.2">
      <c r="A1046" t="s">
        <v>1164</v>
      </c>
      <c r="B1046" t="s">
        <v>32</v>
      </c>
      <c r="C1046">
        <v>2011</v>
      </c>
      <c r="D1046" t="s">
        <v>39</v>
      </c>
      <c r="E1046" t="s">
        <v>35</v>
      </c>
      <c r="F1046" t="s">
        <v>39</v>
      </c>
      <c r="G1046">
        <v>31367</v>
      </c>
      <c r="H1046">
        <v>25093.600000000002</v>
      </c>
      <c r="I1046" s="13">
        <v>0</v>
      </c>
      <c r="J1046" t="s">
        <v>6207</v>
      </c>
      <c r="K1046">
        <v>2</v>
      </c>
      <c r="L1046">
        <v>0</v>
      </c>
      <c r="M1046" t="s">
        <v>0</v>
      </c>
      <c r="V1046">
        <v>0</v>
      </c>
      <c r="W1046">
        <v>1</v>
      </c>
      <c r="X1046">
        <v>0</v>
      </c>
      <c r="Y1046">
        <v>0</v>
      </c>
      <c r="Z1046">
        <v>0</v>
      </c>
    </row>
    <row r="1047" spans="1:26" x14ac:dyDescent="0.2">
      <c r="A1047" t="s">
        <v>1165</v>
      </c>
      <c r="B1047" t="s">
        <v>53</v>
      </c>
      <c r="C1047">
        <v>2011</v>
      </c>
      <c r="D1047" t="s">
        <v>51</v>
      </c>
      <c r="E1047" t="s">
        <v>27</v>
      </c>
      <c r="F1047" t="s">
        <v>20</v>
      </c>
      <c r="G1047">
        <v>36284</v>
      </c>
      <c r="H1047">
        <v>29027.200000000001</v>
      </c>
      <c r="I1047" s="13">
        <v>1</v>
      </c>
      <c r="J1047" t="s">
        <v>6207</v>
      </c>
      <c r="K1047">
        <v>1</v>
      </c>
      <c r="L1047">
        <v>1</v>
      </c>
      <c r="M1047" t="s">
        <v>58</v>
      </c>
      <c r="V1047">
        <v>1</v>
      </c>
      <c r="W1047">
        <v>1</v>
      </c>
      <c r="X1047">
        <v>0</v>
      </c>
      <c r="Y1047">
        <v>0</v>
      </c>
      <c r="Z1047">
        <v>0</v>
      </c>
    </row>
    <row r="1048" spans="1:26" x14ac:dyDescent="0.2">
      <c r="A1048" t="s">
        <v>1166</v>
      </c>
      <c r="B1048" t="s">
        <v>41</v>
      </c>
      <c r="C1048">
        <v>2011</v>
      </c>
      <c r="D1048" t="s">
        <v>40</v>
      </c>
      <c r="E1048" t="s">
        <v>18</v>
      </c>
      <c r="F1048" t="s">
        <v>49</v>
      </c>
      <c r="G1048">
        <v>53400</v>
      </c>
      <c r="H1048">
        <v>42720</v>
      </c>
      <c r="I1048" s="13">
        <v>0.66666666666666663</v>
      </c>
      <c r="J1048" t="s">
        <v>6207</v>
      </c>
      <c r="K1048">
        <v>2</v>
      </c>
      <c r="L1048">
        <v>1</v>
      </c>
      <c r="M1048" t="s">
        <v>0</v>
      </c>
      <c r="V1048">
        <v>1</v>
      </c>
      <c r="W1048">
        <v>2</v>
      </c>
      <c r="X1048">
        <v>0</v>
      </c>
      <c r="Y1048">
        <v>0</v>
      </c>
      <c r="Z1048">
        <v>1</v>
      </c>
    </row>
    <row r="1049" spans="1:26" x14ac:dyDescent="0.2">
      <c r="A1049" t="s">
        <v>1167</v>
      </c>
      <c r="B1049" t="s">
        <v>56</v>
      </c>
      <c r="C1049">
        <v>2011</v>
      </c>
      <c r="D1049" t="s">
        <v>70</v>
      </c>
      <c r="E1049" t="s">
        <v>26</v>
      </c>
      <c r="F1049" t="s">
        <v>20</v>
      </c>
      <c r="G1049">
        <v>18439</v>
      </c>
      <c r="H1049">
        <v>14751.2</v>
      </c>
      <c r="I1049" s="13">
        <v>0</v>
      </c>
      <c r="J1049" t="s">
        <v>6207</v>
      </c>
      <c r="K1049">
        <v>3</v>
      </c>
      <c r="L1049">
        <v>2</v>
      </c>
      <c r="M1049" t="s">
        <v>0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 spans="1:26" x14ac:dyDescent="0.2">
      <c r="A1050" t="s">
        <v>1168</v>
      </c>
      <c r="B1050" t="s">
        <v>50</v>
      </c>
      <c r="C1050">
        <v>2011</v>
      </c>
      <c r="D1050" t="s">
        <v>45</v>
      </c>
      <c r="E1050" t="s">
        <v>46</v>
      </c>
      <c r="F1050" t="s">
        <v>26</v>
      </c>
      <c r="G1050">
        <v>39572</v>
      </c>
      <c r="H1050">
        <v>31657.600000000002</v>
      </c>
      <c r="I1050" s="13">
        <v>1</v>
      </c>
      <c r="J1050" t="s">
        <v>6207</v>
      </c>
      <c r="K1050">
        <v>0</v>
      </c>
      <c r="L1050">
        <v>1</v>
      </c>
      <c r="M1050" t="s">
        <v>1</v>
      </c>
      <c r="V1050">
        <v>2</v>
      </c>
      <c r="W1050">
        <v>1</v>
      </c>
      <c r="X1050">
        <v>0</v>
      </c>
      <c r="Y1050">
        <v>0</v>
      </c>
      <c r="Z1050">
        <v>0</v>
      </c>
    </row>
    <row r="1051" spans="1:26" x14ac:dyDescent="0.2">
      <c r="A1051" t="s">
        <v>1169</v>
      </c>
      <c r="B1051" t="s">
        <v>32</v>
      </c>
      <c r="C1051">
        <v>2011</v>
      </c>
      <c r="D1051" t="s">
        <v>18</v>
      </c>
      <c r="E1051" t="s">
        <v>51</v>
      </c>
      <c r="F1051" t="s">
        <v>20</v>
      </c>
      <c r="G1051">
        <v>40341</v>
      </c>
      <c r="H1051">
        <v>32272.800000000003</v>
      </c>
      <c r="I1051" s="13">
        <v>0.66666666666666663</v>
      </c>
      <c r="J1051" t="s">
        <v>6207</v>
      </c>
      <c r="K1051">
        <v>0</v>
      </c>
      <c r="L1051">
        <v>0</v>
      </c>
      <c r="M1051" t="s">
        <v>58</v>
      </c>
      <c r="V1051">
        <v>1</v>
      </c>
      <c r="W1051">
        <v>2</v>
      </c>
      <c r="X1051">
        <v>0</v>
      </c>
      <c r="Y1051">
        <v>0</v>
      </c>
      <c r="Z1051">
        <v>0</v>
      </c>
    </row>
    <row r="1052" spans="1:26" x14ac:dyDescent="0.2">
      <c r="A1052" t="s">
        <v>1170</v>
      </c>
      <c r="B1052" t="s">
        <v>67</v>
      </c>
      <c r="C1052">
        <v>2011</v>
      </c>
      <c r="D1052" t="s">
        <v>71</v>
      </c>
      <c r="E1052" t="s">
        <v>45</v>
      </c>
      <c r="F1052" t="s">
        <v>71</v>
      </c>
      <c r="G1052">
        <v>21088</v>
      </c>
      <c r="H1052">
        <v>16870.400000000001</v>
      </c>
      <c r="I1052" s="13">
        <v>0.66666666666666663</v>
      </c>
      <c r="J1052" t="s">
        <v>6207</v>
      </c>
      <c r="K1052">
        <v>0</v>
      </c>
      <c r="L1052">
        <v>2</v>
      </c>
      <c r="M1052" t="s">
        <v>1</v>
      </c>
      <c r="V1052">
        <v>1</v>
      </c>
      <c r="W1052">
        <v>2</v>
      </c>
      <c r="X1052">
        <v>0</v>
      </c>
      <c r="Y1052">
        <v>0</v>
      </c>
      <c r="Z1052">
        <v>0</v>
      </c>
    </row>
    <row r="1053" spans="1:26" x14ac:dyDescent="0.2">
      <c r="A1053" t="s">
        <v>1171</v>
      </c>
      <c r="B1053" t="s">
        <v>53</v>
      </c>
      <c r="C1053">
        <v>2011</v>
      </c>
      <c r="D1053" t="s">
        <v>35</v>
      </c>
      <c r="E1053" t="s">
        <v>70</v>
      </c>
      <c r="F1053" t="s">
        <v>35</v>
      </c>
      <c r="G1053">
        <v>49000</v>
      </c>
      <c r="H1053">
        <v>39200</v>
      </c>
      <c r="I1053" s="13">
        <v>0.5</v>
      </c>
      <c r="J1053" t="s">
        <v>6207</v>
      </c>
      <c r="K1053">
        <v>3</v>
      </c>
      <c r="L1053">
        <v>1</v>
      </c>
      <c r="M1053" t="s">
        <v>0</v>
      </c>
      <c r="V1053">
        <v>2</v>
      </c>
      <c r="W1053">
        <v>3</v>
      </c>
      <c r="X1053">
        <v>0</v>
      </c>
      <c r="Y1053">
        <v>1</v>
      </c>
      <c r="Z1053">
        <v>0</v>
      </c>
    </row>
    <row r="1054" spans="1:26" x14ac:dyDescent="0.2">
      <c r="A1054" t="s">
        <v>1172</v>
      </c>
      <c r="B1054" t="s">
        <v>44</v>
      </c>
      <c r="C1054">
        <v>2011</v>
      </c>
      <c r="D1054" t="s">
        <v>69</v>
      </c>
      <c r="E1054" t="s">
        <v>22</v>
      </c>
      <c r="F1054" t="s">
        <v>69</v>
      </c>
      <c r="G1054">
        <v>27359</v>
      </c>
      <c r="H1054">
        <v>21887.200000000001</v>
      </c>
      <c r="I1054" s="13">
        <v>0.6</v>
      </c>
      <c r="J1054" t="s">
        <v>6207</v>
      </c>
      <c r="K1054">
        <v>2</v>
      </c>
      <c r="L1054">
        <v>1</v>
      </c>
      <c r="M1054" t="s">
        <v>0</v>
      </c>
      <c r="V1054">
        <v>2</v>
      </c>
      <c r="W1054">
        <v>2</v>
      </c>
      <c r="X1054">
        <v>1</v>
      </c>
      <c r="Y1054">
        <v>0</v>
      </c>
      <c r="Z1054">
        <v>1</v>
      </c>
    </row>
    <row r="1055" spans="1:26" x14ac:dyDescent="0.2">
      <c r="A1055" t="s">
        <v>1173</v>
      </c>
      <c r="B1055" t="s">
        <v>50</v>
      </c>
      <c r="C1055">
        <v>2011</v>
      </c>
      <c r="D1055" t="s">
        <v>26</v>
      </c>
      <c r="E1055" t="s">
        <v>43</v>
      </c>
      <c r="F1055" t="s">
        <v>26</v>
      </c>
      <c r="G1055">
        <v>61276</v>
      </c>
      <c r="H1055">
        <v>49020.800000000003</v>
      </c>
      <c r="I1055" s="13">
        <v>1</v>
      </c>
      <c r="J1055" t="s">
        <v>6207</v>
      </c>
      <c r="K1055">
        <v>1</v>
      </c>
      <c r="L1055">
        <v>2</v>
      </c>
      <c r="M1055" t="s">
        <v>1</v>
      </c>
      <c r="V1055">
        <v>1</v>
      </c>
      <c r="W1055">
        <v>2</v>
      </c>
      <c r="X1055">
        <v>0</v>
      </c>
      <c r="Y1055">
        <v>0</v>
      </c>
      <c r="Z1055">
        <v>1</v>
      </c>
    </row>
    <row r="1056" spans="1:26" x14ac:dyDescent="0.2">
      <c r="A1056" t="s">
        <v>1174</v>
      </c>
      <c r="B1056" t="s">
        <v>37</v>
      </c>
      <c r="C1056">
        <v>2011</v>
      </c>
      <c r="D1056" t="s">
        <v>34</v>
      </c>
      <c r="E1056" t="s">
        <v>39</v>
      </c>
      <c r="F1056" t="s">
        <v>36</v>
      </c>
      <c r="G1056">
        <v>28723</v>
      </c>
      <c r="H1056">
        <v>22978.400000000001</v>
      </c>
      <c r="I1056" s="13">
        <v>1</v>
      </c>
      <c r="J1056" t="s">
        <v>6206</v>
      </c>
      <c r="K1056">
        <v>2</v>
      </c>
      <c r="L1056">
        <v>1</v>
      </c>
      <c r="M1056" t="s">
        <v>0</v>
      </c>
      <c r="V1056">
        <v>0</v>
      </c>
      <c r="W1056">
        <v>2</v>
      </c>
      <c r="X1056">
        <v>0</v>
      </c>
      <c r="Y1056">
        <v>0</v>
      </c>
      <c r="Z1056">
        <v>0</v>
      </c>
    </row>
    <row r="1057" spans="1:26" x14ac:dyDescent="0.2">
      <c r="A1057" t="s">
        <v>1175</v>
      </c>
      <c r="B1057" t="s">
        <v>52</v>
      </c>
      <c r="C1057">
        <v>2011</v>
      </c>
      <c r="D1057" t="s">
        <v>46</v>
      </c>
      <c r="E1057" t="s">
        <v>42</v>
      </c>
      <c r="F1057" t="s">
        <v>20</v>
      </c>
      <c r="G1057">
        <v>60704</v>
      </c>
      <c r="H1057">
        <v>48563.200000000004</v>
      </c>
      <c r="I1057" s="13">
        <v>0.6</v>
      </c>
      <c r="J1057" t="s">
        <v>6207</v>
      </c>
      <c r="K1057">
        <v>3</v>
      </c>
      <c r="L1057">
        <v>0</v>
      </c>
      <c r="M1057" t="s">
        <v>0</v>
      </c>
      <c r="V1057">
        <v>0</v>
      </c>
      <c r="W1057">
        <v>5</v>
      </c>
      <c r="X1057">
        <v>0</v>
      </c>
      <c r="Y1057">
        <v>0</v>
      </c>
      <c r="Z1057">
        <v>0</v>
      </c>
    </row>
    <row r="1058" spans="1:26" x14ac:dyDescent="0.2">
      <c r="A1058" t="s">
        <v>1176</v>
      </c>
      <c r="B1058" t="s">
        <v>56</v>
      </c>
      <c r="C1058">
        <v>2011</v>
      </c>
      <c r="D1058" t="s">
        <v>27</v>
      </c>
      <c r="E1058" t="s">
        <v>40</v>
      </c>
      <c r="F1058" t="s">
        <v>27</v>
      </c>
      <c r="G1058">
        <v>30089</v>
      </c>
      <c r="H1058">
        <v>24071.200000000001</v>
      </c>
      <c r="I1058" s="13">
        <v>0.66666666666666663</v>
      </c>
      <c r="J1058" t="s">
        <v>6207</v>
      </c>
      <c r="K1058">
        <v>1</v>
      </c>
      <c r="L1058">
        <v>1</v>
      </c>
      <c r="M1058" t="s">
        <v>58</v>
      </c>
      <c r="V1058">
        <v>1</v>
      </c>
      <c r="W1058">
        <v>2</v>
      </c>
      <c r="X1058">
        <v>0</v>
      </c>
      <c r="Y1058">
        <v>0</v>
      </c>
      <c r="Z1058">
        <v>0</v>
      </c>
    </row>
    <row r="1059" spans="1:26" x14ac:dyDescent="0.2">
      <c r="A1059" t="s">
        <v>1177</v>
      </c>
      <c r="B1059" t="s">
        <v>25</v>
      </c>
      <c r="C1059">
        <v>2011</v>
      </c>
      <c r="D1059" t="s">
        <v>63</v>
      </c>
      <c r="E1059" t="s">
        <v>64</v>
      </c>
      <c r="F1059" t="s">
        <v>65</v>
      </c>
      <c r="G1059">
        <v>26804</v>
      </c>
      <c r="H1059">
        <v>21443.200000000001</v>
      </c>
      <c r="I1059" s="13">
        <v>0</v>
      </c>
      <c r="J1059" t="s">
        <v>6207</v>
      </c>
      <c r="K1059">
        <v>1</v>
      </c>
      <c r="L1059">
        <v>3</v>
      </c>
      <c r="M1059" t="s">
        <v>1</v>
      </c>
      <c r="V1059">
        <v>0</v>
      </c>
      <c r="W1059">
        <v>1</v>
      </c>
      <c r="X1059">
        <v>0</v>
      </c>
      <c r="Y1059">
        <v>0</v>
      </c>
      <c r="Z1059">
        <v>0</v>
      </c>
    </row>
    <row r="1060" spans="1:26" x14ac:dyDescent="0.2">
      <c r="A1060" t="s">
        <v>1178</v>
      </c>
      <c r="B1060" t="s">
        <v>66</v>
      </c>
      <c r="C1060">
        <v>2011</v>
      </c>
      <c r="D1060" t="s">
        <v>48</v>
      </c>
      <c r="E1060" t="s">
        <v>31</v>
      </c>
      <c r="F1060" t="s">
        <v>49</v>
      </c>
      <c r="G1060">
        <v>74197</v>
      </c>
      <c r="H1060">
        <v>59357.600000000006</v>
      </c>
      <c r="I1060" s="13">
        <v>0</v>
      </c>
      <c r="J1060" t="s">
        <v>6207</v>
      </c>
      <c r="K1060">
        <v>1</v>
      </c>
      <c r="L1060">
        <v>0</v>
      </c>
      <c r="M1060" t="s">
        <v>0</v>
      </c>
      <c r="V1060">
        <v>1</v>
      </c>
      <c r="W1060">
        <v>0</v>
      </c>
      <c r="X1060">
        <v>0</v>
      </c>
      <c r="Y1060">
        <v>0</v>
      </c>
      <c r="Z1060">
        <v>0</v>
      </c>
    </row>
    <row r="1061" spans="1:26" x14ac:dyDescent="0.2">
      <c r="A1061" t="s">
        <v>1179</v>
      </c>
      <c r="B1061" t="s">
        <v>68</v>
      </c>
      <c r="C1061">
        <v>2011</v>
      </c>
      <c r="D1061" t="s">
        <v>22</v>
      </c>
      <c r="E1061" t="s">
        <v>34</v>
      </c>
      <c r="F1061" t="s">
        <v>24</v>
      </c>
      <c r="G1061">
        <v>31750</v>
      </c>
      <c r="H1061">
        <v>25400</v>
      </c>
      <c r="I1061" s="13">
        <v>0.5</v>
      </c>
      <c r="J1061" t="s">
        <v>6207</v>
      </c>
      <c r="K1061">
        <v>2</v>
      </c>
      <c r="L1061">
        <v>3</v>
      </c>
      <c r="M1061" t="s">
        <v>1</v>
      </c>
      <c r="V1061">
        <v>1</v>
      </c>
      <c r="W1061">
        <v>1</v>
      </c>
      <c r="X1061">
        <v>0</v>
      </c>
      <c r="Y1061">
        <v>0</v>
      </c>
      <c r="Z1061">
        <v>1</v>
      </c>
    </row>
    <row r="1062" spans="1:26" x14ac:dyDescent="0.2">
      <c r="A1062" t="s">
        <v>1180</v>
      </c>
      <c r="B1062" t="s">
        <v>44</v>
      </c>
      <c r="C1062">
        <v>2011</v>
      </c>
      <c r="D1062" t="s">
        <v>43</v>
      </c>
      <c r="E1062" t="s">
        <v>27</v>
      </c>
      <c r="F1062" t="s">
        <v>43</v>
      </c>
      <c r="G1062">
        <v>25138</v>
      </c>
      <c r="H1062">
        <v>20110.400000000001</v>
      </c>
      <c r="I1062" s="13">
        <v>0.66666666666666663</v>
      </c>
      <c r="J1062" t="s">
        <v>6207</v>
      </c>
      <c r="K1062">
        <v>2</v>
      </c>
      <c r="L1062">
        <v>0</v>
      </c>
      <c r="M1062" t="s">
        <v>0</v>
      </c>
      <c r="V1062">
        <v>2</v>
      </c>
      <c r="W1062">
        <v>4</v>
      </c>
      <c r="X1062">
        <v>0</v>
      </c>
      <c r="Y1062">
        <v>0</v>
      </c>
      <c r="Z1062">
        <v>0</v>
      </c>
    </row>
    <row r="1063" spans="1:26" x14ac:dyDescent="0.2">
      <c r="A1063" t="s">
        <v>1181</v>
      </c>
      <c r="B1063" t="s">
        <v>41</v>
      </c>
      <c r="C1063">
        <v>2011</v>
      </c>
      <c r="D1063" t="s">
        <v>70</v>
      </c>
      <c r="E1063" t="s">
        <v>46</v>
      </c>
      <c r="F1063" t="s">
        <v>20</v>
      </c>
      <c r="G1063">
        <v>18439</v>
      </c>
      <c r="H1063">
        <v>14751.2</v>
      </c>
      <c r="I1063" s="13">
        <v>0.5714285714285714</v>
      </c>
      <c r="J1063" t="s">
        <v>6207</v>
      </c>
      <c r="K1063">
        <v>2</v>
      </c>
      <c r="L1063">
        <v>1</v>
      </c>
      <c r="M1063" t="s">
        <v>0</v>
      </c>
      <c r="V1063">
        <v>5</v>
      </c>
      <c r="W1063">
        <v>2</v>
      </c>
      <c r="X1063">
        <v>0</v>
      </c>
      <c r="Y1063">
        <v>0</v>
      </c>
      <c r="Z1063">
        <v>0</v>
      </c>
    </row>
    <row r="1064" spans="1:26" x14ac:dyDescent="0.2">
      <c r="A1064" t="s">
        <v>1182</v>
      </c>
      <c r="B1064" t="s">
        <v>52</v>
      </c>
      <c r="C1064">
        <v>2011</v>
      </c>
      <c r="D1064" t="s">
        <v>40</v>
      </c>
      <c r="E1064" t="s">
        <v>35</v>
      </c>
      <c r="F1064" t="s">
        <v>49</v>
      </c>
      <c r="G1064">
        <v>53400</v>
      </c>
      <c r="H1064">
        <v>42720</v>
      </c>
      <c r="I1064" s="13">
        <v>0</v>
      </c>
      <c r="J1064" t="s">
        <v>6207</v>
      </c>
      <c r="K1064">
        <v>3</v>
      </c>
      <c r="L1064">
        <v>3</v>
      </c>
      <c r="M1064" t="s">
        <v>58</v>
      </c>
      <c r="V1064">
        <v>1</v>
      </c>
      <c r="W1064">
        <v>1</v>
      </c>
      <c r="X1064">
        <v>0</v>
      </c>
      <c r="Y1064">
        <v>0</v>
      </c>
      <c r="Z1064">
        <v>1</v>
      </c>
    </row>
    <row r="1065" spans="1:26" x14ac:dyDescent="0.2">
      <c r="A1065" t="s">
        <v>1183</v>
      </c>
      <c r="B1065" t="s">
        <v>61</v>
      </c>
      <c r="C1065">
        <v>2011</v>
      </c>
      <c r="D1065" t="s">
        <v>31</v>
      </c>
      <c r="E1065" t="s">
        <v>69</v>
      </c>
      <c r="F1065" t="s">
        <v>20</v>
      </c>
      <c r="G1065">
        <v>28500</v>
      </c>
      <c r="H1065">
        <v>22800</v>
      </c>
      <c r="I1065" s="13">
        <v>0.33333333333333331</v>
      </c>
      <c r="J1065" t="s">
        <v>6207</v>
      </c>
      <c r="K1065">
        <v>2</v>
      </c>
      <c r="L1065">
        <v>1</v>
      </c>
      <c r="M1065" t="s">
        <v>0</v>
      </c>
      <c r="V1065">
        <v>1</v>
      </c>
      <c r="W1065">
        <v>2</v>
      </c>
      <c r="X1065">
        <v>0</v>
      </c>
      <c r="Y1065">
        <v>0</v>
      </c>
      <c r="Z1065">
        <v>0</v>
      </c>
    </row>
    <row r="1066" spans="1:26" x14ac:dyDescent="0.2">
      <c r="A1066" t="s">
        <v>1184</v>
      </c>
      <c r="B1066" t="s">
        <v>55</v>
      </c>
      <c r="C1066">
        <v>2011</v>
      </c>
      <c r="D1066" t="s">
        <v>45</v>
      </c>
      <c r="E1066" t="s">
        <v>63</v>
      </c>
      <c r="F1066" t="s">
        <v>26</v>
      </c>
      <c r="G1066">
        <v>39572</v>
      </c>
      <c r="H1066">
        <v>31657.600000000002</v>
      </c>
      <c r="I1066" s="13">
        <v>1</v>
      </c>
      <c r="J1066" t="s">
        <v>6206</v>
      </c>
      <c r="K1066">
        <v>2</v>
      </c>
      <c r="L1066">
        <v>0</v>
      </c>
      <c r="M1066" t="s">
        <v>0</v>
      </c>
      <c r="V1066">
        <v>2</v>
      </c>
      <c r="W1066">
        <v>1</v>
      </c>
      <c r="X1066">
        <v>0</v>
      </c>
      <c r="Y1066">
        <v>0</v>
      </c>
      <c r="Z1066">
        <v>0</v>
      </c>
    </row>
    <row r="1067" spans="1:26" x14ac:dyDescent="0.2">
      <c r="A1067" t="s">
        <v>1185</v>
      </c>
      <c r="B1067" t="s">
        <v>50</v>
      </c>
      <c r="C1067">
        <v>2011</v>
      </c>
      <c r="D1067" t="s">
        <v>42</v>
      </c>
      <c r="E1067" t="s">
        <v>18</v>
      </c>
      <c r="F1067" t="s">
        <v>38</v>
      </c>
      <c r="G1067">
        <v>42918</v>
      </c>
      <c r="H1067">
        <v>34334.400000000001</v>
      </c>
      <c r="I1067" s="13">
        <v>0</v>
      </c>
      <c r="J1067" t="s">
        <v>6207</v>
      </c>
      <c r="K1067">
        <v>2</v>
      </c>
      <c r="L1067">
        <v>4</v>
      </c>
      <c r="M1067" t="s">
        <v>1</v>
      </c>
      <c r="V1067">
        <v>1</v>
      </c>
      <c r="W1067">
        <v>0</v>
      </c>
      <c r="X1067">
        <v>0</v>
      </c>
      <c r="Y1067">
        <v>0</v>
      </c>
      <c r="Z1067">
        <v>0</v>
      </c>
    </row>
    <row r="1068" spans="1:26" x14ac:dyDescent="0.2">
      <c r="A1068" t="s">
        <v>1186</v>
      </c>
      <c r="B1068" t="s">
        <v>32</v>
      </c>
      <c r="C1068">
        <v>2011</v>
      </c>
      <c r="D1068" t="s">
        <v>64</v>
      </c>
      <c r="E1068" t="s">
        <v>26</v>
      </c>
      <c r="F1068" t="s">
        <v>64</v>
      </c>
      <c r="G1068">
        <v>52264</v>
      </c>
      <c r="H1068">
        <v>41811.200000000004</v>
      </c>
      <c r="I1068" s="13">
        <v>0.42857142857142855</v>
      </c>
      <c r="J1068" t="s">
        <v>6207</v>
      </c>
      <c r="K1068">
        <v>2</v>
      </c>
      <c r="L1068">
        <v>0</v>
      </c>
      <c r="M1068" t="s">
        <v>0</v>
      </c>
      <c r="V1068">
        <v>3</v>
      </c>
      <c r="W1068">
        <v>3</v>
      </c>
      <c r="X1068">
        <v>0</v>
      </c>
      <c r="Y1068">
        <v>1</v>
      </c>
      <c r="Z1068">
        <v>0</v>
      </c>
    </row>
    <row r="1069" spans="1:26" x14ac:dyDescent="0.2">
      <c r="A1069" t="s">
        <v>1187</v>
      </c>
      <c r="B1069" t="s">
        <v>37</v>
      </c>
      <c r="C1069">
        <v>2011</v>
      </c>
      <c r="D1069" t="s">
        <v>51</v>
      </c>
      <c r="E1069" t="s">
        <v>71</v>
      </c>
      <c r="F1069" t="s">
        <v>20</v>
      </c>
      <c r="G1069">
        <v>36284</v>
      </c>
      <c r="H1069">
        <v>29027.200000000001</v>
      </c>
      <c r="I1069" s="13">
        <v>0</v>
      </c>
      <c r="J1069" t="s">
        <v>6206</v>
      </c>
      <c r="K1069">
        <v>3</v>
      </c>
      <c r="L1069">
        <v>1</v>
      </c>
      <c r="M1069" t="s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 x14ac:dyDescent="0.2">
      <c r="A1070" t="s">
        <v>1188</v>
      </c>
      <c r="B1070" t="s">
        <v>56</v>
      </c>
      <c r="C1070">
        <v>2011</v>
      </c>
      <c r="D1070" t="s">
        <v>39</v>
      </c>
      <c r="E1070" t="s">
        <v>48</v>
      </c>
      <c r="F1070" t="s">
        <v>39</v>
      </c>
      <c r="G1070">
        <v>31367</v>
      </c>
      <c r="H1070">
        <v>25093.600000000002</v>
      </c>
      <c r="I1070" s="13">
        <v>0.5</v>
      </c>
      <c r="J1070" t="s">
        <v>6207</v>
      </c>
      <c r="K1070">
        <v>0</v>
      </c>
      <c r="L1070">
        <v>2</v>
      </c>
      <c r="M1070" t="s">
        <v>1</v>
      </c>
      <c r="V1070">
        <v>1</v>
      </c>
      <c r="W1070">
        <v>1</v>
      </c>
      <c r="X1070">
        <v>0</v>
      </c>
      <c r="Y1070">
        <v>0</v>
      </c>
      <c r="Z1070">
        <v>0</v>
      </c>
    </row>
    <row r="1071" spans="1:26" x14ac:dyDescent="0.2">
      <c r="A1071" t="s">
        <v>1189</v>
      </c>
      <c r="B1071" t="s">
        <v>56</v>
      </c>
      <c r="C1071">
        <v>2011</v>
      </c>
      <c r="D1071" t="s">
        <v>71</v>
      </c>
      <c r="E1071" t="s">
        <v>64</v>
      </c>
      <c r="F1071" t="s">
        <v>71</v>
      </c>
      <c r="G1071">
        <v>21088</v>
      </c>
      <c r="H1071">
        <v>16870.400000000001</v>
      </c>
      <c r="I1071" s="13">
        <v>0</v>
      </c>
      <c r="J1071" t="s">
        <v>6207</v>
      </c>
      <c r="K1071">
        <v>0</v>
      </c>
      <c r="L1071">
        <v>2</v>
      </c>
      <c r="M1071" t="s">
        <v>1</v>
      </c>
      <c r="V1071">
        <v>1</v>
      </c>
      <c r="W1071">
        <v>1</v>
      </c>
      <c r="X1071">
        <v>0</v>
      </c>
      <c r="Y1071">
        <v>0</v>
      </c>
      <c r="Z1071">
        <v>0</v>
      </c>
    </row>
    <row r="1072" spans="1:26" x14ac:dyDescent="0.2">
      <c r="A1072" t="s">
        <v>1190</v>
      </c>
      <c r="B1072" t="s">
        <v>25</v>
      </c>
      <c r="C1072">
        <v>2011</v>
      </c>
      <c r="D1072" t="s">
        <v>35</v>
      </c>
      <c r="E1072" t="s">
        <v>51</v>
      </c>
      <c r="F1072" t="s">
        <v>35</v>
      </c>
      <c r="G1072">
        <v>49000</v>
      </c>
      <c r="H1072">
        <v>39200</v>
      </c>
      <c r="I1072" s="13">
        <v>0.5</v>
      </c>
      <c r="J1072" t="s">
        <v>6207</v>
      </c>
      <c r="K1072">
        <v>0</v>
      </c>
      <c r="L1072">
        <v>0</v>
      </c>
      <c r="M1072" t="s">
        <v>58</v>
      </c>
      <c r="V1072">
        <v>2</v>
      </c>
      <c r="W1072">
        <v>2</v>
      </c>
      <c r="X1072">
        <v>0</v>
      </c>
      <c r="Y1072">
        <v>0</v>
      </c>
      <c r="Z1072">
        <v>0</v>
      </c>
    </row>
    <row r="1073" spans="1:26" x14ac:dyDescent="0.2">
      <c r="A1073" t="s">
        <v>1191</v>
      </c>
      <c r="B1073" t="s">
        <v>54</v>
      </c>
      <c r="C1073">
        <v>2011</v>
      </c>
      <c r="D1073" t="s">
        <v>63</v>
      </c>
      <c r="E1073" t="s">
        <v>39</v>
      </c>
      <c r="F1073" t="s">
        <v>65</v>
      </c>
      <c r="G1073">
        <v>26804</v>
      </c>
      <c r="H1073">
        <v>21443.200000000001</v>
      </c>
      <c r="I1073" s="13">
        <v>0.66666666666666663</v>
      </c>
      <c r="J1073" t="s">
        <v>6206</v>
      </c>
      <c r="K1073">
        <v>3</v>
      </c>
      <c r="L1073">
        <v>0</v>
      </c>
      <c r="M1073" t="s">
        <v>0</v>
      </c>
      <c r="V1073">
        <v>1</v>
      </c>
      <c r="W1073">
        <v>1</v>
      </c>
      <c r="X1073">
        <v>0</v>
      </c>
      <c r="Y1073">
        <v>1</v>
      </c>
      <c r="Z1073">
        <v>0</v>
      </c>
    </row>
    <row r="1074" spans="1:26" x14ac:dyDescent="0.2">
      <c r="A1074" t="s">
        <v>1192</v>
      </c>
      <c r="B1074" t="s">
        <v>37</v>
      </c>
      <c r="C1074">
        <v>2011</v>
      </c>
      <c r="D1074" t="s">
        <v>69</v>
      </c>
      <c r="E1074" t="s">
        <v>45</v>
      </c>
      <c r="F1074" t="s">
        <v>69</v>
      </c>
      <c r="G1074">
        <v>27359</v>
      </c>
      <c r="H1074">
        <v>21887.200000000001</v>
      </c>
      <c r="I1074" s="13">
        <v>0.66666666666666663</v>
      </c>
      <c r="J1074" t="s">
        <v>6206</v>
      </c>
      <c r="K1074">
        <v>2</v>
      </c>
      <c r="L1074">
        <v>2</v>
      </c>
      <c r="M1074" t="s">
        <v>58</v>
      </c>
      <c r="V1074">
        <v>0</v>
      </c>
      <c r="W1074">
        <v>3</v>
      </c>
      <c r="X1074">
        <v>0</v>
      </c>
      <c r="Y1074">
        <v>0</v>
      </c>
      <c r="Z1074">
        <v>0</v>
      </c>
    </row>
    <row r="1075" spans="1:26" x14ac:dyDescent="0.2">
      <c r="A1075" t="s">
        <v>1193</v>
      </c>
      <c r="B1075" t="s">
        <v>66</v>
      </c>
      <c r="C1075">
        <v>2011</v>
      </c>
      <c r="D1075" t="s">
        <v>26</v>
      </c>
      <c r="E1075" t="s">
        <v>42</v>
      </c>
      <c r="F1075" t="s">
        <v>26</v>
      </c>
      <c r="G1075">
        <v>61276</v>
      </c>
      <c r="H1075">
        <v>49020.800000000003</v>
      </c>
      <c r="I1075" s="13">
        <v>1</v>
      </c>
      <c r="J1075" t="s">
        <v>6207</v>
      </c>
      <c r="K1075">
        <v>1</v>
      </c>
      <c r="L1075">
        <v>1</v>
      </c>
      <c r="M1075" t="s">
        <v>58</v>
      </c>
      <c r="V1075">
        <v>1</v>
      </c>
      <c r="W1075">
        <v>1</v>
      </c>
      <c r="X1075">
        <v>0</v>
      </c>
      <c r="Y1075">
        <v>0</v>
      </c>
      <c r="Z1075">
        <v>0</v>
      </c>
    </row>
    <row r="1076" spans="1:26" x14ac:dyDescent="0.2">
      <c r="A1076" t="s">
        <v>1194</v>
      </c>
      <c r="B1076" t="s">
        <v>53</v>
      </c>
      <c r="C1076">
        <v>2011</v>
      </c>
      <c r="D1076" t="s">
        <v>18</v>
      </c>
      <c r="E1076" t="s">
        <v>43</v>
      </c>
      <c r="F1076" t="s">
        <v>20</v>
      </c>
      <c r="G1076">
        <v>40341</v>
      </c>
      <c r="H1076">
        <v>32272.800000000003</v>
      </c>
      <c r="I1076" s="13">
        <v>0.75</v>
      </c>
      <c r="J1076" t="s">
        <v>6207</v>
      </c>
      <c r="K1076">
        <v>2</v>
      </c>
      <c r="L1076">
        <v>1</v>
      </c>
      <c r="M1076" t="s">
        <v>0</v>
      </c>
      <c r="V1076">
        <v>2</v>
      </c>
      <c r="W1076">
        <v>2</v>
      </c>
      <c r="X1076">
        <v>0</v>
      </c>
      <c r="Y1076">
        <v>0</v>
      </c>
      <c r="Z1076">
        <v>0</v>
      </c>
    </row>
    <row r="1077" spans="1:26" x14ac:dyDescent="0.2">
      <c r="A1077" t="s">
        <v>1195</v>
      </c>
      <c r="B1077" t="s">
        <v>41</v>
      </c>
      <c r="C1077">
        <v>2011</v>
      </c>
      <c r="D1077" t="s">
        <v>34</v>
      </c>
      <c r="E1077" t="s">
        <v>31</v>
      </c>
      <c r="F1077" t="s">
        <v>36</v>
      </c>
      <c r="G1077">
        <v>28723</v>
      </c>
      <c r="H1077">
        <v>22978.400000000001</v>
      </c>
      <c r="I1077" s="13">
        <v>0</v>
      </c>
      <c r="J1077" t="s">
        <v>6207</v>
      </c>
      <c r="K1077">
        <v>0</v>
      </c>
      <c r="L1077">
        <v>3</v>
      </c>
      <c r="M1077" t="s">
        <v>1</v>
      </c>
      <c r="V1077">
        <v>1</v>
      </c>
      <c r="W1077">
        <v>0</v>
      </c>
      <c r="X1077">
        <v>0</v>
      </c>
      <c r="Y1077">
        <v>0</v>
      </c>
      <c r="Z1077">
        <v>0</v>
      </c>
    </row>
    <row r="1078" spans="1:26" x14ac:dyDescent="0.2">
      <c r="A1078" t="s">
        <v>1196</v>
      </c>
      <c r="B1078" t="s">
        <v>47</v>
      </c>
      <c r="C1078">
        <v>2011</v>
      </c>
      <c r="D1078" t="s">
        <v>27</v>
      </c>
      <c r="E1078" t="s">
        <v>22</v>
      </c>
      <c r="F1078" t="s">
        <v>27</v>
      </c>
      <c r="G1078">
        <v>30089</v>
      </c>
      <c r="H1078">
        <v>24071.200000000001</v>
      </c>
      <c r="I1078" s="13">
        <v>0</v>
      </c>
      <c r="J1078" t="s">
        <v>6208</v>
      </c>
      <c r="K1078">
        <v>2</v>
      </c>
      <c r="L1078">
        <v>1</v>
      </c>
      <c r="M1078" t="s">
        <v>0</v>
      </c>
      <c r="V1078">
        <v>1</v>
      </c>
      <c r="W1078">
        <v>1</v>
      </c>
      <c r="X1078">
        <v>0</v>
      </c>
      <c r="Y1078">
        <v>0</v>
      </c>
      <c r="Z1078">
        <v>0</v>
      </c>
    </row>
    <row r="1079" spans="1:26" x14ac:dyDescent="0.2">
      <c r="A1079" t="s">
        <v>1197</v>
      </c>
      <c r="B1079" t="s">
        <v>50</v>
      </c>
      <c r="C1079">
        <v>2011</v>
      </c>
      <c r="D1079" t="s">
        <v>48</v>
      </c>
      <c r="E1079" t="s">
        <v>70</v>
      </c>
      <c r="F1079" t="s">
        <v>49</v>
      </c>
      <c r="G1079">
        <v>74197</v>
      </c>
      <c r="H1079">
        <v>59357.600000000006</v>
      </c>
      <c r="I1079" s="13">
        <v>0.5</v>
      </c>
      <c r="J1079" t="s">
        <v>6207</v>
      </c>
      <c r="K1079">
        <v>2</v>
      </c>
      <c r="L1079">
        <v>0</v>
      </c>
      <c r="M1079" t="s">
        <v>0</v>
      </c>
      <c r="V1079">
        <v>1</v>
      </c>
      <c r="W1079">
        <v>0</v>
      </c>
      <c r="X1079">
        <v>0</v>
      </c>
      <c r="Y1079">
        <v>1</v>
      </c>
      <c r="Z1079">
        <v>1</v>
      </c>
    </row>
    <row r="1080" spans="1:26" x14ac:dyDescent="0.2">
      <c r="A1080" t="s">
        <v>1198</v>
      </c>
      <c r="B1080" t="s">
        <v>32</v>
      </c>
      <c r="C1080">
        <v>2011</v>
      </c>
      <c r="D1080" t="s">
        <v>46</v>
      </c>
      <c r="E1080" t="s">
        <v>40</v>
      </c>
      <c r="F1080" t="s">
        <v>20</v>
      </c>
      <c r="G1080">
        <v>60704</v>
      </c>
      <c r="H1080">
        <v>48563.200000000004</v>
      </c>
      <c r="I1080" s="13">
        <v>0.7142857142857143</v>
      </c>
      <c r="J1080" t="s">
        <v>6207</v>
      </c>
      <c r="K1080">
        <v>1</v>
      </c>
      <c r="L1080">
        <v>0</v>
      </c>
      <c r="M1080" t="s">
        <v>0</v>
      </c>
      <c r="V1080">
        <v>2</v>
      </c>
      <c r="W1080">
        <v>4</v>
      </c>
      <c r="X1080">
        <v>0</v>
      </c>
      <c r="Y1080">
        <v>1</v>
      </c>
      <c r="Z1080">
        <v>0</v>
      </c>
    </row>
    <row r="1081" spans="1:26" x14ac:dyDescent="0.2">
      <c r="A1081" t="s">
        <v>1199</v>
      </c>
      <c r="B1081" t="s">
        <v>66</v>
      </c>
      <c r="C1081">
        <v>2011</v>
      </c>
      <c r="D1081" t="s">
        <v>51</v>
      </c>
      <c r="E1081" t="s">
        <v>69</v>
      </c>
      <c r="F1081" t="s">
        <v>20</v>
      </c>
      <c r="G1081">
        <v>36284</v>
      </c>
      <c r="H1081">
        <v>29027.200000000001</v>
      </c>
      <c r="I1081" s="13">
        <v>0.33333333333333331</v>
      </c>
      <c r="J1081" t="s">
        <v>6207</v>
      </c>
      <c r="K1081">
        <v>1</v>
      </c>
      <c r="L1081">
        <v>2</v>
      </c>
      <c r="M1081" t="s">
        <v>1</v>
      </c>
      <c r="V1081">
        <v>1</v>
      </c>
      <c r="W1081">
        <v>2</v>
      </c>
      <c r="X1081">
        <v>0</v>
      </c>
      <c r="Y1081">
        <v>0</v>
      </c>
      <c r="Z1081">
        <v>0</v>
      </c>
    </row>
    <row r="1082" spans="1:26" x14ac:dyDescent="0.2">
      <c r="A1082" t="s">
        <v>1200</v>
      </c>
      <c r="B1082" t="s">
        <v>53</v>
      </c>
      <c r="C1082">
        <v>2011</v>
      </c>
      <c r="D1082" t="s">
        <v>64</v>
      </c>
      <c r="E1082" t="s">
        <v>34</v>
      </c>
      <c r="F1082" t="s">
        <v>64</v>
      </c>
      <c r="G1082">
        <v>52264</v>
      </c>
      <c r="H1082">
        <v>41811.200000000004</v>
      </c>
      <c r="I1082" s="13">
        <v>0.5</v>
      </c>
      <c r="J1082" t="s">
        <v>6207</v>
      </c>
      <c r="K1082">
        <v>2</v>
      </c>
      <c r="L1082">
        <v>0</v>
      </c>
      <c r="M1082" t="s">
        <v>0</v>
      </c>
      <c r="V1082">
        <v>1</v>
      </c>
      <c r="W1082">
        <v>1</v>
      </c>
      <c r="X1082">
        <v>0</v>
      </c>
      <c r="Y1082">
        <v>0</v>
      </c>
      <c r="Z1082">
        <v>0</v>
      </c>
    </row>
    <row r="1083" spans="1:26" x14ac:dyDescent="0.2">
      <c r="A1083" t="s">
        <v>1201</v>
      </c>
      <c r="B1083" t="s">
        <v>60</v>
      </c>
      <c r="C1083">
        <v>2011</v>
      </c>
      <c r="D1083" t="s">
        <v>45</v>
      </c>
      <c r="E1083" t="s">
        <v>35</v>
      </c>
      <c r="F1083" t="s">
        <v>26</v>
      </c>
      <c r="G1083">
        <v>39572</v>
      </c>
      <c r="H1083">
        <v>31657.600000000002</v>
      </c>
      <c r="I1083" s="13">
        <v>0</v>
      </c>
      <c r="J1083" t="s">
        <v>6208</v>
      </c>
      <c r="K1083">
        <v>4</v>
      </c>
      <c r="L1083">
        <v>0</v>
      </c>
      <c r="M1083" t="s">
        <v>0</v>
      </c>
      <c r="V1083">
        <v>0</v>
      </c>
      <c r="W1083">
        <v>2</v>
      </c>
      <c r="X1083">
        <v>0</v>
      </c>
      <c r="Y1083">
        <v>0</v>
      </c>
      <c r="Z1083">
        <v>0</v>
      </c>
    </row>
    <row r="1084" spans="1:26" x14ac:dyDescent="0.2">
      <c r="A1084" t="s">
        <v>1202</v>
      </c>
      <c r="B1084" t="s">
        <v>41</v>
      </c>
      <c r="C1084">
        <v>2011</v>
      </c>
      <c r="D1084" t="s">
        <v>42</v>
      </c>
      <c r="E1084" t="s">
        <v>27</v>
      </c>
      <c r="F1084" t="s">
        <v>38</v>
      </c>
      <c r="G1084">
        <v>42918</v>
      </c>
      <c r="H1084">
        <v>34334.400000000001</v>
      </c>
      <c r="I1084" s="13">
        <v>0.33333333333333331</v>
      </c>
      <c r="J1084" t="s">
        <v>6207</v>
      </c>
      <c r="K1084">
        <v>1</v>
      </c>
      <c r="L1084">
        <v>1</v>
      </c>
      <c r="M1084" t="s">
        <v>58</v>
      </c>
      <c r="V1084">
        <v>3</v>
      </c>
      <c r="W1084">
        <v>0</v>
      </c>
      <c r="X1084">
        <v>0</v>
      </c>
      <c r="Y1084">
        <v>0</v>
      </c>
      <c r="Z1084">
        <v>0</v>
      </c>
    </row>
    <row r="1085" spans="1:26" x14ac:dyDescent="0.2">
      <c r="A1085" t="s">
        <v>1203</v>
      </c>
      <c r="B1085" t="s">
        <v>44</v>
      </c>
      <c r="C1085">
        <v>2011</v>
      </c>
      <c r="D1085" t="s">
        <v>31</v>
      </c>
      <c r="E1085" t="s">
        <v>18</v>
      </c>
      <c r="F1085" t="s">
        <v>20</v>
      </c>
      <c r="G1085">
        <v>28500</v>
      </c>
      <c r="H1085">
        <v>22800</v>
      </c>
      <c r="I1085" s="13">
        <v>0.75</v>
      </c>
      <c r="J1085" t="s">
        <v>6207</v>
      </c>
      <c r="K1085">
        <v>1</v>
      </c>
      <c r="L1085">
        <v>1</v>
      </c>
      <c r="M1085" t="s">
        <v>58</v>
      </c>
      <c r="V1085">
        <v>1</v>
      </c>
      <c r="W1085">
        <v>3</v>
      </c>
      <c r="X1085">
        <v>0</v>
      </c>
      <c r="Y1085">
        <v>0</v>
      </c>
      <c r="Z1085">
        <v>1</v>
      </c>
    </row>
    <row r="1086" spans="1:26" x14ac:dyDescent="0.2">
      <c r="A1086" t="s">
        <v>1204</v>
      </c>
      <c r="B1086" t="s">
        <v>61</v>
      </c>
      <c r="C1086">
        <v>2011</v>
      </c>
      <c r="D1086" t="s">
        <v>39</v>
      </c>
      <c r="E1086" t="s">
        <v>26</v>
      </c>
      <c r="F1086" t="s">
        <v>39</v>
      </c>
      <c r="G1086">
        <v>31367</v>
      </c>
      <c r="H1086">
        <v>25093.600000000002</v>
      </c>
      <c r="I1086" s="13">
        <v>0.5</v>
      </c>
      <c r="J1086" t="s">
        <v>6207</v>
      </c>
      <c r="K1086">
        <v>2</v>
      </c>
      <c r="L1086">
        <v>3</v>
      </c>
      <c r="M1086" t="s">
        <v>1</v>
      </c>
      <c r="V1086">
        <v>4</v>
      </c>
      <c r="W1086">
        <v>5</v>
      </c>
      <c r="X1086">
        <v>0</v>
      </c>
      <c r="Y1086">
        <v>1</v>
      </c>
      <c r="Z1086">
        <v>1</v>
      </c>
    </row>
    <row r="1087" spans="1:26" x14ac:dyDescent="0.2">
      <c r="A1087" t="s">
        <v>1205</v>
      </c>
      <c r="B1087" t="s">
        <v>67</v>
      </c>
      <c r="C1087">
        <v>2011</v>
      </c>
      <c r="D1087" t="s">
        <v>22</v>
      </c>
      <c r="E1087" t="s">
        <v>46</v>
      </c>
      <c r="F1087" t="s">
        <v>24</v>
      </c>
      <c r="G1087">
        <v>31750</v>
      </c>
      <c r="H1087">
        <v>25400</v>
      </c>
      <c r="I1087" s="13">
        <v>0.75</v>
      </c>
      <c r="J1087" t="s">
        <v>6207</v>
      </c>
      <c r="K1087">
        <v>0</v>
      </c>
      <c r="L1087">
        <v>3</v>
      </c>
      <c r="M1087" t="s">
        <v>1</v>
      </c>
      <c r="V1087">
        <v>3</v>
      </c>
      <c r="W1087">
        <v>0</v>
      </c>
      <c r="X1087">
        <v>1</v>
      </c>
      <c r="Y1087">
        <v>0</v>
      </c>
      <c r="Z1087">
        <v>0</v>
      </c>
    </row>
    <row r="1088" spans="1:26" x14ac:dyDescent="0.2">
      <c r="A1088" t="s">
        <v>1206</v>
      </c>
      <c r="B1088" t="s">
        <v>52</v>
      </c>
      <c r="C1088">
        <v>2011</v>
      </c>
      <c r="D1088" t="s">
        <v>43</v>
      </c>
      <c r="E1088" t="s">
        <v>48</v>
      </c>
      <c r="F1088" t="s">
        <v>43</v>
      </c>
      <c r="G1088">
        <v>25138</v>
      </c>
      <c r="H1088">
        <v>20110.400000000001</v>
      </c>
      <c r="I1088" s="13">
        <v>0.33333333333333331</v>
      </c>
      <c r="J1088" t="s">
        <v>6207</v>
      </c>
      <c r="K1088">
        <v>1</v>
      </c>
      <c r="L1088">
        <v>0</v>
      </c>
      <c r="M1088" t="s">
        <v>0</v>
      </c>
      <c r="V1088">
        <v>1</v>
      </c>
      <c r="W1088">
        <v>2</v>
      </c>
      <c r="X1088">
        <v>0</v>
      </c>
      <c r="Y1088">
        <v>0</v>
      </c>
      <c r="Z1088">
        <v>0</v>
      </c>
    </row>
    <row r="1089" spans="1:26" x14ac:dyDescent="0.2">
      <c r="A1089" t="s">
        <v>1207</v>
      </c>
      <c r="B1089" t="s">
        <v>60</v>
      </c>
      <c r="C1089">
        <v>2011</v>
      </c>
      <c r="D1089" t="s">
        <v>40</v>
      </c>
      <c r="E1089" t="s">
        <v>63</v>
      </c>
      <c r="F1089" t="s">
        <v>49</v>
      </c>
      <c r="G1089">
        <v>53400</v>
      </c>
      <c r="H1089">
        <v>42720</v>
      </c>
      <c r="I1089" s="13">
        <v>0</v>
      </c>
      <c r="J1089" t="s">
        <v>6208</v>
      </c>
      <c r="K1089">
        <v>4</v>
      </c>
      <c r="L1089">
        <v>0</v>
      </c>
      <c r="M1089" t="s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 x14ac:dyDescent="0.2">
      <c r="A1090" t="s">
        <v>1208</v>
      </c>
      <c r="B1090" t="s">
        <v>54</v>
      </c>
      <c r="C1090">
        <v>2011</v>
      </c>
      <c r="D1090" t="s">
        <v>70</v>
      </c>
      <c r="E1090" t="s">
        <v>71</v>
      </c>
      <c r="F1090" t="s">
        <v>20</v>
      </c>
      <c r="G1090">
        <v>18439</v>
      </c>
      <c r="H1090">
        <v>14751.2</v>
      </c>
      <c r="I1090" s="13">
        <v>1</v>
      </c>
      <c r="J1090" t="s">
        <v>6206</v>
      </c>
      <c r="K1090">
        <v>3</v>
      </c>
      <c r="L1090">
        <v>0</v>
      </c>
      <c r="M1090" t="s">
        <v>0</v>
      </c>
      <c r="V1090">
        <v>2</v>
      </c>
      <c r="W1090">
        <v>0</v>
      </c>
      <c r="X1090">
        <v>0</v>
      </c>
      <c r="Y1090">
        <v>0</v>
      </c>
      <c r="Z1090">
        <v>0</v>
      </c>
    </row>
    <row r="1091" spans="1:26" x14ac:dyDescent="0.2">
      <c r="A1091" t="s">
        <v>1209</v>
      </c>
      <c r="B1091" t="s">
        <v>25</v>
      </c>
      <c r="C1091">
        <v>2011</v>
      </c>
      <c r="D1091" t="s">
        <v>69</v>
      </c>
      <c r="E1091" t="s">
        <v>40</v>
      </c>
      <c r="F1091" t="s">
        <v>69</v>
      </c>
      <c r="G1091">
        <v>27359</v>
      </c>
      <c r="H1091">
        <v>21887.200000000001</v>
      </c>
      <c r="I1091" s="13">
        <v>0.66666666666666663</v>
      </c>
      <c r="J1091" t="s">
        <v>6207</v>
      </c>
      <c r="K1091">
        <v>1</v>
      </c>
      <c r="L1091">
        <v>6</v>
      </c>
      <c r="M1091" t="s">
        <v>1</v>
      </c>
      <c r="V1091">
        <v>1</v>
      </c>
      <c r="W1091">
        <v>2</v>
      </c>
      <c r="X1091">
        <v>0</v>
      </c>
      <c r="Y1091">
        <v>0</v>
      </c>
      <c r="Z1091">
        <v>0</v>
      </c>
    </row>
    <row r="1092" spans="1:26" x14ac:dyDescent="0.2">
      <c r="A1092" t="s">
        <v>1210</v>
      </c>
      <c r="B1092" t="s">
        <v>68</v>
      </c>
      <c r="C1092">
        <v>2011</v>
      </c>
      <c r="D1092" t="s">
        <v>63</v>
      </c>
      <c r="E1092" t="s">
        <v>70</v>
      </c>
      <c r="F1092" t="s">
        <v>65</v>
      </c>
      <c r="G1092">
        <v>26804</v>
      </c>
      <c r="H1092">
        <v>21443.200000000001</v>
      </c>
      <c r="I1092" s="13">
        <v>0.5</v>
      </c>
      <c r="J1092" t="s">
        <v>6207</v>
      </c>
      <c r="K1092">
        <v>1</v>
      </c>
      <c r="L1092">
        <v>0</v>
      </c>
      <c r="M1092" t="s">
        <v>0</v>
      </c>
      <c r="V1092">
        <v>3</v>
      </c>
      <c r="W1092">
        <v>1</v>
      </c>
      <c r="X1092">
        <v>0</v>
      </c>
      <c r="Y1092">
        <v>0</v>
      </c>
      <c r="Z1092">
        <v>0</v>
      </c>
    </row>
    <row r="1093" spans="1:26" x14ac:dyDescent="0.2">
      <c r="A1093" t="s">
        <v>1211</v>
      </c>
      <c r="B1093" t="s">
        <v>44</v>
      </c>
      <c r="C1093">
        <v>2011</v>
      </c>
      <c r="D1093" t="s">
        <v>71</v>
      </c>
      <c r="E1093" t="s">
        <v>39</v>
      </c>
      <c r="F1093" t="s">
        <v>71</v>
      </c>
      <c r="G1093">
        <v>21088</v>
      </c>
      <c r="H1093">
        <v>16870.400000000001</v>
      </c>
      <c r="I1093" s="13">
        <v>1</v>
      </c>
      <c r="J1093" t="s">
        <v>6207</v>
      </c>
      <c r="K1093">
        <v>3</v>
      </c>
      <c r="L1093">
        <v>0</v>
      </c>
      <c r="M1093" t="s">
        <v>0</v>
      </c>
      <c r="V1093">
        <v>0</v>
      </c>
      <c r="W1093">
        <v>2</v>
      </c>
      <c r="X1093">
        <v>0</v>
      </c>
      <c r="Y1093">
        <v>0</v>
      </c>
      <c r="Z1093">
        <v>0</v>
      </c>
    </row>
    <row r="1094" spans="1:26" x14ac:dyDescent="0.2">
      <c r="A1094" t="s">
        <v>1212</v>
      </c>
      <c r="B1094" t="s">
        <v>53</v>
      </c>
      <c r="C1094">
        <v>2011</v>
      </c>
      <c r="D1094" t="s">
        <v>35</v>
      </c>
      <c r="E1094" t="s">
        <v>22</v>
      </c>
      <c r="F1094" t="s">
        <v>35</v>
      </c>
      <c r="G1094">
        <v>49000</v>
      </c>
      <c r="H1094">
        <v>39200</v>
      </c>
      <c r="I1094" s="13">
        <v>0</v>
      </c>
      <c r="J1094" t="s">
        <v>6207</v>
      </c>
      <c r="K1094">
        <v>0</v>
      </c>
      <c r="L1094">
        <v>0</v>
      </c>
      <c r="M1094" t="s">
        <v>58</v>
      </c>
      <c r="V1094">
        <v>0</v>
      </c>
      <c r="W1094">
        <v>1</v>
      </c>
      <c r="X1094">
        <v>0</v>
      </c>
      <c r="Y1094">
        <v>0</v>
      </c>
      <c r="Z1094">
        <v>0</v>
      </c>
    </row>
    <row r="1095" spans="1:26" x14ac:dyDescent="0.2">
      <c r="A1095" t="s">
        <v>1213</v>
      </c>
      <c r="B1095" t="s">
        <v>47</v>
      </c>
      <c r="C1095">
        <v>2011</v>
      </c>
      <c r="D1095" t="s">
        <v>48</v>
      </c>
      <c r="E1095" t="s">
        <v>42</v>
      </c>
      <c r="F1095" t="s">
        <v>49</v>
      </c>
      <c r="G1095">
        <v>74197</v>
      </c>
      <c r="H1095">
        <v>59357.600000000006</v>
      </c>
      <c r="I1095" s="13">
        <v>0.16666666666666666</v>
      </c>
      <c r="J1095" t="s">
        <v>6208</v>
      </c>
      <c r="K1095">
        <v>4</v>
      </c>
      <c r="L1095">
        <v>0</v>
      </c>
      <c r="M1095" t="s">
        <v>0</v>
      </c>
      <c r="V1095">
        <v>3</v>
      </c>
      <c r="W1095">
        <v>3</v>
      </c>
      <c r="X1095">
        <v>0</v>
      </c>
      <c r="Y1095">
        <v>0</v>
      </c>
      <c r="Z1095">
        <v>0</v>
      </c>
    </row>
    <row r="1096" spans="1:26" x14ac:dyDescent="0.2">
      <c r="A1096" t="s">
        <v>1214</v>
      </c>
      <c r="B1096" t="s">
        <v>37</v>
      </c>
      <c r="C1096">
        <v>2011</v>
      </c>
      <c r="D1096" t="s">
        <v>46</v>
      </c>
      <c r="E1096" t="s">
        <v>43</v>
      </c>
      <c r="F1096" t="s">
        <v>20</v>
      </c>
      <c r="G1096">
        <v>60704</v>
      </c>
      <c r="H1096">
        <v>48563.200000000004</v>
      </c>
      <c r="I1096" s="13">
        <v>0.4</v>
      </c>
      <c r="J1096" t="s">
        <v>6206</v>
      </c>
      <c r="K1096">
        <v>1</v>
      </c>
      <c r="L1096">
        <v>2</v>
      </c>
      <c r="M1096" t="s">
        <v>1</v>
      </c>
      <c r="V1096">
        <v>2</v>
      </c>
      <c r="W1096">
        <v>3</v>
      </c>
      <c r="X1096">
        <v>0</v>
      </c>
      <c r="Y1096">
        <v>0</v>
      </c>
      <c r="Z1096">
        <v>0</v>
      </c>
    </row>
    <row r="1097" spans="1:26" x14ac:dyDescent="0.2">
      <c r="A1097" t="s">
        <v>1215</v>
      </c>
      <c r="B1097" t="s">
        <v>41</v>
      </c>
      <c r="C1097">
        <v>2011</v>
      </c>
      <c r="D1097" t="s">
        <v>46</v>
      </c>
      <c r="E1097" t="s">
        <v>18</v>
      </c>
      <c r="F1097" t="s">
        <v>20</v>
      </c>
      <c r="G1097">
        <v>60704</v>
      </c>
      <c r="H1097">
        <v>48563.200000000004</v>
      </c>
      <c r="I1097" s="13">
        <v>0.5714285714285714</v>
      </c>
      <c r="J1097" t="s">
        <v>6207</v>
      </c>
      <c r="K1097">
        <v>0</v>
      </c>
      <c r="L1097">
        <v>0</v>
      </c>
      <c r="M1097" t="s">
        <v>58</v>
      </c>
      <c r="V1097">
        <v>3</v>
      </c>
      <c r="W1097">
        <v>4</v>
      </c>
      <c r="X1097">
        <v>0</v>
      </c>
      <c r="Y1097">
        <v>0</v>
      </c>
      <c r="Z1097">
        <v>0</v>
      </c>
    </row>
    <row r="1098" spans="1:26" x14ac:dyDescent="0.2">
      <c r="A1098" t="s">
        <v>1216</v>
      </c>
      <c r="B1098" t="s">
        <v>37</v>
      </c>
      <c r="C1098">
        <v>2011</v>
      </c>
      <c r="D1098" t="s">
        <v>64</v>
      </c>
      <c r="E1098" t="s">
        <v>27</v>
      </c>
      <c r="F1098" t="s">
        <v>64</v>
      </c>
      <c r="G1098">
        <v>52264</v>
      </c>
      <c r="H1098">
        <v>41811.200000000004</v>
      </c>
      <c r="I1098" s="13">
        <v>0.5</v>
      </c>
      <c r="J1098" t="s">
        <v>6206</v>
      </c>
      <c r="K1098">
        <v>3</v>
      </c>
      <c r="L1098">
        <v>0</v>
      </c>
      <c r="M1098" t="s">
        <v>0</v>
      </c>
      <c r="V1098">
        <v>0</v>
      </c>
      <c r="W1098">
        <v>2</v>
      </c>
      <c r="X1098">
        <v>0</v>
      </c>
      <c r="Y1098">
        <v>0</v>
      </c>
      <c r="Z1098">
        <v>0</v>
      </c>
    </row>
    <row r="1099" spans="1:26" x14ac:dyDescent="0.2">
      <c r="A1099" t="s">
        <v>1217</v>
      </c>
      <c r="B1099" t="s">
        <v>50</v>
      </c>
      <c r="C1099">
        <v>2011</v>
      </c>
      <c r="D1099" t="s">
        <v>31</v>
      </c>
      <c r="E1099" t="s">
        <v>43</v>
      </c>
      <c r="F1099" t="s">
        <v>20</v>
      </c>
      <c r="G1099">
        <v>28500</v>
      </c>
      <c r="H1099">
        <v>22800</v>
      </c>
      <c r="I1099" s="13">
        <v>0.66666666666666663</v>
      </c>
      <c r="J1099" t="s">
        <v>6207</v>
      </c>
      <c r="K1099">
        <v>2</v>
      </c>
      <c r="L1099">
        <v>1</v>
      </c>
      <c r="M1099" t="s">
        <v>0</v>
      </c>
      <c r="V1099">
        <v>1</v>
      </c>
      <c r="W1099">
        <v>2</v>
      </c>
      <c r="X1099">
        <v>0</v>
      </c>
      <c r="Y1099">
        <v>0</v>
      </c>
      <c r="Z1099">
        <v>0</v>
      </c>
    </row>
    <row r="1100" spans="1:26" x14ac:dyDescent="0.2">
      <c r="A1100" t="s">
        <v>1218</v>
      </c>
      <c r="B1100" t="s">
        <v>52</v>
      </c>
      <c r="C1100">
        <v>2011</v>
      </c>
      <c r="D1100" t="s">
        <v>34</v>
      </c>
      <c r="E1100" t="s">
        <v>71</v>
      </c>
      <c r="F1100" t="s">
        <v>36</v>
      </c>
      <c r="G1100">
        <v>28723</v>
      </c>
      <c r="H1100">
        <v>22978.400000000001</v>
      </c>
      <c r="I1100" s="13">
        <v>0.33333333333333331</v>
      </c>
      <c r="J1100" t="s">
        <v>6207</v>
      </c>
      <c r="K1100">
        <v>1</v>
      </c>
      <c r="L1100">
        <v>1</v>
      </c>
      <c r="M1100" t="s">
        <v>58</v>
      </c>
      <c r="V1100">
        <v>2</v>
      </c>
      <c r="W1100">
        <v>1</v>
      </c>
      <c r="X1100">
        <v>0</v>
      </c>
      <c r="Y1100">
        <v>0</v>
      </c>
      <c r="Z1100">
        <v>0</v>
      </c>
    </row>
    <row r="1101" spans="1:26" x14ac:dyDescent="0.2">
      <c r="A1101" t="s">
        <v>1219</v>
      </c>
      <c r="B1101" t="s">
        <v>60</v>
      </c>
      <c r="C1101">
        <v>2011</v>
      </c>
      <c r="D1101" t="s">
        <v>39</v>
      </c>
      <c r="E1101" t="s">
        <v>69</v>
      </c>
      <c r="F1101" t="s">
        <v>39</v>
      </c>
      <c r="G1101">
        <v>31367</v>
      </c>
      <c r="H1101">
        <v>25093.600000000002</v>
      </c>
      <c r="I1101" s="13">
        <v>0</v>
      </c>
      <c r="J1101" t="s">
        <v>6208</v>
      </c>
      <c r="K1101">
        <v>2</v>
      </c>
      <c r="L1101">
        <v>0</v>
      </c>
      <c r="M1101" t="s">
        <v>0</v>
      </c>
      <c r="V1101">
        <v>1</v>
      </c>
      <c r="W1101">
        <v>1</v>
      </c>
      <c r="X1101">
        <v>0</v>
      </c>
      <c r="Y1101">
        <v>0</v>
      </c>
      <c r="Z1101">
        <v>0</v>
      </c>
    </row>
    <row r="1102" spans="1:26" x14ac:dyDescent="0.2">
      <c r="A1102" t="s">
        <v>1220</v>
      </c>
      <c r="B1102" t="s">
        <v>61</v>
      </c>
      <c r="C1102">
        <v>2011</v>
      </c>
      <c r="D1102" t="s">
        <v>42</v>
      </c>
      <c r="E1102" t="s">
        <v>35</v>
      </c>
      <c r="F1102" t="s">
        <v>38</v>
      </c>
      <c r="G1102">
        <v>42918</v>
      </c>
      <c r="H1102">
        <v>34334.400000000001</v>
      </c>
      <c r="I1102" s="13">
        <v>0.33333333333333331</v>
      </c>
      <c r="J1102" t="s">
        <v>6207</v>
      </c>
      <c r="K1102">
        <v>0</v>
      </c>
      <c r="L1102">
        <v>0</v>
      </c>
      <c r="M1102" t="s">
        <v>58</v>
      </c>
      <c r="V1102">
        <v>0</v>
      </c>
      <c r="W1102">
        <v>2</v>
      </c>
      <c r="X1102">
        <v>0</v>
      </c>
      <c r="Y1102">
        <v>1</v>
      </c>
      <c r="Z1102">
        <v>0</v>
      </c>
    </row>
    <row r="1103" spans="1:26" x14ac:dyDescent="0.2">
      <c r="A1103" t="s">
        <v>1221</v>
      </c>
      <c r="B1103" t="s">
        <v>44</v>
      </c>
      <c r="C1103">
        <v>2011</v>
      </c>
      <c r="D1103" t="s">
        <v>70</v>
      </c>
      <c r="E1103" t="s">
        <v>51</v>
      </c>
      <c r="F1103" t="s">
        <v>20</v>
      </c>
      <c r="G1103">
        <v>18439</v>
      </c>
      <c r="H1103">
        <v>14751.2</v>
      </c>
      <c r="I1103" s="13">
        <v>0.2</v>
      </c>
      <c r="J1103" t="s">
        <v>6207</v>
      </c>
      <c r="K1103">
        <v>1</v>
      </c>
      <c r="L1103">
        <v>0</v>
      </c>
      <c r="M1103" t="s">
        <v>0</v>
      </c>
      <c r="V1103">
        <v>4</v>
      </c>
      <c r="W1103">
        <v>0</v>
      </c>
      <c r="X1103">
        <v>1</v>
      </c>
      <c r="Y1103">
        <v>0</v>
      </c>
      <c r="Z1103">
        <v>0</v>
      </c>
    </row>
    <row r="1104" spans="1:26" x14ac:dyDescent="0.2">
      <c r="A1104" t="s">
        <v>1222</v>
      </c>
      <c r="B1104" t="s">
        <v>53</v>
      </c>
      <c r="C1104">
        <v>2011</v>
      </c>
      <c r="D1104" t="s">
        <v>48</v>
      </c>
      <c r="E1104" t="s">
        <v>45</v>
      </c>
      <c r="F1104" t="s">
        <v>49</v>
      </c>
      <c r="G1104">
        <v>74197</v>
      </c>
      <c r="H1104">
        <v>59357.600000000006</v>
      </c>
      <c r="I1104" s="13">
        <v>0.66666666666666663</v>
      </c>
      <c r="J1104" t="s">
        <v>6207</v>
      </c>
      <c r="K1104">
        <v>4</v>
      </c>
      <c r="L1104">
        <v>4</v>
      </c>
      <c r="M1104" t="s">
        <v>58</v>
      </c>
      <c r="V1104">
        <v>1</v>
      </c>
      <c r="W1104">
        <v>2</v>
      </c>
      <c r="X1104">
        <v>0</v>
      </c>
      <c r="Y1104">
        <v>0</v>
      </c>
      <c r="Z1104">
        <v>0</v>
      </c>
    </row>
    <row r="1105" spans="1:26" x14ac:dyDescent="0.2">
      <c r="A1105" t="s">
        <v>1223</v>
      </c>
      <c r="B1105" t="s">
        <v>54</v>
      </c>
      <c r="C1105">
        <v>2011</v>
      </c>
      <c r="D1105" t="s">
        <v>22</v>
      </c>
      <c r="E1105" t="s">
        <v>40</v>
      </c>
      <c r="F1105" t="s">
        <v>24</v>
      </c>
      <c r="G1105">
        <v>31750</v>
      </c>
      <c r="H1105">
        <v>25400</v>
      </c>
      <c r="I1105" s="13">
        <v>1</v>
      </c>
      <c r="J1105" t="s">
        <v>6206</v>
      </c>
      <c r="K1105">
        <v>0</v>
      </c>
      <c r="L1105">
        <v>2</v>
      </c>
      <c r="M1105" t="s">
        <v>1</v>
      </c>
      <c r="V1105">
        <v>0</v>
      </c>
      <c r="W1105">
        <v>1</v>
      </c>
      <c r="X1105">
        <v>0</v>
      </c>
      <c r="Y1105">
        <v>0</v>
      </c>
      <c r="Z1105">
        <v>0</v>
      </c>
    </row>
    <row r="1106" spans="1:26" x14ac:dyDescent="0.2">
      <c r="A1106" t="s">
        <v>1224</v>
      </c>
      <c r="B1106" t="s">
        <v>67</v>
      </c>
      <c r="C1106">
        <v>2011</v>
      </c>
      <c r="D1106" t="s">
        <v>26</v>
      </c>
      <c r="E1106" t="s">
        <v>63</v>
      </c>
      <c r="F1106" t="s">
        <v>26</v>
      </c>
      <c r="G1106">
        <v>61276</v>
      </c>
      <c r="H1106">
        <v>49020.800000000003</v>
      </c>
      <c r="I1106" s="13">
        <v>0.5</v>
      </c>
      <c r="J1106" t="s">
        <v>6207</v>
      </c>
      <c r="K1106">
        <v>0</v>
      </c>
      <c r="L1106">
        <v>1</v>
      </c>
      <c r="M1106" t="s">
        <v>1</v>
      </c>
      <c r="V1106">
        <v>2</v>
      </c>
      <c r="W1106">
        <v>0</v>
      </c>
      <c r="X1106">
        <v>0</v>
      </c>
      <c r="Y1106">
        <v>0</v>
      </c>
      <c r="Z1106">
        <v>0</v>
      </c>
    </row>
    <row r="1107" spans="1:26" x14ac:dyDescent="0.2">
      <c r="A1107" t="s">
        <v>1225</v>
      </c>
      <c r="B1107" t="s">
        <v>25</v>
      </c>
      <c r="C1107">
        <v>2011</v>
      </c>
      <c r="D1107" t="s">
        <v>42</v>
      </c>
      <c r="E1107" t="s">
        <v>34</v>
      </c>
      <c r="F1107" t="s">
        <v>38</v>
      </c>
      <c r="G1107">
        <v>42918</v>
      </c>
      <c r="H1107">
        <v>34334.400000000001</v>
      </c>
      <c r="I1107" s="13">
        <v>0.66666666666666663</v>
      </c>
      <c r="J1107" t="s">
        <v>6207</v>
      </c>
      <c r="K1107">
        <v>1</v>
      </c>
      <c r="L1107">
        <v>2</v>
      </c>
      <c r="M1107" t="s">
        <v>1</v>
      </c>
      <c r="V1107">
        <v>1</v>
      </c>
      <c r="W1107">
        <v>2</v>
      </c>
      <c r="X1107">
        <v>0</v>
      </c>
      <c r="Y1107">
        <v>0</v>
      </c>
      <c r="Z1107">
        <v>1</v>
      </c>
    </row>
    <row r="1108" spans="1:26" x14ac:dyDescent="0.2">
      <c r="A1108" t="s">
        <v>1226</v>
      </c>
      <c r="B1108" t="s">
        <v>41</v>
      </c>
      <c r="C1108">
        <v>2011</v>
      </c>
      <c r="D1108" t="s">
        <v>43</v>
      </c>
      <c r="E1108" t="s">
        <v>64</v>
      </c>
      <c r="F1108" t="s">
        <v>43</v>
      </c>
      <c r="G1108">
        <v>25138</v>
      </c>
      <c r="H1108">
        <v>20110.400000000001</v>
      </c>
      <c r="I1108" s="13">
        <v>0.66666666666666663</v>
      </c>
      <c r="J1108" t="s">
        <v>6207</v>
      </c>
      <c r="K1108">
        <v>4</v>
      </c>
      <c r="L1108">
        <v>0</v>
      </c>
      <c r="M1108" t="s">
        <v>0</v>
      </c>
      <c r="V1108">
        <v>2</v>
      </c>
      <c r="W1108">
        <v>1</v>
      </c>
      <c r="X1108">
        <v>0</v>
      </c>
      <c r="Y1108">
        <v>0</v>
      </c>
      <c r="Z1108">
        <v>0</v>
      </c>
    </row>
    <row r="1109" spans="1:26" x14ac:dyDescent="0.2">
      <c r="A1109" t="s">
        <v>1227</v>
      </c>
      <c r="B1109" t="s">
        <v>44</v>
      </c>
      <c r="C1109">
        <v>2011</v>
      </c>
      <c r="D1109" t="s">
        <v>63</v>
      </c>
      <c r="E1109" t="s">
        <v>42</v>
      </c>
      <c r="F1109" t="s">
        <v>65</v>
      </c>
      <c r="G1109">
        <v>26804</v>
      </c>
      <c r="H1109">
        <v>21443.200000000001</v>
      </c>
      <c r="I1109" s="13">
        <v>0.25</v>
      </c>
      <c r="J1109" t="s">
        <v>6207</v>
      </c>
      <c r="K1109">
        <v>0</v>
      </c>
      <c r="L1109">
        <v>0</v>
      </c>
      <c r="M1109" t="s">
        <v>58</v>
      </c>
      <c r="V1109">
        <v>0</v>
      </c>
      <c r="W1109">
        <v>4</v>
      </c>
      <c r="X1109">
        <v>0</v>
      </c>
      <c r="Y1109">
        <v>0</v>
      </c>
      <c r="Z1109">
        <v>0</v>
      </c>
    </row>
    <row r="1110" spans="1:26" x14ac:dyDescent="0.2">
      <c r="A1110" t="s">
        <v>1228</v>
      </c>
      <c r="B1110" t="s">
        <v>68</v>
      </c>
      <c r="C1110">
        <v>2011</v>
      </c>
      <c r="D1110" t="s">
        <v>71</v>
      </c>
      <c r="E1110" t="s">
        <v>22</v>
      </c>
      <c r="F1110" t="s">
        <v>71</v>
      </c>
      <c r="G1110">
        <v>21088</v>
      </c>
      <c r="H1110">
        <v>16870.400000000001</v>
      </c>
      <c r="I1110" s="13">
        <v>0.66666666666666663</v>
      </c>
      <c r="J1110" t="s">
        <v>6207</v>
      </c>
      <c r="K1110">
        <v>4</v>
      </c>
      <c r="L1110">
        <v>4</v>
      </c>
      <c r="M1110" t="s">
        <v>58</v>
      </c>
      <c r="V1110">
        <v>2</v>
      </c>
      <c r="W1110">
        <v>1</v>
      </c>
      <c r="X1110">
        <v>0</v>
      </c>
      <c r="Y1110">
        <v>0</v>
      </c>
      <c r="Z1110">
        <v>0</v>
      </c>
    </row>
    <row r="1111" spans="1:26" x14ac:dyDescent="0.2">
      <c r="A1111" t="s">
        <v>1229</v>
      </c>
      <c r="B1111" t="s">
        <v>54</v>
      </c>
      <c r="C1111">
        <v>2011</v>
      </c>
      <c r="D1111" t="s">
        <v>35</v>
      </c>
      <c r="E1111" t="s">
        <v>34</v>
      </c>
      <c r="F1111" t="s">
        <v>35</v>
      </c>
      <c r="G1111">
        <v>49000</v>
      </c>
      <c r="H1111">
        <v>39200</v>
      </c>
      <c r="I1111" s="13">
        <v>0</v>
      </c>
      <c r="J1111" t="s">
        <v>6206</v>
      </c>
      <c r="K1111">
        <v>2</v>
      </c>
      <c r="L1111">
        <v>2</v>
      </c>
      <c r="M1111" t="s">
        <v>58</v>
      </c>
      <c r="V1111">
        <v>1</v>
      </c>
      <c r="W1111">
        <v>0</v>
      </c>
      <c r="X1111">
        <v>0</v>
      </c>
      <c r="Y1111">
        <v>0</v>
      </c>
      <c r="Z1111">
        <v>0</v>
      </c>
    </row>
    <row r="1112" spans="1:26" x14ac:dyDescent="0.2">
      <c r="A1112" t="s">
        <v>1230</v>
      </c>
      <c r="B1112" t="s">
        <v>25</v>
      </c>
      <c r="C1112">
        <v>2011</v>
      </c>
      <c r="D1112" t="s">
        <v>27</v>
      </c>
      <c r="E1112" t="s">
        <v>46</v>
      </c>
      <c r="F1112" t="s">
        <v>27</v>
      </c>
      <c r="G1112">
        <v>30089</v>
      </c>
      <c r="H1112">
        <v>24071.200000000001</v>
      </c>
      <c r="I1112" s="13">
        <v>0.66666666666666663</v>
      </c>
      <c r="J1112" t="s">
        <v>6207</v>
      </c>
      <c r="K1112">
        <v>1</v>
      </c>
      <c r="L1112">
        <v>1</v>
      </c>
      <c r="M1112" t="s">
        <v>58</v>
      </c>
      <c r="V1112">
        <v>1</v>
      </c>
      <c r="W1112">
        <v>2</v>
      </c>
      <c r="X1112">
        <v>0</v>
      </c>
      <c r="Y1112">
        <v>0</v>
      </c>
      <c r="Z1112">
        <v>0</v>
      </c>
    </row>
    <row r="1113" spans="1:26" x14ac:dyDescent="0.2">
      <c r="A1113" t="s">
        <v>1231</v>
      </c>
      <c r="B1113" t="s">
        <v>52</v>
      </c>
      <c r="C1113">
        <v>2011</v>
      </c>
      <c r="D1113" t="s">
        <v>45</v>
      </c>
      <c r="E1113" t="s">
        <v>31</v>
      </c>
      <c r="F1113" t="s">
        <v>26</v>
      </c>
      <c r="G1113">
        <v>39572</v>
      </c>
      <c r="H1113">
        <v>31657.600000000002</v>
      </c>
      <c r="I1113" s="13">
        <v>1</v>
      </c>
      <c r="J1113" t="s">
        <v>6207</v>
      </c>
      <c r="K1113">
        <v>4</v>
      </c>
      <c r="L1113">
        <v>0</v>
      </c>
      <c r="M1113" t="s">
        <v>0</v>
      </c>
      <c r="V1113">
        <v>1</v>
      </c>
      <c r="W1113">
        <v>1</v>
      </c>
      <c r="X1113">
        <v>0</v>
      </c>
      <c r="Y1113">
        <v>0</v>
      </c>
      <c r="Z1113">
        <v>1</v>
      </c>
    </row>
    <row r="1114" spans="1:26" x14ac:dyDescent="0.2">
      <c r="A1114" t="s">
        <v>1232</v>
      </c>
      <c r="B1114" t="s">
        <v>47</v>
      </c>
      <c r="C1114">
        <v>2011</v>
      </c>
      <c r="D1114" t="s">
        <v>69</v>
      </c>
      <c r="E1114" t="s">
        <v>26</v>
      </c>
      <c r="F1114" t="s">
        <v>69</v>
      </c>
      <c r="G1114">
        <v>27359</v>
      </c>
      <c r="H1114">
        <v>21887.200000000001</v>
      </c>
      <c r="I1114" s="13">
        <v>0</v>
      </c>
      <c r="J1114" t="s">
        <v>6208</v>
      </c>
      <c r="K1114">
        <v>0</v>
      </c>
      <c r="L1114">
        <v>3</v>
      </c>
      <c r="M1114" t="s">
        <v>1</v>
      </c>
      <c r="V1114">
        <v>4</v>
      </c>
      <c r="W1114">
        <v>0</v>
      </c>
      <c r="X1114">
        <v>0</v>
      </c>
      <c r="Y1114">
        <v>0</v>
      </c>
      <c r="Z1114">
        <v>0</v>
      </c>
    </row>
    <row r="1115" spans="1:26" x14ac:dyDescent="0.2">
      <c r="A1115" t="s">
        <v>1233</v>
      </c>
      <c r="B1115" t="s">
        <v>56</v>
      </c>
      <c r="C1115">
        <v>2011</v>
      </c>
      <c r="D1115" t="s">
        <v>18</v>
      </c>
      <c r="E1115" t="s">
        <v>70</v>
      </c>
      <c r="F1115" t="s">
        <v>20</v>
      </c>
      <c r="G1115">
        <v>40341</v>
      </c>
      <c r="H1115">
        <v>32272.800000000003</v>
      </c>
      <c r="I1115" s="13">
        <v>0</v>
      </c>
      <c r="J1115" t="s">
        <v>6207</v>
      </c>
      <c r="K1115">
        <v>6</v>
      </c>
      <c r="L1115">
        <v>1</v>
      </c>
      <c r="M1115" t="s">
        <v>0</v>
      </c>
      <c r="V1115">
        <v>0</v>
      </c>
      <c r="W1115">
        <v>1</v>
      </c>
      <c r="X1115">
        <v>0</v>
      </c>
      <c r="Y1115">
        <v>0</v>
      </c>
      <c r="Z1115">
        <v>0</v>
      </c>
    </row>
    <row r="1116" spans="1:26" x14ac:dyDescent="0.2">
      <c r="A1116" t="s">
        <v>1234</v>
      </c>
      <c r="B1116" t="s">
        <v>53</v>
      </c>
      <c r="C1116">
        <v>2011</v>
      </c>
      <c r="D1116" t="s">
        <v>51</v>
      </c>
      <c r="E1116" t="s">
        <v>39</v>
      </c>
      <c r="F1116" t="s">
        <v>20</v>
      </c>
      <c r="G1116">
        <v>36284</v>
      </c>
      <c r="H1116">
        <v>29027.200000000001</v>
      </c>
      <c r="I1116" s="13">
        <v>0</v>
      </c>
      <c r="J1116" t="s">
        <v>6207</v>
      </c>
      <c r="K1116">
        <v>2</v>
      </c>
      <c r="L1116">
        <v>0</v>
      </c>
      <c r="M1116" t="s">
        <v>0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 x14ac:dyDescent="0.2">
      <c r="A1117" t="s">
        <v>1235</v>
      </c>
      <c r="B1117" t="s">
        <v>37</v>
      </c>
      <c r="C1117">
        <v>2011</v>
      </c>
      <c r="D1117" t="s">
        <v>40</v>
      </c>
      <c r="E1117" t="s">
        <v>48</v>
      </c>
      <c r="F1117" t="s">
        <v>49</v>
      </c>
      <c r="G1117">
        <v>53400</v>
      </c>
      <c r="H1117">
        <v>42720</v>
      </c>
      <c r="I1117" s="13">
        <v>0.4</v>
      </c>
      <c r="J1117" t="s">
        <v>6206</v>
      </c>
      <c r="K1117">
        <v>1</v>
      </c>
      <c r="L1117">
        <v>0</v>
      </c>
      <c r="M1117" t="s">
        <v>0</v>
      </c>
      <c r="V1117">
        <v>3</v>
      </c>
      <c r="W1117">
        <v>2</v>
      </c>
      <c r="X1117">
        <v>0</v>
      </c>
      <c r="Y1117">
        <v>0</v>
      </c>
      <c r="Z1117">
        <v>0</v>
      </c>
    </row>
    <row r="1118" spans="1:26" x14ac:dyDescent="0.2">
      <c r="A1118" t="s">
        <v>1236</v>
      </c>
      <c r="B1118" t="s">
        <v>61</v>
      </c>
      <c r="C1118">
        <v>2011</v>
      </c>
      <c r="D1118" t="s">
        <v>27</v>
      </c>
      <c r="E1118" t="s">
        <v>45</v>
      </c>
      <c r="F1118" t="s">
        <v>27</v>
      </c>
      <c r="G1118">
        <v>30089</v>
      </c>
      <c r="H1118">
        <v>24071.200000000001</v>
      </c>
      <c r="I1118" s="13">
        <v>0.66666666666666663</v>
      </c>
      <c r="J1118" t="s">
        <v>6207</v>
      </c>
      <c r="K1118">
        <v>1</v>
      </c>
      <c r="L1118">
        <v>1</v>
      </c>
      <c r="M1118" t="s">
        <v>58</v>
      </c>
      <c r="V1118">
        <v>2</v>
      </c>
      <c r="W1118">
        <v>1</v>
      </c>
      <c r="X1118">
        <v>0</v>
      </c>
      <c r="Y1118">
        <v>0</v>
      </c>
      <c r="Z1118">
        <v>0</v>
      </c>
    </row>
    <row r="1119" spans="1:26" x14ac:dyDescent="0.2">
      <c r="A1119" t="s">
        <v>1237</v>
      </c>
      <c r="B1119" t="s">
        <v>54</v>
      </c>
      <c r="C1119">
        <v>2011</v>
      </c>
      <c r="D1119" t="s">
        <v>26</v>
      </c>
      <c r="E1119" t="s">
        <v>31</v>
      </c>
      <c r="F1119" t="s">
        <v>26</v>
      </c>
      <c r="G1119">
        <v>61276</v>
      </c>
      <c r="H1119">
        <v>49020.800000000003</v>
      </c>
      <c r="I1119" s="13">
        <v>0</v>
      </c>
      <c r="J1119" t="s">
        <v>6206</v>
      </c>
      <c r="K1119">
        <v>0</v>
      </c>
      <c r="L1119">
        <v>1</v>
      </c>
      <c r="M1119" t="s">
        <v>1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2">
      <c r="A1120" t="s">
        <v>1238</v>
      </c>
      <c r="B1120" t="s">
        <v>47</v>
      </c>
      <c r="C1120">
        <v>2011</v>
      </c>
      <c r="D1120" t="s">
        <v>18</v>
      </c>
      <c r="E1120" t="s">
        <v>64</v>
      </c>
      <c r="F1120" t="s">
        <v>20</v>
      </c>
      <c r="G1120">
        <v>40341</v>
      </c>
      <c r="H1120">
        <v>32272.800000000003</v>
      </c>
      <c r="I1120" s="13">
        <v>1</v>
      </c>
      <c r="J1120" t="s">
        <v>6208</v>
      </c>
      <c r="K1120">
        <v>0</v>
      </c>
      <c r="L1120">
        <v>2</v>
      </c>
      <c r="M1120" t="s">
        <v>1</v>
      </c>
      <c r="V1120">
        <v>0</v>
      </c>
      <c r="W1120">
        <v>3</v>
      </c>
      <c r="X1120">
        <v>0</v>
      </c>
      <c r="Y1120">
        <v>0</v>
      </c>
      <c r="Z1120">
        <v>0</v>
      </c>
    </row>
    <row r="1121" spans="1:26" x14ac:dyDescent="0.2">
      <c r="A1121" t="s">
        <v>1239</v>
      </c>
      <c r="B1121" t="s">
        <v>41</v>
      </c>
      <c r="C1121">
        <v>2011</v>
      </c>
      <c r="D1121" t="s">
        <v>34</v>
      </c>
      <c r="E1121" t="s">
        <v>51</v>
      </c>
      <c r="F1121" t="s">
        <v>36</v>
      </c>
      <c r="G1121">
        <v>28723</v>
      </c>
      <c r="H1121">
        <v>22978.400000000001</v>
      </c>
      <c r="I1121" s="13">
        <v>0</v>
      </c>
      <c r="J1121" t="s">
        <v>6207</v>
      </c>
      <c r="K1121">
        <v>1</v>
      </c>
      <c r="L1121">
        <v>4</v>
      </c>
      <c r="M1121" t="s">
        <v>1</v>
      </c>
      <c r="V1121">
        <v>2</v>
      </c>
      <c r="W1121">
        <v>1</v>
      </c>
      <c r="X1121">
        <v>0</v>
      </c>
      <c r="Y1121">
        <v>0</v>
      </c>
      <c r="Z1121">
        <v>0</v>
      </c>
    </row>
    <row r="1122" spans="1:26" x14ac:dyDescent="0.2">
      <c r="A1122" t="s">
        <v>1240</v>
      </c>
      <c r="B1122" t="s">
        <v>61</v>
      </c>
      <c r="C1122">
        <v>2011</v>
      </c>
      <c r="D1122" t="s">
        <v>46</v>
      </c>
      <c r="E1122" t="s">
        <v>69</v>
      </c>
      <c r="F1122" t="s">
        <v>20</v>
      </c>
      <c r="G1122">
        <v>60704</v>
      </c>
      <c r="H1122">
        <v>48563.200000000004</v>
      </c>
      <c r="I1122" s="13">
        <v>0.6</v>
      </c>
      <c r="J1122" t="s">
        <v>6207</v>
      </c>
      <c r="K1122">
        <v>3</v>
      </c>
      <c r="L1122">
        <v>3</v>
      </c>
      <c r="M1122" t="s">
        <v>58</v>
      </c>
      <c r="V1122">
        <v>2</v>
      </c>
      <c r="W1122">
        <v>3</v>
      </c>
      <c r="X1122">
        <v>0</v>
      </c>
      <c r="Y1122">
        <v>0</v>
      </c>
      <c r="Z1122">
        <v>0</v>
      </c>
    </row>
    <row r="1123" spans="1:26" x14ac:dyDescent="0.2">
      <c r="A1123" t="s">
        <v>1241</v>
      </c>
      <c r="B1123" t="s">
        <v>56</v>
      </c>
      <c r="C1123">
        <v>2011</v>
      </c>
      <c r="D1123" t="s">
        <v>64</v>
      </c>
      <c r="E1123" t="s">
        <v>40</v>
      </c>
      <c r="F1123" t="s">
        <v>64</v>
      </c>
      <c r="G1123">
        <v>52264</v>
      </c>
      <c r="H1123">
        <v>41811.200000000004</v>
      </c>
      <c r="I1123" s="13">
        <v>0.5714285714285714</v>
      </c>
      <c r="J1123" t="s">
        <v>6207</v>
      </c>
      <c r="K1123">
        <v>0</v>
      </c>
      <c r="L1123">
        <v>2</v>
      </c>
      <c r="M1123" t="s">
        <v>1</v>
      </c>
      <c r="V1123">
        <v>4</v>
      </c>
      <c r="W1123">
        <v>3</v>
      </c>
      <c r="X1123">
        <v>0</v>
      </c>
      <c r="Y1123">
        <v>0</v>
      </c>
      <c r="Z1123">
        <v>0</v>
      </c>
    </row>
    <row r="1124" spans="1:26" x14ac:dyDescent="0.2">
      <c r="A1124" t="s">
        <v>1242</v>
      </c>
      <c r="B1124" t="s">
        <v>50</v>
      </c>
      <c r="C1124">
        <v>2011</v>
      </c>
      <c r="D1124" t="s">
        <v>22</v>
      </c>
      <c r="E1124" t="s">
        <v>45</v>
      </c>
      <c r="F1124" t="s">
        <v>24</v>
      </c>
      <c r="G1124">
        <v>31750</v>
      </c>
      <c r="H1124">
        <v>25400</v>
      </c>
      <c r="I1124" s="13">
        <v>0</v>
      </c>
      <c r="J1124" t="s">
        <v>6207</v>
      </c>
      <c r="K1124">
        <v>0</v>
      </c>
      <c r="L1124">
        <v>0</v>
      </c>
      <c r="M1124" t="s">
        <v>58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2">
      <c r="A1125" t="s">
        <v>1243</v>
      </c>
      <c r="B1125" t="s">
        <v>37</v>
      </c>
      <c r="C1125">
        <v>2011</v>
      </c>
      <c r="D1125" t="s">
        <v>70</v>
      </c>
      <c r="E1125" t="s">
        <v>27</v>
      </c>
      <c r="F1125" t="s">
        <v>20</v>
      </c>
      <c r="G1125">
        <v>18439</v>
      </c>
      <c r="H1125">
        <v>14751.2</v>
      </c>
      <c r="I1125" s="13">
        <v>0</v>
      </c>
      <c r="J1125" t="s">
        <v>6206</v>
      </c>
      <c r="K1125">
        <v>1</v>
      </c>
      <c r="L1125">
        <v>0</v>
      </c>
      <c r="M1125" t="s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 x14ac:dyDescent="0.2">
      <c r="A1126" t="s">
        <v>1244</v>
      </c>
      <c r="B1126" t="s">
        <v>32</v>
      </c>
      <c r="C1126">
        <v>2011</v>
      </c>
      <c r="D1126" t="s">
        <v>31</v>
      </c>
      <c r="E1126" t="s">
        <v>35</v>
      </c>
      <c r="F1126" t="s">
        <v>20</v>
      </c>
      <c r="G1126">
        <v>28500</v>
      </c>
      <c r="H1126">
        <v>22800</v>
      </c>
      <c r="I1126" s="13">
        <v>0</v>
      </c>
      <c r="J1126" t="s">
        <v>6207</v>
      </c>
      <c r="K1126">
        <v>2</v>
      </c>
      <c r="L1126">
        <v>1</v>
      </c>
      <c r="M1126" t="s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2">
      <c r="A1127" t="s">
        <v>1245</v>
      </c>
      <c r="B1127" t="s">
        <v>60</v>
      </c>
      <c r="C1127">
        <v>2011</v>
      </c>
      <c r="D1127" t="s">
        <v>34</v>
      </c>
      <c r="E1127" t="s">
        <v>63</v>
      </c>
      <c r="F1127" t="s">
        <v>36</v>
      </c>
      <c r="G1127">
        <v>28723</v>
      </c>
      <c r="H1127">
        <v>22978.400000000001</v>
      </c>
      <c r="I1127" s="13">
        <v>0.8</v>
      </c>
      <c r="J1127" t="s">
        <v>6208</v>
      </c>
      <c r="K1127">
        <v>2</v>
      </c>
      <c r="L1127">
        <v>2</v>
      </c>
      <c r="M1127" t="s">
        <v>58</v>
      </c>
      <c r="V1127">
        <v>1</v>
      </c>
      <c r="W1127">
        <v>4</v>
      </c>
      <c r="X1127">
        <v>0</v>
      </c>
      <c r="Y1127">
        <v>0</v>
      </c>
      <c r="Z1127">
        <v>1</v>
      </c>
    </row>
    <row r="1128" spans="1:26" x14ac:dyDescent="0.2">
      <c r="A1128" t="s">
        <v>1246</v>
      </c>
      <c r="B1128" t="s">
        <v>54</v>
      </c>
      <c r="C1128">
        <v>2011</v>
      </c>
      <c r="D1128" t="s">
        <v>42</v>
      </c>
      <c r="E1128" t="s">
        <v>51</v>
      </c>
      <c r="F1128" t="s">
        <v>38</v>
      </c>
      <c r="G1128">
        <v>42918</v>
      </c>
      <c r="H1128">
        <v>34334.400000000001</v>
      </c>
      <c r="I1128" s="13">
        <v>0.75</v>
      </c>
      <c r="J1128" t="s">
        <v>6206</v>
      </c>
      <c r="K1128">
        <v>1</v>
      </c>
      <c r="L1128">
        <v>1</v>
      </c>
      <c r="M1128" t="s">
        <v>58</v>
      </c>
      <c r="V1128">
        <v>1</v>
      </c>
      <c r="W1128">
        <v>2</v>
      </c>
      <c r="X1128">
        <v>0</v>
      </c>
      <c r="Y1128">
        <v>1</v>
      </c>
      <c r="Z1128">
        <v>1</v>
      </c>
    </row>
    <row r="1129" spans="1:26" x14ac:dyDescent="0.2">
      <c r="A1129" t="s">
        <v>1247</v>
      </c>
      <c r="B1129" t="s">
        <v>25</v>
      </c>
      <c r="C1129">
        <v>2011</v>
      </c>
      <c r="D1129" t="s">
        <v>48</v>
      </c>
      <c r="E1129" t="s">
        <v>71</v>
      </c>
      <c r="F1129" t="s">
        <v>49</v>
      </c>
      <c r="G1129">
        <v>74197</v>
      </c>
      <c r="H1129">
        <v>59357.600000000006</v>
      </c>
      <c r="I1129" s="13">
        <v>0</v>
      </c>
      <c r="J1129" t="s">
        <v>6207</v>
      </c>
      <c r="K1129">
        <v>2</v>
      </c>
      <c r="L1129">
        <v>0</v>
      </c>
      <c r="M1129" t="s">
        <v>0</v>
      </c>
      <c r="V1129">
        <v>1</v>
      </c>
      <c r="W1129">
        <v>0</v>
      </c>
      <c r="X1129">
        <v>0</v>
      </c>
      <c r="Y1129">
        <v>0</v>
      </c>
      <c r="Z1129">
        <v>0</v>
      </c>
    </row>
    <row r="1130" spans="1:26" x14ac:dyDescent="0.2">
      <c r="A1130" t="s">
        <v>1248</v>
      </c>
      <c r="B1130" t="s">
        <v>44</v>
      </c>
      <c r="C1130">
        <v>2011</v>
      </c>
      <c r="D1130" t="s">
        <v>39</v>
      </c>
      <c r="E1130" t="s">
        <v>43</v>
      </c>
      <c r="F1130" t="s">
        <v>39</v>
      </c>
      <c r="G1130">
        <v>31367</v>
      </c>
      <c r="H1130">
        <v>25093.600000000002</v>
      </c>
      <c r="I1130" s="13">
        <v>1</v>
      </c>
      <c r="J1130" t="s">
        <v>6207</v>
      </c>
      <c r="K1130">
        <v>0</v>
      </c>
      <c r="L1130">
        <v>1</v>
      </c>
      <c r="M1130" t="s">
        <v>1</v>
      </c>
      <c r="V1130">
        <v>2</v>
      </c>
      <c r="W1130">
        <v>1</v>
      </c>
      <c r="X1130">
        <v>0</v>
      </c>
      <c r="Y1130">
        <v>0</v>
      </c>
      <c r="Z1130">
        <v>0</v>
      </c>
    </row>
    <row r="1131" spans="1:26" x14ac:dyDescent="0.2">
      <c r="A1131" t="s">
        <v>1249</v>
      </c>
      <c r="B1131" t="s">
        <v>60</v>
      </c>
      <c r="C1131">
        <v>2011</v>
      </c>
      <c r="D1131" t="s">
        <v>26</v>
      </c>
      <c r="E1131" t="s">
        <v>18</v>
      </c>
      <c r="F1131" t="s">
        <v>26</v>
      </c>
      <c r="G1131">
        <v>61276</v>
      </c>
      <c r="H1131">
        <v>49020.800000000003</v>
      </c>
      <c r="I1131" s="13">
        <v>0.66666666666666663</v>
      </c>
      <c r="J1131" t="s">
        <v>6208</v>
      </c>
      <c r="K1131">
        <v>4</v>
      </c>
      <c r="L1131">
        <v>1</v>
      </c>
      <c r="M1131" t="s">
        <v>0</v>
      </c>
      <c r="V1131">
        <v>2</v>
      </c>
      <c r="W1131">
        <v>4</v>
      </c>
      <c r="X1131">
        <v>0</v>
      </c>
      <c r="Y1131">
        <v>0</v>
      </c>
      <c r="Z1131">
        <v>0</v>
      </c>
    </row>
    <row r="1132" spans="1:26" x14ac:dyDescent="0.2">
      <c r="A1132" t="s">
        <v>1250</v>
      </c>
      <c r="B1132" t="s">
        <v>66</v>
      </c>
      <c r="C1132">
        <v>2011</v>
      </c>
      <c r="D1132" t="s">
        <v>43</v>
      </c>
      <c r="E1132" t="s">
        <v>22</v>
      </c>
      <c r="F1132" t="s">
        <v>43</v>
      </c>
      <c r="G1132">
        <v>25138</v>
      </c>
      <c r="H1132">
        <v>20110.400000000001</v>
      </c>
      <c r="I1132" s="13">
        <v>0.33333333333333331</v>
      </c>
      <c r="J1132" t="s">
        <v>6207</v>
      </c>
      <c r="K1132">
        <v>3</v>
      </c>
      <c r="L1132">
        <v>2</v>
      </c>
      <c r="M1132" t="s">
        <v>0</v>
      </c>
      <c r="V1132">
        <v>1</v>
      </c>
      <c r="W1132">
        <v>2</v>
      </c>
      <c r="X1132">
        <v>0</v>
      </c>
      <c r="Y1132">
        <v>0</v>
      </c>
      <c r="Z1132">
        <v>0</v>
      </c>
    </row>
    <row r="1133" spans="1:26" x14ac:dyDescent="0.2">
      <c r="A1133" t="s">
        <v>1251</v>
      </c>
      <c r="B1133" t="s">
        <v>53</v>
      </c>
      <c r="C1133">
        <v>2011</v>
      </c>
      <c r="D1133" t="s">
        <v>63</v>
      </c>
      <c r="E1133" t="s">
        <v>46</v>
      </c>
      <c r="F1133" t="s">
        <v>65</v>
      </c>
      <c r="G1133">
        <v>26804</v>
      </c>
      <c r="H1133">
        <v>21443.200000000001</v>
      </c>
      <c r="I1133" s="13">
        <v>0</v>
      </c>
      <c r="J1133" t="s">
        <v>6207</v>
      </c>
      <c r="K1133">
        <v>2</v>
      </c>
      <c r="L1133">
        <v>3</v>
      </c>
      <c r="M1133" t="s">
        <v>1</v>
      </c>
      <c r="V1133">
        <v>0</v>
      </c>
      <c r="W1133">
        <v>1</v>
      </c>
      <c r="X1133">
        <v>0</v>
      </c>
      <c r="Y1133">
        <v>0</v>
      </c>
      <c r="Z1133">
        <v>0</v>
      </c>
    </row>
    <row r="1134" spans="1:26" x14ac:dyDescent="0.2">
      <c r="A1134" t="s">
        <v>1252</v>
      </c>
      <c r="B1134" t="s">
        <v>52</v>
      </c>
      <c r="C1134">
        <v>2011</v>
      </c>
      <c r="D1134" t="s">
        <v>51</v>
      </c>
      <c r="E1134" t="s">
        <v>31</v>
      </c>
      <c r="F1134" t="s">
        <v>20</v>
      </c>
      <c r="G1134">
        <v>36284</v>
      </c>
      <c r="H1134">
        <v>29027.200000000001</v>
      </c>
      <c r="I1134" s="13">
        <v>1</v>
      </c>
      <c r="J1134" t="s">
        <v>6207</v>
      </c>
      <c r="K1134">
        <v>2</v>
      </c>
      <c r="L1134">
        <v>0</v>
      </c>
      <c r="M1134" t="s">
        <v>0</v>
      </c>
      <c r="V1134">
        <v>0</v>
      </c>
      <c r="W1134">
        <v>2</v>
      </c>
      <c r="X1134">
        <v>0</v>
      </c>
      <c r="Y1134">
        <v>0</v>
      </c>
      <c r="Z1134">
        <v>0</v>
      </c>
    </row>
    <row r="1135" spans="1:26" x14ac:dyDescent="0.2">
      <c r="A1135" t="s">
        <v>1253</v>
      </c>
      <c r="B1135" t="s">
        <v>47</v>
      </c>
      <c r="C1135">
        <v>2011</v>
      </c>
      <c r="D1135" t="s">
        <v>71</v>
      </c>
      <c r="E1135" t="s">
        <v>26</v>
      </c>
      <c r="F1135" t="s">
        <v>71</v>
      </c>
      <c r="G1135">
        <v>21088</v>
      </c>
      <c r="H1135">
        <v>16870.400000000001</v>
      </c>
      <c r="I1135" s="13">
        <v>0</v>
      </c>
      <c r="J1135" t="s">
        <v>6208</v>
      </c>
      <c r="K1135">
        <v>1</v>
      </c>
      <c r="L1135">
        <v>0</v>
      </c>
      <c r="M1135" t="s">
        <v>0</v>
      </c>
      <c r="V1135">
        <v>1</v>
      </c>
      <c r="W1135">
        <v>1</v>
      </c>
      <c r="X1135">
        <v>0</v>
      </c>
      <c r="Y1135">
        <v>0</v>
      </c>
      <c r="Z1135">
        <v>0</v>
      </c>
    </row>
    <row r="1136" spans="1:26" x14ac:dyDescent="0.2">
      <c r="A1136" t="s">
        <v>1254</v>
      </c>
      <c r="B1136" t="s">
        <v>56</v>
      </c>
      <c r="C1136">
        <v>2011</v>
      </c>
      <c r="D1136" t="s">
        <v>35</v>
      </c>
      <c r="E1136" t="s">
        <v>48</v>
      </c>
      <c r="F1136" t="s">
        <v>35</v>
      </c>
      <c r="G1136">
        <v>49000</v>
      </c>
      <c r="H1136">
        <v>39200</v>
      </c>
      <c r="I1136" s="13">
        <v>0.16666666666666666</v>
      </c>
      <c r="J1136" t="s">
        <v>6207</v>
      </c>
      <c r="K1136">
        <v>0</v>
      </c>
      <c r="L1136">
        <v>1</v>
      </c>
      <c r="M1136" t="s">
        <v>1</v>
      </c>
      <c r="V1136">
        <v>3</v>
      </c>
      <c r="W1136">
        <v>3</v>
      </c>
      <c r="X1136">
        <v>0</v>
      </c>
      <c r="Y1136">
        <v>0</v>
      </c>
      <c r="Z1136">
        <v>0</v>
      </c>
    </row>
    <row r="1137" spans="1:26" x14ac:dyDescent="0.2">
      <c r="A1137" t="s">
        <v>1255</v>
      </c>
      <c r="B1137" t="s">
        <v>25</v>
      </c>
      <c r="C1137">
        <v>2011</v>
      </c>
      <c r="D1137" t="s">
        <v>27</v>
      </c>
      <c r="E1137" t="s">
        <v>34</v>
      </c>
      <c r="F1137" t="s">
        <v>27</v>
      </c>
      <c r="G1137">
        <v>30089</v>
      </c>
      <c r="H1137">
        <v>24071.200000000001</v>
      </c>
      <c r="I1137" s="13">
        <v>0.5</v>
      </c>
      <c r="J1137" t="s">
        <v>6207</v>
      </c>
      <c r="K1137">
        <v>2</v>
      </c>
      <c r="L1137">
        <v>2</v>
      </c>
      <c r="M1137" t="s">
        <v>58</v>
      </c>
      <c r="V1137">
        <v>1</v>
      </c>
      <c r="W1137">
        <v>1</v>
      </c>
      <c r="X1137">
        <v>0</v>
      </c>
      <c r="Y1137">
        <v>0</v>
      </c>
      <c r="Z1137">
        <v>0</v>
      </c>
    </row>
    <row r="1138" spans="1:26" x14ac:dyDescent="0.2">
      <c r="A1138" t="s">
        <v>1256</v>
      </c>
      <c r="B1138" t="s">
        <v>32</v>
      </c>
      <c r="C1138">
        <v>2011</v>
      </c>
      <c r="D1138" t="s">
        <v>69</v>
      </c>
      <c r="E1138" t="s">
        <v>42</v>
      </c>
      <c r="F1138" t="s">
        <v>69</v>
      </c>
      <c r="G1138">
        <v>27359</v>
      </c>
      <c r="H1138">
        <v>21887.200000000001</v>
      </c>
      <c r="I1138" s="13">
        <v>0.66666666666666663</v>
      </c>
      <c r="J1138" t="s">
        <v>6207</v>
      </c>
      <c r="K1138">
        <v>2</v>
      </c>
      <c r="L1138">
        <v>0</v>
      </c>
      <c r="M1138" t="s">
        <v>0</v>
      </c>
      <c r="V1138">
        <v>1</v>
      </c>
      <c r="W1138">
        <v>2</v>
      </c>
      <c r="X1138">
        <v>0</v>
      </c>
      <c r="Y1138">
        <v>0</v>
      </c>
      <c r="Z1138">
        <v>0</v>
      </c>
    </row>
    <row r="1139" spans="1:26" x14ac:dyDescent="0.2">
      <c r="A1139" t="s">
        <v>1257</v>
      </c>
      <c r="B1139" t="s">
        <v>41</v>
      </c>
      <c r="C1139">
        <v>2011</v>
      </c>
      <c r="D1139" t="s">
        <v>40</v>
      </c>
      <c r="E1139" t="s">
        <v>70</v>
      </c>
      <c r="F1139" t="s">
        <v>49</v>
      </c>
      <c r="G1139">
        <v>53400</v>
      </c>
      <c r="H1139">
        <v>42720</v>
      </c>
      <c r="I1139" s="13">
        <v>0.33333333333333331</v>
      </c>
      <c r="J1139" t="s">
        <v>6207</v>
      </c>
      <c r="K1139">
        <v>3</v>
      </c>
      <c r="L1139">
        <v>2</v>
      </c>
      <c r="M1139" t="s">
        <v>0</v>
      </c>
      <c r="N1139">
        <v>81</v>
      </c>
      <c r="O1139">
        <v>19</v>
      </c>
      <c r="R1139">
        <v>19</v>
      </c>
      <c r="S1139">
        <v>0</v>
      </c>
      <c r="T1139">
        <v>4</v>
      </c>
      <c r="U1139">
        <v>7</v>
      </c>
      <c r="V1139">
        <v>1</v>
      </c>
      <c r="W1139">
        <v>1</v>
      </c>
      <c r="X1139">
        <v>0</v>
      </c>
      <c r="Y1139">
        <v>1</v>
      </c>
      <c r="Z1139">
        <v>0</v>
      </c>
    </row>
    <row r="1140" spans="1:26" x14ac:dyDescent="0.2">
      <c r="A1140" t="s">
        <v>1258</v>
      </c>
      <c r="B1140" t="s">
        <v>37</v>
      </c>
      <c r="C1140">
        <v>2011</v>
      </c>
      <c r="D1140" t="s">
        <v>45</v>
      </c>
      <c r="E1140" t="s">
        <v>64</v>
      </c>
      <c r="F1140" t="s">
        <v>26</v>
      </c>
      <c r="G1140">
        <v>39572</v>
      </c>
      <c r="H1140">
        <v>31657.600000000002</v>
      </c>
      <c r="I1140" s="13">
        <v>0.8</v>
      </c>
      <c r="J1140" t="s">
        <v>6206</v>
      </c>
      <c r="K1140">
        <v>3</v>
      </c>
      <c r="L1140">
        <v>1</v>
      </c>
      <c r="M1140" t="s">
        <v>0</v>
      </c>
      <c r="V1140">
        <v>2</v>
      </c>
      <c r="W1140">
        <v>2</v>
      </c>
      <c r="X1140">
        <v>1</v>
      </c>
      <c r="Y1140">
        <v>0</v>
      </c>
      <c r="Z1140">
        <v>0</v>
      </c>
    </row>
    <row r="1141" spans="1:26" x14ac:dyDescent="0.2">
      <c r="A1141" t="s">
        <v>1259</v>
      </c>
      <c r="B1141" t="s">
        <v>50</v>
      </c>
      <c r="C1141">
        <v>2011</v>
      </c>
      <c r="D1141" t="s">
        <v>18</v>
      </c>
      <c r="E1141" t="s">
        <v>39</v>
      </c>
      <c r="F1141" t="s">
        <v>20</v>
      </c>
      <c r="G1141">
        <v>40341</v>
      </c>
      <c r="H1141">
        <v>32272.800000000003</v>
      </c>
      <c r="I1141" s="13">
        <v>0</v>
      </c>
      <c r="J1141" t="s">
        <v>6207</v>
      </c>
      <c r="K1141">
        <v>2</v>
      </c>
      <c r="L1141">
        <v>1</v>
      </c>
      <c r="M1141" t="s">
        <v>0</v>
      </c>
      <c r="V1141">
        <v>1</v>
      </c>
      <c r="W1141">
        <v>0</v>
      </c>
      <c r="X1141">
        <v>0</v>
      </c>
      <c r="Y1141">
        <v>0</v>
      </c>
      <c r="Z1141">
        <v>0</v>
      </c>
    </row>
    <row r="1142" spans="1:26" x14ac:dyDescent="0.2">
      <c r="A1142" t="s">
        <v>1260</v>
      </c>
      <c r="B1142" t="s">
        <v>41</v>
      </c>
      <c r="C1142">
        <v>2012</v>
      </c>
      <c r="D1142" t="s">
        <v>23</v>
      </c>
      <c r="E1142" t="s">
        <v>42</v>
      </c>
      <c r="F1142" t="s">
        <v>20</v>
      </c>
      <c r="G1142">
        <v>62500</v>
      </c>
      <c r="H1142">
        <v>50000</v>
      </c>
      <c r="I1142" s="13">
        <v>1</v>
      </c>
      <c r="J1142" t="s">
        <v>6207</v>
      </c>
      <c r="K1142">
        <v>1</v>
      </c>
      <c r="L1142">
        <v>0</v>
      </c>
      <c r="M1142" t="s">
        <v>0</v>
      </c>
      <c r="V1142">
        <v>0</v>
      </c>
      <c r="W1142">
        <v>1</v>
      </c>
      <c r="X1142">
        <v>0</v>
      </c>
      <c r="Y1142">
        <v>0</v>
      </c>
      <c r="Z1142">
        <v>0</v>
      </c>
    </row>
    <row r="1143" spans="1:26" x14ac:dyDescent="0.2">
      <c r="A1143" t="s">
        <v>1261</v>
      </c>
      <c r="B1143" t="s">
        <v>52</v>
      </c>
      <c r="C1143">
        <v>2012</v>
      </c>
      <c r="D1143" t="s">
        <v>63</v>
      </c>
      <c r="E1143" t="s">
        <v>26</v>
      </c>
      <c r="F1143" t="s">
        <v>65</v>
      </c>
      <c r="G1143">
        <v>26804</v>
      </c>
      <c r="H1143">
        <v>21443.200000000001</v>
      </c>
      <c r="I1143" s="13">
        <v>0.66666666666666663</v>
      </c>
      <c r="J1143" t="s">
        <v>6207</v>
      </c>
      <c r="K1143">
        <v>3</v>
      </c>
      <c r="L1143">
        <v>0</v>
      </c>
      <c r="M1143" t="s">
        <v>0</v>
      </c>
      <c r="V1143">
        <v>1</v>
      </c>
      <c r="W1143">
        <v>4</v>
      </c>
      <c r="X1143">
        <v>0</v>
      </c>
      <c r="Y1143">
        <v>1</v>
      </c>
      <c r="Z1143">
        <v>2</v>
      </c>
    </row>
    <row r="1144" spans="1:26" x14ac:dyDescent="0.2">
      <c r="A1144" t="s">
        <v>1262</v>
      </c>
      <c r="B1144" t="s">
        <v>60</v>
      </c>
      <c r="C1144">
        <v>2012</v>
      </c>
      <c r="D1144" t="s">
        <v>72</v>
      </c>
      <c r="E1144" t="s">
        <v>27</v>
      </c>
      <c r="F1144" t="s">
        <v>72</v>
      </c>
      <c r="G1144">
        <v>24161</v>
      </c>
      <c r="H1144">
        <v>19328.8</v>
      </c>
      <c r="I1144" s="13">
        <v>0.375</v>
      </c>
      <c r="J1144" t="s">
        <v>6208</v>
      </c>
      <c r="K1144">
        <v>1</v>
      </c>
      <c r="L1144">
        <v>1</v>
      </c>
      <c r="M1144" t="s">
        <v>58</v>
      </c>
      <c r="V1144">
        <v>2</v>
      </c>
      <c r="W1144">
        <v>5</v>
      </c>
      <c r="X1144">
        <v>0</v>
      </c>
      <c r="Y1144">
        <v>1</v>
      </c>
      <c r="Z1144">
        <v>1</v>
      </c>
    </row>
    <row r="1145" spans="1:26" x14ac:dyDescent="0.2">
      <c r="A1145" t="s">
        <v>1263</v>
      </c>
      <c r="B1145" t="s">
        <v>54</v>
      </c>
      <c r="C1145">
        <v>2012</v>
      </c>
      <c r="D1145" t="s">
        <v>70</v>
      </c>
      <c r="E1145" t="s">
        <v>71</v>
      </c>
      <c r="F1145" t="s">
        <v>20</v>
      </c>
      <c r="G1145">
        <v>18439</v>
      </c>
      <c r="H1145">
        <v>14751.2</v>
      </c>
      <c r="I1145" s="13">
        <v>1</v>
      </c>
      <c r="J1145" t="s">
        <v>6206</v>
      </c>
      <c r="K1145">
        <v>0</v>
      </c>
      <c r="L1145">
        <v>5</v>
      </c>
      <c r="M1145" t="s">
        <v>1</v>
      </c>
      <c r="N1145">
        <v>50</v>
      </c>
      <c r="O1145">
        <v>50</v>
      </c>
      <c r="R1145">
        <v>5</v>
      </c>
      <c r="S1145">
        <v>3</v>
      </c>
      <c r="T1145">
        <v>12</v>
      </c>
      <c r="U1145">
        <v>16</v>
      </c>
      <c r="V1145">
        <v>2</v>
      </c>
      <c r="W1145">
        <v>2</v>
      </c>
      <c r="X1145">
        <v>0</v>
      </c>
      <c r="Y1145">
        <v>0</v>
      </c>
      <c r="Z1145">
        <v>0</v>
      </c>
    </row>
    <row r="1146" spans="1:26" x14ac:dyDescent="0.2">
      <c r="A1146" t="s">
        <v>1264</v>
      </c>
      <c r="B1146" t="s">
        <v>66</v>
      </c>
      <c r="C1146">
        <v>2012</v>
      </c>
      <c r="D1146" t="s">
        <v>31</v>
      </c>
      <c r="E1146" t="s">
        <v>69</v>
      </c>
      <c r="F1146" t="s">
        <v>20</v>
      </c>
      <c r="G1146">
        <v>28500</v>
      </c>
      <c r="H1146">
        <v>22800</v>
      </c>
      <c r="I1146" s="13">
        <v>0</v>
      </c>
      <c r="J1146" t="s">
        <v>6207</v>
      </c>
      <c r="K1146">
        <v>5</v>
      </c>
      <c r="L1146">
        <v>0</v>
      </c>
      <c r="M1146" t="s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 x14ac:dyDescent="0.2">
      <c r="A1147" t="s">
        <v>1265</v>
      </c>
      <c r="B1147" t="s">
        <v>25</v>
      </c>
      <c r="C1147">
        <v>2012</v>
      </c>
      <c r="D1147" t="s">
        <v>46</v>
      </c>
      <c r="E1147" t="s">
        <v>35</v>
      </c>
      <c r="F1147" t="s">
        <v>20</v>
      </c>
      <c r="G1147">
        <v>60704</v>
      </c>
      <c r="H1147">
        <v>48563.200000000004</v>
      </c>
      <c r="I1147" s="13">
        <v>0</v>
      </c>
      <c r="J1147" t="s">
        <v>6207</v>
      </c>
      <c r="K1147">
        <v>0</v>
      </c>
      <c r="L1147">
        <v>0</v>
      </c>
      <c r="M1147" t="s">
        <v>58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 x14ac:dyDescent="0.2">
      <c r="A1148" t="s">
        <v>1266</v>
      </c>
      <c r="B1148" t="s">
        <v>32</v>
      </c>
      <c r="C1148">
        <v>2012</v>
      </c>
      <c r="D1148" t="s">
        <v>64</v>
      </c>
      <c r="E1148" t="s">
        <v>51</v>
      </c>
      <c r="F1148" t="s">
        <v>64</v>
      </c>
      <c r="G1148">
        <v>52264</v>
      </c>
      <c r="H1148">
        <v>41811.200000000004</v>
      </c>
      <c r="I1148" s="13">
        <v>0.5</v>
      </c>
      <c r="J1148" t="s">
        <v>6207</v>
      </c>
      <c r="K1148">
        <v>2</v>
      </c>
      <c r="L1148">
        <v>1</v>
      </c>
      <c r="M1148" t="s">
        <v>0</v>
      </c>
      <c r="V1148">
        <v>2</v>
      </c>
      <c r="W1148">
        <v>2</v>
      </c>
      <c r="X1148">
        <v>0</v>
      </c>
      <c r="Y1148">
        <v>0</v>
      </c>
      <c r="Z1148">
        <v>1</v>
      </c>
    </row>
    <row r="1149" spans="1:26" x14ac:dyDescent="0.2">
      <c r="A1149" t="s">
        <v>1267</v>
      </c>
      <c r="B1149" t="s">
        <v>53</v>
      </c>
      <c r="C1149">
        <v>2012</v>
      </c>
      <c r="D1149" t="s">
        <v>43</v>
      </c>
      <c r="E1149" t="s">
        <v>18</v>
      </c>
      <c r="F1149" t="s">
        <v>43</v>
      </c>
      <c r="G1149">
        <v>25138</v>
      </c>
      <c r="H1149">
        <v>20110.400000000001</v>
      </c>
      <c r="I1149" s="13">
        <v>0.25</v>
      </c>
      <c r="J1149" t="s">
        <v>6207</v>
      </c>
      <c r="K1149">
        <v>0</v>
      </c>
      <c r="L1149">
        <v>2</v>
      </c>
      <c r="M1149" t="s">
        <v>1</v>
      </c>
      <c r="V1149">
        <v>2</v>
      </c>
      <c r="W1149">
        <v>2</v>
      </c>
      <c r="X1149">
        <v>0</v>
      </c>
      <c r="Y1149">
        <v>0</v>
      </c>
      <c r="Z1149">
        <v>1</v>
      </c>
    </row>
    <row r="1150" spans="1:26" x14ac:dyDescent="0.2">
      <c r="A1150" t="s">
        <v>1268</v>
      </c>
      <c r="B1150" t="s">
        <v>56</v>
      </c>
      <c r="C1150">
        <v>2012</v>
      </c>
      <c r="D1150" t="s">
        <v>40</v>
      </c>
      <c r="E1150" t="s">
        <v>73</v>
      </c>
      <c r="F1150" t="s">
        <v>49</v>
      </c>
      <c r="G1150">
        <v>53400</v>
      </c>
      <c r="H1150">
        <v>42720</v>
      </c>
      <c r="I1150" s="13">
        <v>0.66666666666666663</v>
      </c>
      <c r="J1150" t="s">
        <v>6207</v>
      </c>
      <c r="K1150">
        <v>3</v>
      </c>
      <c r="L1150">
        <v>2</v>
      </c>
      <c r="M1150" t="s">
        <v>0</v>
      </c>
      <c r="V1150">
        <v>1</v>
      </c>
      <c r="W1150">
        <v>2</v>
      </c>
      <c r="X1150">
        <v>0</v>
      </c>
      <c r="Y1150">
        <v>0</v>
      </c>
      <c r="Z1150">
        <v>0</v>
      </c>
    </row>
    <row r="1151" spans="1:26" x14ac:dyDescent="0.2">
      <c r="A1151" t="s">
        <v>1269</v>
      </c>
      <c r="B1151" t="s">
        <v>37</v>
      </c>
      <c r="C1151">
        <v>2012</v>
      </c>
      <c r="D1151" t="s">
        <v>45</v>
      </c>
      <c r="E1151" t="s">
        <v>48</v>
      </c>
      <c r="F1151" t="s">
        <v>26</v>
      </c>
      <c r="G1151">
        <v>39572</v>
      </c>
      <c r="H1151">
        <v>31657.600000000002</v>
      </c>
      <c r="I1151" s="13">
        <v>0.66666666666666663</v>
      </c>
      <c r="J1151" t="s">
        <v>6206</v>
      </c>
      <c r="K1151">
        <v>1</v>
      </c>
      <c r="L1151">
        <v>0</v>
      </c>
      <c r="M1151" t="s">
        <v>0</v>
      </c>
      <c r="V1151">
        <v>1</v>
      </c>
      <c r="W1151">
        <v>2</v>
      </c>
      <c r="X1151">
        <v>0</v>
      </c>
      <c r="Y1151">
        <v>0</v>
      </c>
      <c r="Z1151">
        <v>0</v>
      </c>
    </row>
    <row r="1152" spans="1:26" x14ac:dyDescent="0.2">
      <c r="A1152" t="s">
        <v>1270</v>
      </c>
      <c r="B1152" t="s">
        <v>50</v>
      </c>
      <c r="C1152">
        <v>2012</v>
      </c>
      <c r="D1152" t="s">
        <v>18</v>
      </c>
      <c r="E1152" t="s">
        <v>72</v>
      </c>
      <c r="F1152" t="s">
        <v>20</v>
      </c>
      <c r="G1152">
        <v>40341</v>
      </c>
      <c r="H1152">
        <v>32272.800000000003</v>
      </c>
      <c r="I1152" s="13">
        <v>1</v>
      </c>
      <c r="J1152" t="s">
        <v>6207</v>
      </c>
      <c r="K1152">
        <v>4</v>
      </c>
      <c r="L1152">
        <v>2</v>
      </c>
      <c r="M1152" t="s">
        <v>0</v>
      </c>
      <c r="V1152">
        <v>0</v>
      </c>
      <c r="W1152">
        <v>2</v>
      </c>
      <c r="X1152">
        <v>0</v>
      </c>
      <c r="Y1152">
        <v>0</v>
      </c>
      <c r="Z1152">
        <v>1</v>
      </c>
    </row>
    <row r="1153" spans="1:26" x14ac:dyDescent="0.2">
      <c r="A1153" t="s">
        <v>1271</v>
      </c>
      <c r="B1153" t="s">
        <v>32</v>
      </c>
      <c r="C1153">
        <v>2012</v>
      </c>
      <c r="D1153" t="s">
        <v>71</v>
      </c>
      <c r="E1153" t="s">
        <v>23</v>
      </c>
      <c r="F1153" t="s">
        <v>71</v>
      </c>
      <c r="G1153">
        <v>21088</v>
      </c>
      <c r="H1153">
        <v>16870.400000000001</v>
      </c>
      <c r="I1153" s="13">
        <v>0.5</v>
      </c>
      <c r="J1153" t="s">
        <v>6207</v>
      </c>
      <c r="K1153">
        <v>3</v>
      </c>
      <c r="L1153">
        <v>0</v>
      </c>
      <c r="M1153" t="s">
        <v>0</v>
      </c>
      <c r="V1153">
        <v>2</v>
      </c>
      <c r="W1153">
        <v>4</v>
      </c>
      <c r="X1153">
        <v>0</v>
      </c>
      <c r="Y1153">
        <v>0</v>
      </c>
      <c r="Z1153">
        <v>0</v>
      </c>
    </row>
    <row r="1154" spans="1:26" x14ac:dyDescent="0.2">
      <c r="A1154" t="s">
        <v>1272</v>
      </c>
      <c r="B1154" t="s">
        <v>41</v>
      </c>
      <c r="C1154">
        <v>2012</v>
      </c>
      <c r="D1154" t="s">
        <v>51</v>
      </c>
      <c r="E1154" t="s">
        <v>63</v>
      </c>
      <c r="F1154" t="s">
        <v>20</v>
      </c>
      <c r="G1154">
        <v>36284</v>
      </c>
      <c r="H1154">
        <v>29027.200000000001</v>
      </c>
      <c r="I1154" s="13">
        <v>1</v>
      </c>
      <c r="J1154" t="s">
        <v>6207</v>
      </c>
      <c r="K1154">
        <v>1</v>
      </c>
      <c r="L1154">
        <v>1</v>
      </c>
      <c r="M1154" t="s">
        <v>58</v>
      </c>
      <c r="V1154">
        <v>1</v>
      </c>
      <c r="W1154">
        <v>2</v>
      </c>
      <c r="X1154">
        <v>0</v>
      </c>
      <c r="Y1154">
        <v>0</v>
      </c>
      <c r="Z1154">
        <v>0</v>
      </c>
    </row>
    <row r="1155" spans="1:26" x14ac:dyDescent="0.2">
      <c r="A1155" t="s">
        <v>1273</v>
      </c>
      <c r="B1155" t="s">
        <v>61</v>
      </c>
      <c r="C1155">
        <v>2012</v>
      </c>
      <c r="D1155" t="s">
        <v>73</v>
      </c>
      <c r="E1155" t="s">
        <v>43</v>
      </c>
      <c r="F1155" t="s">
        <v>73</v>
      </c>
      <c r="G1155">
        <v>32384</v>
      </c>
      <c r="H1155">
        <v>25907.200000000001</v>
      </c>
      <c r="I1155" s="13">
        <v>0</v>
      </c>
      <c r="J1155" t="s">
        <v>6207</v>
      </c>
      <c r="K1155">
        <v>0</v>
      </c>
      <c r="L1155">
        <v>2</v>
      </c>
      <c r="M1155" t="s">
        <v>1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2">
      <c r="A1156" t="s">
        <v>1274</v>
      </c>
      <c r="B1156" t="s">
        <v>44</v>
      </c>
      <c r="C1156">
        <v>2012</v>
      </c>
      <c r="D1156" t="s">
        <v>69</v>
      </c>
      <c r="E1156" t="s">
        <v>70</v>
      </c>
      <c r="F1156" t="s">
        <v>69</v>
      </c>
      <c r="G1156">
        <v>27359</v>
      </c>
      <c r="H1156">
        <v>21887.200000000001</v>
      </c>
      <c r="I1156" s="13">
        <v>0</v>
      </c>
      <c r="J1156" t="s">
        <v>6207</v>
      </c>
      <c r="K1156">
        <v>1</v>
      </c>
      <c r="L1156">
        <v>1</v>
      </c>
      <c r="M1156" t="s">
        <v>58</v>
      </c>
      <c r="V1156">
        <v>0</v>
      </c>
      <c r="W1156">
        <v>2</v>
      </c>
      <c r="X1156">
        <v>0</v>
      </c>
      <c r="Y1156">
        <v>0</v>
      </c>
      <c r="Z1156">
        <v>1</v>
      </c>
    </row>
    <row r="1157" spans="1:26" x14ac:dyDescent="0.2">
      <c r="A1157" t="s">
        <v>1275</v>
      </c>
      <c r="B1157" t="s">
        <v>60</v>
      </c>
      <c r="C1157">
        <v>2012</v>
      </c>
      <c r="D1157" t="s">
        <v>48</v>
      </c>
      <c r="E1157" t="s">
        <v>31</v>
      </c>
      <c r="F1157" t="s">
        <v>49</v>
      </c>
      <c r="G1157">
        <v>74197</v>
      </c>
      <c r="H1157">
        <v>59357.600000000006</v>
      </c>
      <c r="I1157" s="13">
        <v>1</v>
      </c>
      <c r="J1157" t="s">
        <v>6208</v>
      </c>
      <c r="K1157">
        <v>3</v>
      </c>
      <c r="L1157">
        <v>2</v>
      </c>
      <c r="M1157" t="s">
        <v>0</v>
      </c>
      <c r="V1157">
        <v>0</v>
      </c>
      <c r="W1157">
        <v>1</v>
      </c>
      <c r="X1157">
        <v>0</v>
      </c>
      <c r="Y1157">
        <v>0</v>
      </c>
      <c r="Z1157">
        <v>0</v>
      </c>
    </row>
    <row r="1158" spans="1:26" x14ac:dyDescent="0.2">
      <c r="A1158" t="s">
        <v>1276</v>
      </c>
      <c r="B1158" t="s">
        <v>66</v>
      </c>
      <c r="C1158">
        <v>2012</v>
      </c>
      <c r="D1158" t="s">
        <v>42</v>
      </c>
      <c r="E1158" t="s">
        <v>45</v>
      </c>
      <c r="F1158" t="s">
        <v>38</v>
      </c>
      <c r="G1158">
        <v>42918</v>
      </c>
      <c r="H1158">
        <v>34334.400000000001</v>
      </c>
      <c r="I1158" s="13">
        <v>1</v>
      </c>
      <c r="J1158" t="s">
        <v>6207</v>
      </c>
      <c r="K1158">
        <v>1</v>
      </c>
      <c r="L1158">
        <v>3</v>
      </c>
      <c r="M1158" t="s">
        <v>1</v>
      </c>
      <c r="V1158">
        <v>1</v>
      </c>
      <c r="W1158">
        <v>0</v>
      </c>
      <c r="X1158">
        <v>1</v>
      </c>
      <c r="Y1158">
        <v>0</v>
      </c>
      <c r="Z1158">
        <v>0</v>
      </c>
    </row>
    <row r="1159" spans="1:26" x14ac:dyDescent="0.2">
      <c r="A1159" t="s">
        <v>1277</v>
      </c>
      <c r="B1159" t="s">
        <v>52</v>
      </c>
      <c r="C1159">
        <v>2012</v>
      </c>
      <c r="D1159" t="s">
        <v>18</v>
      </c>
      <c r="E1159" t="s">
        <v>64</v>
      </c>
      <c r="F1159" t="s">
        <v>20</v>
      </c>
      <c r="G1159">
        <v>40341</v>
      </c>
      <c r="H1159">
        <v>32272.800000000003</v>
      </c>
      <c r="I1159" s="13">
        <v>1</v>
      </c>
      <c r="J1159" t="s">
        <v>6207</v>
      </c>
      <c r="K1159">
        <v>2</v>
      </c>
      <c r="L1159">
        <v>0</v>
      </c>
      <c r="M1159" t="s">
        <v>0</v>
      </c>
      <c r="V1159">
        <v>1</v>
      </c>
      <c r="W1159">
        <v>0</v>
      </c>
      <c r="X1159">
        <v>0</v>
      </c>
      <c r="Y1159">
        <v>0</v>
      </c>
      <c r="Z1159">
        <v>1</v>
      </c>
    </row>
    <row r="1160" spans="1:26" x14ac:dyDescent="0.2">
      <c r="A1160" t="s">
        <v>1278</v>
      </c>
      <c r="B1160" t="s">
        <v>50</v>
      </c>
      <c r="C1160">
        <v>2012</v>
      </c>
      <c r="D1160" t="s">
        <v>27</v>
      </c>
      <c r="E1160" t="s">
        <v>46</v>
      </c>
      <c r="F1160" t="s">
        <v>27</v>
      </c>
      <c r="G1160">
        <v>30089</v>
      </c>
      <c r="H1160">
        <v>24071.200000000001</v>
      </c>
      <c r="I1160" s="13">
        <v>0.5</v>
      </c>
      <c r="J1160" t="s">
        <v>6207</v>
      </c>
      <c r="K1160">
        <v>0</v>
      </c>
      <c r="L1160">
        <v>0</v>
      </c>
      <c r="M1160" t="s">
        <v>58</v>
      </c>
      <c r="V1160">
        <v>2</v>
      </c>
      <c r="W1160">
        <v>0</v>
      </c>
      <c r="X1160">
        <v>0</v>
      </c>
      <c r="Y1160">
        <v>0</v>
      </c>
      <c r="Z1160">
        <v>0</v>
      </c>
    </row>
    <row r="1161" spans="1:26" x14ac:dyDescent="0.2">
      <c r="A1161" t="s">
        <v>1279</v>
      </c>
      <c r="B1161" t="s">
        <v>37</v>
      </c>
      <c r="C1161">
        <v>2012</v>
      </c>
      <c r="D1161" t="s">
        <v>26</v>
      </c>
      <c r="E1161" t="s">
        <v>40</v>
      </c>
      <c r="F1161" t="s">
        <v>26</v>
      </c>
      <c r="G1161">
        <v>61276</v>
      </c>
      <c r="H1161">
        <v>49020.800000000003</v>
      </c>
      <c r="I1161" s="13">
        <v>1</v>
      </c>
      <c r="J1161" t="s">
        <v>6206</v>
      </c>
      <c r="K1161">
        <v>2</v>
      </c>
      <c r="L1161">
        <v>2</v>
      </c>
      <c r="M1161" t="s">
        <v>58</v>
      </c>
      <c r="V1161">
        <v>1</v>
      </c>
      <c r="W1161">
        <v>0</v>
      </c>
      <c r="X1161">
        <v>0</v>
      </c>
      <c r="Y1161">
        <v>0</v>
      </c>
      <c r="Z1161">
        <v>0</v>
      </c>
    </row>
    <row r="1162" spans="1:26" x14ac:dyDescent="0.2">
      <c r="A1162" t="s">
        <v>1280</v>
      </c>
      <c r="B1162" t="s">
        <v>61</v>
      </c>
      <c r="C1162">
        <v>2012</v>
      </c>
      <c r="D1162" t="s">
        <v>23</v>
      </c>
      <c r="E1162" t="s">
        <v>31</v>
      </c>
      <c r="F1162" t="s">
        <v>20</v>
      </c>
      <c r="G1162">
        <v>62500</v>
      </c>
      <c r="H1162">
        <v>50000</v>
      </c>
      <c r="I1162" s="13">
        <v>0</v>
      </c>
      <c r="J1162" t="s">
        <v>6207</v>
      </c>
      <c r="K1162">
        <v>3</v>
      </c>
      <c r="L1162">
        <v>0</v>
      </c>
      <c r="M1162" t="s">
        <v>0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 x14ac:dyDescent="0.2">
      <c r="A1163" t="s">
        <v>1281</v>
      </c>
      <c r="B1163" t="s">
        <v>67</v>
      </c>
      <c r="C1163">
        <v>2012</v>
      </c>
      <c r="D1163" t="s">
        <v>43</v>
      </c>
      <c r="E1163" t="s">
        <v>27</v>
      </c>
      <c r="F1163" t="s">
        <v>43</v>
      </c>
      <c r="G1163">
        <v>25138</v>
      </c>
      <c r="H1163">
        <v>20110.400000000001</v>
      </c>
      <c r="I1163" s="13">
        <v>0.33333333333333331</v>
      </c>
      <c r="J1163" t="s">
        <v>6207</v>
      </c>
      <c r="K1163">
        <v>2</v>
      </c>
      <c r="L1163">
        <v>2</v>
      </c>
      <c r="M1163" t="s">
        <v>58</v>
      </c>
      <c r="V1163">
        <v>1</v>
      </c>
      <c r="W1163">
        <v>2</v>
      </c>
      <c r="X1163">
        <v>0</v>
      </c>
      <c r="Y1163">
        <v>0</v>
      </c>
      <c r="Z1163">
        <v>2</v>
      </c>
    </row>
    <row r="1164" spans="1:26" x14ac:dyDescent="0.2">
      <c r="A1164" t="s">
        <v>1282</v>
      </c>
      <c r="B1164" t="s">
        <v>68</v>
      </c>
      <c r="C1164">
        <v>2012</v>
      </c>
      <c r="D1164" t="s">
        <v>63</v>
      </c>
      <c r="E1164" t="s">
        <v>45</v>
      </c>
      <c r="F1164" t="s">
        <v>65</v>
      </c>
      <c r="G1164">
        <v>26804</v>
      </c>
      <c r="H1164">
        <v>21443.200000000001</v>
      </c>
      <c r="I1164" s="13">
        <v>0.6</v>
      </c>
      <c r="J1164" t="s">
        <v>6207</v>
      </c>
      <c r="K1164">
        <v>2</v>
      </c>
      <c r="L1164">
        <v>0</v>
      </c>
      <c r="M1164" t="s">
        <v>0</v>
      </c>
      <c r="V1164">
        <v>1</v>
      </c>
      <c r="W1164">
        <v>4</v>
      </c>
      <c r="X1164">
        <v>0</v>
      </c>
      <c r="Y1164">
        <v>0</v>
      </c>
      <c r="Z1164">
        <v>0</v>
      </c>
    </row>
    <row r="1165" spans="1:26" x14ac:dyDescent="0.2">
      <c r="A1165" t="s">
        <v>1283</v>
      </c>
      <c r="B1165" t="s">
        <v>47</v>
      </c>
      <c r="C1165">
        <v>2012</v>
      </c>
      <c r="D1165" t="s">
        <v>51</v>
      </c>
      <c r="E1165" t="s">
        <v>69</v>
      </c>
      <c r="F1165" t="s">
        <v>20</v>
      </c>
      <c r="G1165">
        <v>36284</v>
      </c>
      <c r="H1165">
        <v>29027.200000000001</v>
      </c>
      <c r="I1165" s="13">
        <v>0</v>
      </c>
      <c r="J1165" t="s">
        <v>6208</v>
      </c>
      <c r="K1165">
        <v>1</v>
      </c>
      <c r="L1165">
        <v>1</v>
      </c>
      <c r="M1165" t="s">
        <v>58</v>
      </c>
      <c r="V1165">
        <v>1</v>
      </c>
      <c r="W1165">
        <v>0</v>
      </c>
      <c r="X1165">
        <v>1</v>
      </c>
      <c r="Y1165">
        <v>0</v>
      </c>
      <c r="Z1165">
        <v>0</v>
      </c>
    </row>
    <row r="1166" spans="1:26" x14ac:dyDescent="0.2">
      <c r="A1166" t="s">
        <v>1284</v>
      </c>
      <c r="B1166" t="s">
        <v>74</v>
      </c>
      <c r="C1166">
        <v>2012</v>
      </c>
      <c r="D1166" t="s">
        <v>71</v>
      </c>
      <c r="E1166" t="s">
        <v>35</v>
      </c>
      <c r="F1166" t="s">
        <v>71</v>
      </c>
      <c r="G1166">
        <v>21088</v>
      </c>
      <c r="H1166">
        <v>16870.400000000001</v>
      </c>
      <c r="I1166" s="13">
        <v>0.33333333333333331</v>
      </c>
      <c r="J1166" t="s">
        <v>6208</v>
      </c>
      <c r="K1166">
        <v>2</v>
      </c>
      <c r="L1166">
        <v>2</v>
      </c>
      <c r="M1166" t="s">
        <v>58</v>
      </c>
      <c r="V1166">
        <v>1</v>
      </c>
      <c r="W1166">
        <v>1</v>
      </c>
      <c r="X1166">
        <v>1</v>
      </c>
      <c r="Y1166">
        <v>0</v>
      </c>
      <c r="Z1166">
        <v>0</v>
      </c>
    </row>
    <row r="1167" spans="1:26" x14ac:dyDescent="0.2">
      <c r="A1167" t="s">
        <v>1285</v>
      </c>
      <c r="B1167" t="s">
        <v>25</v>
      </c>
      <c r="C1167">
        <v>2012</v>
      </c>
      <c r="D1167" t="s">
        <v>40</v>
      </c>
      <c r="E1167" t="s">
        <v>70</v>
      </c>
      <c r="F1167" t="s">
        <v>49</v>
      </c>
      <c r="G1167">
        <v>53400</v>
      </c>
      <c r="H1167">
        <v>42720</v>
      </c>
      <c r="I1167" s="13">
        <v>0.33333333333333331</v>
      </c>
      <c r="J1167" t="s">
        <v>6207</v>
      </c>
      <c r="K1167">
        <v>3</v>
      </c>
      <c r="L1167">
        <v>1</v>
      </c>
      <c r="M1167" t="s">
        <v>0</v>
      </c>
      <c r="V1167">
        <v>2</v>
      </c>
      <c r="W1167">
        <v>1</v>
      </c>
      <c r="X1167">
        <v>0</v>
      </c>
      <c r="Y1167">
        <v>0</v>
      </c>
      <c r="Z1167">
        <v>0</v>
      </c>
    </row>
    <row r="1168" spans="1:26" x14ac:dyDescent="0.2">
      <c r="A1168" t="s">
        <v>1286</v>
      </c>
      <c r="B1168" t="s">
        <v>75</v>
      </c>
      <c r="C1168">
        <v>2012</v>
      </c>
      <c r="D1168" t="s">
        <v>26</v>
      </c>
      <c r="E1168" t="s">
        <v>46</v>
      </c>
      <c r="F1168" t="s">
        <v>26</v>
      </c>
      <c r="G1168">
        <v>61276</v>
      </c>
      <c r="H1168">
        <v>49020.800000000003</v>
      </c>
      <c r="I1168" s="13">
        <v>0.75</v>
      </c>
      <c r="J1168" t="s">
        <v>6209</v>
      </c>
      <c r="K1168">
        <v>0</v>
      </c>
      <c r="L1168">
        <v>2</v>
      </c>
      <c r="M1168" t="s">
        <v>1</v>
      </c>
      <c r="V1168">
        <v>2</v>
      </c>
      <c r="W1168">
        <v>2</v>
      </c>
      <c r="X1168">
        <v>0</v>
      </c>
      <c r="Y1168">
        <v>0</v>
      </c>
      <c r="Z1168">
        <v>0</v>
      </c>
    </row>
    <row r="1169" spans="1:26" x14ac:dyDescent="0.2">
      <c r="A1169" t="s">
        <v>1287</v>
      </c>
      <c r="B1169" t="s">
        <v>41</v>
      </c>
      <c r="C1169">
        <v>2012</v>
      </c>
      <c r="D1169" t="s">
        <v>73</v>
      </c>
      <c r="E1169" t="s">
        <v>48</v>
      </c>
      <c r="F1169" t="s">
        <v>73</v>
      </c>
      <c r="G1169">
        <v>32384</v>
      </c>
      <c r="H1169">
        <v>25907.200000000001</v>
      </c>
      <c r="I1169" s="13">
        <v>1</v>
      </c>
      <c r="J1169" t="s">
        <v>6207</v>
      </c>
      <c r="K1169">
        <v>2</v>
      </c>
      <c r="L1169">
        <v>3</v>
      </c>
      <c r="M1169" t="s">
        <v>1</v>
      </c>
      <c r="V1169">
        <v>1</v>
      </c>
      <c r="W1169">
        <v>0</v>
      </c>
      <c r="X1169">
        <v>0</v>
      </c>
      <c r="Y1169">
        <v>0</v>
      </c>
      <c r="Z1169">
        <v>1</v>
      </c>
    </row>
    <row r="1170" spans="1:26" x14ac:dyDescent="0.2">
      <c r="A1170" t="s">
        <v>1288</v>
      </c>
      <c r="B1170" t="s">
        <v>54</v>
      </c>
      <c r="C1170">
        <v>2012</v>
      </c>
      <c r="D1170" t="s">
        <v>64</v>
      </c>
      <c r="E1170" t="s">
        <v>42</v>
      </c>
      <c r="F1170" t="s">
        <v>64</v>
      </c>
      <c r="G1170">
        <v>52264</v>
      </c>
      <c r="H1170">
        <v>41811.200000000004</v>
      </c>
      <c r="I1170" s="13">
        <v>1</v>
      </c>
      <c r="J1170" t="s">
        <v>6206</v>
      </c>
      <c r="K1170">
        <v>1</v>
      </c>
      <c r="L1170">
        <v>1</v>
      </c>
      <c r="M1170" t="s">
        <v>58</v>
      </c>
      <c r="V1170">
        <v>1</v>
      </c>
      <c r="W1170">
        <v>4</v>
      </c>
      <c r="X1170">
        <v>0</v>
      </c>
      <c r="Y1170">
        <v>0</v>
      </c>
      <c r="Z1170">
        <v>0</v>
      </c>
    </row>
    <row r="1171" spans="1:26" x14ac:dyDescent="0.2">
      <c r="A1171" t="s">
        <v>1289</v>
      </c>
      <c r="B1171" t="s">
        <v>25</v>
      </c>
      <c r="C1171">
        <v>2012</v>
      </c>
      <c r="D1171" t="s">
        <v>69</v>
      </c>
      <c r="E1171" t="s">
        <v>23</v>
      </c>
      <c r="F1171" t="s">
        <v>69</v>
      </c>
      <c r="G1171">
        <v>27359</v>
      </c>
      <c r="H1171">
        <v>21887.200000000001</v>
      </c>
      <c r="I1171" s="13">
        <v>0</v>
      </c>
      <c r="J1171" t="s">
        <v>6207</v>
      </c>
      <c r="K1171">
        <v>0</v>
      </c>
      <c r="L1171">
        <v>0</v>
      </c>
      <c r="M1171" t="s">
        <v>58</v>
      </c>
      <c r="V1171">
        <v>0</v>
      </c>
      <c r="W1171">
        <v>1</v>
      </c>
      <c r="X1171">
        <v>0</v>
      </c>
      <c r="Y1171">
        <v>0</v>
      </c>
      <c r="Z1171">
        <v>0</v>
      </c>
    </row>
    <row r="1172" spans="1:26" x14ac:dyDescent="0.2">
      <c r="A1172" t="s">
        <v>1290</v>
      </c>
      <c r="B1172" t="s">
        <v>44</v>
      </c>
      <c r="C1172">
        <v>2012</v>
      </c>
      <c r="D1172" t="s">
        <v>27</v>
      </c>
      <c r="E1172" t="s">
        <v>40</v>
      </c>
      <c r="F1172" t="s">
        <v>27</v>
      </c>
      <c r="G1172">
        <v>30089</v>
      </c>
      <c r="H1172">
        <v>24071.200000000001</v>
      </c>
      <c r="I1172" s="13">
        <v>1</v>
      </c>
      <c r="J1172" t="s">
        <v>6207</v>
      </c>
      <c r="K1172">
        <v>1</v>
      </c>
      <c r="L1172">
        <v>1</v>
      </c>
      <c r="M1172" t="s">
        <v>58</v>
      </c>
      <c r="V1172">
        <v>0</v>
      </c>
      <c r="W1172">
        <v>1</v>
      </c>
      <c r="X1172">
        <v>0</v>
      </c>
      <c r="Y1172">
        <v>0</v>
      </c>
      <c r="Z1172">
        <v>0</v>
      </c>
    </row>
    <row r="1173" spans="1:26" x14ac:dyDescent="0.2">
      <c r="A1173" t="s">
        <v>1291</v>
      </c>
      <c r="B1173" t="s">
        <v>66</v>
      </c>
      <c r="C1173">
        <v>2012</v>
      </c>
      <c r="D1173" t="s">
        <v>70</v>
      </c>
      <c r="E1173" t="s">
        <v>18</v>
      </c>
      <c r="F1173" t="s">
        <v>20</v>
      </c>
      <c r="G1173">
        <v>18439</v>
      </c>
      <c r="H1173">
        <v>14751.2</v>
      </c>
      <c r="I1173" s="13">
        <v>0.5</v>
      </c>
      <c r="J1173" t="s">
        <v>6207</v>
      </c>
      <c r="K1173">
        <v>0</v>
      </c>
      <c r="L1173">
        <v>0</v>
      </c>
      <c r="M1173" t="s">
        <v>58</v>
      </c>
      <c r="V1173">
        <v>0</v>
      </c>
      <c r="W1173">
        <v>2</v>
      </c>
      <c r="X1173">
        <v>0</v>
      </c>
      <c r="Y1173">
        <v>0</v>
      </c>
      <c r="Z1173">
        <v>0</v>
      </c>
    </row>
    <row r="1174" spans="1:26" x14ac:dyDescent="0.2">
      <c r="A1174" t="s">
        <v>1292</v>
      </c>
      <c r="B1174" t="s">
        <v>66</v>
      </c>
      <c r="C1174">
        <v>2012</v>
      </c>
      <c r="D1174" t="s">
        <v>48</v>
      </c>
      <c r="E1174" t="s">
        <v>43</v>
      </c>
      <c r="F1174" t="s">
        <v>49</v>
      </c>
      <c r="G1174">
        <v>74197</v>
      </c>
      <c r="H1174">
        <v>59357.600000000006</v>
      </c>
      <c r="I1174" s="13">
        <v>0.5</v>
      </c>
      <c r="J1174" t="s">
        <v>6207</v>
      </c>
      <c r="K1174">
        <v>4</v>
      </c>
      <c r="L1174">
        <v>0</v>
      </c>
      <c r="M1174" t="s">
        <v>0</v>
      </c>
      <c r="V1174">
        <v>2</v>
      </c>
      <c r="W1174">
        <v>2</v>
      </c>
      <c r="X1174">
        <v>0</v>
      </c>
      <c r="Y1174">
        <v>0</v>
      </c>
      <c r="Z1174">
        <v>0</v>
      </c>
    </row>
    <row r="1175" spans="1:26" x14ac:dyDescent="0.2">
      <c r="A1175" t="s">
        <v>1293</v>
      </c>
      <c r="B1175" t="s">
        <v>74</v>
      </c>
      <c r="C1175">
        <v>2012</v>
      </c>
      <c r="D1175" t="s">
        <v>31</v>
      </c>
      <c r="E1175" t="s">
        <v>63</v>
      </c>
      <c r="F1175" t="s">
        <v>20</v>
      </c>
      <c r="G1175">
        <v>28500</v>
      </c>
      <c r="H1175">
        <v>22800</v>
      </c>
      <c r="I1175" s="13">
        <v>1</v>
      </c>
      <c r="J1175" t="s">
        <v>6208</v>
      </c>
      <c r="K1175">
        <v>3</v>
      </c>
      <c r="L1175">
        <v>0</v>
      </c>
      <c r="M1175" t="s">
        <v>0</v>
      </c>
      <c r="V1175">
        <v>0</v>
      </c>
      <c r="W1175">
        <v>0</v>
      </c>
      <c r="X1175">
        <v>0</v>
      </c>
      <c r="Y1175">
        <v>1</v>
      </c>
      <c r="Z1175">
        <v>1</v>
      </c>
    </row>
    <row r="1176" spans="1:26" x14ac:dyDescent="0.2">
      <c r="A1176" t="s">
        <v>1294</v>
      </c>
      <c r="B1176" t="s">
        <v>50</v>
      </c>
      <c r="C1176">
        <v>2012</v>
      </c>
      <c r="D1176" t="s">
        <v>42</v>
      </c>
      <c r="E1176" t="s">
        <v>71</v>
      </c>
      <c r="F1176" t="s">
        <v>38</v>
      </c>
      <c r="G1176">
        <v>42918</v>
      </c>
      <c r="H1176">
        <v>34334.400000000001</v>
      </c>
      <c r="I1176" s="13">
        <v>0.75</v>
      </c>
      <c r="J1176" t="s">
        <v>6207</v>
      </c>
      <c r="K1176">
        <v>2</v>
      </c>
      <c r="L1176">
        <v>0</v>
      </c>
      <c r="M1176" t="s">
        <v>0</v>
      </c>
      <c r="V1176">
        <v>3</v>
      </c>
      <c r="W1176">
        <v>1</v>
      </c>
      <c r="X1176">
        <v>0</v>
      </c>
      <c r="Y1176">
        <v>0</v>
      </c>
      <c r="Z1176">
        <v>0</v>
      </c>
    </row>
    <row r="1177" spans="1:26" x14ac:dyDescent="0.2">
      <c r="A1177" t="s">
        <v>1295</v>
      </c>
      <c r="B1177" t="s">
        <v>60</v>
      </c>
      <c r="C1177">
        <v>2012</v>
      </c>
      <c r="D1177" t="s">
        <v>46</v>
      </c>
      <c r="E1177" t="s">
        <v>73</v>
      </c>
      <c r="F1177" t="s">
        <v>20</v>
      </c>
      <c r="G1177">
        <v>60704</v>
      </c>
      <c r="H1177">
        <v>48563.200000000004</v>
      </c>
      <c r="I1177" s="13">
        <v>0</v>
      </c>
      <c r="J1177" t="s">
        <v>6208</v>
      </c>
      <c r="K1177">
        <v>6</v>
      </c>
      <c r="L1177">
        <v>1</v>
      </c>
      <c r="M1177" t="s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2">
      <c r="A1178" t="s">
        <v>1296</v>
      </c>
      <c r="B1178" t="s">
        <v>32</v>
      </c>
      <c r="C1178">
        <v>2012</v>
      </c>
      <c r="D1178" t="s">
        <v>35</v>
      </c>
      <c r="E1178" t="s">
        <v>26</v>
      </c>
      <c r="F1178" t="s">
        <v>35</v>
      </c>
      <c r="G1178">
        <v>49000</v>
      </c>
      <c r="H1178">
        <v>39200</v>
      </c>
      <c r="I1178" s="13">
        <v>1</v>
      </c>
      <c r="J1178" t="s">
        <v>6207</v>
      </c>
      <c r="K1178">
        <v>1</v>
      </c>
      <c r="L1178">
        <v>1</v>
      </c>
      <c r="M1178" t="s">
        <v>58</v>
      </c>
      <c r="V1178">
        <v>1</v>
      </c>
      <c r="W1178">
        <v>2</v>
      </c>
      <c r="X1178">
        <v>0</v>
      </c>
      <c r="Y1178">
        <v>0</v>
      </c>
      <c r="Z1178">
        <v>0</v>
      </c>
    </row>
    <row r="1179" spans="1:26" x14ac:dyDescent="0.2">
      <c r="A1179" t="s">
        <v>1297</v>
      </c>
      <c r="B1179" t="s">
        <v>56</v>
      </c>
      <c r="C1179">
        <v>2012</v>
      </c>
      <c r="D1179" t="s">
        <v>72</v>
      </c>
      <c r="E1179" t="s">
        <v>51</v>
      </c>
      <c r="F1179" t="s">
        <v>72</v>
      </c>
      <c r="G1179">
        <v>24161</v>
      </c>
      <c r="H1179">
        <v>19328.8</v>
      </c>
      <c r="I1179" s="13">
        <v>0</v>
      </c>
      <c r="J1179" t="s">
        <v>6207</v>
      </c>
      <c r="K1179">
        <v>1</v>
      </c>
      <c r="L1179">
        <v>3</v>
      </c>
      <c r="M1179" t="s">
        <v>1</v>
      </c>
      <c r="V1179">
        <v>0</v>
      </c>
      <c r="W1179">
        <v>1</v>
      </c>
      <c r="X1179">
        <v>0</v>
      </c>
      <c r="Y1179">
        <v>0</v>
      </c>
      <c r="Z1179">
        <v>0</v>
      </c>
    </row>
    <row r="1180" spans="1:26" x14ac:dyDescent="0.2">
      <c r="A1180" t="s">
        <v>1298</v>
      </c>
      <c r="B1180" t="s">
        <v>53</v>
      </c>
      <c r="C1180">
        <v>2012</v>
      </c>
      <c r="D1180" t="s">
        <v>45</v>
      </c>
      <c r="E1180" t="s">
        <v>64</v>
      </c>
      <c r="F1180" t="s">
        <v>26</v>
      </c>
      <c r="G1180">
        <v>39572</v>
      </c>
      <c r="H1180">
        <v>31657.600000000002</v>
      </c>
      <c r="I1180" s="13">
        <v>0.66666666666666663</v>
      </c>
      <c r="J1180" t="s">
        <v>6207</v>
      </c>
      <c r="K1180">
        <v>2</v>
      </c>
      <c r="L1180">
        <v>2</v>
      </c>
      <c r="M1180" t="s">
        <v>58</v>
      </c>
      <c r="V1180">
        <v>3</v>
      </c>
      <c r="W1180">
        <v>3</v>
      </c>
      <c r="X1180">
        <v>0</v>
      </c>
      <c r="Y1180">
        <v>0</v>
      </c>
      <c r="Z1180">
        <v>0</v>
      </c>
    </row>
    <row r="1181" spans="1:26" x14ac:dyDescent="0.2">
      <c r="A1181" t="s">
        <v>1299</v>
      </c>
      <c r="B1181" t="s">
        <v>61</v>
      </c>
      <c r="C1181">
        <v>2012</v>
      </c>
      <c r="D1181" t="s">
        <v>71</v>
      </c>
      <c r="E1181" t="s">
        <v>45</v>
      </c>
      <c r="F1181" t="s">
        <v>71</v>
      </c>
      <c r="G1181">
        <v>21088</v>
      </c>
      <c r="H1181">
        <v>16870.400000000001</v>
      </c>
      <c r="I1181" s="13">
        <v>0.2857142857142857</v>
      </c>
      <c r="J1181" t="s">
        <v>6207</v>
      </c>
      <c r="K1181">
        <v>0</v>
      </c>
      <c r="L1181">
        <v>3</v>
      </c>
      <c r="M1181" t="s">
        <v>1</v>
      </c>
      <c r="V1181">
        <v>5</v>
      </c>
      <c r="W1181">
        <v>1</v>
      </c>
      <c r="X1181">
        <v>1</v>
      </c>
      <c r="Y1181">
        <v>0</v>
      </c>
      <c r="Z1181">
        <v>0</v>
      </c>
    </row>
    <row r="1182" spans="1:26" x14ac:dyDescent="0.2">
      <c r="A1182" t="s">
        <v>1300</v>
      </c>
      <c r="B1182" t="s">
        <v>54</v>
      </c>
      <c r="C1182">
        <v>2012</v>
      </c>
      <c r="D1182" t="s">
        <v>43</v>
      </c>
      <c r="E1182" t="s">
        <v>31</v>
      </c>
      <c r="F1182" t="s">
        <v>43</v>
      </c>
      <c r="G1182">
        <v>25138</v>
      </c>
      <c r="H1182">
        <v>20110.400000000001</v>
      </c>
      <c r="I1182" s="13">
        <v>0</v>
      </c>
      <c r="J1182" t="s">
        <v>6206</v>
      </c>
      <c r="K1182">
        <v>1</v>
      </c>
      <c r="L1182">
        <v>2</v>
      </c>
      <c r="M1182" t="s">
        <v>1</v>
      </c>
      <c r="V1182">
        <v>0</v>
      </c>
      <c r="W1182">
        <v>3</v>
      </c>
      <c r="X1182">
        <v>0</v>
      </c>
      <c r="Y1182">
        <v>0</v>
      </c>
      <c r="Z1182">
        <v>0</v>
      </c>
    </row>
    <row r="1183" spans="1:26" x14ac:dyDescent="0.2">
      <c r="A1183" t="s">
        <v>1301</v>
      </c>
      <c r="B1183" t="s">
        <v>50</v>
      </c>
      <c r="C1183">
        <v>2012</v>
      </c>
      <c r="D1183" t="s">
        <v>23</v>
      </c>
      <c r="E1183" t="s">
        <v>35</v>
      </c>
      <c r="F1183" t="s">
        <v>20</v>
      </c>
      <c r="G1183">
        <v>62500</v>
      </c>
      <c r="H1183">
        <v>50000</v>
      </c>
      <c r="I1183" s="13">
        <v>0.66666666666666663</v>
      </c>
      <c r="J1183" t="s">
        <v>6207</v>
      </c>
      <c r="K1183">
        <v>1</v>
      </c>
      <c r="L1183">
        <v>1</v>
      </c>
      <c r="M1183" t="s">
        <v>58</v>
      </c>
      <c r="V1183">
        <v>2</v>
      </c>
      <c r="W1183">
        <v>1</v>
      </c>
      <c r="X1183">
        <v>0</v>
      </c>
      <c r="Y1183">
        <v>0</v>
      </c>
      <c r="Z1183">
        <v>0</v>
      </c>
    </row>
    <row r="1184" spans="1:26" x14ac:dyDescent="0.2">
      <c r="A1184" t="s">
        <v>1302</v>
      </c>
      <c r="B1184" t="s">
        <v>25</v>
      </c>
      <c r="C1184">
        <v>2012</v>
      </c>
      <c r="D1184" t="s">
        <v>63</v>
      </c>
      <c r="E1184" t="s">
        <v>72</v>
      </c>
      <c r="F1184" t="s">
        <v>65</v>
      </c>
      <c r="G1184">
        <v>26804</v>
      </c>
      <c r="H1184">
        <v>21443.200000000001</v>
      </c>
      <c r="I1184" s="13">
        <v>1</v>
      </c>
      <c r="J1184" t="s">
        <v>6207</v>
      </c>
      <c r="K1184">
        <v>1</v>
      </c>
      <c r="L1184">
        <v>0</v>
      </c>
      <c r="M1184" t="s">
        <v>0</v>
      </c>
      <c r="V1184">
        <v>1</v>
      </c>
      <c r="W1184">
        <v>0</v>
      </c>
      <c r="X1184">
        <v>0</v>
      </c>
      <c r="Y1184">
        <v>0</v>
      </c>
      <c r="Z1184">
        <v>0</v>
      </c>
    </row>
    <row r="1185" spans="1:26" x14ac:dyDescent="0.2">
      <c r="A1185" t="s">
        <v>1303</v>
      </c>
      <c r="B1185" t="s">
        <v>68</v>
      </c>
      <c r="C1185">
        <v>2012</v>
      </c>
      <c r="D1185" t="s">
        <v>73</v>
      </c>
      <c r="E1185" t="s">
        <v>42</v>
      </c>
      <c r="F1185" t="s">
        <v>73</v>
      </c>
      <c r="G1185">
        <v>32384</v>
      </c>
      <c r="H1185">
        <v>25907.200000000001</v>
      </c>
      <c r="I1185" s="13">
        <v>0.75</v>
      </c>
      <c r="J1185" t="s">
        <v>6207</v>
      </c>
      <c r="K1185">
        <v>4</v>
      </c>
      <c r="L1185">
        <v>1</v>
      </c>
      <c r="M1185" t="s">
        <v>0</v>
      </c>
      <c r="V1185">
        <v>1</v>
      </c>
      <c r="W1185">
        <v>3</v>
      </c>
      <c r="X1185">
        <v>0</v>
      </c>
      <c r="Y1185">
        <v>0</v>
      </c>
      <c r="Z1185">
        <v>1</v>
      </c>
    </row>
    <row r="1186" spans="1:26" x14ac:dyDescent="0.2">
      <c r="A1186" t="s">
        <v>1304</v>
      </c>
      <c r="B1186" t="s">
        <v>66</v>
      </c>
      <c r="C1186">
        <v>2012</v>
      </c>
      <c r="D1186" t="s">
        <v>18</v>
      </c>
      <c r="E1186" t="s">
        <v>27</v>
      </c>
      <c r="F1186" t="s">
        <v>20</v>
      </c>
      <c r="G1186">
        <v>40341</v>
      </c>
      <c r="H1186">
        <v>32272.800000000003</v>
      </c>
      <c r="I1186" s="13">
        <v>0.66666666666666663</v>
      </c>
      <c r="J1186" t="s">
        <v>6207</v>
      </c>
      <c r="K1186">
        <v>1</v>
      </c>
      <c r="L1186">
        <v>0</v>
      </c>
      <c r="M1186" t="s">
        <v>0</v>
      </c>
      <c r="V1186">
        <v>2</v>
      </c>
      <c r="W1186">
        <v>1</v>
      </c>
      <c r="X1186">
        <v>0</v>
      </c>
      <c r="Y1186">
        <v>0</v>
      </c>
      <c r="Z1186">
        <v>0</v>
      </c>
    </row>
    <row r="1187" spans="1:26" x14ac:dyDescent="0.2">
      <c r="A1187" t="s">
        <v>1305</v>
      </c>
      <c r="B1187" t="s">
        <v>47</v>
      </c>
      <c r="C1187">
        <v>2012</v>
      </c>
      <c r="D1187" t="s">
        <v>26</v>
      </c>
      <c r="E1187" t="s">
        <v>48</v>
      </c>
      <c r="F1187" t="s">
        <v>26</v>
      </c>
      <c r="G1187">
        <v>61276</v>
      </c>
      <c r="H1187">
        <v>49020.800000000003</v>
      </c>
      <c r="I1187" s="13">
        <v>0.25</v>
      </c>
      <c r="J1187" t="s">
        <v>6208</v>
      </c>
      <c r="K1187">
        <v>1</v>
      </c>
      <c r="L1187">
        <v>2</v>
      </c>
      <c r="M1187" t="s">
        <v>1</v>
      </c>
      <c r="V1187">
        <v>1</v>
      </c>
      <c r="W1187">
        <v>2</v>
      </c>
      <c r="X1187">
        <v>1</v>
      </c>
      <c r="Y1187">
        <v>0</v>
      </c>
      <c r="Z1187">
        <v>1</v>
      </c>
    </row>
    <row r="1188" spans="1:26" x14ac:dyDescent="0.2">
      <c r="A1188" t="s">
        <v>1306</v>
      </c>
      <c r="B1188" t="s">
        <v>67</v>
      </c>
      <c r="C1188">
        <v>2012</v>
      </c>
      <c r="D1188" t="s">
        <v>64</v>
      </c>
      <c r="E1188" t="s">
        <v>69</v>
      </c>
      <c r="F1188" t="s">
        <v>64</v>
      </c>
      <c r="G1188">
        <v>52264</v>
      </c>
      <c r="H1188">
        <v>41811.200000000004</v>
      </c>
      <c r="I1188" s="13">
        <v>0.5</v>
      </c>
      <c r="J1188" t="s">
        <v>6207</v>
      </c>
      <c r="K1188">
        <v>1</v>
      </c>
      <c r="L1188">
        <v>0</v>
      </c>
      <c r="M1188" t="s">
        <v>0</v>
      </c>
      <c r="V1188">
        <v>1</v>
      </c>
      <c r="W1188">
        <v>1</v>
      </c>
      <c r="X1188">
        <v>0</v>
      </c>
      <c r="Y1188">
        <v>0</v>
      </c>
      <c r="Z1188">
        <v>1</v>
      </c>
    </row>
    <row r="1189" spans="1:26" x14ac:dyDescent="0.2">
      <c r="A1189" t="s">
        <v>1307</v>
      </c>
      <c r="B1189" t="s">
        <v>52</v>
      </c>
      <c r="C1189">
        <v>2012</v>
      </c>
      <c r="D1189" t="s">
        <v>51</v>
      </c>
      <c r="E1189" t="s">
        <v>70</v>
      </c>
      <c r="F1189" t="s">
        <v>20</v>
      </c>
      <c r="G1189">
        <v>36284</v>
      </c>
      <c r="H1189">
        <v>29027.200000000001</v>
      </c>
      <c r="I1189" s="13">
        <v>0.5</v>
      </c>
      <c r="J1189" t="s">
        <v>6207</v>
      </c>
      <c r="K1189">
        <v>2</v>
      </c>
      <c r="L1189">
        <v>1</v>
      </c>
      <c r="M1189" t="s">
        <v>0</v>
      </c>
      <c r="V1189">
        <v>0</v>
      </c>
      <c r="W1189">
        <v>2</v>
      </c>
      <c r="X1189">
        <v>0</v>
      </c>
      <c r="Y1189">
        <v>0</v>
      </c>
      <c r="Z1189">
        <v>0</v>
      </c>
    </row>
    <row r="1190" spans="1:26" x14ac:dyDescent="0.2">
      <c r="A1190" t="s">
        <v>1308</v>
      </c>
      <c r="B1190" t="s">
        <v>41</v>
      </c>
      <c r="C1190">
        <v>2012</v>
      </c>
      <c r="D1190" t="s">
        <v>40</v>
      </c>
      <c r="E1190" t="s">
        <v>46</v>
      </c>
      <c r="F1190" t="s">
        <v>49</v>
      </c>
      <c r="G1190">
        <v>53400</v>
      </c>
      <c r="H1190">
        <v>42720</v>
      </c>
      <c r="I1190" s="13">
        <v>1</v>
      </c>
      <c r="J1190" t="s">
        <v>6207</v>
      </c>
      <c r="K1190">
        <v>1</v>
      </c>
      <c r="L1190">
        <v>1</v>
      </c>
      <c r="M1190" t="s">
        <v>58</v>
      </c>
      <c r="V1190">
        <v>1</v>
      </c>
      <c r="W1190">
        <v>0</v>
      </c>
      <c r="X1190">
        <v>0</v>
      </c>
      <c r="Y1190">
        <v>0</v>
      </c>
      <c r="Z1190">
        <v>0</v>
      </c>
    </row>
    <row r="1191" spans="1:26" x14ac:dyDescent="0.2">
      <c r="A1191" t="s">
        <v>1309</v>
      </c>
      <c r="B1191" t="s">
        <v>32</v>
      </c>
      <c r="C1191">
        <v>2012</v>
      </c>
      <c r="D1191" t="s">
        <v>46</v>
      </c>
      <c r="E1191" t="s">
        <v>18</v>
      </c>
      <c r="F1191" t="s">
        <v>20</v>
      </c>
      <c r="G1191">
        <v>60704</v>
      </c>
      <c r="H1191">
        <v>48563.200000000004</v>
      </c>
      <c r="I1191" s="13">
        <v>0.8</v>
      </c>
      <c r="J1191" t="s">
        <v>6207</v>
      </c>
      <c r="K1191">
        <v>1</v>
      </c>
      <c r="L1191">
        <v>2</v>
      </c>
      <c r="M1191" t="s">
        <v>1</v>
      </c>
      <c r="V1191">
        <v>2</v>
      </c>
      <c r="W1191">
        <v>3</v>
      </c>
      <c r="X1191">
        <v>0</v>
      </c>
      <c r="Y1191">
        <v>0</v>
      </c>
      <c r="Z1191">
        <v>0</v>
      </c>
    </row>
    <row r="1192" spans="1:26" x14ac:dyDescent="0.2">
      <c r="A1192" t="s">
        <v>1310</v>
      </c>
      <c r="B1192" t="s">
        <v>56</v>
      </c>
      <c r="C1192">
        <v>2012</v>
      </c>
      <c r="D1192" t="s">
        <v>35</v>
      </c>
      <c r="E1192" t="s">
        <v>43</v>
      </c>
      <c r="F1192" t="s">
        <v>35</v>
      </c>
      <c r="G1192">
        <v>49000</v>
      </c>
      <c r="H1192">
        <v>39200</v>
      </c>
      <c r="I1192" s="13">
        <v>0.625</v>
      </c>
      <c r="J1192" t="s">
        <v>6207</v>
      </c>
      <c r="K1192">
        <v>1</v>
      </c>
      <c r="L1192">
        <v>0</v>
      </c>
      <c r="M1192" t="s">
        <v>0</v>
      </c>
      <c r="V1192">
        <v>2</v>
      </c>
      <c r="W1192">
        <v>5</v>
      </c>
      <c r="X1192">
        <v>0</v>
      </c>
      <c r="Y1192">
        <v>1</v>
      </c>
      <c r="Z1192">
        <v>0</v>
      </c>
    </row>
    <row r="1193" spans="1:26" x14ac:dyDescent="0.2">
      <c r="A1193" t="s">
        <v>1311</v>
      </c>
      <c r="B1193" t="s">
        <v>68</v>
      </c>
      <c r="C1193">
        <v>2012</v>
      </c>
      <c r="D1193" t="s">
        <v>27</v>
      </c>
      <c r="E1193" t="s">
        <v>71</v>
      </c>
      <c r="F1193" t="s">
        <v>27</v>
      </c>
      <c r="G1193">
        <v>30089</v>
      </c>
      <c r="H1193">
        <v>24071.200000000001</v>
      </c>
      <c r="I1193" s="13">
        <v>0.5</v>
      </c>
      <c r="J1193" t="s">
        <v>6207</v>
      </c>
      <c r="K1193">
        <v>2</v>
      </c>
      <c r="L1193">
        <v>0</v>
      </c>
      <c r="M1193" t="s">
        <v>0</v>
      </c>
      <c r="V1193">
        <v>1</v>
      </c>
      <c r="W1193">
        <v>1</v>
      </c>
      <c r="X1193">
        <v>0</v>
      </c>
      <c r="Y1193">
        <v>0</v>
      </c>
      <c r="Z1193">
        <v>0</v>
      </c>
    </row>
    <row r="1194" spans="1:26" x14ac:dyDescent="0.2">
      <c r="A1194" t="s">
        <v>1312</v>
      </c>
      <c r="B1194" t="s">
        <v>37</v>
      </c>
      <c r="C1194">
        <v>2012</v>
      </c>
      <c r="D1194" t="s">
        <v>72</v>
      </c>
      <c r="E1194" t="s">
        <v>64</v>
      </c>
      <c r="F1194" t="s">
        <v>72</v>
      </c>
      <c r="G1194">
        <v>24161</v>
      </c>
      <c r="H1194">
        <v>19328.8</v>
      </c>
      <c r="I1194" s="13">
        <v>0.33333333333333331</v>
      </c>
      <c r="J1194" t="s">
        <v>6206</v>
      </c>
      <c r="K1194">
        <v>2</v>
      </c>
      <c r="L1194">
        <v>2</v>
      </c>
      <c r="M1194" t="s">
        <v>58</v>
      </c>
      <c r="V1194">
        <v>0</v>
      </c>
      <c r="W1194">
        <v>3</v>
      </c>
      <c r="X1194">
        <v>0</v>
      </c>
      <c r="Y1194">
        <v>0</v>
      </c>
      <c r="Z1194">
        <v>0</v>
      </c>
    </row>
    <row r="1195" spans="1:26" x14ac:dyDescent="0.2">
      <c r="A1195" t="s">
        <v>1313</v>
      </c>
      <c r="B1195" t="s">
        <v>53</v>
      </c>
      <c r="C1195">
        <v>2012</v>
      </c>
      <c r="D1195" t="s">
        <v>69</v>
      </c>
      <c r="E1195" t="s">
        <v>26</v>
      </c>
      <c r="F1195" t="s">
        <v>69</v>
      </c>
      <c r="G1195">
        <v>27359</v>
      </c>
      <c r="H1195">
        <v>21887.200000000001</v>
      </c>
      <c r="I1195" s="13">
        <v>0</v>
      </c>
      <c r="J1195" t="s">
        <v>6207</v>
      </c>
      <c r="K1195">
        <v>2</v>
      </c>
      <c r="L1195">
        <v>5</v>
      </c>
      <c r="M1195" t="s">
        <v>1</v>
      </c>
      <c r="V1195">
        <v>1</v>
      </c>
      <c r="W1195">
        <v>0</v>
      </c>
      <c r="X1195">
        <v>0</v>
      </c>
      <c r="Y1195">
        <v>0</v>
      </c>
      <c r="Z1195">
        <v>0</v>
      </c>
    </row>
    <row r="1196" spans="1:26" x14ac:dyDescent="0.2">
      <c r="A1196" t="s">
        <v>1314</v>
      </c>
      <c r="B1196" t="s">
        <v>47</v>
      </c>
      <c r="C1196">
        <v>2012</v>
      </c>
      <c r="D1196" t="s">
        <v>31</v>
      </c>
      <c r="E1196" t="s">
        <v>40</v>
      </c>
      <c r="F1196" t="s">
        <v>20</v>
      </c>
      <c r="G1196">
        <v>28500</v>
      </c>
      <c r="H1196">
        <v>22800</v>
      </c>
      <c r="I1196" s="13">
        <v>1</v>
      </c>
      <c r="J1196" t="s">
        <v>6208</v>
      </c>
      <c r="K1196">
        <v>1</v>
      </c>
      <c r="L1196">
        <v>2</v>
      </c>
      <c r="M1196" t="s">
        <v>1</v>
      </c>
      <c r="V1196">
        <v>0</v>
      </c>
      <c r="W1196">
        <v>1</v>
      </c>
      <c r="X1196">
        <v>0</v>
      </c>
      <c r="Y1196">
        <v>0</v>
      </c>
      <c r="Z1196">
        <v>1</v>
      </c>
    </row>
    <row r="1197" spans="1:26" x14ac:dyDescent="0.2">
      <c r="A1197" t="s">
        <v>1315</v>
      </c>
      <c r="B1197" t="s">
        <v>54</v>
      </c>
      <c r="C1197">
        <v>2012</v>
      </c>
      <c r="D1197" t="s">
        <v>45</v>
      </c>
      <c r="E1197" t="s">
        <v>73</v>
      </c>
      <c r="F1197" t="s">
        <v>26</v>
      </c>
      <c r="G1197">
        <v>39572</v>
      </c>
      <c r="H1197">
        <v>31657.600000000002</v>
      </c>
      <c r="I1197" s="13">
        <v>0</v>
      </c>
      <c r="J1197" t="s">
        <v>6206</v>
      </c>
      <c r="K1197">
        <v>3</v>
      </c>
      <c r="L1197">
        <v>1</v>
      </c>
      <c r="M1197" t="s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2">
      <c r="A1198" t="s">
        <v>1316</v>
      </c>
      <c r="B1198" t="s">
        <v>25</v>
      </c>
      <c r="C1198">
        <v>2012</v>
      </c>
      <c r="D1198" t="s">
        <v>48</v>
      </c>
      <c r="E1198" t="s">
        <v>51</v>
      </c>
      <c r="F1198" t="s">
        <v>49</v>
      </c>
      <c r="G1198">
        <v>74197</v>
      </c>
      <c r="H1198">
        <v>59357.600000000006</v>
      </c>
      <c r="I1198" s="13">
        <v>0</v>
      </c>
      <c r="J1198" t="s">
        <v>6207</v>
      </c>
      <c r="K1198">
        <v>2</v>
      </c>
      <c r="L1198">
        <v>3</v>
      </c>
      <c r="M1198" t="s">
        <v>1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2">
      <c r="A1199" t="s">
        <v>1317</v>
      </c>
      <c r="B1199" t="s">
        <v>61</v>
      </c>
      <c r="C1199">
        <v>2012</v>
      </c>
      <c r="D1199" t="s">
        <v>42</v>
      </c>
      <c r="E1199" t="s">
        <v>63</v>
      </c>
      <c r="F1199" t="s">
        <v>38</v>
      </c>
      <c r="G1199">
        <v>42918</v>
      </c>
      <c r="H1199">
        <v>34334.400000000001</v>
      </c>
      <c r="I1199" s="13">
        <v>0.5</v>
      </c>
      <c r="J1199" t="s">
        <v>6207</v>
      </c>
      <c r="K1199">
        <v>1</v>
      </c>
      <c r="L1199">
        <v>1</v>
      </c>
      <c r="M1199" t="s">
        <v>58</v>
      </c>
      <c r="V1199">
        <v>1</v>
      </c>
      <c r="W1199">
        <v>1</v>
      </c>
      <c r="X1199">
        <v>0</v>
      </c>
      <c r="Y1199">
        <v>0</v>
      </c>
      <c r="Z1199">
        <v>0</v>
      </c>
    </row>
    <row r="1200" spans="1:26" x14ac:dyDescent="0.2">
      <c r="A1200" t="s">
        <v>1318</v>
      </c>
      <c r="B1200" t="s">
        <v>44</v>
      </c>
      <c r="C1200">
        <v>2012</v>
      </c>
      <c r="D1200" t="s">
        <v>70</v>
      </c>
      <c r="E1200" t="s">
        <v>23</v>
      </c>
      <c r="F1200" t="s">
        <v>20</v>
      </c>
      <c r="G1200">
        <v>18439</v>
      </c>
      <c r="H1200">
        <v>14751.2</v>
      </c>
      <c r="I1200" s="13">
        <v>0.36363636363636365</v>
      </c>
      <c r="J1200" t="s">
        <v>6207</v>
      </c>
      <c r="K1200">
        <v>1</v>
      </c>
      <c r="L1200">
        <v>2</v>
      </c>
      <c r="M1200" t="s">
        <v>1</v>
      </c>
      <c r="V1200">
        <v>2</v>
      </c>
      <c r="W1200">
        <v>8</v>
      </c>
      <c r="X1200">
        <v>1</v>
      </c>
      <c r="Y1200">
        <v>0</v>
      </c>
      <c r="Z1200">
        <v>0</v>
      </c>
    </row>
    <row r="1201" spans="1:26" x14ac:dyDescent="0.2">
      <c r="A1201" t="s">
        <v>1319</v>
      </c>
      <c r="B1201" t="s">
        <v>54</v>
      </c>
      <c r="C1201">
        <v>2012</v>
      </c>
      <c r="D1201" t="s">
        <v>40</v>
      </c>
      <c r="E1201" t="s">
        <v>35</v>
      </c>
      <c r="F1201" t="s">
        <v>49</v>
      </c>
      <c r="G1201">
        <v>53400</v>
      </c>
      <c r="H1201">
        <v>42720</v>
      </c>
      <c r="I1201" s="13">
        <v>0.33333333333333331</v>
      </c>
      <c r="J1201" t="s">
        <v>6206</v>
      </c>
      <c r="K1201">
        <v>3</v>
      </c>
      <c r="L1201">
        <v>0</v>
      </c>
      <c r="M1201" t="s">
        <v>0</v>
      </c>
      <c r="V1201">
        <v>0</v>
      </c>
      <c r="W1201">
        <v>3</v>
      </c>
      <c r="X1201">
        <v>0</v>
      </c>
      <c r="Y1201">
        <v>0</v>
      </c>
      <c r="Z1201">
        <v>0</v>
      </c>
    </row>
    <row r="1202" spans="1:26" x14ac:dyDescent="0.2">
      <c r="A1202" t="s">
        <v>1320</v>
      </c>
      <c r="B1202" t="s">
        <v>60</v>
      </c>
      <c r="C1202">
        <v>2012</v>
      </c>
      <c r="D1202" t="s">
        <v>43</v>
      </c>
      <c r="E1202" t="s">
        <v>45</v>
      </c>
      <c r="F1202" t="s">
        <v>43</v>
      </c>
      <c r="G1202">
        <v>25138</v>
      </c>
      <c r="H1202">
        <v>20110.400000000001</v>
      </c>
      <c r="I1202" s="13">
        <v>0.5714285714285714</v>
      </c>
      <c r="J1202" t="s">
        <v>6208</v>
      </c>
      <c r="K1202">
        <v>2</v>
      </c>
      <c r="L1202">
        <v>2</v>
      </c>
      <c r="M1202" t="s">
        <v>58</v>
      </c>
      <c r="V1202">
        <v>2</v>
      </c>
      <c r="W1202">
        <v>5</v>
      </c>
      <c r="X1202">
        <v>0</v>
      </c>
      <c r="Y1202">
        <v>0</v>
      </c>
      <c r="Z1202">
        <v>1</v>
      </c>
    </row>
    <row r="1203" spans="1:26" x14ac:dyDescent="0.2">
      <c r="A1203" t="s">
        <v>1321</v>
      </c>
      <c r="B1203" t="s">
        <v>53</v>
      </c>
      <c r="C1203">
        <v>2012</v>
      </c>
      <c r="D1203" t="s">
        <v>63</v>
      </c>
      <c r="E1203" t="s">
        <v>70</v>
      </c>
      <c r="F1203" t="s">
        <v>65</v>
      </c>
      <c r="G1203">
        <v>26804</v>
      </c>
      <c r="H1203">
        <v>21443.200000000001</v>
      </c>
      <c r="I1203" s="13">
        <v>0.5</v>
      </c>
      <c r="J1203" t="s">
        <v>6207</v>
      </c>
      <c r="K1203">
        <v>3</v>
      </c>
      <c r="L1203">
        <v>2</v>
      </c>
      <c r="M1203" t="s">
        <v>0</v>
      </c>
      <c r="V1203">
        <v>2</v>
      </c>
      <c r="W1203">
        <v>2</v>
      </c>
      <c r="X1203">
        <v>0</v>
      </c>
      <c r="Y1203">
        <v>0</v>
      </c>
      <c r="Z1203">
        <v>0</v>
      </c>
    </row>
    <row r="1204" spans="1:26" x14ac:dyDescent="0.2">
      <c r="A1204" t="s">
        <v>1322</v>
      </c>
      <c r="B1204" t="s">
        <v>41</v>
      </c>
      <c r="C1204">
        <v>2012</v>
      </c>
      <c r="D1204" t="s">
        <v>71</v>
      </c>
      <c r="E1204" t="s">
        <v>72</v>
      </c>
      <c r="F1204" t="s">
        <v>71</v>
      </c>
      <c r="G1204">
        <v>21088</v>
      </c>
      <c r="H1204">
        <v>16870.400000000001</v>
      </c>
      <c r="I1204" s="13">
        <v>1</v>
      </c>
      <c r="J1204" t="s">
        <v>6207</v>
      </c>
      <c r="K1204">
        <v>2</v>
      </c>
      <c r="L1204">
        <v>2</v>
      </c>
      <c r="M1204" t="s">
        <v>58</v>
      </c>
      <c r="V1204">
        <v>1</v>
      </c>
      <c r="W1204">
        <v>3</v>
      </c>
      <c r="X1204">
        <v>0</v>
      </c>
      <c r="Y1204">
        <v>0</v>
      </c>
      <c r="Z1204">
        <v>0</v>
      </c>
    </row>
    <row r="1205" spans="1:26" x14ac:dyDescent="0.2">
      <c r="A1205" t="s">
        <v>1323</v>
      </c>
      <c r="B1205" t="s">
        <v>61</v>
      </c>
      <c r="C1205">
        <v>2012</v>
      </c>
      <c r="D1205" t="s">
        <v>18</v>
      </c>
      <c r="E1205" t="s">
        <v>69</v>
      </c>
      <c r="F1205" t="s">
        <v>20</v>
      </c>
      <c r="G1205">
        <v>40341</v>
      </c>
      <c r="H1205">
        <v>32272.800000000003</v>
      </c>
      <c r="I1205" s="13">
        <v>0</v>
      </c>
      <c r="J1205" t="s">
        <v>6207</v>
      </c>
      <c r="K1205">
        <v>4</v>
      </c>
      <c r="L1205">
        <v>1</v>
      </c>
      <c r="M1205" t="s">
        <v>0</v>
      </c>
      <c r="V1205">
        <v>0</v>
      </c>
      <c r="W1205">
        <v>0</v>
      </c>
      <c r="X1205">
        <v>0</v>
      </c>
      <c r="Y1205">
        <v>0</v>
      </c>
      <c r="Z1205">
        <v>0</v>
      </c>
    </row>
    <row r="1206" spans="1:26" x14ac:dyDescent="0.2">
      <c r="A1206" t="s">
        <v>1324</v>
      </c>
      <c r="B1206" t="s">
        <v>52</v>
      </c>
      <c r="C1206">
        <v>2012</v>
      </c>
      <c r="D1206" t="s">
        <v>23</v>
      </c>
      <c r="E1206" t="s">
        <v>46</v>
      </c>
      <c r="F1206" t="s">
        <v>20</v>
      </c>
      <c r="G1206">
        <v>62500</v>
      </c>
      <c r="H1206">
        <v>50000</v>
      </c>
      <c r="I1206" s="13">
        <v>0.6</v>
      </c>
      <c r="J1206" t="s">
        <v>6207</v>
      </c>
      <c r="K1206">
        <v>1</v>
      </c>
      <c r="L1206">
        <v>3</v>
      </c>
      <c r="M1206" t="s">
        <v>1</v>
      </c>
      <c r="V1206">
        <v>3</v>
      </c>
      <c r="W1206">
        <v>2</v>
      </c>
      <c r="X1206">
        <v>0</v>
      </c>
      <c r="Y1206">
        <v>0</v>
      </c>
      <c r="Z1206">
        <v>0</v>
      </c>
    </row>
    <row r="1207" spans="1:26" x14ac:dyDescent="0.2">
      <c r="A1207" t="s">
        <v>1325</v>
      </c>
      <c r="B1207" t="s">
        <v>44</v>
      </c>
      <c r="C1207">
        <v>2012</v>
      </c>
      <c r="D1207" t="s">
        <v>73</v>
      </c>
      <c r="E1207" t="s">
        <v>31</v>
      </c>
      <c r="F1207" t="s">
        <v>73</v>
      </c>
      <c r="G1207">
        <v>32384</v>
      </c>
      <c r="H1207">
        <v>25907.200000000001</v>
      </c>
      <c r="I1207" s="13">
        <v>1</v>
      </c>
      <c r="J1207" t="s">
        <v>6207</v>
      </c>
      <c r="K1207">
        <v>2</v>
      </c>
      <c r="L1207">
        <v>2</v>
      </c>
      <c r="M1207" t="s">
        <v>58</v>
      </c>
      <c r="V1207">
        <v>4</v>
      </c>
      <c r="W1207">
        <v>0</v>
      </c>
      <c r="X1207">
        <v>0</v>
      </c>
      <c r="Y1207">
        <v>0</v>
      </c>
      <c r="Z1207">
        <v>0</v>
      </c>
    </row>
    <row r="1208" spans="1:26" x14ac:dyDescent="0.2">
      <c r="A1208" t="s">
        <v>1326</v>
      </c>
      <c r="B1208" t="s">
        <v>67</v>
      </c>
      <c r="C1208">
        <v>2012</v>
      </c>
      <c r="D1208" t="s">
        <v>51</v>
      </c>
      <c r="E1208" t="s">
        <v>42</v>
      </c>
      <c r="F1208" t="s">
        <v>20</v>
      </c>
      <c r="G1208">
        <v>36284</v>
      </c>
      <c r="H1208">
        <v>29027.200000000001</v>
      </c>
      <c r="I1208" s="13">
        <v>0.25</v>
      </c>
      <c r="J1208" t="s">
        <v>6207</v>
      </c>
      <c r="K1208">
        <v>2</v>
      </c>
      <c r="L1208">
        <v>0</v>
      </c>
      <c r="M1208" t="s">
        <v>0</v>
      </c>
      <c r="V1208">
        <v>1</v>
      </c>
      <c r="W1208">
        <v>3</v>
      </c>
      <c r="X1208">
        <v>0</v>
      </c>
      <c r="Y1208">
        <v>0</v>
      </c>
      <c r="Z1208">
        <v>0</v>
      </c>
    </row>
    <row r="1209" spans="1:26" x14ac:dyDescent="0.2">
      <c r="A1209" t="s">
        <v>1327</v>
      </c>
      <c r="B1209" t="s">
        <v>50</v>
      </c>
      <c r="C1209">
        <v>2012</v>
      </c>
      <c r="D1209" t="s">
        <v>26</v>
      </c>
      <c r="E1209" t="s">
        <v>27</v>
      </c>
      <c r="F1209" t="s">
        <v>26</v>
      </c>
      <c r="G1209">
        <v>61276</v>
      </c>
      <c r="H1209">
        <v>49020.800000000003</v>
      </c>
      <c r="I1209" s="13">
        <v>0.33333333333333331</v>
      </c>
      <c r="J1209" t="s">
        <v>6207</v>
      </c>
      <c r="K1209">
        <v>0</v>
      </c>
      <c r="L1209">
        <v>0</v>
      </c>
      <c r="M1209" t="s">
        <v>58</v>
      </c>
      <c r="V1209">
        <v>0</v>
      </c>
      <c r="W1209">
        <v>6</v>
      </c>
      <c r="X1209">
        <v>0</v>
      </c>
      <c r="Y1209">
        <v>0</v>
      </c>
      <c r="Z1209">
        <v>0</v>
      </c>
    </row>
    <row r="1210" spans="1:26" x14ac:dyDescent="0.2">
      <c r="A1210" t="s">
        <v>1328</v>
      </c>
      <c r="B1210" t="s">
        <v>56</v>
      </c>
      <c r="C1210">
        <v>2012</v>
      </c>
      <c r="D1210" t="s">
        <v>64</v>
      </c>
      <c r="E1210" t="s">
        <v>48</v>
      </c>
      <c r="F1210" t="s">
        <v>64</v>
      </c>
      <c r="G1210">
        <v>52264</v>
      </c>
      <c r="H1210">
        <v>41811.200000000004</v>
      </c>
      <c r="I1210" s="13">
        <v>0.5</v>
      </c>
      <c r="J1210" t="s">
        <v>6207</v>
      </c>
      <c r="K1210">
        <v>0</v>
      </c>
      <c r="L1210">
        <v>3</v>
      </c>
      <c r="M1210" t="s">
        <v>1</v>
      </c>
      <c r="V1210">
        <v>4</v>
      </c>
      <c r="W1210">
        <v>4</v>
      </c>
      <c r="X1210">
        <v>0</v>
      </c>
      <c r="Y1210">
        <v>0</v>
      </c>
      <c r="Z1210">
        <v>0</v>
      </c>
    </row>
    <row r="1211" spans="1:26" x14ac:dyDescent="0.2">
      <c r="A1211" t="s">
        <v>1329</v>
      </c>
      <c r="B1211" t="s">
        <v>41</v>
      </c>
      <c r="C1211">
        <v>2012</v>
      </c>
      <c r="D1211" t="s">
        <v>51</v>
      </c>
      <c r="E1211" t="s">
        <v>18</v>
      </c>
      <c r="F1211" t="s">
        <v>20</v>
      </c>
      <c r="G1211">
        <v>36284</v>
      </c>
      <c r="H1211">
        <v>29027.200000000001</v>
      </c>
      <c r="I1211" s="13">
        <v>0.6</v>
      </c>
      <c r="J1211" t="s">
        <v>6207</v>
      </c>
      <c r="K1211">
        <v>2</v>
      </c>
      <c r="L1211">
        <v>4</v>
      </c>
      <c r="M1211" t="s">
        <v>1</v>
      </c>
      <c r="V1211">
        <v>3</v>
      </c>
      <c r="W1211">
        <v>2</v>
      </c>
      <c r="X1211">
        <v>0</v>
      </c>
      <c r="Y1211">
        <v>0</v>
      </c>
      <c r="Z1211">
        <v>0</v>
      </c>
    </row>
    <row r="1212" spans="1:26" x14ac:dyDescent="0.2">
      <c r="A1212" t="s">
        <v>1330</v>
      </c>
      <c r="B1212" t="s">
        <v>67</v>
      </c>
      <c r="C1212">
        <v>2012</v>
      </c>
      <c r="D1212" t="s">
        <v>23</v>
      </c>
      <c r="E1212" t="s">
        <v>73</v>
      </c>
      <c r="F1212" t="s">
        <v>20</v>
      </c>
      <c r="G1212">
        <v>62500</v>
      </c>
      <c r="H1212">
        <v>50000</v>
      </c>
      <c r="I1212" s="13">
        <v>1</v>
      </c>
      <c r="J1212" t="s">
        <v>6207</v>
      </c>
      <c r="K1212">
        <v>4</v>
      </c>
      <c r="L1212">
        <v>1</v>
      </c>
      <c r="M1212" t="s">
        <v>0</v>
      </c>
      <c r="V1212">
        <v>0</v>
      </c>
      <c r="W1212">
        <v>2</v>
      </c>
      <c r="X1212">
        <v>0</v>
      </c>
      <c r="Y1212">
        <v>0</v>
      </c>
      <c r="Z1212">
        <v>1</v>
      </c>
    </row>
    <row r="1213" spans="1:26" x14ac:dyDescent="0.2">
      <c r="A1213" t="s">
        <v>1331</v>
      </c>
      <c r="B1213" t="s">
        <v>44</v>
      </c>
      <c r="C1213">
        <v>2012</v>
      </c>
      <c r="D1213" t="s">
        <v>63</v>
      </c>
      <c r="E1213" t="s">
        <v>40</v>
      </c>
      <c r="F1213" t="s">
        <v>65</v>
      </c>
      <c r="G1213">
        <v>26804</v>
      </c>
      <c r="H1213">
        <v>21443.200000000001</v>
      </c>
      <c r="I1213" s="13">
        <v>0.875</v>
      </c>
      <c r="J1213" t="s">
        <v>6207</v>
      </c>
      <c r="K1213">
        <v>1</v>
      </c>
      <c r="L1213">
        <v>2</v>
      </c>
      <c r="M1213" t="s">
        <v>1</v>
      </c>
      <c r="V1213">
        <v>4</v>
      </c>
      <c r="W1213">
        <v>3</v>
      </c>
      <c r="X1213">
        <v>0</v>
      </c>
      <c r="Y1213">
        <v>1</v>
      </c>
      <c r="Z1213">
        <v>0</v>
      </c>
    </row>
    <row r="1214" spans="1:26" x14ac:dyDescent="0.2">
      <c r="A1214" t="s">
        <v>1332</v>
      </c>
      <c r="B1214" t="s">
        <v>53</v>
      </c>
      <c r="C1214">
        <v>2012</v>
      </c>
      <c r="D1214" t="s">
        <v>71</v>
      </c>
      <c r="E1214" t="s">
        <v>43</v>
      </c>
      <c r="F1214" t="s">
        <v>71</v>
      </c>
      <c r="G1214">
        <v>21088</v>
      </c>
      <c r="H1214">
        <v>16870.400000000001</v>
      </c>
      <c r="I1214" s="13">
        <v>0.6</v>
      </c>
      <c r="J1214" t="s">
        <v>6207</v>
      </c>
      <c r="K1214">
        <v>2</v>
      </c>
      <c r="L1214">
        <v>1</v>
      </c>
      <c r="M1214" t="s">
        <v>0</v>
      </c>
      <c r="V1214">
        <v>2</v>
      </c>
      <c r="W1214">
        <v>3</v>
      </c>
      <c r="X1214">
        <v>0</v>
      </c>
      <c r="Y1214">
        <v>0</v>
      </c>
      <c r="Z1214">
        <v>0</v>
      </c>
    </row>
    <row r="1215" spans="1:26" x14ac:dyDescent="0.2">
      <c r="A1215" t="s">
        <v>1333</v>
      </c>
      <c r="B1215" t="s">
        <v>61</v>
      </c>
      <c r="C1215">
        <v>2012</v>
      </c>
      <c r="D1215" t="s">
        <v>48</v>
      </c>
      <c r="E1215" t="s">
        <v>27</v>
      </c>
      <c r="F1215" t="s">
        <v>49</v>
      </c>
      <c r="G1215">
        <v>74197</v>
      </c>
      <c r="H1215">
        <v>59357.600000000006</v>
      </c>
      <c r="I1215" s="13">
        <v>0</v>
      </c>
      <c r="J1215" t="s">
        <v>6207</v>
      </c>
      <c r="K1215">
        <v>4</v>
      </c>
      <c r="L1215">
        <v>2</v>
      </c>
      <c r="M1215" t="s">
        <v>0</v>
      </c>
      <c r="V1215">
        <v>1</v>
      </c>
      <c r="W1215">
        <v>1</v>
      </c>
      <c r="X1215">
        <v>0</v>
      </c>
      <c r="Y1215">
        <v>0</v>
      </c>
      <c r="Z1215">
        <v>0</v>
      </c>
    </row>
    <row r="1216" spans="1:26" x14ac:dyDescent="0.2">
      <c r="A1216" t="s">
        <v>1334</v>
      </c>
      <c r="B1216" t="s">
        <v>74</v>
      </c>
      <c r="C1216">
        <v>2012</v>
      </c>
      <c r="D1216" t="s">
        <v>26</v>
      </c>
      <c r="E1216" t="s">
        <v>72</v>
      </c>
      <c r="F1216" t="s">
        <v>26</v>
      </c>
      <c r="G1216">
        <v>61276</v>
      </c>
      <c r="H1216">
        <v>49020.800000000003</v>
      </c>
      <c r="I1216" s="13">
        <v>1</v>
      </c>
      <c r="J1216" t="s">
        <v>6208</v>
      </c>
      <c r="K1216">
        <v>1</v>
      </c>
      <c r="L1216">
        <v>0</v>
      </c>
      <c r="M1216" t="s">
        <v>0</v>
      </c>
      <c r="V1216">
        <v>1</v>
      </c>
      <c r="W1216">
        <v>1</v>
      </c>
      <c r="X1216">
        <v>0</v>
      </c>
      <c r="Y1216">
        <v>0</v>
      </c>
      <c r="Z1216">
        <v>0</v>
      </c>
    </row>
    <row r="1217" spans="1:26" x14ac:dyDescent="0.2">
      <c r="A1217" t="s">
        <v>1335</v>
      </c>
      <c r="B1217" t="s">
        <v>25</v>
      </c>
      <c r="C1217">
        <v>2012</v>
      </c>
      <c r="D1217" t="s">
        <v>31</v>
      </c>
      <c r="E1217" t="s">
        <v>42</v>
      </c>
      <c r="F1217" t="s">
        <v>20</v>
      </c>
      <c r="G1217">
        <v>28500</v>
      </c>
      <c r="H1217">
        <v>22800</v>
      </c>
      <c r="I1217" s="13">
        <v>0.66666666666666663</v>
      </c>
      <c r="J1217" t="s">
        <v>6207</v>
      </c>
      <c r="K1217">
        <v>1</v>
      </c>
      <c r="L1217">
        <v>0</v>
      </c>
      <c r="M1217" t="s">
        <v>0</v>
      </c>
      <c r="V1217">
        <v>1</v>
      </c>
      <c r="W1217">
        <v>2</v>
      </c>
      <c r="X1217">
        <v>0</v>
      </c>
      <c r="Y1217">
        <v>0</v>
      </c>
      <c r="Z1217">
        <v>0</v>
      </c>
    </row>
    <row r="1218" spans="1:26" x14ac:dyDescent="0.2">
      <c r="A1218" t="s">
        <v>1336</v>
      </c>
      <c r="B1218" t="s">
        <v>54</v>
      </c>
      <c r="C1218">
        <v>2012</v>
      </c>
      <c r="D1218" t="s">
        <v>69</v>
      </c>
      <c r="E1218" t="s">
        <v>46</v>
      </c>
      <c r="F1218" t="s">
        <v>69</v>
      </c>
      <c r="G1218">
        <v>27359</v>
      </c>
      <c r="H1218">
        <v>21887.200000000001</v>
      </c>
      <c r="I1218" s="13">
        <v>0.5</v>
      </c>
      <c r="J1218" t="s">
        <v>6206</v>
      </c>
      <c r="K1218">
        <v>1</v>
      </c>
      <c r="L1218">
        <v>0</v>
      </c>
      <c r="M1218" t="s">
        <v>0</v>
      </c>
      <c r="V1218">
        <v>4</v>
      </c>
      <c r="W1218">
        <v>0</v>
      </c>
      <c r="X1218">
        <v>0</v>
      </c>
      <c r="Y1218">
        <v>0</v>
      </c>
      <c r="Z1218">
        <v>0</v>
      </c>
    </row>
    <row r="1219" spans="1:26" x14ac:dyDescent="0.2">
      <c r="A1219" t="s">
        <v>1337</v>
      </c>
      <c r="B1219" t="s">
        <v>32</v>
      </c>
      <c r="C1219">
        <v>2012</v>
      </c>
      <c r="D1219" t="s">
        <v>35</v>
      </c>
      <c r="E1219" t="s">
        <v>64</v>
      </c>
      <c r="F1219" t="s">
        <v>35</v>
      </c>
      <c r="G1219">
        <v>49000</v>
      </c>
      <c r="H1219">
        <v>39200</v>
      </c>
      <c r="I1219" s="13">
        <v>0.8</v>
      </c>
      <c r="J1219" t="s">
        <v>6207</v>
      </c>
      <c r="K1219">
        <v>1</v>
      </c>
      <c r="L1219">
        <v>1</v>
      </c>
      <c r="M1219" t="s">
        <v>58</v>
      </c>
      <c r="V1219">
        <v>0</v>
      </c>
      <c r="W1219">
        <v>4</v>
      </c>
      <c r="X1219">
        <v>0</v>
      </c>
      <c r="Y1219">
        <v>1</v>
      </c>
      <c r="Z1219">
        <v>0</v>
      </c>
    </row>
    <row r="1220" spans="1:26" x14ac:dyDescent="0.2">
      <c r="A1220" t="s">
        <v>1338</v>
      </c>
      <c r="B1220" t="s">
        <v>68</v>
      </c>
      <c r="C1220">
        <v>2012</v>
      </c>
      <c r="D1220" t="s">
        <v>70</v>
      </c>
      <c r="E1220" t="s">
        <v>45</v>
      </c>
      <c r="F1220" t="s">
        <v>20</v>
      </c>
      <c r="G1220">
        <v>18439</v>
      </c>
      <c r="H1220">
        <v>14751.2</v>
      </c>
      <c r="I1220" s="13">
        <v>0.75</v>
      </c>
      <c r="J1220" t="s">
        <v>6207</v>
      </c>
      <c r="K1220">
        <v>1</v>
      </c>
      <c r="L1220">
        <v>1</v>
      </c>
      <c r="M1220" t="s">
        <v>58</v>
      </c>
      <c r="V1220">
        <v>2</v>
      </c>
      <c r="W1220">
        <v>1</v>
      </c>
      <c r="X1220">
        <v>0</v>
      </c>
      <c r="Y1220">
        <v>1</v>
      </c>
      <c r="Z1220">
        <v>0</v>
      </c>
    </row>
    <row r="1221" spans="1:26" x14ac:dyDescent="0.2">
      <c r="A1221" t="s">
        <v>1339</v>
      </c>
      <c r="B1221" t="s">
        <v>52</v>
      </c>
      <c r="C1221">
        <v>2012</v>
      </c>
      <c r="D1221" t="s">
        <v>42</v>
      </c>
      <c r="E1221" t="s">
        <v>69</v>
      </c>
      <c r="F1221" t="s">
        <v>38</v>
      </c>
      <c r="G1221">
        <v>42918</v>
      </c>
      <c r="H1221">
        <v>34334.400000000001</v>
      </c>
      <c r="I1221" s="13">
        <v>0.33333333333333331</v>
      </c>
      <c r="J1221" t="s">
        <v>6207</v>
      </c>
      <c r="K1221">
        <v>1</v>
      </c>
      <c r="L1221">
        <v>1</v>
      </c>
      <c r="M1221" t="s">
        <v>58</v>
      </c>
      <c r="V1221">
        <v>2</v>
      </c>
      <c r="W1221">
        <v>0</v>
      </c>
      <c r="X1221">
        <v>1</v>
      </c>
      <c r="Y1221">
        <v>0</v>
      </c>
      <c r="Z1221">
        <v>0</v>
      </c>
    </row>
    <row r="1222" spans="1:26" x14ac:dyDescent="0.2">
      <c r="A1222" t="s">
        <v>1340</v>
      </c>
      <c r="B1222" t="s">
        <v>68</v>
      </c>
      <c r="C1222">
        <v>2012</v>
      </c>
      <c r="D1222" t="s">
        <v>43</v>
      </c>
      <c r="E1222" t="s">
        <v>23</v>
      </c>
      <c r="F1222" t="s">
        <v>43</v>
      </c>
      <c r="G1222">
        <v>25138</v>
      </c>
      <c r="H1222">
        <v>20110.400000000001</v>
      </c>
      <c r="I1222" s="13">
        <v>0.5714285714285714</v>
      </c>
      <c r="J1222" t="s">
        <v>6207</v>
      </c>
      <c r="K1222">
        <v>2</v>
      </c>
      <c r="L1222">
        <v>1</v>
      </c>
      <c r="M1222" t="s">
        <v>0</v>
      </c>
      <c r="V1222">
        <v>3</v>
      </c>
      <c r="W1222">
        <v>4</v>
      </c>
      <c r="X1222">
        <v>0</v>
      </c>
      <c r="Y1222">
        <v>0</v>
      </c>
      <c r="Z1222">
        <v>0</v>
      </c>
    </row>
    <row r="1223" spans="1:26" x14ac:dyDescent="0.2">
      <c r="A1223" t="s">
        <v>1341</v>
      </c>
      <c r="B1223" t="s">
        <v>47</v>
      </c>
      <c r="C1223">
        <v>2012</v>
      </c>
      <c r="D1223" t="s">
        <v>27</v>
      </c>
      <c r="E1223" t="s">
        <v>35</v>
      </c>
      <c r="F1223" t="s">
        <v>27</v>
      </c>
      <c r="G1223">
        <v>30089</v>
      </c>
      <c r="H1223">
        <v>24071.200000000001</v>
      </c>
      <c r="I1223" s="13">
        <v>0</v>
      </c>
      <c r="J1223" t="s">
        <v>6208</v>
      </c>
      <c r="K1223">
        <v>0</v>
      </c>
      <c r="L1223">
        <v>0</v>
      </c>
      <c r="M1223" t="s">
        <v>58</v>
      </c>
      <c r="V1223">
        <v>2</v>
      </c>
      <c r="W1223">
        <v>2</v>
      </c>
      <c r="X1223">
        <v>0</v>
      </c>
      <c r="Y1223">
        <v>0</v>
      </c>
      <c r="Z1223">
        <v>0</v>
      </c>
    </row>
    <row r="1224" spans="1:26" x14ac:dyDescent="0.2">
      <c r="A1224" t="s">
        <v>1342</v>
      </c>
      <c r="B1224" t="s">
        <v>53</v>
      </c>
      <c r="C1224">
        <v>2012</v>
      </c>
      <c r="D1224" t="s">
        <v>72</v>
      </c>
      <c r="E1224" t="s">
        <v>31</v>
      </c>
      <c r="F1224" t="s">
        <v>72</v>
      </c>
      <c r="G1224">
        <v>24161</v>
      </c>
      <c r="H1224">
        <v>19328.8</v>
      </c>
      <c r="I1224" s="13">
        <v>0.5</v>
      </c>
      <c r="J1224" t="s">
        <v>6207</v>
      </c>
      <c r="K1224">
        <v>3</v>
      </c>
      <c r="L1224">
        <v>3</v>
      </c>
      <c r="M1224" t="s">
        <v>58</v>
      </c>
      <c r="V1224">
        <v>1</v>
      </c>
      <c r="W1224">
        <v>1</v>
      </c>
      <c r="X1224">
        <v>0</v>
      </c>
      <c r="Y1224">
        <v>0</v>
      </c>
      <c r="Z1224">
        <v>0</v>
      </c>
    </row>
    <row r="1225" spans="1:26" x14ac:dyDescent="0.2">
      <c r="A1225" t="s">
        <v>1343</v>
      </c>
      <c r="B1225" t="s">
        <v>61</v>
      </c>
      <c r="C1225">
        <v>2012</v>
      </c>
      <c r="D1225" t="s">
        <v>46</v>
      </c>
      <c r="E1225" t="s">
        <v>70</v>
      </c>
      <c r="F1225" t="s">
        <v>20</v>
      </c>
      <c r="G1225">
        <v>60704</v>
      </c>
      <c r="H1225">
        <v>48563.200000000004</v>
      </c>
      <c r="I1225" s="13">
        <v>1</v>
      </c>
      <c r="J1225" t="s">
        <v>6207</v>
      </c>
      <c r="K1225">
        <v>1</v>
      </c>
      <c r="L1225">
        <v>0</v>
      </c>
      <c r="M1225" t="s">
        <v>0</v>
      </c>
      <c r="V1225">
        <v>1</v>
      </c>
      <c r="W1225">
        <v>2</v>
      </c>
      <c r="X1225">
        <v>0</v>
      </c>
      <c r="Y1225">
        <v>1</v>
      </c>
      <c r="Z1225">
        <v>0</v>
      </c>
    </row>
    <row r="1226" spans="1:26" x14ac:dyDescent="0.2">
      <c r="A1226" t="s">
        <v>1344</v>
      </c>
      <c r="B1226" t="s">
        <v>32</v>
      </c>
      <c r="C1226">
        <v>2012</v>
      </c>
      <c r="D1226" t="s">
        <v>40</v>
      </c>
      <c r="E1226" t="s">
        <v>71</v>
      </c>
      <c r="F1226" t="s">
        <v>49</v>
      </c>
      <c r="G1226">
        <v>53400</v>
      </c>
      <c r="H1226">
        <v>42720</v>
      </c>
      <c r="I1226" s="13">
        <v>0.33333333333333331</v>
      </c>
      <c r="J1226" t="s">
        <v>6207</v>
      </c>
      <c r="K1226">
        <v>1</v>
      </c>
      <c r="L1226">
        <v>0</v>
      </c>
      <c r="M1226" t="s">
        <v>0</v>
      </c>
      <c r="V1226">
        <v>1</v>
      </c>
      <c r="W1226">
        <v>2</v>
      </c>
      <c r="X1226">
        <v>0</v>
      </c>
      <c r="Y1226">
        <v>0</v>
      </c>
      <c r="Z1226">
        <v>0</v>
      </c>
    </row>
    <row r="1227" spans="1:26" x14ac:dyDescent="0.2">
      <c r="A1227" t="s">
        <v>1345</v>
      </c>
      <c r="B1227" t="s">
        <v>37</v>
      </c>
      <c r="C1227">
        <v>2012</v>
      </c>
      <c r="D1227" t="s">
        <v>45</v>
      </c>
      <c r="E1227" t="s">
        <v>26</v>
      </c>
      <c r="F1227" t="s">
        <v>26</v>
      </c>
      <c r="G1227">
        <v>39572</v>
      </c>
      <c r="H1227">
        <v>31657.600000000002</v>
      </c>
      <c r="I1227" s="13">
        <v>0.42857142857142855</v>
      </c>
      <c r="J1227" t="s">
        <v>6206</v>
      </c>
      <c r="K1227">
        <v>2</v>
      </c>
      <c r="L1227">
        <v>2</v>
      </c>
      <c r="M1227" t="s">
        <v>58</v>
      </c>
      <c r="V1227">
        <v>4</v>
      </c>
      <c r="W1227">
        <v>3</v>
      </c>
      <c r="X1227">
        <v>0</v>
      </c>
      <c r="Y1227">
        <v>0</v>
      </c>
      <c r="Z1227">
        <v>0</v>
      </c>
    </row>
    <row r="1228" spans="1:26" x14ac:dyDescent="0.2">
      <c r="A1228" t="s">
        <v>1346</v>
      </c>
      <c r="B1228" t="s">
        <v>50</v>
      </c>
      <c r="C1228">
        <v>2012</v>
      </c>
      <c r="D1228" t="s">
        <v>73</v>
      </c>
      <c r="E1228" t="s">
        <v>51</v>
      </c>
      <c r="F1228" t="s">
        <v>73</v>
      </c>
      <c r="G1228">
        <v>32384</v>
      </c>
      <c r="H1228">
        <v>25907.200000000001</v>
      </c>
      <c r="I1228" s="13">
        <v>0.66666666666666663</v>
      </c>
      <c r="J1228" t="s">
        <v>6207</v>
      </c>
      <c r="K1228">
        <v>1</v>
      </c>
      <c r="L1228">
        <v>2</v>
      </c>
      <c r="M1228" t="s">
        <v>1</v>
      </c>
      <c r="V1228">
        <v>0</v>
      </c>
      <c r="W1228">
        <v>3</v>
      </c>
      <c r="X1228">
        <v>0</v>
      </c>
      <c r="Y1228">
        <v>0</v>
      </c>
      <c r="Z1228">
        <v>0</v>
      </c>
    </row>
    <row r="1229" spans="1:26" x14ac:dyDescent="0.2">
      <c r="A1229" t="s">
        <v>1347</v>
      </c>
      <c r="B1229" t="s">
        <v>25</v>
      </c>
      <c r="C1229">
        <v>2012</v>
      </c>
      <c r="D1229" t="s">
        <v>64</v>
      </c>
      <c r="E1229" t="s">
        <v>63</v>
      </c>
      <c r="F1229" t="s">
        <v>64</v>
      </c>
      <c r="G1229">
        <v>52264</v>
      </c>
      <c r="H1229">
        <v>41811.200000000004</v>
      </c>
      <c r="I1229" s="13">
        <v>0.6</v>
      </c>
      <c r="J1229" t="s">
        <v>6207</v>
      </c>
      <c r="K1229">
        <v>2</v>
      </c>
      <c r="L1229">
        <v>1</v>
      </c>
      <c r="M1229" t="s">
        <v>0</v>
      </c>
      <c r="V1229">
        <v>3</v>
      </c>
      <c r="W1229">
        <v>2</v>
      </c>
      <c r="X1229">
        <v>0</v>
      </c>
      <c r="Y1229">
        <v>0</v>
      </c>
      <c r="Z1229">
        <v>0</v>
      </c>
    </row>
    <row r="1230" spans="1:26" x14ac:dyDescent="0.2">
      <c r="A1230" t="s">
        <v>1348</v>
      </c>
      <c r="B1230" t="s">
        <v>44</v>
      </c>
      <c r="C1230">
        <v>2012</v>
      </c>
      <c r="D1230" t="s">
        <v>18</v>
      </c>
      <c r="E1230" t="s">
        <v>48</v>
      </c>
      <c r="F1230" t="s">
        <v>20</v>
      </c>
      <c r="G1230">
        <v>40341</v>
      </c>
      <c r="H1230">
        <v>32272.800000000003</v>
      </c>
      <c r="I1230" s="13">
        <v>0.66666666666666663</v>
      </c>
      <c r="J1230" t="s">
        <v>6207</v>
      </c>
      <c r="K1230">
        <v>2</v>
      </c>
      <c r="L1230">
        <v>3</v>
      </c>
      <c r="M1230" t="s">
        <v>1</v>
      </c>
      <c r="V1230">
        <v>2</v>
      </c>
      <c r="W1230">
        <v>2</v>
      </c>
      <c r="X1230">
        <v>2</v>
      </c>
      <c r="Y1230">
        <v>0</v>
      </c>
      <c r="Z1230">
        <v>0</v>
      </c>
    </row>
    <row r="1231" spans="1:26" x14ac:dyDescent="0.2">
      <c r="A1231" t="s">
        <v>1349</v>
      </c>
      <c r="B1231" t="s">
        <v>41</v>
      </c>
      <c r="C1231">
        <v>2012</v>
      </c>
      <c r="D1231" t="s">
        <v>48</v>
      </c>
      <c r="E1231" t="s">
        <v>46</v>
      </c>
      <c r="F1231" t="s">
        <v>49</v>
      </c>
      <c r="G1231">
        <v>74197</v>
      </c>
      <c r="H1231">
        <v>59357.600000000006</v>
      </c>
      <c r="I1231" s="13">
        <v>0.33333333333333331</v>
      </c>
      <c r="J1231" t="s">
        <v>6207</v>
      </c>
      <c r="K1231">
        <v>2</v>
      </c>
      <c r="L1231">
        <v>1</v>
      </c>
      <c r="M1231" t="s">
        <v>0</v>
      </c>
      <c r="V1231">
        <v>5</v>
      </c>
      <c r="W1231">
        <v>3</v>
      </c>
      <c r="X1231">
        <v>0</v>
      </c>
      <c r="Y1231">
        <v>1</v>
      </c>
      <c r="Z1231">
        <v>1</v>
      </c>
    </row>
    <row r="1232" spans="1:26" x14ac:dyDescent="0.2">
      <c r="A1232" t="s">
        <v>1350</v>
      </c>
      <c r="B1232" t="s">
        <v>32</v>
      </c>
      <c r="C1232">
        <v>2012</v>
      </c>
      <c r="D1232" t="s">
        <v>51</v>
      </c>
      <c r="E1232" t="s">
        <v>43</v>
      </c>
      <c r="F1232" t="s">
        <v>20</v>
      </c>
      <c r="G1232">
        <v>36284</v>
      </c>
      <c r="H1232">
        <v>29027.200000000001</v>
      </c>
      <c r="I1232" s="13">
        <v>1</v>
      </c>
      <c r="J1232" t="s">
        <v>6207</v>
      </c>
      <c r="K1232">
        <v>0</v>
      </c>
      <c r="L1232">
        <v>1</v>
      </c>
      <c r="M1232" t="s">
        <v>1</v>
      </c>
      <c r="V1232">
        <v>1</v>
      </c>
      <c r="W1232">
        <v>1</v>
      </c>
      <c r="X1232">
        <v>0</v>
      </c>
      <c r="Y1232">
        <v>0</v>
      </c>
      <c r="Z1232">
        <v>0</v>
      </c>
    </row>
    <row r="1233" spans="1:26" x14ac:dyDescent="0.2">
      <c r="A1233" t="s">
        <v>1351</v>
      </c>
      <c r="B1233" t="s">
        <v>60</v>
      </c>
      <c r="C1233">
        <v>2012</v>
      </c>
      <c r="D1233" t="s">
        <v>71</v>
      </c>
      <c r="E1233" t="s">
        <v>18</v>
      </c>
      <c r="F1233" t="s">
        <v>71</v>
      </c>
      <c r="G1233">
        <v>21088</v>
      </c>
      <c r="H1233">
        <v>16870.400000000001</v>
      </c>
      <c r="I1233" s="13">
        <v>0.6</v>
      </c>
      <c r="J1233" t="s">
        <v>6208</v>
      </c>
      <c r="K1233">
        <v>1</v>
      </c>
      <c r="L1233">
        <v>1</v>
      </c>
      <c r="M1233" t="s">
        <v>58</v>
      </c>
      <c r="V1233">
        <v>4</v>
      </c>
      <c r="W1233">
        <v>1</v>
      </c>
      <c r="X1233">
        <v>0</v>
      </c>
      <c r="Y1233">
        <v>0</v>
      </c>
      <c r="Z1233">
        <v>0</v>
      </c>
    </row>
    <row r="1234" spans="1:26" x14ac:dyDescent="0.2">
      <c r="A1234" t="s">
        <v>1352</v>
      </c>
      <c r="B1234" t="s">
        <v>53</v>
      </c>
      <c r="C1234">
        <v>2012</v>
      </c>
      <c r="D1234" t="s">
        <v>35</v>
      </c>
      <c r="E1234" t="s">
        <v>42</v>
      </c>
      <c r="F1234" t="s">
        <v>35</v>
      </c>
      <c r="G1234">
        <v>49000</v>
      </c>
      <c r="H1234">
        <v>39200</v>
      </c>
      <c r="I1234" s="13">
        <v>0.6</v>
      </c>
      <c r="J1234" t="s">
        <v>6207</v>
      </c>
      <c r="K1234">
        <v>0</v>
      </c>
      <c r="L1234">
        <v>1</v>
      </c>
      <c r="M1234" t="s">
        <v>1</v>
      </c>
      <c r="V1234">
        <v>2</v>
      </c>
      <c r="W1234">
        <v>3</v>
      </c>
      <c r="X1234">
        <v>0</v>
      </c>
      <c r="Y1234">
        <v>0</v>
      </c>
      <c r="Z1234">
        <v>0</v>
      </c>
    </row>
    <row r="1235" spans="1:26" x14ac:dyDescent="0.2">
      <c r="A1235" t="s">
        <v>1353</v>
      </c>
      <c r="B1235" t="s">
        <v>37</v>
      </c>
      <c r="C1235">
        <v>2012</v>
      </c>
      <c r="D1235" t="s">
        <v>69</v>
      </c>
      <c r="E1235" t="s">
        <v>27</v>
      </c>
      <c r="F1235" t="s">
        <v>69</v>
      </c>
      <c r="G1235">
        <v>27359</v>
      </c>
      <c r="H1235">
        <v>21887.200000000001</v>
      </c>
      <c r="I1235" s="13">
        <v>0.16666666666666666</v>
      </c>
      <c r="J1235" t="s">
        <v>6206</v>
      </c>
      <c r="K1235">
        <v>1</v>
      </c>
      <c r="L1235">
        <v>0</v>
      </c>
      <c r="M1235" t="s">
        <v>0</v>
      </c>
      <c r="V1235">
        <v>1</v>
      </c>
      <c r="W1235">
        <v>5</v>
      </c>
      <c r="X1235">
        <v>0</v>
      </c>
      <c r="Y1235">
        <v>0</v>
      </c>
      <c r="Z1235">
        <v>0</v>
      </c>
    </row>
    <row r="1236" spans="1:26" x14ac:dyDescent="0.2">
      <c r="A1236" t="s">
        <v>1354</v>
      </c>
      <c r="B1236" t="s">
        <v>67</v>
      </c>
      <c r="C1236">
        <v>2012</v>
      </c>
      <c r="D1236" t="s">
        <v>31</v>
      </c>
      <c r="E1236" t="s">
        <v>45</v>
      </c>
      <c r="F1236" t="s">
        <v>20</v>
      </c>
      <c r="G1236">
        <v>28500</v>
      </c>
      <c r="H1236">
        <v>22800</v>
      </c>
      <c r="I1236" s="13">
        <v>0.25</v>
      </c>
      <c r="J1236" t="s">
        <v>6207</v>
      </c>
      <c r="K1236">
        <v>2</v>
      </c>
      <c r="L1236">
        <v>2</v>
      </c>
      <c r="M1236" t="s">
        <v>58</v>
      </c>
      <c r="V1236">
        <v>3</v>
      </c>
      <c r="W1236">
        <v>1</v>
      </c>
      <c r="X1236">
        <v>0</v>
      </c>
      <c r="Y1236">
        <v>0</v>
      </c>
      <c r="Z1236">
        <v>0</v>
      </c>
    </row>
    <row r="1237" spans="1:26" x14ac:dyDescent="0.2">
      <c r="A1237" t="s">
        <v>1355</v>
      </c>
      <c r="B1237" t="s">
        <v>56</v>
      </c>
      <c r="C1237">
        <v>2012</v>
      </c>
      <c r="D1237" t="s">
        <v>23</v>
      </c>
      <c r="E1237" t="s">
        <v>40</v>
      </c>
      <c r="F1237" t="s">
        <v>20</v>
      </c>
      <c r="G1237">
        <v>62500</v>
      </c>
      <c r="H1237">
        <v>50000</v>
      </c>
      <c r="I1237" s="13">
        <v>0.33333333333333331</v>
      </c>
      <c r="J1237" t="s">
        <v>6207</v>
      </c>
      <c r="K1237">
        <v>0</v>
      </c>
      <c r="L1237">
        <v>0</v>
      </c>
      <c r="M1237" t="s">
        <v>58</v>
      </c>
      <c r="V1237">
        <v>3</v>
      </c>
      <c r="W1237">
        <v>0</v>
      </c>
      <c r="X1237">
        <v>0</v>
      </c>
      <c r="Y1237">
        <v>0</v>
      </c>
      <c r="Z1237">
        <v>0</v>
      </c>
    </row>
    <row r="1238" spans="1:26" x14ac:dyDescent="0.2">
      <c r="A1238" t="s">
        <v>1356</v>
      </c>
      <c r="B1238" t="s">
        <v>66</v>
      </c>
      <c r="C1238">
        <v>2012</v>
      </c>
      <c r="D1238" t="s">
        <v>70</v>
      </c>
      <c r="E1238" t="s">
        <v>72</v>
      </c>
      <c r="F1238" t="s">
        <v>20</v>
      </c>
      <c r="G1238">
        <v>18439</v>
      </c>
      <c r="H1238">
        <v>14751.2</v>
      </c>
      <c r="I1238" s="13">
        <v>0.5</v>
      </c>
      <c r="J1238" t="s">
        <v>6207</v>
      </c>
      <c r="K1238">
        <v>1</v>
      </c>
      <c r="L1238">
        <v>1</v>
      </c>
      <c r="M1238" t="s">
        <v>58</v>
      </c>
      <c r="V1238">
        <v>0</v>
      </c>
      <c r="W1238">
        <v>2</v>
      </c>
      <c r="X1238">
        <v>0</v>
      </c>
      <c r="Y1238">
        <v>0</v>
      </c>
      <c r="Z1238">
        <v>0</v>
      </c>
    </row>
    <row r="1239" spans="1:26" x14ac:dyDescent="0.2">
      <c r="A1239" t="s">
        <v>1357</v>
      </c>
      <c r="B1239" t="s">
        <v>61</v>
      </c>
      <c r="C1239">
        <v>2012</v>
      </c>
      <c r="D1239" t="s">
        <v>26</v>
      </c>
      <c r="E1239" t="s">
        <v>64</v>
      </c>
      <c r="F1239" t="s">
        <v>26</v>
      </c>
      <c r="G1239">
        <v>61276</v>
      </c>
      <c r="H1239">
        <v>49020.800000000003</v>
      </c>
      <c r="I1239" s="13">
        <v>1</v>
      </c>
      <c r="J1239" t="s">
        <v>6207</v>
      </c>
      <c r="K1239">
        <v>1</v>
      </c>
      <c r="L1239">
        <v>1</v>
      </c>
      <c r="M1239" t="s">
        <v>58</v>
      </c>
      <c r="V1239">
        <v>0</v>
      </c>
      <c r="W1239">
        <v>1</v>
      </c>
      <c r="X1239">
        <v>0</v>
      </c>
      <c r="Y1239">
        <v>1</v>
      </c>
      <c r="Z1239">
        <v>0</v>
      </c>
    </row>
    <row r="1240" spans="1:26" x14ac:dyDescent="0.2">
      <c r="A1240" t="s">
        <v>1358</v>
      </c>
      <c r="B1240" t="s">
        <v>47</v>
      </c>
      <c r="C1240">
        <v>2012</v>
      </c>
      <c r="D1240" t="s">
        <v>63</v>
      </c>
      <c r="E1240" t="s">
        <v>73</v>
      </c>
      <c r="F1240" t="s">
        <v>65</v>
      </c>
      <c r="G1240">
        <v>26804</v>
      </c>
      <c r="H1240">
        <v>21443.200000000001</v>
      </c>
      <c r="I1240" s="13">
        <v>1</v>
      </c>
      <c r="J1240" t="s">
        <v>6208</v>
      </c>
      <c r="K1240">
        <v>2</v>
      </c>
      <c r="L1240">
        <v>0</v>
      </c>
      <c r="M1240" t="s">
        <v>0</v>
      </c>
      <c r="V1240">
        <v>1</v>
      </c>
      <c r="W1240">
        <v>0</v>
      </c>
      <c r="X1240">
        <v>0</v>
      </c>
      <c r="Y1240">
        <v>0</v>
      </c>
      <c r="Z1240">
        <v>0</v>
      </c>
    </row>
    <row r="1241" spans="1:26" x14ac:dyDescent="0.2">
      <c r="A1241" t="s">
        <v>1359</v>
      </c>
      <c r="B1241" t="s">
        <v>67</v>
      </c>
      <c r="C1241">
        <v>2012</v>
      </c>
      <c r="D1241" t="s">
        <v>43</v>
      </c>
      <c r="E1241" t="s">
        <v>63</v>
      </c>
      <c r="F1241" t="s">
        <v>43</v>
      </c>
      <c r="G1241">
        <v>25138</v>
      </c>
      <c r="H1241">
        <v>20110.400000000001</v>
      </c>
      <c r="I1241" s="13">
        <v>1</v>
      </c>
      <c r="J1241" t="s">
        <v>6207</v>
      </c>
      <c r="K1241">
        <v>1</v>
      </c>
      <c r="L1241">
        <v>2</v>
      </c>
      <c r="M1241" t="s">
        <v>1</v>
      </c>
      <c r="V1241">
        <v>1</v>
      </c>
      <c r="W1241">
        <v>4</v>
      </c>
      <c r="X1241">
        <v>0</v>
      </c>
      <c r="Y1241">
        <v>0</v>
      </c>
      <c r="Z1241">
        <v>0</v>
      </c>
    </row>
    <row r="1242" spans="1:26" x14ac:dyDescent="0.2">
      <c r="A1242" t="s">
        <v>1360</v>
      </c>
      <c r="B1242" t="s">
        <v>32</v>
      </c>
      <c r="C1242">
        <v>2012</v>
      </c>
      <c r="D1242" t="s">
        <v>27</v>
      </c>
      <c r="E1242" t="s">
        <v>70</v>
      </c>
      <c r="F1242" t="s">
        <v>27</v>
      </c>
      <c r="G1242">
        <v>30089</v>
      </c>
      <c r="H1242">
        <v>24071.200000000001</v>
      </c>
      <c r="I1242" s="13">
        <v>0.8</v>
      </c>
      <c r="J1242" t="s">
        <v>6207</v>
      </c>
      <c r="K1242">
        <v>1</v>
      </c>
      <c r="L1242">
        <v>0</v>
      </c>
      <c r="M1242" t="s">
        <v>0</v>
      </c>
      <c r="V1242">
        <v>2</v>
      </c>
      <c r="W1242">
        <v>3</v>
      </c>
      <c r="X1242">
        <v>0</v>
      </c>
      <c r="Y1242">
        <v>0</v>
      </c>
      <c r="Z1242">
        <v>0</v>
      </c>
    </row>
    <row r="1243" spans="1:26" x14ac:dyDescent="0.2">
      <c r="A1243" t="s">
        <v>1361</v>
      </c>
      <c r="B1243" t="s">
        <v>37</v>
      </c>
      <c r="C1243">
        <v>2012</v>
      </c>
      <c r="D1243" t="s">
        <v>73</v>
      </c>
      <c r="E1243" t="s">
        <v>71</v>
      </c>
      <c r="F1243" t="s">
        <v>73</v>
      </c>
      <c r="G1243">
        <v>32384</v>
      </c>
      <c r="H1243">
        <v>25907.200000000001</v>
      </c>
      <c r="I1243" s="13">
        <v>0.5</v>
      </c>
      <c r="J1243" t="s">
        <v>6206</v>
      </c>
      <c r="K1243">
        <v>1</v>
      </c>
      <c r="L1243">
        <v>1</v>
      </c>
      <c r="M1243" t="s">
        <v>58</v>
      </c>
      <c r="V1243">
        <v>2</v>
      </c>
      <c r="W1243">
        <v>2</v>
      </c>
      <c r="X1243">
        <v>0</v>
      </c>
      <c r="Y1243">
        <v>0</v>
      </c>
      <c r="Z1243">
        <v>0</v>
      </c>
    </row>
    <row r="1244" spans="1:26" x14ac:dyDescent="0.2">
      <c r="A1244" t="s">
        <v>1362</v>
      </c>
      <c r="B1244" t="s">
        <v>25</v>
      </c>
      <c r="C1244">
        <v>2012</v>
      </c>
      <c r="D1244" t="s">
        <v>72</v>
      </c>
      <c r="E1244" t="s">
        <v>69</v>
      </c>
      <c r="F1244" t="s">
        <v>72</v>
      </c>
      <c r="G1244">
        <v>24161</v>
      </c>
      <c r="H1244">
        <v>19328.8</v>
      </c>
      <c r="I1244" s="13">
        <v>1</v>
      </c>
      <c r="J1244" t="s">
        <v>6207</v>
      </c>
      <c r="K1244">
        <v>0</v>
      </c>
      <c r="L1244">
        <v>0</v>
      </c>
      <c r="M1244" t="s">
        <v>58</v>
      </c>
      <c r="V1244">
        <v>0</v>
      </c>
      <c r="W1244">
        <v>1</v>
      </c>
      <c r="X1244">
        <v>0</v>
      </c>
      <c r="Y1244">
        <v>0</v>
      </c>
      <c r="Z1244">
        <v>0</v>
      </c>
    </row>
    <row r="1245" spans="1:26" x14ac:dyDescent="0.2">
      <c r="A1245" t="s">
        <v>1363</v>
      </c>
      <c r="B1245" t="s">
        <v>50</v>
      </c>
      <c r="C1245">
        <v>2012</v>
      </c>
      <c r="D1245" t="s">
        <v>45</v>
      </c>
      <c r="E1245" t="s">
        <v>35</v>
      </c>
      <c r="F1245" t="s">
        <v>26</v>
      </c>
      <c r="G1245">
        <v>39572</v>
      </c>
      <c r="H1245">
        <v>31657.600000000002</v>
      </c>
      <c r="I1245" s="13">
        <v>0.25</v>
      </c>
      <c r="J1245" t="s">
        <v>6207</v>
      </c>
      <c r="K1245">
        <v>2</v>
      </c>
      <c r="L1245">
        <v>1</v>
      </c>
      <c r="M1245" t="s">
        <v>0</v>
      </c>
      <c r="V1245">
        <v>1</v>
      </c>
      <c r="W1245">
        <v>3</v>
      </c>
      <c r="X1245">
        <v>0</v>
      </c>
      <c r="Y1245">
        <v>0</v>
      </c>
      <c r="Z1245">
        <v>0</v>
      </c>
    </row>
    <row r="1246" spans="1:26" x14ac:dyDescent="0.2">
      <c r="A1246" t="s">
        <v>1364</v>
      </c>
      <c r="B1246" t="s">
        <v>52</v>
      </c>
      <c r="C1246">
        <v>2012</v>
      </c>
      <c r="D1246" t="s">
        <v>46</v>
      </c>
      <c r="E1246" t="s">
        <v>31</v>
      </c>
      <c r="F1246" t="s">
        <v>20</v>
      </c>
      <c r="G1246">
        <v>60704</v>
      </c>
      <c r="H1246">
        <v>48563.200000000004</v>
      </c>
      <c r="I1246" s="13">
        <v>0</v>
      </c>
      <c r="J1246" t="s">
        <v>6207</v>
      </c>
      <c r="K1246">
        <v>3</v>
      </c>
      <c r="L1246">
        <v>3</v>
      </c>
      <c r="M1246" t="s">
        <v>58</v>
      </c>
      <c r="V1246">
        <v>1</v>
      </c>
      <c r="W1246">
        <v>2</v>
      </c>
      <c r="X1246">
        <v>0</v>
      </c>
      <c r="Y1246">
        <v>0</v>
      </c>
      <c r="Z1246">
        <v>2</v>
      </c>
    </row>
    <row r="1247" spans="1:26" x14ac:dyDescent="0.2">
      <c r="A1247" t="s">
        <v>1365</v>
      </c>
      <c r="B1247" t="s">
        <v>60</v>
      </c>
      <c r="C1247">
        <v>2012</v>
      </c>
      <c r="D1247" t="s">
        <v>42</v>
      </c>
      <c r="E1247" t="s">
        <v>48</v>
      </c>
      <c r="F1247" t="s">
        <v>38</v>
      </c>
      <c r="G1247">
        <v>42918</v>
      </c>
      <c r="H1247">
        <v>34334.400000000001</v>
      </c>
      <c r="I1247" s="13">
        <v>0.5</v>
      </c>
      <c r="J1247" t="s">
        <v>6208</v>
      </c>
      <c r="K1247">
        <v>2</v>
      </c>
      <c r="L1247">
        <v>3</v>
      </c>
      <c r="M1247" t="s">
        <v>1</v>
      </c>
      <c r="V1247">
        <v>1</v>
      </c>
      <c r="W1247">
        <v>1</v>
      </c>
      <c r="X1247">
        <v>0</v>
      </c>
      <c r="Y1247">
        <v>0</v>
      </c>
      <c r="Z1247">
        <v>0</v>
      </c>
    </row>
    <row r="1248" spans="1:26" x14ac:dyDescent="0.2">
      <c r="A1248" t="s">
        <v>1366</v>
      </c>
      <c r="B1248" t="s">
        <v>66</v>
      </c>
      <c r="C1248">
        <v>2012</v>
      </c>
      <c r="D1248" t="s">
        <v>40</v>
      </c>
      <c r="E1248" t="s">
        <v>51</v>
      </c>
      <c r="F1248" t="s">
        <v>49</v>
      </c>
      <c r="G1248">
        <v>53400</v>
      </c>
      <c r="H1248">
        <v>42720</v>
      </c>
      <c r="I1248" s="13">
        <v>0.66666666666666663</v>
      </c>
      <c r="J1248" t="s">
        <v>6207</v>
      </c>
      <c r="K1248">
        <v>2</v>
      </c>
      <c r="L1248">
        <v>1</v>
      </c>
      <c r="M1248" t="s">
        <v>0</v>
      </c>
      <c r="V1248">
        <v>1</v>
      </c>
      <c r="W1248">
        <v>2</v>
      </c>
      <c r="X1248">
        <v>0</v>
      </c>
      <c r="Y1248">
        <v>0</v>
      </c>
      <c r="Z1248">
        <v>0</v>
      </c>
    </row>
    <row r="1249" spans="1:26" x14ac:dyDescent="0.2">
      <c r="A1249" t="s">
        <v>1367</v>
      </c>
      <c r="B1249" t="s">
        <v>41</v>
      </c>
      <c r="C1249">
        <v>2012</v>
      </c>
      <c r="D1249" t="s">
        <v>64</v>
      </c>
      <c r="E1249" t="s">
        <v>23</v>
      </c>
      <c r="F1249" t="s">
        <v>64</v>
      </c>
      <c r="G1249">
        <v>52264</v>
      </c>
      <c r="H1249">
        <v>41811.200000000004</v>
      </c>
      <c r="I1249" s="13">
        <v>0.66666666666666663</v>
      </c>
      <c r="J1249" t="s">
        <v>6207</v>
      </c>
      <c r="K1249">
        <v>0</v>
      </c>
      <c r="L1249">
        <v>1</v>
      </c>
      <c r="M1249" t="s">
        <v>1</v>
      </c>
      <c r="V1249">
        <v>1</v>
      </c>
      <c r="W1249">
        <v>2</v>
      </c>
      <c r="X1249">
        <v>0</v>
      </c>
      <c r="Y1249">
        <v>0</v>
      </c>
      <c r="Z1249">
        <v>0</v>
      </c>
    </row>
    <row r="1250" spans="1:26" x14ac:dyDescent="0.2">
      <c r="A1250" t="s">
        <v>1368</v>
      </c>
      <c r="B1250" t="s">
        <v>56</v>
      </c>
      <c r="C1250">
        <v>2012</v>
      </c>
      <c r="D1250" t="s">
        <v>18</v>
      </c>
      <c r="E1250" t="s">
        <v>26</v>
      </c>
      <c r="F1250" t="s">
        <v>20</v>
      </c>
      <c r="G1250">
        <v>40341</v>
      </c>
      <c r="H1250">
        <v>32272.800000000003</v>
      </c>
      <c r="I1250" s="13">
        <v>0.25</v>
      </c>
      <c r="J1250" t="s">
        <v>6207</v>
      </c>
      <c r="K1250">
        <v>1</v>
      </c>
      <c r="L1250">
        <v>1</v>
      </c>
      <c r="M1250" t="s">
        <v>58</v>
      </c>
      <c r="V1250">
        <v>1</v>
      </c>
      <c r="W1250">
        <v>3</v>
      </c>
      <c r="X1250">
        <v>0</v>
      </c>
      <c r="Y1250">
        <v>0</v>
      </c>
      <c r="Z1250">
        <v>0</v>
      </c>
    </row>
    <row r="1251" spans="1:26" x14ac:dyDescent="0.2">
      <c r="A1251" t="s">
        <v>1369</v>
      </c>
      <c r="B1251" t="s">
        <v>56</v>
      </c>
      <c r="C1251">
        <v>2012</v>
      </c>
      <c r="D1251" t="s">
        <v>46</v>
      </c>
      <c r="E1251" t="s">
        <v>51</v>
      </c>
      <c r="F1251" t="s">
        <v>20</v>
      </c>
      <c r="G1251">
        <v>60704</v>
      </c>
      <c r="H1251">
        <v>48563.200000000004</v>
      </c>
      <c r="I1251" s="13">
        <v>0.75</v>
      </c>
      <c r="J1251" t="s">
        <v>6207</v>
      </c>
      <c r="K1251">
        <v>5</v>
      </c>
      <c r="L1251">
        <v>2</v>
      </c>
      <c r="M1251" t="s">
        <v>0</v>
      </c>
      <c r="V1251">
        <v>1</v>
      </c>
      <c r="W1251">
        <v>2</v>
      </c>
      <c r="X1251">
        <v>0</v>
      </c>
      <c r="Y1251">
        <v>1</v>
      </c>
      <c r="Z1251">
        <v>0</v>
      </c>
    </row>
    <row r="1252" spans="1:26" x14ac:dyDescent="0.2">
      <c r="A1252" t="s">
        <v>1370</v>
      </c>
      <c r="B1252" t="s">
        <v>66</v>
      </c>
      <c r="C1252">
        <v>2012</v>
      </c>
      <c r="D1252" t="s">
        <v>63</v>
      </c>
      <c r="E1252" t="s">
        <v>18</v>
      </c>
      <c r="F1252" t="s">
        <v>65</v>
      </c>
      <c r="G1252">
        <v>26804</v>
      </c>
      <c r="H1252">
        <v>21443.200000000001</v>
      </c>
      <c r="I1252" s="13">
        <v>0</v>
      </c>
      <c r="J1252" t="s">
        <v>6207</v>
      </c>
      <c r="K1252">
        <v>2</v>
      </c>
      <c r="L1252">
        <v>1</v>
      </c>
      <c r="M1252" t="s">
        <v>0</v>
      </c>
      <c r="V1252">
        <v>0</v>
      </c>
      <c r="W1252">
        <v>0</v>
      </c>
      <c r="X1252">
        <v>0</v>
      </c>
      <c r="Y1252">
        <v>0</v>
      </c>
      <c r="Z1252">
        <v>0</v>
      </c>
    </row>
    <row r="1253" spans="1:26" x14ac:dyDescent="0.2">
      <c r="A1253" t="s">
        <v>1371</v>
      </c>
      <c r="B1253" t="s">
        <v>32</v>
      </c>
      <c r="C1253">
        <v>2012</v>
      </c>
      <c r="D1253" t="s">
        <v>72</v>
      </c>
      <c r="E1253" t="s">
        <v>45</v>
      </c>
      <c r="F1253" t="s">
        <v>72</v>
      </c>
      <c r="G1253">
        <v>24161</v>
      </c>
      <c r="H1253">
        <v>19328.8</v>
      </c>
      <c r="I1253" s="13">
        <v>1</v>
      </c>
      <c r="J1253" t="s">
        <v>6207</v>
      </c>
      <c r="K1253">
        <v>2</v>
      </c>
      <c r="L1253">
        <v>1</v>
      </c>
      <c r="M1253" t="s">
        <v>0</v>
      </c>
      <c r="V1253">
        <v>3</v>
      </c>
      <c r="W1253">
        <v>2</v>
      </c>
      <c r="X1253">
        <v>0</v>
      </c>
      <c r="Y1253">
        <v>0</v>
      </c>
      <c r="Z1253">
        <v>1</v>
      </c>
    </row>
    <row r="1254" spans="1:26" x14ac:dyDescent="0.2">
      <c r="A1254" t="s">
        <v>1372</v>
      </c>
      <c r="B1254" t="s">
        <v>41</v>
      </c>
      <c r="C1254">
        <v>2012</v>
      </c>
      <c r="D1254" t="s">
        <v>70</v>
      </c>
      <c r="E1254" t="s">
        <v>73</v>
      </c>
      <c r="F1254" t="s">
        <v>20</v>
      </c>
      <c r="G1254">
        <v>18439</v>
      </c>
      <c r="H1254">
        <v>14751.2</v>
      </c>
      <c r="I1254" s="13">
        <v>1</v>
      </c>
      <c r="J1254" t="s">
        <v>6207</v>
      </c>
      <c r="K1254">
        <v>1</v>
      </c>
      <c r="L1254">
        <v>3</v>
      </c>
      <c r="M1254" t="s">
        <v>1</v>
      </c>
      <c r="V1254">
        <v>1</v>
      </c>
      <c r="W1254">
        <v>0</v>
      </c>
      <c r="X1254">
        <v>0</v>
      </c>
      <c r="Y1254">
        <v>0</v>
      </c>
      <c r="Z1254">
        <v>0</v>
      </c>
    </row>
    <row r="1255" spans="1:26" x14ac:dyDescent="0.2">
      <c r="A1255" t="s">
        <v>1373</v>
      </c>
      <c r="B1255" t="s">
        <v>52</v>
      </c>
      <c r="C1255">
        <v>2012</v>
      </c>
      <c r="D1255" t="s">
        <v>64</v>
      </c>
      <c r="E1255" t="s">
        <v>71</v>
      </c>
      <c r="F1255" t="s">
        <v>64</v>
      </c>
      <c r="G1255">
        <v>52264</v>
      </c>
      <c r="H1255">
        <v>41811.200000000004</v>
      </c>
      <c r="I1255" s="13">
        <v>0.75</v>
      </c>
      <c r="J1255" t="s">
        <v>6207</v>
      </c>
      <c r="K1255">
        <v>1</v>
      </c>
      <c r="L1255">
        <v>2</v>
      </c>
      <c r="M1255" t="s">
        <v>1</v>
      </c>
      <c r="V1255">
        <v>1</v>
      </c>
      <c r="W1255">
        <v>3</v>
      </c>
      <c r="X1255">
        <v>0</v>
      </c>
      <c r="Y1255">
        <v>0</v>
      </c>
      <c r="Z1255">
        <v>0</v>
      </c>
    </row>
    <row r="1256" spans="1:26" x14ac:dyDescent="0.2">
      <c r="A1256" t="s">
        <v>1374</v>
      </c>
      <c r="B1256" t="s">
        <v>68</v>
      </c>
      <c r="C1256">
        <v>2012</v>
      </c>
      <c r="D1256" t="s">
        <v>40</v>
      </c>
      <c r="E1256" t="s">
        <v>42</v>
      </c>
      <c r="F1256" t="s">
        <v>49</v>
      </c>
      <c r="G1256">
        <v>53400</v>
      </c>
      <c r="H1256">
        <v>42720</v>
      </c>
      <c r="I1256" s="13">
        <v>0</v>
      </c>
      <c r="J1256" t="s">
        <v>6207</v>
      </c>
      <c r="K1256">
        <v>5</v>
      </c>
      <c r="L1256">
        <v>0</v>
      </c>
      <c r="M1256" t="s">
        <v>0</v>
      </c>
      <c r="V1256">
        <v>0</v>
      </c>
      <c r="W1256">
        <v>1</v>
      </c>
      <c r="X1256">
        <v>0</v>
      </c>
      <c r="Y1256">
        <v>0</v>
      </c>
      <c r="Z1256">
        <v>2</v>
      </c>
    </row>
    <row r="1257" spans="1:26" x14ac:dyDescent="0.2">
      <c r="A1257" t="s">
        <v>1375</v>
      </c>
      <c r="B1257" t="s">
        <v>60</v>
      </c>
      <c r="C1257">
        <v>2012</v>
      </c>
      <c r="D1257" t="s">
        <v>26</v>
      </c>
      <c r="E1257" t="s">
        <v>43</v>
      </c>
      <c r="F1257" t="s">
        <v>26</v>
      </c>
      <c r="G1257">
        <v>61276</v>
      </c>
      <c r="H1257">
        <v>49020.800000000003</v>
      </c>
      <c r="I1257" s="13">
        <v>0.66666666666666663</v>
      </c>
      <c r="J1257" t="s">
        <v>6208</v>
      </c>
      <c r="K1257">
        <v>3</v>
      </c>
      <c r="L1257">
        <v>0</v>
      </c>
      <c r="M1257" t="s">
        <v>0</v>
      </c>
      <c r="V1257">
        <v>0</v>
      </c>
      <c r="W1257">
        <v>3</v>
      </c>
      <c r="X1257">
        <v>0</v>
      </c>
      <c r="Y1257">
        <v>0</v>
      </c>
      <c r="Z1257">
        <v>0</v>
      </c>
    </row>
    <row r="1258" spans="1:26" x14ac:dyDescent="0.2">
      <c r="A1258" t="s">
        <v>1376</v>
      </c>
      <c r="B1258" t="s">
        <v>61</v>
      </c>
      <c r="C1258">
        <v>2012</v>
      </c>
      <c r="D1258" t="s">
        <v>69</v>
      </c>
      <c r="E1258" t="s">
        <v>48</v>
      </c>
      <c r="F1258" t="s">
        <v>69</v>
      </c>
      <c r="G1258">
        <v>27359</v>
      </c>
      <c r="H1258">
        <v>21887.200000000001</v>
      </c>
      <c r="I1258" s="13">
        <v>1</v>
      </c>
      <c r="J1258" t="s">
        <v>6207</v>
      </c>
      <c r="K1258">
        <v>1</v>
      </c>
      <c r="L1258">
        <v>0</v>
      </c>
      <c r="M1258" t="s">
        <v>0</v>
      </c>
      <c r="V1258">
        <v>0</v>
      </c>
      <c r="W1258">
        <v>1</v>
      </c>
      <c r="X1258">
        <v>0</v>
      </c>
      <c r="Y1258">
        <v>0</v>
      </c>
      <c r="Z1258">
        <v>0</v>
      </c>
    </row>
    <row r="1259" spans="1:26" x14ac:dyDescent="0.2">
      <c r="A1259" t="s">
        <v>1377</v>
      </c>
      <c r="B1259" t="s">
        <v>54</v>
      </c>
      <c r="C1259">
        <v>2012</v>
      </c>
      <c r="D1259" t="s">
        <v>31</v>
      </c>
      <c r="E1259" t="s">
        <v>35</v>
      </c>
      <c r="F1259" t="s">
        <v>20</v>
      </c>
      <c r="G1259">
        <v>28500</v>
      </c>
      <c r="H1259">
        <v>22800</v>
      </c>
      <c r="I1259" s="13">
        <v>0.4</v>
      </c>
      <c r="J1259" t="s">
        <v>6206</v>
      </c>
      <c r="K1259">
        <v>1</v>
      </c>
      <c r="L1259">
        <v>3</v>
      </c>
      <c r="M1259" t="s">
        <v>1</v>
      </c>
      <c r="V1259">
        <v>1</v>
      </c>
      <c r="W1259">
        <v>3</v>
      </c>
      <c r="X1259">
        <v>1</v>
      </c>
      <c r="Y1259">
        <v>0</v>
      </c>
      <c r="Z1259">
        <v>0</v>
      </c>
    </row>
    <row r="1260" spans="1:26" x14ac:dyDescent="0.2">
      <c r="A1260" t="s">
        <v>1378</v>
      </c>
      <c r="B1260" t="s">
        <v>25</v>
      </c>
      <c r="C1260">
        <v>2012</v>
      </c>
      <c r="D1260" t="s">
        <v>23</v>
      </c>
      <c r="E1260" t="s">
        <v>27</v>
      </c>
      <c r="F1260" t="s">
        <v>20</v>
      </c>
      <c r="G1260">
        <v>62500</v>
      </c>
      <c r="H1260">
        <v>50000</v>
      </c>
      <c r="I1260" s="13">
        <v>0</v>
      </c>
      <c r="J1260" t="s">
        <v>6207</v>
      </c>
      <c r="K1260">
        <v>1</v>
      </c>
      <c r="L1260">
        <v>1</v>
      </c>
      <c r="M1260" t="s">
        <v>58</v>
      </c>
      <c r="V1260">
        <v>1</v>
      </c>
      <c r="W1260">
        <v>0</v>
      </c>
      <c r="X1260">
        <v>0</v>
      </c>
      <c r="Y1260">
        <v>0</v>
      </c>
      <c r="Z1260">
        <v>0</v>
      </c>
    </row>
    <row r="1261" spans="1:26" x14ac:dyDescent="0.2">
      <c r="A1261" t="s">
        <v>1379</v>
      </c>
      <c r="B1261" t="s">
        <v>41</v>
      </c>
      <c r="C1261">
        <v>2012</v>
      </c>
      <c r="D1261" t="s">
        <v>35</v>
      </c>
      <c r="E1261" t="s">
        <v>63</v>
      </c>
      <c r="F1261" t="s">
        <v>35</v>
      </c>
      <c r="G1261">
        <v>49000</v>
      </c>
      <c r="H1261">
        <v>39200</v>
      </c>
      <c r="I1261" s="13">
        <v>0.5</v>
      </c>
      <c r="J1261" t="s">
        <v>6207</v>
      </c>
      <c r="K1261">
        <v>2</v>
      </c>
      <c r="L1261">
        <v>4</v>
      </c>
      <c r="M1261" t="s">
        <v>1</v>
      </c>
      <c r="V1261">
        <v>3</v>
      </c>
      <c r="W1261">
        <v>3</v>
      </c>
      <c r="X1261">
        <v>0</v>
      </c>
      <c r="Y1261">
        <v>0</v>
      </c>
      <c r="Z1261">
        <v>1</v>
      </c>
    </row>
    <row r="1262" spans="1:26" x14ac:dyDescent="0.2">
      <c r="A1262" t="s">
        <v>1380</v>
      </c>
      <c r="B1262" t="s">
        <v>56</v>
      </c>
      <c r="C1262">
        <v>2012</v>
      </c>
      <c r="D1262" t="s">
        <v>43</v>
      </c>
      <c r="E1262" t="s">
        <v>72</v>
      </c>
      <c r="F1262" t="s">
        <v>43</v>
      </c>
      <c r="G1262">
        <v>25138</v>
      </c>
      <c r="H1262">
        <v>20110.400000000001</v>
      </c>
      <c r="I1262" s="13">
        <v>0.5</v>
      </c>
      <c r="J1262" t="s">
        <v>6207</v>
      </c>
      <c r="K1262">
        <v>3</v>
      </c>
      <c r="L1262">
        <v>2</v>
      </c>
      <c r="M1262" t="s">
        <v>0</v>
      </c>
      <c r="V1262">
        <v>2</v>
      </c>
      <c r="W1262">
        <v>0</v>
      </c>
      <c r="X1262">
        <v>0</v>
      </c>
      <c r="Y1262">
        <v>0</v>
      </c>
      <c r="Z1262">
        <v>0</v>
      </c>
    </row>
    <row r="1263" spans="1:26" x14ac:dyDescent="0.2">
      <c r="A1263" t="s">
        <v>1381</v>
      </c>
      <c r="B1263" t="s">
        <v>66</v>
      </c>
      <c r="C1263">
        <v>2012</v>
      </c>
      <c r="D1263" t="s">
        <v>27</v>
      </c>
      <c r="E1263" t="s">
        <v>31</v>
      </c>
      <c r="F1263" t="s">
        <v>27</v>
      </c>
      <c r="G1263">
        <v>30089</v>
      </c>
      <c r="H1263">
        <v>24071.200000000001</v>
      </c>
      <c r="I1263" s="13">
        <v>1</v>
      </c>
      <c r="J1263" t="s">
        <v>6207</v>
      </c>
      <c r="K1263">
        <v>1</v>
      </c>
      <c r="L1263">
        <v>0</v>
      </c>
      <c r="M1263" t="s">
        <v>0</v>
      </c>
      <c r="V1263">
        <v>1</v>
      </c>
      <c r="W1263">
        <v>1</v>
      </c>
      <c r="X1263">
        <v>0</v>
      </c>
      <c r="Y1263">
        <v>0</v>
      </c>
      <c r="Z1263">
        <v>0</v>
      </c>
    </row>
    <row r="1264" spans="1:26" x14ac:dyDescent="0.2">
      <c r="A1264" t="s">
        <v>1382</v>
      </c>
      <c r="B1264" t="s">
        <v>54</v>
      </c>
      <c r="C1264">
        <v>2012</v>
      </c>
      <c r="D1264" t="s">
        <v>48</v>
      </c>
      <c r="E1264" t="s">
        <v>70</v>
      </c>
      <c r="F1264" t="s">
        <v>49</v>
      </c>
      <c r="G1264">
        <v>74197</v>
      </c>
      <c r="H1264">
        <v>59357.600000000006</v>
      </c>
      <c r="I1264" s="13">
        <v>0.5</v>
      </c>
      <c r="J1264" t="s">
        <v>6206</v>
      </c>
      <c r="K1264">
        <v>3</v>
      </c>
      <c r="L1264">
        <v>1</v>
      </c>
      <c r="M1264" t="s">
        <v>0</v>
      </c>
      <c r="V1264">
        <v>1</v>
      </c>
      <c r="W1264">
        <v>1</v>
      </c>
      <c r="X1264">
        <v>0</v>
      </c>
      <c r="Y1264">
        <v>0</v>
      </c>
      <c r="Z1264">
        <v>0</v>
      </c>
    </row>
    <row r="1265" spans="1:26" x14ac:dyDescent="0.2">
      <c r="A1265" t="s">
        <v>1383</v>
      </c>
      <c r="B1265" t="s">
        <v>53</v>
      </c>
      <c r="C1265">
        <v>2012</v>
      </c>
      <c r="D1265" t="s">
        <v>45</v>
      </c>
      <c r="E1265" t="s">
        <v>69</v>
      </c>
      <c r="F1265" t="s">
        <v>26</v>
      </c>
      <c r="G1265">
        <v>39572</v>
      </c>
      <c r="H1265">
        <v>31657.600000000002</v>
      </c>
      <c r="I1265" s="13">
        <v>0.75</v>
      </c>
      <c r="J1265" t="s">
        <v>6207</v>
      </c>
      <c r="K1265">
        <v>1</v>
      </c>
      <c r="L1265">
        <v>1</v>
      </c>
      <c r="M1265" t="s">
        <v>58</v>
      </c>
      <c r="V1265">
        <v>1</v>
      </c>
      <c r="W1265">
        <v>3</v>
      </c>
      <c r="X1265">
        <v>0</v>
      </c>
      <c r="Y1265">
        <v>0</v>
      </c>
      <c r="Z1265">
        <v>0</v>
      </c>
    </row>
    <row r="1266" spans="1:26" x14ac:dyDescent="0.2">
      <c r="A1266" t="s">
        <v>1384</v>
      </c>
      <c r="B1266" t="s">
        <v>50</v>
      </c>
      <c r="C1266">
        <v>2012</v>
      </c>
      <c r="D1266" t="s">
        <v>42</v>
      </c>
      <c r="E1266" t="s">
        <v>46</v>
      </c>
      <c r="F1266" t="s">
        <v>38</v>
      </c>
      <c r="G1266">
        <v>42918</v>
      </c>
      <c r="H1266">
        <v>34334.400000000001</v>
      </c>
      <c r="I1266" s="13">
        <v>1</v>
      </c>
      <c r="J1266" t="s">
        <v>6207</v>
      </c>
      <c r="K1266">
        <v>0</v>
      </c>
      <c r="L1266">
        <v>0</v>
      </c>
      <c r="M1266" t="s">
        <v>58</v>
      </c>
      <c r="V1266">
        <v>1</v>
      </c>
      <c r="W1266">
        <v>0</v>
      </c>
      <c r="X1266">
        <v>0</v>
      </c>
      <c r="Y1266">
        <v>0</v>
      </c>
      <c r="Z1266">
        <v>0</v>
      </c>
    </row>
    <row r="1267" spans="1:26" x14ac:dyDescent="0.2">
      <c r="A1267" t="s">
        <v>1385</v>
      </c>
      <c r="B1267" t="s">
        <v>68</v>
      </c>
      <c r="C1267">
        <v>2012</v>
      </c>
      <c r="D1267" t="s">
        <v>71</v>
      </c>
      <c r="E1267" t="s">
        <v>26</v>
      </c>
      <c r="F1267" t="s">
        <v>71</v>
      </c>
      <c r="G1267">
        <v>21088</v>
      </c>
      <c r="H1267">
        <v>16870.400000000001</v>
      </c>
      <c r="I1267" s="13">
        <v>1</v>
      </c>
      <c r="J1267" t="s">
        <v>6207</v>
      </c>
      <c r="K1267">
        <v>0</v>
      </c>
      <c r="L1267">
        <v>0</v>
      </c>
      <c r="M1267" t="s">
        <v>58</v>
      </c>
      <c r="V1267">
        <v>1</v>
      </c>
      <c r="W1267">
        <v>0</v>
      </c>
      <c r="X1267">
        <v>0</v>
      </c>
      <c r="Y1267">
        <v>0</v>
      </c>
      <c r="Z1267">
        <v>0</v>
      </c>
    </row>
    <row r="1268" spans="1:26" x14ac:dyDescent="0.2">
      <c r="A1268" t="s">
        <v>1386</v>
      </c>
      <c r="B1268" t="s">
        <v>32</v>
      </c>
      <c r="C1268">
        <v>2012</v>
      </c>
      <c r="D1268" t="s">
        <v>73</v>
      </c>
      <c r="E1268" t="s">
        <v>64</v>
      </c>
      <c r="F1268" t="s">
        <v>73</v>
      </c>
      <c r="G1268">
        <v>32384</v>
      </c>
      <c r="H1268">
        <v>25907.200000000001</v>
      </c>
      <c r="I1268" s="13">
        <v>0.75</v>
      </c>
      <c r="J1268" t="s">
        <v>6207</v>
      </c>
      <c r="K1268">
        <v>2</v>
      </c>
      <c r="L1268">
        <v>0</v>
      </c>
      <c r="M1268" t="s">
        <v>0</v>
      </c>
      <c r="V1268">
        <v>2</v>
      </c>
      <c r="W1268">
        <v>2</v>
      </c>
      <c r="X1268">
        <v>0</v>
      </c>
      <c r="Y1268">
        <v>0</v>
      </c>
      <c r="Z1268">
        <v>0</v>
      </c>
    </row>
    <row r="1269" spans="1:26" x14ac:dyDescent="0.2">
      <c r="A1269" t="s">
        <v>1387</v>
      </c>
      <c r="B1269" t="s">
        <v>37</v>
      </c>
      <c r="C1269">
        <v>2012</v>
      </c>
      <c r="D1269" t="s">
        <v>51</v>
      </c>
      <c r="E1269" t="s">
        <v>23</v>
      </c>
      <c r="F1269" t="s">
        <v>20</v>
      </c>
      <c r="G1269">
        <v>36284</v>
      </c>
      <c r="H1269">
        <v>29027.200000000001</v>
      </c>
      <c r="I1269" s="13">
        <v>0.33333333333333331</v>
      </c>
      <c r="J1269" t="s">
        <v>6206</v>
      </c>
      <c r="K1269">
        <v>3</v>
      </c>
      <c r="L1269">
        <v>1</v>
      </c>
      <c r="M1269" t="s">
        <v>0</v>
      </c>
      <c r="V1269">
        <v>1</v>
      </c>
      <c r="W1269">
        <v>2</v>
      </c>
      <c r="X1269">
        <v>0</v>
      </c>
      <c r="Y1269">
        <v>0</v>
      </c>
      <c r="Z1269">
        <v>0</v>
      </c>
    </row>
    <row r="1270" spans="1:26" x14ac:dyDescent="0.2">
      <c r="A1270" t="s">
        <v>1388</v>
      </c>
      <c r="B1270" t="s">
        <v>25</v>
      </c>
      <c r="C1270">
        <v>2012</v>
      </c>
      <c r="D1270" t="s">
        <v>18</v>
      </c>
      <c r="E1270" t="s">
        <v>40</v>
      </c>
      <c r="F1270" t="s">
        <v>20</v>
      </c>
      <c r="G1270">
        <v>40341</v>
      </c>
      <c r="H1270">
        <v>32272.800000000003</v>
      </c>
      <c r="I1270" s="13">
        <v>1</v>
      </c>
      <c r="J1270" t="s">
        <v>6207</v>
      </c>
      <c r="K1270">
        <v>0</v>
      </c>
      <c r="L1270">
        <v>0</v>
      </c>
      <c r="M1270" t="s">
        <v>58</v>
      </c>
      <c r="V1270">
        <v>0</v>
      </c>
      <c r="W1270">
        <v>3</v>
      </c>
      <c r="X1270">
        <v>0</v>
      </c>
      <c r="Y1270">
        <v>0</v>
      </c>
      <c r="Z1270">
        <v>0</v>
      </c>
    </row>
    <row r="1271" spans="1:26" x14ac:dyDescent="0.2">
      <c r="A1271" t="s">
        <v>1389</v>
      </c>
      <c r="B1271" t="s">
        <v>37</v>
      </c>
      <c r="C1271">
        <v>2012</v>
      </c>
      <c r="D1271" t="s">
        <v>35</v>
      </c>
      <c r="E1271" t="s">
        <v>70</v>
      </c>
      <c r="F1271" t="s">
        <v>35</v>
      </c>
      <c r="G1271">
        <v>49000</v>
      </c>
      <c r="H1271">
        <v>39200</v>
      </c>
      <c r="I1271" s="13">
        <v>0.5</v>
      </c>
      <c r="J1271" t="s">
        <v>6206</v>
      </c>
      <c r="K1271">
        <v>0</v>
      </c>
      <c r="L1271">
        <v>0</v>
      </c>
      <c r="M1271" t="s">
        <v>58</v>
      </c>
      <c r="V1271">
        <v>1</v>
      </c>
      <c r="W1271">
        <v>3</v>
      </c>
      <c r="X1271">
        <v>0</v>
      </c>
      <c r="Y1271">
        <v>0</v>
      </c>
      <c r="Z1271">
        <v>0</v>
      </c>
    </row>
    <row r="1272" spans="1:26" x14ac:dyDescent="0.2">
      <c r="A1272" t="s">
        <v>1390</v>
      </c>
      <c r="B1272" t="s">
        <v>54</v>
      </c>
      <c r="C1272">
        <v>2012</v>
      </c>
      <c r="D1272" t="s">
        <v>42</v>
      </c>
      <c r="E1272" t="s">
        <v>72</v>
      </c>
      <c r="F1272" t="s">
        <v>38</v>
      </c>
      <c r="G1272">
        <v>42918</v>
      </c>
      <c r="H1272">
        <v>34334.400000000001</v>
      </c>
      <c r="I1272" s="13">
        <v>1</v>
      </c>
      <c r="J1272" t="s">
        <v>6206</v>
      </c>
      <c r="K1272">
        <v>1</v>
      </c>
      <c r="L1272">
        <v>0</v>
      </c>
      <c r="M1272" t="s">
        <v>0</v>
      </c>
      <c r="V1272">
        <v>1</v>
      </c>
      <c r="W1272">
        <v>0</v>
      </c>
      <c r="X1272">
        <v>0</v>
      </c>
      <c r="Y1272">
        <v>0</v>
      </c>
      <c r="Z1272">
        <v>0</v>
      </c>
    </row>
    <row r="1273" spans="1:26" x14ac:dyDescent="0.2">
      <c r="A1273" t="s">
        <v>1391</v>
      </c>
      <c r="B1273" t="s">
        <v>52</v>
      </c>
      <c r="C1273">
        <v>2012</v>
      </c>
      <c r="D1273" t="s">
        <v>51</v>
      </c>
      <c r="E1273" t="s">
        <v>26</v>
      </c>
      <c r="F1273" t="s">
        <v>20</v>
      </c>
      <c r="G1273">
        <v>36284</v>
      </c>
      <c r="H1273">
        <v>29027.200000000001</v>
      </c>
      <c r="I1273" s="13">
        <v>0.66666666666666663</v>
      </c>
      <c r="J1273" t="s">
        <v>6207</v>
      </c>
      <c r="K1273">
        <v>2</v>
      </c>
      <c r="L1273">
        <v>1</v>
      </c>
      <c r="M1273" t="s">
        <v>0</v>
      </c>
      <c r="V1273">
        <v>1</v>
      </c>
      <c r="W1273">
        <v>2</v>
      </c>
      <c r="X1273">
        <v>0</v>
      </c>
      <c r="Y1273">
        <v>0</v>
      </c>
      <c r="Z1273">
        <v>0</v>
      </c>
    </row>
    <row r="1274" spans="1:26" x14ac:dyDescent="0.2">
      <c r="A1274" t="s">
        <v>1392</v>
      </c>
      <c r="B1274" t="s">
        <v>50</v>
      </c>
      <c r="C1274">
        <v>2012</v>
      </c>
      <c r="D1274" t="s">
        <v>71</v>
      </c>
      <c r="E1274" t="s">
        <v>63</v>
      </c>
      <c r="F1274" t="s">
        <v>71</v>
      </c>
      <c r="G1274">
        <v>21088</v>
      </c>
      <c r="H1274">
        <v>16870.400000000001</v>
      </c>
      <c r="I1274" s="13">
        <v>0.5</v>
      </c>
      <c r="J1274" t="s">
        <v>6207</v>
      </c>
      <c r="K1274">
        <v>3</v>
      </c>
      <c r="L1274">
        <v>1</v>
      </c>
      <c r="M1274" t="s">
        <v>0</v>
      </c>
      <c r="V1274">
        <v>0</v>
      </c>
      <c r="W1274">
        <v>4</v>
      </c>
      <c r="X1274">
        <v>0</v>
      </c>
      <c r="Y1274">
        <v>0</v>
      </c>
      <c r="Z1274">
        <v>0</v>
      </c>
    </row>
    <row r="1275" spans="1:26" x14ac:dyDescent="0.2">
      <c r="A1275" t="s">
        <v>1393</v>
      </c>
      <c r="B1275" t="s">
        <v>56</v>
      </c>
      <c r="C1275">
        <v>2012</v>
      </c>
      <c r="D1275" t="s">
        <v>27</v>
      </c>
      <c r="E1275" t="s">
        <v>64</v>
      </c>
      <c r="F1275" t="s">
        <v>27</v>
      </c>
      <c r="G1275">
        <v>30089</v>
      </c>
      <c r="H1275">
        <v>24071.200000000001</v>
      </c>
      <c r="I1275" s="13">
        <v>0.5</v>
      </c>
      <c r="J1275" t="s">
        <v>6207</v>
      </c>
      <c r="K1275">
        <v>2</v>
      </c>
      <c r="L1275">
        <v>1</v>
      </c>
      <c r="M1275" t="s">
        <v>0</v>
      </c>
      <c r="V1275">
        <v>2</v>
      </c>
      <c r="W1275">
        <v>2</v>
      </c>
      <c r="X1275">
        <v>0</v>
      </c>
      <c r="Y1275">
        <v>0</v>
      </c>
      <c r="Z1275">
        <v>0</v>
      </c>
    </row>
    <row r="1276" spans="1:26" x14ac:dyDescent="0.2">
      <c r="A1276" t="s">
        <v>1394</v>
      </c>
      <c r="B1276" t="s">
        <v>44</v>
      </c>
      <c r="C1276">
        <v>2012</v>
      </c>
      <c r="D1276" t="s">
        <v>73</v>
      </c>
      <c r="E1276" t="s">
        <v>69</v>
      </c>
      <c r="F1276" t="s">
        <v>73</v>
      </c>
      <c r="G1276">
        <v>32384</v>
      </c>
      <c r="H1276">
        <v>25907.200000000001</v>
      </c>
      <c r="I1276" s="13">
        <v>0.5</v>
      </c>
      <c r="J1276" t="s">
        <v>6207</v>
      </c>
      <c r="K1276">
        <v>1</v>
      </c>
      <c r="L1276">
        <v>1</v>
      </c>
      <c r="M1276" t="s">
        <v>58</v>
      </c>
      <c r="V1276">
        <v>1</v>
      </c>
      <c r="W1276">
        <v>1</v>
      </c>
      <c r="X1276">
        <v>0</v>
      </c>
      <c r="Y1276">
        <v>0</v>
      </c>
      <c r="Z1276">
        <v>0</v>
      </c>
    </row>
    <row r="1277" spans="1:26" x14ac:dyDescent="0.2">
      <c r="A1277" t="s">
        <v>1395</v>
      </c>
      <c r="B1277" t="s">
        <v>66</v>
      </c>
      <c r="C1277">
        <v>2012</v>
      </c>
      <c r="D1277" t="s">
        <v>45</v>
      </c>
      <c r="E1277" t="s">
        <v>46</v>
      </c>
      <c r="F1277" t="s">
        <v>26</v>
      </c>
      <c r="G1277">
        <v>39572</v>
      </c>
      <c r="H1277">
        <v>31657.600000000002</v>
      </c>
      <c r="I1277" s="13">
        <v>0.66666666666666663</v>
      </c>
      <c r="J1277" t="s">
        <v>6207</v>
      </c>
      <c r="K1277">
        <v>1</v>
      </c>
      <c r="L1277">
        <v>1</v>
      </c>
      <c r="M1277" t="s">
        <v>58</v>
      </c>
      <c r="V1277">
        <v>2</v>
      </c>
      <c r="W1277">
        <v>1</v>
      </c>
      <c r="X1277">
        <v>0</v>
      </c>
      <c r="Y1277">
        <v>0</v>
      </c>
      <c r="Z1277">
        <v>0</v>
      </c>
    </row>
    <row r="1278" spans="1:26" x14ac:dyDescent="0.2">
      <c r="A1278" t="s">
        <v>1396</v>
      </c>
      <c r="B1278" t="s">
        <v>61</v>
      </c>
      <c r="C1278">
        <v>2012</v>
      </c>
      <c r="D1278" t="s">
        <v>18</v>
      </c>
      <c r="E1278" t="s">
        <v>31</v>
      </c>
      <c r="F1278" t="s">
        <v>20</v>
      </c>
      <c r="G1278">
        <v>40341</v>
      </c>
      <c r="H1278">
        <v>32272.800000000003</v>
      </c>
      <c r="I1278" s="13">
        <v>1</v>
      </c>
      <c r="J1278" t="s">
        <v>6207</v>
      </c>
      <c r="K1278">
        <v>0</v>
      </c>
      <c r="L1278">
        <v>0</v>
      </c>
      <c r="M1278" t="s">
        <v>58</v>
      </c>
      <c r="V1278">
        <v>3</v>
      </c>
      <c r="W1278">
        <v>0</v>
      </c>
      <c r="X1278">
        <v>0</v>
      </c>
      <c r="Y1278">
        <v>0</v>
      </c>
      <c r="Z1278">
        <v>0</v>
      </c>
    </row>
    <row r="1279" spans="1:26" x14ac:dyDescent="0.2">
      <c r="A1279" t="s">
        <v>1397</v>
      </c>
      <c r="B1279" t="s">
        <v>47</v>
      </c>
      <c r="C1279">
        <v>2012</v>
      </c>
      <c r="D1279" t="s">
        <v>43</v>
      </c>
      <c r="E1279" t="s">
        <v>40</v>
      </c>
      <c r="F1279" t="s">
        <v>43</v>
      </c>
      <c r="G1279">
        <v>25138</v>
      </c>
      <c r="H1279">
        <v>20110.400000000001</v>
      </c>
      <c r="I1279" s="13">
        <v>0.5</v>
      </c>
      <c r="J1279" t="s">
        <v>6208</v>
      </c>
      <c r="K1279">
        <v>0</v>
      </c>
      <c r="L1279">
        <v>2</v>
      </c>
      <c r="M1279" t="s">
        <v>1</v>
      </c>
      <c r="V1279">
        <v>1</v>
      </c>
      <c r="W1279">
        <v>1</v>
      </c>
      <c r="X1279">
        <v>0</v>
      </c>
      <c r="Y1279">
        <v>0</v>
      </c>
      <c r="Z1279">
        <v>0</v>
      </c>
    </row>
    <row r="1280" spans="1:26" x14ac:dyDescent="0.2">
      <c r="A1280" t="s">
        <v>1398</v>
      </c>
      <c r="B1280" t="s">
        <v>53</v>
      </c>
      <c r="C1280">
        <v>2012</v>
      </c>
      <c r="D1280" t="s">
        <v>48</v>
      </c>
      <c r="E1280" t="s">
        <v>23</v>
      </c>
      <c r="F1280" t="s">
        <v>49</v>
      </c>
      <c r="G1280">
        <v>74197</v>
      </c>
      <c r="H1280">
        <v>59357.600000000006</v>
      </c>
      <c r="I1280" s="13">
        <v>0</v>
      </c>
      <c r="J1280" t="s">
        <v>6207</v>
      </c>
      <c r="K1280">
        <v>1</v>
      </c>
      <c r="L1280">
        <v>0</v>
      </c>
      <c r="M1280" t="s">
        <v>0</v>
      </c>
      <c r="V1280">
        <v>1</v>
      </c>
      <c r="W1280">
        <v>1</v>
      </c>
      <c r="X1280">
        <v>0</v>
      </c>
      <c r="Y1280">
        <v>0</v>
      </c>
      <c r="Z1280">
        <v>0</v>
      </c>
    </row>
    <row r="1281" spans="1:26" x14ac:dyDescent="0.2">
      <c r="A1281" t="s">
        <v>1399</v>
      </c>
      <c r="B1281" t="s">
        <v>32</v>
      </c>
      <c r="C1281">
        <v>2012</v>
      </c>
      <c r="D1281" t="s">
        <v>23</v>
      </c>
      <c r="E1281" t="s">
        <v>18</v>
      </c>
      <c r="F1281" t="s">
        <v>20</v>
      </c>
      <c r="G1281">
        <v>62500</v>
      </c>
      <c r="H1281">
        <v>50000</v>
      </c>
      <c r="I1281" s="13">
        <v>0.66666666666666663</v>
      </c>
      <c r="J1281" t="s">
        <v>6207</v>
      </c>
      <c r="K1281">
        <v>3</v>
      </c>
      <c r="L1281">
        <v>1</v>
      </c>
      <c r="M1281" t="s">
        <v>0</v>
      </c>
      <c r="V1281">
        <v>1</v>
      </c>
      <c r="W1281">
        <v>2</v>
      </c>
      <c r="X1281">
        <v>0</v>
      </c>
      <c r="Y1281">
        <v>0</v>
      </c>
      <c r="Z1281">
        <v>0</v>
      </c>
    </row>
    <row r="1282" spans="1:26" x14ac:dyDescent="0.2">
      <c r="A1282" t="s">
        <v>1400</v>
      </c>
      <c r="B1282" t="s">
        <v>60</v>
      </c>
      <c r="C1282">
        <v>2012</v>
      </c>
      <c r="D1282" t="s">
        <v>63</v>
      </c>
      <c r="E1282" t="s">
        <v>27</v>
      </c>
      <c r="F1282" t="s">
        <v>65</v>
      </c>
      <c r="G1282">
        <v>26804</v>
      </c>
      <c r="H1282">
        <v>21443.200000000001</v>
      </c>
      <c r="I1282" s="13">
        <v>0.33333333333333331</v>
      </c>
      <c r="J1282" t="s">
        <v>6208</v>
      </c>
      <c r="K1282">
        <v>0</v>
      </c>
      <c r="L1282">
        <v>1</v>
      </c>
      <c r="M1282" t="s">
        <v>1</v>
      </c>
      <c r="V1282">
        <v>0</v>
      </c>
      <c r="W1282">
        <v>3</v>
      </c>
      <c r="X1282">
        <v>0</v>
      </c>
      <c r="Y1282">
        <v>0</v>
      </c>
      <c r="Z1282">
        <v>0</v>
      </c>
    </row>
    <row r="1283" spans="1:26" x14ac:dyDescent="0.2">
      <c r="A1283" t="s">
        <v>1401</v>
      </c>
      <c r="B1283" t="s">
        <v>56</v>
      </c>
      <c r="C1283">
        <v>2012</v>
      </c>
      <c r="D1283" t="s">
        <v>70</v>
      </c>
      <c r="E1283" t="s">
        <v>42</v>
      </c>
      <c r="F1283" t="s">
        <v>20</v>
      </c>
      <c r="G1283">
        <v>18439</v>
      </c>
      <c r="H1283">
        <v>14751.2</v>
      </c>
      <c r="I1283" s="13">
        <v>0</v>
      </c>
      <c r="J1283" t="s">
        <v>6207</v>
      </c>
      <c r="K1283">
        <v>1</v>
      </c>
      <c r="L1283">
        <v>1</v>
      </c>
      <c r="M1283" t="s">
        <v>58</v>
      </c>
      <c r="V1283">
        <v>1</v>
      </c>
      <c r="W1283">
        <v>2</v>
      </c>
      <c r="X1283">
        <v>0</v>
      </c>
      <c r="Y1283">
        <v>0</v>
      </c>
      <c r="Z1283">
        <v>0</v>
      </c>
    </row>
    <row r="1284" spans="1:26" x14ac:dyDescent="0.2">
      <c r="A1284" t="s">
        <v>1402</v>
      </c>
      <c r="B1284" t="s">
        <v>54</v>
      </c>
      <c r="C1284">
        <v>2012</v>
      </c>
      <c r="D1284" t="s">
        <v>40</v>
      </c>
      <c r="E1284" t="s">
        <v>45</v>
      </c>
      <c r="F1284" t="s">
        <v>49</v>
      </c>
      <c r="G1284">
        <v>53400</v>
      </c>
      <c r="H1284">
        <v>42720</v>
      </c>
      <c r="I1284" s="13">
        <v>0.66666666666666663</v>
      </c>
      <c r="J1284" t="s">
        <v>6206</v>
      </c>
      <c r="K1284">
        <v>1</v>
      </c>
      <c r="L1284">
        <v>1</v>
      </c>
      <c r="M1284" t="s">
        <v>58</v>
      </c>
      <c r="V1284">
        <v>2</v>
      </c>
      <c r="W1284">
        <v>1</v>
      </c>
      <c r="X1284">
        <v>0</v>
      </c>
      <c r="Y1284">
        <v>0</v>
      </c>
      <c r="Z1284">
        <v>1</v>
      </c>
    </row>
    <row r="1285" spans="1:26" x14ac:dyDescent="0.2">
      <c r="A1285" t="s">
        <v>1403</v>
      </c>
      <c r="B1285" t="s">
        <v>66</v>
      </c>
      <c r="C1285">
        <v>2012</v>
      </c>
      <c r="D1285" t="s">
        <v>26</v>
      </c>
      <c r="E1285" t="s">
        <v>73</v>
      </c>
      <c r="F1285" t="s">
        <v>26</v>
      </c>
      <c r="G1285">
        <v>61276</v>
      </c>
      <c r="H1285">
        <v>49020.800000000003</v>
      </c>
      <c r="I1285" s="13">
        <v>0.5</v>
      </c>
      <c r="J1285" t="s">
        <v>6207</v>
      </c>
      <c r="K1285">
        <v>1</v>
      </c>
      <c r="L1285">
        <v>0</v>
      </c>
      <c r="M1285" t="s">
        <v>0</v>
      </c>
      <c r="V1285">
        <v>2</v>
      </c>
      <c r="W1285">
        <v>0</v>
      </c>
      <c r="X1285">
        <v>0</v>
      </c>
      <c r="Y1285">
        <v>0</v>
      </c>
      <c r="Z1285">
        <v>0</v>
      </c>
    </row>
    <row r="1286" spans="1:26" x14ac:dyDescent="0.2">
      <c r="A1286" t="s">
        <v>1404</v>
      </c>
      <c r="B1286" t="s">
        <v>25</v>
      </c>
      <c r="C1286">
        <v>2012</v>
      </c>
      <c r="D1286" t="s">
        <v>31</v>
      </c>
      <c r="E1286" t="s">
        <v>51</v>
      </c>
      <c r="F1286" t="s">
        <v>20</v>
      </c>
      <c r="G1286">
        <v>28500</v>
      </c>
      <c r="H1286">
        <v>22800</v>
      </c>
      <c r="I1286" s="13">
        <v>0.5</v>
      </c>
      <c r="J1286" t="s">
        <v>6207</v>
      </c>
      <c r="K1286">
        <v>0</v>
      </c>
      <c r="L1286">
        <v>3</v>
      </c>
      <c r="M1286" t="s">
        <v>1</v>
      </c>
      <c r="V1286">
        <v>0</v>
      </c>
      <c r="W1286">
        <v>2</v>
      </c>
      <c r="X1286">
        <v>0</v>
      </c>
      <c r="Y1286">
        <v>0</v>
      </c>
      <c r="Z1286">
        <v>0</v>
      </c>
    </row>
    <row r="1287" spans="1:26" x14ac:dyDescent="0.2">
      <c r="A1287" t="s">
        <v>1405</v>
      </c>
      <c r="B1287" t="s">
        <v>44</v>
      </c>
      <c r="C1287">
        <v>2012</v>
      </c>
      <c r="D1287" t="s">
        <v>46</v>
      </c>
      <c r="E1287" t="s">
        <v>71</v>
      </c>
      <c r="F1287" t="s">
        <v>20</v>
      </c>
      <c r="G1287">
        <v>60704</v>
      </c>
      <c r="H1287">
        <v>48563.200000000004</v>
      </c>
      <c r="I1287" s="13">
        <v>1</v>
      </c>
      <c r="J1287" t="s">
        <v>6207</v>
      </c>
      <c r="K1287">
        <v>0</v>
      </c>
      <c r="L1287">
        <v>2</v>
      </c>
      <c r="M1287" t="s">
        <v>1</v>
      </c>
      <c r="V1287">
        <v>1</v>
      </c>
      <c r="W1287">
        <v>0</v>
      </c>
      <c r="X1287">
        <v>0</v>
      </c>
      <c r="Y1287">
        <v>0</v>
      </c>
      <c r="Z1287">
        <v>0</v>
      </c>
    </row>
    <row r="1288" spans="1:26" x14ac:dyDescent="0.2">
      <c r="A1288" t="s">
        <v>1406</v>
      </c>
      <c r="B1288" t="s">
        <v>47</v>
      </c>
      <c r="C1288">
        <v>2012</v>
      </c>
      <c r="D1288" t="s">
        <v>72</v>
      </c>
      <c r="E1288" t="s">
        <v>48</v>
      </c>
      <c r="F1288" t="s">
        <v>72</v>
      </c>
      <c r="G1288">
        <v>24161</v>
      </c>
      <c r="H1288">
        <v>19328.8</v>
      </c>
      <c r="I1288" s="13">
        <v>1</v>
      </c>
      <c r="J1288" t="s">
        <v>6208</v>
      </c>
      <c r="K1288">
        <v>3</v>
      </c>
      <c r="L1288">
        <v>4</v>
      </c>
      <c r="M1288" t="s">
        <v>1</v>
      </c>
      <c r="V1288">
        <v>1</v>
      </c>
      <c r="W1288">
        <v>1</v>
      </c>
      <c r="X1288">
        <v>0</v>
      </c>
      <c r="Y1288">
        <v>0</v>
      </c>
      <c r="Z1288">
        <v>1</v>
      </c>
    </row>
    <row r="1289" spans="1:26" x14ac:dyDescent="0.2">
      <c r="A1289" t="s">
        <v>1407</v>
      </c>
      <c r="B1289" t="s">
        <v>52</v>
      </c>
      <c r="C1289">
        <v>2012</v>
      </c>
      <c r="D1289" t="s">
        <v>69</v>
      </c>
      <c r="E1289" t="s">
        <v>35</v>
      </c>
      <c r="F1289" t="s">
        <v>69</v>
      </c>
      <c r="G1289">
        <v>27359</v>
      </c>
      <c r="H1289">
        <v>21887.200000000001</v>
      </c>
      <c r="I1289" s="13">
        <v>0</v>
      </c>
      <c r="J1289" t="s">
        <v>6207</v>
      </c>
      <c r="K1289">
        <v>2</v>
      </c>
      <c r="L1289">
        <v>1</v>
      </c>
      <c r="M1289" t="s">
        <v>0</v>
      </c>
      <c r="V1289">
        <v>0</v>
      </c>
      <c r="W1289">
        <v>2</v>
      </c>
      <c r="X1289">
        <v>0</v>
      </c>
      <c r="Y1289">
        <v>0</v>
      </c>
      <c r="Z1289">
        <v>0</v>
      </c>
    </row>
    <row r="1290" spans="1:26" x14ac:dyDescent="0.2">
      <c r="A1290" t="s">
        <v>1408</v>
      </c>
      <c r="B1290" t="s">
        <v>53</v>
      </c>
      <c r="C1290">
        <v>2012</v>
      </c>
      <c r="D1290" t="s">
        <v>64</v>
      </c>
      <c r="E1290" t="s">
        <v>43</v>
      </c>
      <c r="F1290" t="s">
        <v>64</v>
      </c>
      <c r="G1290">
        <v>52264</v>
      </c>
      <c r="H1290">
        <v>41811.200000000004</v>
      </c>
      <c r="I1290" s="13">
        <v>0.8</v>
      </c>
      <c r="J1290" t="s">
        <v>6207</v>
      </c>
      <c r="K1290">
        <v>3</v>
      </c>
      <c r="L1290">
        <v>0</v>
      </c>
      <c r="M1290" t="s">
        <v>0</v>
      </c>
      <c r="V1290">
        <v>1</v>
      </c>
      <c r="W1290">
        <v>3</v>
      </c>
      <c r="X1290">
        <v>0</v>
      </c>
      <c r="Y1290">
        <v>1</v>
      </c>
      <c r="Z1290">
        <v>1</v>
      </c>
    </row>
    <row r="1291" spans="1:26" x14ac:dyDescent="0.2">
      <c r="A1291" t="s">
        <v>1409</v>
      </c>
      <c r="B1291" t="s">
        <v>52</v>
      </c>
      <c r="C1291">
        <v>2012</v>
      </c>
      <c r="D1291" t="s">
        <v>43</v>
      </c>
      <c r="E1291" t="s">
        <v>70</v>
      </c>
      <c r="F1291" t="s">
        <v>43</v>
      </c>
      <c r="G1291">
        <v>25138</v>
      </c>
      <c r="H1291">
        <v>20110.400000000001</v>
      </c>
      <c r="I1291" s="13">
        <v>1</v>
      </c>
      <c r="J1291" t="s">
        <v>6207</v>
      </c>
      <c r="K1291">
        <v>2</v>
      </c>
      <c r="L1291">
        <v>2</v>
      </c>
      <c r="M1291" t="s">
        <v>58</v>
      </c>
      <c r="V1291">
        <v>0</v>
      </c>
      <c r="W1291">
        <v>1</v>
      </c>
      <c r="X1291">
        <v>0</v>
      </c>
      <c r="Y1291">
        <v>0</v>
      </c>
      <c r="Z1291">
        <v>0</v>
      </c>
    </row>
    <row r="1292" spans="1:26" x14ac:dyDescent="0.2">
      <c r="A1292" t="s">
        <v>1410</v>
      </c>
      <c r="B1292" t="s">
        <v>56</v>
      </c>
      <c r="C1292">
        <v>2012</v>
      </c>
      <c r="D1292" t="s">
        <v>71</v>
      </c>
      <c r="E1292" t="s">
        <v>69</v>
      </c>
      <c r="F1292" t="s">
        <v>71</v>
      </c>
      <c r="G1292">
        <v>21088</v>
      </c>
      <c r="H1292">
        <v>16870.400000000001</v>
      </c>
      <c r="I1292" s="13">
        <v>0.33333333333333331</v>
      </c>
      <c r="J1292" t="s">
        <v>6207</v>
      </c>
      <c r="K1292">
        <v>3</v>
      </c>
      <c r="L1292">
        <v>4</v>
      </c>
      <c r="M1292" t="s">
        <v>1</v>
      </c>
      <c r="V1292">
        <v>2</v>
      </c>
      <c r="W1292">
        <v>1</v>
      </c>
      <c r="X1292">
        <v>0</v>
      </c>
      <c r="Y1292">
        <v>0</v>
      </c>
      <c r="Z1292">
        <v>0</v>
      </c>
    </row>
    <row r="1293" spans="1:26" x14ac:dyDescent="0.2">
      <c r="A1293" t="s">
        <v>1411</v>
      </c>
      <c r="B1293" t="s">
        <v>47</v>
      </c>
      <c r="C1293">
        <v>2012</v>
      </c>
      <c r="D1293" t="s">
        <v>35</v>
      </c>
      <c r="E1293" t="s">
        <v>18</v>
      </c>
      <c r="F1293" t="s">
        <v>35</v>
      </c>
      <c r="G1293">
        <v>49000</v>
      </c>
      <c r="H1293">
        <v>39200</v>
      </c>
      <c r="I1293" s="13">
        <v>0.75</v>
      </c>
      <c r="J1293" t="s">
        <v>6208</v>
      </c>
      <c r="K1293">
        <v>1</v>
      </c>
      <c r="L1293">
        <v>3</v>
      </c>
      <c r="M1293" t="s">
        <v>1</v>
      </c>
      <c r="V1293">
        <v>1</v>
      </c>
      <c r="W1293">
        <v>3</v>
      </c>
      <c r="X1293">
        <v>0</v>
      </c>
      <c r="Y1293">
        <v>0</v>
      </c>
      <c r="Z1293">
        <v>1</v>
      </c>
    </row>
    <row r="1294" spans="1:26" x14ac:dyDescent="0.2">
      <c r="A1294" t="s">
        <v>1412</v>
      </c>
      <c r="B1294" t="s">
        <v>68</v>
      </c>
      <c r="C1294">
        <v>2012</v>
      </c>
      <c r="D1294" t="s">
        <v>73</v>
      </c>
      <c r="E1294" t="s">
        <v>72</v>
      </c>
      <c r="F1294" t="s">
        <v>73</v>
      </c>
      <c r="G1294">
        <v>32384</v>
      </c>
      <c r="H1294">
        <v>25907.200000000001</v>
      </c>
      <c r="I1294" s="13">
        <v>0</v>
      </c>
      <c r="J1294" t="s">
        <v>6207</v>
      </c>
      <c r="K1294">
        <v>1</v>
      </c>
      <c r="L1294">
        <v>0</v>
      </c>
      <c r="M1294" t="s">
        <v>0</v>
      </c>
      <c r="V1294">
        <v>0</v>
      </c>
      <c r="W1294">
        <v>0</v>
      </c>
      <c r="X1294">
        <v>0</v>
      </c>
      <c r="Y1294">
        <v>0</v>
      </c>
      <c r="Z1294">
        <v>0</v>
      </c>
    </row>
    <row r="1295" spans="1:26" x14ac:dyDescent="0.2">
      <c r="A1295" t="s">
        <v>1413</v>
      </c>
      <c r="B1295" t="s">
        <v>74</v>
      </c>
      <c r="C1295">
        <v>2012</v>
      </c>
      <c r="D1295" t="s">
        <v>42</v>
      </c>
      <c r="E1295" t="s">
        <v>27</v>
      </c>
      <c r="F1295" t="s">
        <v>38</v>
      </c>
      <c r="G1295">
        <v>42918</v>
      </c>
      <c r="H1295">
        <v>34334.400000000001</v>
      </c>
      <c r="I1295" s="13">
        <v>0</v>
      </c>
      <c r="J1295" t="s">
        <v>6208</v>
      </c>
      <c r="K1295">
        <v>0</v>
      </c>
      <c r="L1295">
        <v>0</v>
      </c>
      <c r="M1295" t="s">
        <v>58</v>
      </c>
      <c r="V1295">
        <v>0</v>
      </c>
      <c r="W1295">
        <v>1</v>
      </c>
      <c r="X1295">
        <v>0</v>
      </c>
      <c r="Y1295">
        <v>1</v>
      </c>
      <c r="Z1295">
        <v>0</v>
      </c>
    </row>
    <row r="1296" spans="1:26" x14ac:dyDescent="0.2">
      <c r="A1296" t="s">
        <v>1414</v>
      </c>
      <c r="B1296" t="s">
        <v>53</v>
      </c>
      <c r="C1296">
        <v>2012</v>
      </c>
      <c r="D1296" t="s">
        <v>46</v>
      </c>
      <c r="E1296" t="s">
        <v>63</v>
      </c>
      <c r="F1296" t="s">
        <v>20</v>
      </c>
      <c r="G1296">
        <v>60704</v>
      </c>
      <c r="H1296">
        <v>48563.200000000004</v>
      </c>
      <c r="I1296" s="13">
        <v>0.8</v>
      </c>
      <c r="J1296" t="s">
        <v>6207</v>
      </c>
      <c r="K1296">
        <v>2</v>
      </c>
      <c r="L1296">
        <v>0</v>
      </c>
      <c r="M1296" t="s">
        <v>0</v>
      </c>
      <c r="V1296">
        <v>2</v>
      </c>
      <c r="W1296">
        <v>3</v>
      </c>
      <c r="X1296">
        <v>0</v>
      </c>
      <c r="Y1296">
        <v>0</v>
      </c>
      <c r="Z1296">
        <v>2</v>
      </c>
    </row>
    <row r="1297" spans="1:26" x14ac:dyDescent="0.2">
      <c r="A1297" t="s">
        <v>1415</v>
      </c>
      <c r="B1297" t="s">
        <v>32</v>
      </c>
      <c r="C1297">
        <v>2012</v>
      </c>
      <c r="D1297" t="s">
        <v>40</v>
      </c>
      <c r="E1297" t="s">
        <v>48</v>
      </c>
      <c r="F1297" t="s">
        <v>49</v>
      </c>
      <c r="G1297">
        <v>53400</v>
      </c>
      <c r="H1297">
        <v>42720</v>
      </c>
      <c r="I1297" s="13">
        <v>0.42857142857142855</v>
      </c>
      <c r="J1297" t="s">
        <v>6207</v>
      </c>
      <c r="K1297">
        <v>2</v>
      </c>
      <c r="L1297">
        <v>3</v>
      </c>
      <c r="M1297" t="s">
        <v>1</v>
      </c>
      <c r="V1297">
        <v>4</v>
      </c>
      <c r="W1297">
        <v>3</v>
      </c>
      <c r="X1297">
        <v>0</v>
      </c>
      <c r="Y1297">
        <v>0</v>
      </c>
      <c r="Z1297">
        <v>0</v>
      </c>
    </row>
    <row r="1298" spans="1:26" x14ac:dyDescent="0.2">
      <c r="A1298" t="s">
        <v>1416</v>
      </c>
      <c r="B1298" t="s">
        <v>60</v>
      </c>
      <c r="C1298">
        <v>2012</v>
      </c>
      <c r="D1298" t="s">
        <v>45</v>
      </c>
      <c r="E1298" t="s">
        <v>51</v>
      </c>
      <c r="F1298" t="s">
        <v>26</v>
      </c>
      <c r="G1298">
        <v>39572</v>
      </c>
      <c r="H1298">
        <v>31657.600000000002</v>
      </c>
      <c r="I1298" s="13">
        <v>0.4</v>
      </c>
      <c r="J1298" t="s">
        <v>6208</v>
      </c>
      <c r="K1298">
        <v>2</v>
      </c>
      <c r="L1298">
        <v>1</v>
      </c>
      <c r="M1298" t="s">
        <v>0</v>
      </c>
      <c r="N1298">
        <v>50</v>
      </c>
      <c r="O1298">
        <v>50</v>
      </c>
      <c r="R1298">
        <v>4</v>
      </c>
      <c r="S1298">
        <v>5</v>
      </c>
      <c r="T1298">
        <v>12</v>
      </c>
      <c r="U1298">
        <v>11</v>
      </c>
      <c r="V1298">
        <v>3</v>
      </c>
      <c r="W1298">
        <v>2</v>
      </c>
      <c r="X1298">
        <v>0</v>
      </c>
      <c r="Y1298">
        <v>0</v>
      </c>
      <c r="Z1298">
        <v>0</v>
      </c>
    </row>
    <row r="1299" spans="1:26" x14ac:dyDescent="0.2">
      <c r="A1299" t="s">
        <v>1417</v>
      </c>
      <c r="B1299" t="s">
        <v>54</v>
      </c>
      <c r="C1299">
        <v>2012</v>
      </c>
      <c r="D1299" t="s">
        <v>23</v>
      </c>
      <c r="E1299" t="s">
        <v>26</v>
      </c>
      <c r="F1299" t="s">
        <v>20</v>
      </c>
      <c r="G1299">
        <v>62500</v>
      </c>
      <c r="H1299">
        <v>50000</v>
      </c>
      <c r="I1299" s="13">
        <v>0</v>
      </c>
      <c r="J1299" t="s">
        <v>6206</v>
      </c>
      <c r="K1299">
        <v>2</v>
      </c>
      <c r="L1299">
        <v>3</v>
      </c>
      <c r="M1299" t="s">
        <v>1</v>
      </c>
      <c r="V1299">
        <v>1</v>
      </c>
      <c r="W1299">
        <v>2</v>
      </c>
      <c r="X1299">
        <v>0</v>
      </c>
      <c r="Y1299">
        <v>0</v>
      </c>
      <c r="Z1299">
        <v>1</v>
      </c>
    </row>
    <row r="1300" spans="1:26" x14ac:dyDescent="0.2">
      <c r="A1300" t="s">
        <v>1418</v>
      </c>
      <c r="B1300" t="s">
        <v>50</v>
      </c>
      <c r="C1300">
        <v>2012</v>
      </c>
      <c r="D1300" t="s">
        <v>31</v>
      </c>
      <c r="E1300" t="s">
        <v>64</v>
      </c>
      <c r="F1300" t="s">
        <v>20</v>
      </c>
      <c r="G1300">
        <v>28500</v>
      </c>
      <c r="H1300">
        <v>22800</v>
      </c>
      <c r="I1300" s="13">
        <v>0</v>
      </c>
      <c r="J1300" t="s">
        <v>6207</v>
      </c>
      <c r="K1300">
        <v>2</v>
      </c>
      <c r="L1300">
        <v>1</v>
      </c>
      <c r="M1300" t="s">
        <v>0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x14ac:dyDescent="0.2">
      <c r="A1301" t="s">
        <v>1419</v>
      </c>
      <c r="B1301" t="s">
        <v>67</v>
      </c>
      <c r="C1301">
        <v>2012</v>
      </c>
      <c r="D1301" t="s">
        <v>35</v>
      </c>
      <c r="E1301" t="s">
        <v>72</v>
      </c>
      <c r="F1301" t="s">
        <v>35</v>
      </c>
      <c r="G1301">
        <v>49000</v>
      </c>
      <c r="H1301">
        <v>39200</v>
      </c>
      <c r="I1301" s="13">
        <v>0.33333333333333331</v>
      </c>
      <c r="J1301" t="s">
        <v>6207</v>
      </c>
      <c r="K1301">
        <v>3</v>
      </c>
      <c r="L1301">
        <v>0</v>
      </c>
      <c r="M1301" t="s">
        <v>0</v>
      </c>
      <c r="V1301">
        <v>2</v>
      </c>
      <c r="W1301">
        <v>1</v>
      </c>
      <c r="X1301">
        <v>0</v>
      </c>
      <c r="Y1301">
        <v>0</v>
      </c>
      <c r="Z1301">
        <v>0</v>
      </c>
    </row>
    <row r="1302" spans="1:26" x14ac:dyDescent="0.2">
      <c r="A1302" t="s">
        <v>1420</v>
      </c>
      <c r="B1302" t="s">
        <v>37</v>
      </c>
      <c r="C1302">
        <v>2012</v>
      </c>
      <c r="D1302" t="s">
        <v>64</v>
      </c>
      <c r="E1302" t="s">
        <v>40</v>
      </c>
      <c r="F1302" t="s">
        <v>64</v>
      </c>
      <c r="G1302">
        <v>52264</v>
      </c>
      <c r="H1302">
        <v>41811.200000000004</v>
      </c>
      <c r="I1302" s="13">
        <v>0.4</v>
      </c>
      <c r="J1302" t="s">
        <v>6206</v>
      </c>
      <c r="K1302">
        <v>1</v>
      </c>
      <c r="L1302">
        <v>3</v>
      </c>
      <c r="M1302" t="s">
        <v>1</v>
      </c>
      <c r="V1302">
        <v>3</v>
      </c>
      <c r="W1302">
        <v>2</v>
      </c>
      <c r="X1302">
        <v>0</v>
      </c>
      <c r="Y1302">
        <v>0</v>
      </c>
      <c r="Z1302">
        <v>0</v>
      </c>
    </row>
    <row r="1303" spans="1:26" x14ac:dyDescent="0.2">
      <c r="A1303" t="s">
        <v>1421</v>
      </c>
      <c r="B1303" t="s">
        <v>47</v>
      </c>
      <c r="C1303">
        <v>2012</v>
      </c>
      <c r="D1303" t="s">
        <v>27</v>
      </c>
      <c r="E1303" t="s">
        <v>45</v>
      </c>
      <c r="F1303" t="s">
        <v>27</v>
      </c>
      <c r="G1303">
        <v>30089</v>
      </c>
      <c r="H1303">
        <v>24071.200000000001</v>
      </c>
      <c r="I1303" s="13">
        <v>1</v>
      </c>
      <c r="J1303" t="s">
        <v>6208</v>
      </c>
      <c r="K1303">
        <v>1</v>
      </c>
      <c r="L1303">
        <v>1</v>
      </c>
      <c r="M1303" t="s">
        <v>58</v>
      </c>
      <c r="V1303">
        <v>1</v>
      </c>
      <c r="W1303">
        <v>0</v>
      </c>
      <c r="X1303">
        <v>0</v>
      </c>
      <c r="Y1303">
        <v>0</v>
      </c>
      <c r="Z1303">
        <v>0</v>
      </c>
    </row>
    <row r="1304" spans="1:26" x14ac:dyDescent="0.2">
      <c r="A1304" t="s">
        <v>1422</v>
      </c>
      <c r="B1304" t="s">
        <v>32</v>
      </c>
      <c r="C1304">
        <v>2012</v>
      </c>
      <c r="D1304" t="s">
        <v>70</v>
      </c>
      <c r="E1304" t="s">
        <v>31</v>
      </c>
      <c r="F1304" t="s">
        <v>20</v>
      </c>
      <c r="G1304">
        <v>18439</v>
      </c>
      <c r="H1304">
        <v>14751.2</v>
      </c>
      <c r="I1304" s="13">
        <v>0.66666666666666663</v>
      </c>
      <c r="J1304" t="s">
        <v>6207</v>
      </c>
      <c r="K1304">
        <v>2</v>
      </c>
      <c r="L1304">
        <v>1</v>
      </c>
      <c r="M1304" t="s">
        <v>0</v>
      </c>
      <c r="V1304">
        <v>1</v>
      </c>
      <c r="W1304">
        <v>2</v>
      </c>
      <c r="X1304">
        <v>0</v>
      </c>
      <c r="Y1304">
        <v>0</v>
      </c>
      <c r="Z1304">
        <v>0</v>
      </c>
    </row>
    <row r="1305" spans="1:26" x14ac:dyDescent="0.2">
      <c r="A1305" t="s">
        <v>1423</v>
      </c>
      <c r="B1305" t="s">
        <v>54</v>
      </c>
      <c r="C1305">
        <v>2012</v>
      </c>
      <c r="D1305" t="s">
        <v>69</v>
      </c>
      <c r="E1305" t="s">
        <v>43</v>
      </c>
      <c r="F1305" t="s">
        <v>69</v>
      </c>
      <c r="G1305">
        <v>27359</v>
      </c>
      <c r="H1305">
        <v>21887.200000000001</v>
      </c>
      <c r="I1305" s="13">
        <v>0.75</v>
      </c>
      <c r="J1305" t="s">
        <v>6206</v>
      </c>
      <c r="K1305">
        <v>2</v>
      </c>
      <c r="L1305">
        <v>1</v>
      </c>
      <c r="M1305" t="s">
        <v>0</v>
      </c>
      <c r="V1305">
        <v>3</v>
      </c>
      <c r="W1305">
        <v>1</v>
      </c>
      <c r="X1305">
        <v>0</v>
      </c>
      <c r="Y1305">
        <v>0</v>
      </c>
      <c r="Z1305">
        <v>0</v>
      </c>
    </row>
    <row r="1306" spans="1:26" x14ac:dyDescent="0.2">
      <c r="A1306" t="s">
        <v>1424</v>
      </c>
      <c r="B1306" t="s">
        <v>25</v>
      </c>
      <c r="C1306">
        <v>2012</v>
      </c>
      <c r="D1306" t="s">
        <v>48</v>
      </c>
      <c r="E1306" t="s">
        <v>35</v>
      </c>
      <c r="F1306" t="s">
        <v>49</v>
      </c>
      <c r="G1306">
        <v>74197</v>
      </c>
      <c r="H1306">
        <v>59357.600000000006</v>
      </c>
      <c r="I1306" s="13">
        <v>0</v>
      </c>
      <c r="J1306" t="s">
        <v>6207</v>
      </c>
      <c r="K1306">
        <v>3</v>
      </c>
      <c r="L1306">
        <v>1</v>
      </c>
      <c r="M1306" t="s">
        <v>0</v>
      </c>
      <c r="V1306">
        <v>0</v>
      </c>
      <c r="W1306">
        <v>0</v>
      </c>
      <c r="X1306">
        <v>0</v>
      </c>
      <c r="Y1306">
        <v>0</v>
      </c>
      <c r="Z1306">
        <v>0</v>
      </c>
    </row>
    <row r="1307" spans="1:26" x14ac:dyDescent="0.2">
      <c r="A1307" t="s">
        <v>1425</v>
      </c>
      <c r="B1307" t="s">
        <v>67</v>
      </c>
      <c r="C1307">
        <v>2012</v>
      </c>
      <c r="D1307" t="s">
        <v>26</v>
      </c>
      <c r="E1307" t="s">
        <v>42</v>
      </c>
      <c r="F1307" t="s">
        <v>26</v>
      </c>
      <c r="G1307">
        <v>61276</v>
      </c>
      <c r="H1307">
        <v>49020.800000000003</v>
      </c>
      <c r="I1307" s="13">
        <v>0.66666666666666663</v>
      </c>
      <c r="J1307" t="s">
        <v>6207</v>
      </c>
      <c r="K1307">
        <v>1</v>
      </c>
      <c r="L1307">
        <v>3</v>
      </c>
      <c r="M1307" t="s">
        <v>1</v>
      </c>
      <c r="V1307">
        <v>1</v>
      </c>
      <c r="W1307">
        <v>2</v>
      </c>
      <c r="X1307">
        <v>0</v>
      </c>
      <c r="Y1307">
        <v>0</v>
      </c>
      <c r="Z1307">
        <v>0</v>
      </c>
    </row>
    <row r="1308" spans="1:26" x14ac:dyDescent="0.2">
      <c r="A1308" t="s">
        <v>1426</v>
      </c>
      <c r="B1308" t="s">
        <v>41</v>
      </c>
      <c r="C1308">
        <v>2012</v>
      </c>
      <c r="D1308" t="s">
        <v>51</v>
      </c>
      <c r="E1308" t="s">
        <v>71</v>
      </c>
      <c r="F1308" t="s">
        <v>20</v>
      </c>
      <c r="G1308">
        <v>36284</v>
      </c>
      <c r="H1308">
        <v>29027.200000000001</v>
      </c>
      <c r="I1308" s="13">
        <v>0.5</v>
      </c>
      <c r="J1308" t="s">
        <v>6207</v>
      </c>
      <c r="K1308">
        <v>1</v>
      </c>
      <c r="L1308">
        <v>0</v>
      </c>
      <c r="M1308" t="s">
        <v>0</v>
      </c>
      <c r="V1308">
        <v>3</v>
      </c>
      <c r="W1308">
        <v>3</v>
      </c>
      <c r="X1308">
        <v>0</v>
      </c>
      <c r="Y1308">
        <v>0</v>
      </c>
      <c r="Z1308">
        <v>0</v>
      </c>
    </row>
    <row r="1309" spans="1:26" x14ac:dyDescent="0.2">
      <c r="A1309" t="s">
        <v>1427</v>
      </c>
      <c r="B1309" t="s">
        <v>52</v>
      </c>
      <c r="C1309">
        <v>2012</v>
      </c>
      <c r="D1309" t="s">
        <v>63</v>
      </c>
      <c r="E1309" t="s">
        <v>23</v>
      </c>
      <c r="F1309" t="s">
        <v>65</v>
      </c>
      <c r="G1309">
        <v>26804</v>
      </c>
      <c r="H1309">
        <v>21443.200000000001</v>
      </c>
      <c r="I1309" s="13">
        <v>0.66666666666666663</v>
      </c>
      <c r="J1309" t="s">
        <v>6207</v>
      </c>
      <c r="K1309">
        <v>0</v>
      </c>
      <c r="L1309">
        <v>0</v>
      </c>
      <c r="M1309" t="s">
        <v>58</v>
      </c>
      <c r="V1309">
        <v>3</v>
      </c>
      <c r="W1309">
        <v>3</v>
      </c>
      <c r="X1309">
        <v>0</v>
      </c>
      <c r="Y1309">
        <v>0</v>
      </c>
      <c r="Z1309">
        <v>0</v>
      </c>
    </row>
    <row r="1310" spans="1:26" x14ac:dyDescent="0.2">
      <c r="A1310" t="s">
        <v>1428</v>
      </c>
      <c r="B1310" t="s">
        <v>61</v>
      </c>
      <c r="C1310">
        <v>2012</v>
      </c>
      <c r="D1310" t="s">
        <v>72</v>
      </c>
      <c r="E1310" t="s">
        <v>46</v>
      </c>
      <c r="F1310" t="s">
        <v>72</v>
      </c>
      <c r="G1310">
        <v>24161</v>
      </c>
      <c r="H1310">
        <v>19328.8</v>
      </c>
      <c r="I1310" s="13">
        <v>0.5</v>
      </c>
      <c r="J1310" t="s">
        <v>6207</v>
      </c>
      <c r="K1310">
        <v>2</v>
      </c>
      <c r="L1310">
        <v>5</v>
      </c>
      <c r="M1310" t="s">
        <v>1</v>
      </c>
      <c r="V1310">
        <v>1</v>
      </c>
      <c r="W1310">
        <v>1</v>
      </c>
      <c r="X1310">
        <v>0</v>
      </c>
      <c r="Y1310">
        <v>0</v>
      </c>
      <c r="Z1310">
        <v>0</v>
      </c>
    </row>
    <row r="1311" spans="1:26" x14ac:dyDescent="0.2">
      <c r="A1311" t="s">
        <v>1429</v>
      </c>
      <c r="B1311" t="s">
        <v>68</v>
      </c>
      <c r="C1311">
        <v>2012</v>
      </c>
      <c r="D1311" t="s">
        <v>43</v>
      </c>
      <c r="E1311" t="s">
        <v>46</v>
      </c>
      <c r="F1311" t="s">
        <v>43</v>
      </c>
      <c r="G1311">
        <v>25138</v>
      </c>
      <c r="H1311">
        <v>20110.400000000001</v>
      </c>
      <c r="I1311" s="13">
        <v>0</v>
      </c>
      <c r="J1311" t="s">
        <v>6207</v>
      </c>
      <c r="K1311">
        <v>0</v>
      </c>
      <c r="L1311">
        <v>1</v>
      </c>
      <c r="M1311" t="s">
        <v>1</v>
      </c>
      <c r="V1311">
        <v>1</v>
      </c>
      <c r="W1311">
        <v>1</v>
      </c>
      <c r="X1311">
        <v>0</v>
      </c>
      <c r="Y1311">
        <v>0</v>
      </c>
      <c r="Z1311">
        <v>1</v>
      </c>
    </row>
    <row r="1312" spans="1:26" x14ac:dyDescent="0.2">
      <c r="A1312" t="s">
        <v>1430</v>
      </c>
      <c r="B1312" t="s">
        <v>61</v>
      </c>
      <c r="C1312">
        <v>2012</v>
      </c>
      <c r="D1312" t="s">
        <v>23</v>
      </c>
      <c r="E1312" t="s">
        <v>45</v>
      </c>
      <c r="F1312" t="s">
        <v>20</v>
      </c>
      <c r="G1312">
        <v>62500</v>
      </c>
      <c r="H1312">
        <v>50000</v>
      </c>
      <c r="I1312" s="13">
        <v>0.66666666666666663</v>
      </c>
      <c r="J1312" t="s">
        <v>6207</v>
      </c>
      <c r="K1312">
        <v>1</v>
      </c>
      <c r="L1312">
        <v>2</v>
      </c>
      <c r="M1312" t="s">
        <v>1</v>
      </c>
      <c r="V1312">
        <v>1</v>
      </c>
      <c r="W1312">
        <v>0</v>
      </c>
      <c r="X1312">
        <v>1</v>
      </c>
      <c r="Y1312">
        <v>1</v>
      </c>
      <c r="Z1312">
        <v>0</v>
      </c>
    </row>
    <row r="1313" spans="1:26" x14ac:dyDescent="0.2">
      <c r="A1313" t="s">
        <v>1431</v>
      </c>
      <c r="B1313" t="s">
        <v>32</v>
      </c>
      <c r="C1313">
        <v>2012</v>
      </c>
      <c r="D1313" t="s">
        <v>63</v>
      </c>
      <c r="E1313" t="s">
        <v>69</v>
      </c>
      <c r="F1313" t="s">
        <v>65</v>
      </c>
      <c r="G1313">
        <v>26804</v>
      </c>
      <c r="H1313">
        <v>21443.200000000001</v>
      </c>
      <c r="I1313" s="13">
        <v>1</v>
      </c>
      <c r="J1313" t="s">
        <v>6207</v>
      </c>
      <c r="K1313">
        <v>2</v>
      </c>
      <c r="L1313">
        <v>1</v>
      </c>
      <c r="M1313" t="s">
        <v>0</v>
      </c>
      <c r="V1313">
        <v>1</v>
      </c>
      <c r="W1313">
        <v>1</v>
      </c>
      <c r="X1313">
        <v>0</v>
      </c>
      <c r="Y1313">
        <v>0</v>
      </c>
      <c r="Z1313">
        <v>0</v>
      </c>
    </row>
    <row r="1314" spans="1:26" x14ac:dyDescent="0.2">
      <c r="A1314" t="s">
        <v>1432</v>
      </c>
      <c r="B1314" t="s">
        <v>50</v>
      </c>
      <c r="C1314">
        <v>2012</v>
      </c>
      <c r="D1314" t="s">
        <v>51</v>
      </c>
      <c r="E1314" t="s">
        <v>27</v>
      </c>
      <c r="F1314" t="s">
        <v>20</v>
      </c>
      <c r="G1314">
        <v>36284</v>
      </c>
      <c r="H1314">
        <v>29027.200000000001</v>
      </c>
      <c r="I1314" s="13">
        <v>0.7142857142857143</v>
      </c>
      <c r="J1314" t="s">
        <v>6207</v>
      </c>
      <c r="K1314">
        <v>0</v>
      </c>
      <c r="L1314">
        <v>0</v>
      </c>
      <c r="M1314" t="s">
        <v>58</v>
      </c>
      <c r="V1314">
        <v>2</v>
      </c>
      <c r="W1314">
        <v>5</v>
      </c>
      <c r="X1314">
        <v>0</v>
      </c>
      <c r="Y1314">
        <v>0</v>
      </c>
      <c r="Z1314">
        <v>0</v>
      </c>
    </row>
    <row r="1315" spans="1:26" x14ac:dyDescent="0.2">
      <c r="A1315" t="s">
        <v>1433</v>
      </c>
      <c r="B1315" t="s">
        <v>56</v>
      </c>
      <c r="C1315">
        <v>2012</v>
      </c>
      <c r="D1315" t="s">
        <v>73</v>
      </c>
      <c r="E1315" t="s">
        <v>35</v>
      </c>
      <c r="F1315" t="s">
        <v>73</v>
      </c>
      <c r="G1315">
        <v>32384</v>
      </c>
      <c r="H1315">
        <v>25907.200000000001</v>
      </c>
      <c r="I1315" s="13">
        <v>0.33333333333333331</v>
      </c>
      <c r="J1315" t="s">
        <v>6207</v>
      </c>
      <c r="K1315">
        <v>0</v>
      </c>
      <c r="L1315">
        <v>1</v>
      </c>
      <c r="M1315" t="s">
        <v>1</v>
      </c>
      <c r="V1315">
        <v>0</v>
      </c>
      <c r="W1315">
        <v>3</v>
      </c>
      <c r="X1315">
        <v>0</v>
      </c>
      <c r="Y1315">
        <v>0</v>
      </c>
      <c r="Z1315">
        <v>0</v>
      </c>
    </row>
    <row r="1316" spans="1:26" x14ac:dyDescent="0.2">
      <c r="A1316" t="s">
        <v>1434</v>
      </c>
      <c r="B1316" t="s">
        <v>60</v>
      </c>
      <c r="C1316">
        <v>2012</v>
      </c>
      <c r="D1316" t="s">
        <v>64</v>
      </c>
      <c r="E1316" t="s">
        <v>70</v>
      </c>
      <c r="F1316" t="s">
        <v>64</v>
      </c>
      <c r="G1316">
        <v>52264</v>
      </c>
      <c r="H1316">
        <v>41811.200000000004</v>
      </c>
      <c r="I1316" s="13">
        <v>0.4</v>
      </c>
      <c r="J1316" t="s">
        <v>6208</v>
      </c>
      <c r="K1316">
        <v>1</v>
      </c>
      <c r="L1316">
        <v>0</v>
      </c>
      <c r="M1316" t="s">
        <v>0</v>
      </c>
      <c r="V1316">
        <v>3</v>
      </c>
      <c r="W1316">
        <v>2</v>
      </c>
      <c r="X1316">
        <v>0</v>
      </c>
      <c r="Y1316">
        <v>0</v>
      </c>
      <c r="Z1316">
        <v>0</v>
      </c>
    </row>
    <row r="1317" spans="1:26" x14ac:dyDescent="0.2">
      <c r="A1317" t="s">
        <v>1435</v>
      </c>
      <c r="B1317" t="s">
        <v>41</v>
      </c>
      <c r="C1317">
        <v>2012</v>
      </c>
      <c r="D1317" t="s">
        <v>40</v>
      </c>
      <c r="E1317" t="s">
        <v>72</v>
      </c>
      <c r="F1317" t="s">
        <v>49</v>
      </c>
      <c r="G1317">
        <v>53400</v>
      </c>
      <c r="H1317">
        <v>42720</v>
      </c>
      <c r="I1317" s="13">
        <v>0.8</v>
      </c>
      <c r="J1317" t="s">
        <v>6207</v>
      </c>
      <c r="K1317">
        <v>1</v>
      </c>
      <c r="L1317">
        <v>0</v>
      </c>
      <c r="M1317" t="s">
        <v>0</v>
      </c>
      <c r="V1317">
        <v>2</v>
      </c>
      <c r="W1317">
        <v>3</v>
      </c>
      <c r="X1317">
        <v>0</v>
      </c>
      <c r="Y1317">
        <v>0</v>
      </c>
      <c r="Z1317">
        <v>0</v>
      </c>
    </row>
    <row r="1318" spans="1:26" x14ac:dyDescent="0.2">
      <c r="A1318" t="s">
        <v>1436</v>
      </c>
      <c r="B1318" t="s">
        <v>44</v>
      </c>
      <c r="C1318">
        <v>2012</v>
      </c>
      <c r="D1318" t="s">
        <v>26</v>
      </c>
      <c r="E1318" t="s">
        <v>31</v>
      </c>
      <c r="F1318" t="s">
        <v>26</v>
      </c>
      <c r="G1318">
        <v>61276</v>
      </c>
      <c r="H1318">
        <v>49020.800000000003</v>
      </c>
      <c r="I1318" s="13">
        <v>0.66666666666666663</v>
      </c>
      <c r="J1318" t="s">
        <v>6207</v>
      </c>
      <c r="K1318">
        <v>4</v>
      </c>
      <c r="L1318">
        <v>0</v>
      </c>
      <c r="M1318" t="s">
        <v>0</v>
      </c>
      <c r="V1318">
        <v>1</v>
      </c>
      <c r="W1318">
        <v>2</v>
      </c>
      <c r="X1318">
        <v>0</v>
      </c>
      <c r="Y1318">
        <v>0</v>
      </c>
      <c r="Z1318">
        <v>0</v>
      </c>
    </row>
    <row r="1319" spans="1:26" x14ac:dyDescent="0.2">
      <c r="A1319" t="s">
        <v>1437</v>
      </c>
      <c r="B1319" t="s">
        <v>66</v>
      </c>
      <c r="C1319">
        <v>2012</v>
      </c>
      <c r="D1319" t="s">
        <v>71</v>
      </c>
      <c r="E1319" t="s">
        <v>48</v>
      </c>
      <c r="F1319" t="s">
        <v>71</v>
      </c>
      <c r="G1319">
        <v>21088</v>
      </c>
      <c r="H1319">
        <v>16870.400000000001</v>
      </c>
      <c r="I1319" s="13">
        <v>0.16666666666666666</v>
      </c>
      <c r="J1319" t="s">
        <v>6207</v>
      </c>
      <c r="K1319">
        <v>1</v>
      </c>
      <c r="L1319">
        <v>1</v>
      </c>
      <c r="M1319" t="s">
        <v>58</v>
      </c>
      <c r="V1319">
        <v>2</v>
      </c>
      <c r="W1319">
        <v>4</v>
      </c>
      <c r="X1319">
        <v>0</v>
      </c>
      <c r="Y1319">
        <v>0</v>
      </c>
      <c r="Z1319">
        <v>0</v>
      </c>
    </row>
    <row r="1320" spans="1:26" x14ac:dyDescent="0.2">
      <c r="A1320" t="s">
        <v>1438</v>
      </c>
      <c r="B1320" t="s">
        <v>52</v>
      </c>
      <c r="C1320">
        <v>2012</v>
      </c>
      <c r="D1320" t="s">
        <v>18</v>
      </c>
      <c r="E1320" t="s">
        <v>42</v>
      </c>
      <c r="F1320" t="s">
        <v>20</v>
      </c>
      <c r="G1320">
        <v>40341</v>
      </c>
      <c r="H1320">
        <v>32272.800000000003</v>
      </c>
      <c r="I1320" s="13">
        <v>0</v>
      </c>
      <c r="J1320" t="s">
        <v>6207</v>
      </c>
      <c r="K1320">
        <v>8</v>
      </c>
      <c r="L1320">
        <v>0</v>
      </c>
      <c r="M1320" t="s">
        <v>0</v>
      </c>
      <c r="V1320">
        <v>0</v>
      </c>
      <c r="W1320">
        <v>0</v>
      </c>
      <c r="X1320">
        <v>0</v>
      </c>
      <c r="Y1320">
        <v>0</v>
      </c>
      <c r="Z1320">
        <v>2</v>
      </c>
    </row>
    <row r="1321" spans="1:26" x14ac:dyDescent="0.2">
      <c r="A1321" t="s">
        <v>1439</v>
      </c>
      <c r="B1321" t="s">
        <v>60</v>
      </c>
      <c r="C1321">
        <v>2012</v>
      </c>
      <c r="D1321" t="s">
        <v>35</v>
      </c>
      <c r="E1321" t="s">
        <v>40</v>
      </c>
      <c r="F1321" t="s">
        <v>35</v>
      </c>
      <c r="G1321">
        <v>49000</v>
      </c>
      <c r="H1321">
        <v>39200</v>
      </c>
      <c r="I1321" s="13">
        <v>0.75</v>
      </c>
      <c r="J1321" t="s">
        <v>6208</v>
      </c>
      <c r="K1321">
        <v>1</v>
      </c>
      <c r="L1321">
        <v>0</v>
      </c>
      <c r="M1321" t="s">
        <v>0</v>
      </c>
      <c r="V1321">
        <v>1</v>
      </c>
      <c r="W1321">
        <v>3</v>
      </c>
      <c r="X1321">
        <v>0</v>
      </c>
      <c r="Y1321">
        <v>0</v>
      </c>
      <c r="Z1321">
        <v>0</v>
      </c>
    </row>
    <row r="1322" spans="1:26" x14ac:dyDescent="0.2">
      <c r="A1322" t="s">
        <v>1440</v>
      </c>
      <c r="B1322" t="s">
        <v>53</v>
      </c>
      <c r="C1322">
        <v>2012</v>
      </c>
      <c r="D1322" t="s">
        <v>72</v>
      </c>
      <c r="E1322" t="s">
        <v>71</v>
      </c>
      <c r="F1322" t="s">
        <v>72</v>
      </c>
      <c r="G1322">
        <v>24161</v>
      </c>
      <c r="H1322">
        <v>19328.8</v>
      </c>
      <c r="I1322" s="13">
        <v>0.66666666666666663</v>
      </c>
      <c r="J1322" t="s">
        <v>6207</v>
      </c>
      <c r="K1322">
        <v>0</v>
      </c>
      <c r="L1322">
        <v>0</v>
      </c>
      <c r="M1322" t="s">
        <v>58</v>
      </c>
      <c r="V1322">
        <v>2</v>
      </c>
      <c r="W1322">
        <v>1</v>
      </c>
      <c r="X1322">
        <v>0</v>
      </c>
      <c r="Y1322">
        <v>0</v>
      </c>
      <c r="Z1322">
        <v>0</v>
      </c>
    </row>
    <row r="1323" spans="1:26" x14ac:dyDescent="0.2">
      <c r="A1323" t="s">
        <v>1441</v>
      </c>
      <c r="B1323" t="s">
        <v>68</v>
      </c>
      <c r="C1323">
        <v>2012</v>
      </c>
      <c r="D1323" t="s">
        <v>69</v>
      </c>
      <c r="E1323" t="s">
        <v>18</v>
      </c>
      <c r="F1323" t="s">
        <v>69</v>
      </c>
      <c r="G1323">
        <v>27359</v>
      </c>
      <c r="H1323">
        <v>21887.200000000001</v>
      </c>
      <c r="I1323" s="13">
        <v>0.5</v>
      </c>
      <c r="J1323" t="s">
        <v>6207</v>
      </c>
      <c r="K1323">
        <v>0</v>
      </c>
      <c r="L1323">
        <v>1</v>
      </c>
      <c r="M1323" t="s">
        <v>1</v>
      </c>
      <c r="V1323">
        <v>1</v>
      </c>
      <c r="W1323">
        <v>1</v>
      </c>
      <c r="X1323">
        <v>0</v>
      </c>
      <c r="Y1323">
        <v>0</v>
      </c>
      <c r="Z1323">
        <v>0</v>
      </c>
    </row>
    <row r="1324" spans="1:26" x14ac:dyDescent="0.2">
      <c r="A1324" t="s">
        <v>1442</v>
      </c>
      <c r="B1324" t="s">
        <v>41</v>
      </c>
      <c r="C1324">
        <v>2012</v>
      </c>
      <c r="D1324" t="s">
        <v>48</v>
      </c>
      <c r="E1324" t="s">
        <v>64</v>
      </c>
      <c r="F1324" t="s">
        <v>49</v>
      </c>
      <c r="G1324">
        <v>74197</v>
      </c>
      <c r="H1324">
        <v>59357.600000000006</v>
      </c>
      <c r="I1324" s="13">
        <v>0.5</v>
      </c>
      <c r="J1324" t="s">
        <v>6207</v>
      </c>
      <c r="K1324">
        <v>4</v>
      </c>
      <c r="L1324">
        <v>3</v>
      </c>
      <c r="M1324" t="s">
        <v>0</v>
      </c>
      <c r="V1324">
        <v>3</v>
      </c>
      <c r="W1324">
        <v>3</v>
      </c>
      <c r="X1324">
        <v>0</v>
      </c>
      <c r="Y1324">
        <v>0</v>
      </c>
      <c r="Z1324">
        <v>0</v>
      </c>
    </row>
    <row r="1325" spans="1:26" x14ac:dyDescent="0.2">
      <c r="A1325" t="s">
        <v>1443</v>
      </c>
      <c r="B1325" t="s">
        <v>52</v>
      </c>
      <c r="C1325">
        <v>2012</v>
      </c>
      <c r="D1325" t="s">
        <v>31</v>
      </c>
      <c r="E1325" t="s">
        <v>73</v>
      </c>
      <c r="F1325" t="s">
        <v>20</v>
      </c>
      <c r="G1325">
        <v>28500</v>
      </c>
      <c r="H1325">
        <v>22800</v>
      </c>
      <c r="I1325" s="13">
        <v>0.66666666666666663</v>
      </c>
      <c r="J1325" t="s">
        <v>6207</v>
      </c>
      <c r="K1325">
        <v>1</v>
      </c>
      <c r="L1325">
        <v>1</v>
      </c>
      <c r="M1325" t="s">
        <v>58</v>
      </c>
      <c r="V1325">
        <v>3</v>
      </c>
      <c r="W1325">
        <v>0</v>
      </c>
      <c r="X1325">
        <v>0</v>
      </c>
      <c r="Y1325">
        <v>0</v>
      </c>
      <c r="Z1325">
        <v>1</v>
      </c>
    </row>
    <row r="1326" spans="1:26" x14ac:dyDescent="0.2">
      <c r="A1326" t="s">
        <v>1444</v>
      </c>
      <c r="B1326" t="s">
        <v>50</v>
      </c>
      <c r="C1326">
        <v>2012</v>
      </c>
      <c r="D1326" t="s">
        <v>45</v>
      </c>
      <c r="E1326" t="s">
        <v>43</v>
      </c>
      <c r="F1326" t="s">
        <v>26</v>
      </c>
      <c r="G1326">
        <v>39572</v>
      </c>
      <c r="H1326">
        <v>31657.600000000002</v>
      </c>
      <c r="I1326" s="13">
        <v>0.66666666666666663</v>
      </c>
      <c r="J1326" t="s">
        <v>6207</v>
      </c>
      <c r="K1326">
        <v>2</v>
      </c>
      <c r="L1326">
        <v>1</v>
      </c>
      <c r="M1326" t="s">
        <v>0</v>
      </c>
      <c r="V1326">
        <v>0</v>
      </c>
      <c r="W1326">
        <v>3</v>
      </c>
      <c r="X1326">
        <v>0</v>
      </c>
      <c r="Y1326">
        <v>0</v>
      </c>
      <c r="Z1326">
        <v>0</v>
      </c>
    </row>
    <row r="1327" spans="1:26" x14ac:dyDescent="0.2">
      <c r="A1327" t="s">
        <v>1445</v>
      </c>
      <c r="B1327" t="s">
        <v>25</v>
      </c>
      <c r="C1327">
        <v>2012</v>
      </c>
      <c r="D1327" t="s">
        <v>70</v>
      </c>
      <c r="E1327" t="s">
        <v>63</v>
      </c>
      <c r="F1327" t="s">
        <v>20</v>
      </c>
      <c r="G1327">
        <v>18439</v>
      </c>
      <c r="H1327">
        <v>14751.2</v>
      </c>
      <c r="I1327" s="13">
        <v>1</v>
      </c>
      <c r="J1327" t="s">
        <v>6207</v>
      </c>
      <c r="K1327">
        <v>1</v>
      </c>
      <c r="L1327">
        <v>2</v>
      </c>
      <c r="M1327" t="s">
        <v>1</v>
      </c>
      <c r="V1327">
        <v>1</v>
      </c>
      <c r="W1327">
        <v>0</v>
      </c>
      <c r="X1327">
        <v>0</v>
      </c>
      <c r="Y1327">
        <v>0</v>
      </c>
      <c r="Z1327">
        <v>0</v>
      </c>
    </row>
    <row r="1328" spans="1:26" x14ac:dyDescent="0.2">
      <c r="A1328" t="s">
        <v>1446</v>
      </c>
      <c r="B1328" t="s">
        <v>44</v>
      </c>
      <c r="C1328">
        <v>2012</v>
      </c>
      <c r="D1328" t="s">
        <v>42</v>
      </c>
      <c r="E1328" t="s">
        <v>51</v>
      </c>
      <c r="F1328" t="s">
        <v>38</v>
      </c>
      <c r="G1328">
        <v>42918</v>
      </c>
      <c r="H1328">
        <v>34334.400000000001</v>
      </c>
      <c r="I1328" s="13">
        <v>0</v>
      </c>
      <c r="J1328" t="s">
        <v>6207</v>
      </c>
      <c r="K1328">
        <v>0</v>
      </c>
      <c r="L1328">
        <v>4</v>
      </c>
      <c r="M1328" t="s">
        <v>1</v>
      </c>
      <c r="V1328">
        <v>1</v>
      </c>
      <c r="W1328">
        <v>0</v>
      </c>
      <c r="X1328">
        <v>0</v>
      </c>
      <c r="Y1328">
        <v>0</v>
      </c>
      <c r="Z1328">
        <v>0</v>
      </c>
    </row>
    <row r="1329" spans="1:26" x14ac:dyDescent="0.2">
      <c r="A1329" t="s">
        <v>1447</v>
      </c>
      <c r="B1329" t="s">
        <v>56</v>
      </c>
      <c r="C1329">
        <v>2012</v>
      </c>
      <c r="D1329" t="s">
        <v>27</v>
      </c>
      <c r="E1329" t="s">
        <v>26</v>
      </c>
      <c r="F1329" t="s">
        <v>27</v>
      </c>
      <c r="G1329">
        <v>30089</v>
      </c>
      <c r="H1329">
        <v>24071.200000000001</v>
      </c>
      <c r="I1329" s="13">
        <v>0.75</v>
      </c>
      <c r="J1329" t="s">
        <v>6207</v>
      </c>
      <c r="K1329">
        <v>3</v>
      </c>
      <c r="L1329">
        <v>1</v>
      </c>
      <c r="M1329" t="s">
        <v>0</v>
      </c>
      <c r="V1329">
        <v>3</v>
      </c>
      <c r="W1329">
        <v>1</v>
      </c>
      <c r="X1329">
        <v>0</v>
      </c>
      <c r="Y1329">
        <v>0</v>
      </c>
      <c r="Z1329">
        <v>1</v>
      </c>
    </row>
    <row r="1330" spans="1:26" x14ac:dyDescent="0.2">
      <c r="A1330" t="s">
        <v>1448</v>
      </c>
      <c r="B1330" t="s">
        <v>32</v>
      </c>
      <c r="C1330">
        <v>2012</v>
      </c>
      <c r="D1330" t="s">
        <v>35</v>
      </c>
      <c r="E1330" t="s">
        <v>51</v>
      </c>
      <c r="F1330" t="s">
        <v>35</v>
      </c>
      <c r="G1330">
        <v>49000</v>
      </c>
      <c r="H1330">
        <v>39200</v>
      </c>
      <c r="I1330" s="13">
        <v>0.5</v>
      </c>
      <c r="J1330" t="s">
        <v>6207</v>
      </c>
      <c r="K1330">
        <v>1</v>
      </c>
      <c r="L1330">
        <v>2</v>
      </c>
      <c r="M1330" t="s">
        <v>1</v>
      </c>
      <c r="V1330">
        <v>1</v>
      </c>
      <c r="W1330">
        <v>3</v>
      </c>
      <c r="X1330">
        <v>0</v>
      </c>
      <c r="Y1330">
        <v>0</v>
      </c>
      <c r="Z1330">
        <v>0</v>
      </c>
    </row>
    <row r="1331" spans="1:26" x14ac:dyDescent="0.2">
      <c r="A1331" t="s">
        <v>1449</v>
      </c>
      <c r="B1331" t="s">
        <v>44</v>
      </c>
      <c r="C1331">
        <v>2012</v>
      </c>
      <c r="D1331" t="s">
        <v>27</v>
      </c>
      <c r="E1331" t="s">
        <v>73</v>
      </c>
      <c r="F1331" t="s">
        <v>27</v>
      </c>
      <c r="G1331">
        <v>30089</v>
      </c>
      <c r="H1331">
        <v>24071.200000000001</v>
      </c>
      <c r="I1331" s="13">
        <v>0.75</v>
      </c>
      <c r="J1331" t="s">
        <v>6207</v>
      </c>
      <c r="K1331">
        <v>3</v>
      </c>
      <c r="L1331">
        <v>3</v>
      </c>
      <c r="M1331" t="s">
        <v>58</v>
      </c>
      <c r="V1331">
        <v>1</v>
      </c>
      <c r="W1331">
        <v>2</v>
      </c>
      <c r="X1331">
        <v>1</v>
      </c>
      <c r="Y1331">
        <v>0</v>
      </c>
      <c r="Z1331">
        <v>0</v>
      </c>
    </row>
    <row r="1332" spans="1:26" x14ac:dyDescent="0.2">
      <c r="A1332" t="s">
        <v>1450</v>
      </c>
      <c r="B1332" t="s">
        <v>66</v>
      </c>
      <c r="C1332">
        <v>2012</v>
      </c>
      <c r="D1332" t="s">
        <v>72</v>
      </c>
      <c r="E1332" t="s">
        <v>23</v>
      </c>
      <c r="F1332" t="s">
        <v>72</v>
      </c>
      <c r="G1332">
        <v>24161</v>
      </c>
      <c r="H1332">
        <v>19328.8</v>
      </c>
      <c r="I1332" s="13">
        <v>0.42857142857142855</v>
      </c>
      <c r="J1332" t="s">
        <v>6207</v>
      </c>
      <c r="K1332">
        <v>1</v>
      </c>
      <c r="L1332">
        <v>0</v>
      </c>
      <c r="M1332" t="s">
        <v>0</v>
      </c>
      <c r="V1332">
        <v>3</v>
      </c>
      <c r="W1332">
        <v>4</v>
      </c>
      <c r="X1332">
        <v>0</v>
      </c>
      <c r="Y1332">
        <v>0</v>
      </c>
      <c r="Z1332">
        <v>0</v>
      </c>
    </row>
    <row r="1333" spans="1:26" x14ac:dyDescent="0.2">
      <c r="A1333" t="s">
        <v>1451</v>
      </c>
      <c r="B1333" t="s">
        <v>53</v>
      </c>
      <c r="C1333">
        <v>2012</v>
      </c>
      <c r="D1333" t="s">
        <v>69</v>
      </c>
      <c r="E1333" t="s">
        <v>40</v>
      </c>
      <c r="F1333" t="s">
        <v>69</v>
      </c>
      <c r="G1333">
        <v>27359</v>
      </c>
      <c r="H1333">
        <v>21887.200000000001</v>
      </c>
      <c r="I1333" s="13">
        <v>0.8</v>
      </c>
      <c r="J1333" t="s">
        <v>6207</v>
      </c>
      <c r="K1333">
        <v>3</v>
      </c>
      <c r="L1333">
        <v>4</v>
      </c>
      <c r="M1333" t="s">
        <v>1</v>
      </c>
      <c r="V1333">
        <v>3</v>
      </c>
      <c r="W1333">
        <v>1</v>
      </c>
      <c r="X1333">
        <v>0</v>
      </c>
      <c r="Y1333">
        <v>1</v>
      </c>
      <c r="Z1333">
        <v>0</v>
      </c>
    </row>
    <row r="1334" spans="1:26" x14ac:dyDescent="0.2">
      <c r="A1334" t="s">
        <v>1452</v>
      </c>
      <c r="B1334" t="s">
        <v>68</v>
      </c>
      <c r="C1334">
        <v>2012</v>
      </c>
      <c r="D1334" t="s">
        <v>48</v>
      </c>
      <c r="E1334" t="s">
        <v>63</v>
      </c>
      <c r="F1334" t="s">
        <v>49</v>
      </c>
      <c r="G1334">
        <v>74197</v>
      </c>
      <c r="H1334">
        <v>59357.600000000006</v>
      </c>
      <c r="I1334" s="13">
        <v>1</v>
      </c>
      <c r="J1334" t="s">
        <v>6207</v>
      </c>
      <c r="K1334">
        <v>2</v>
      </c>
      <c r="L1334">
        <v>0</v>
      </c>
      <c r="M1334" t="s">
        <v>0</v>
      </c>
      <c r="V1334">
        <v>1</v>
      </c>
      <c r="W1334">
        <v>0</v>
      </c>
      <c r="X1334">
        <v>0</v>
      </c>
      <c r="Y1334">
        <v>0</v>
      </c>
      <c r="Z1334">
        <v>0</v>
      </c>
    </row>
    <row r="1335" spans="1:26" x14ac:dyDescent="0.2">
      <c r="A1335" t="s">
        <v>1453</v>
      </c>
      <c r="B1335" t="s">
        <v>37</v>
      </c>
      <c r="C1335">
        <v>2012</v>
      </c>
      <c r="D1335" t="s">
        <v>31</v>
      </c>
      <c r="E1335" t="s">
        <v>71</v>
      </c>
      <c r="F1335" t="s">
        <v>20</v>
      </c>
      <c r="G1335">
        <v>28500</v>
      </c>
      <c r="H1335">
        <v>22800</v>
      </c>
      <c r="I1335" s="13">
        <v>0.66666666666666663</v>
      </c>
      <c r="J1335" t="s">
        <v>6206</v>
      </c>
      <c r="K1335">
        <v>1</v>
      </c>
      <c r="L1335">
        <v>2</v>
      </c>
      <c r="M1335" t="s">
        <v>1</v>
      </c>
      <c r="V1335">
        <v>2</v>
      </c>
      <c r="W1335">
        <v>1</v>
      </c>
      <c r="X1335">
        <v>0</v>
      </c>
      <c r="Y1335">
        <v>0</v>
      </c>
      <c r="Z1335">
        <v>0</v>
      </c>
    </row>
    <row r="1336" spans="1:26" x14ac:dyDescent="0.2">
      <c r="A1336" t="s">
        <v>1454</v>
      </c>
      <c r="B1336" t="s">
        <v>60</v>
      </c>
      <c r="C1336">
        <v>2012</v>
      </c>
      <c r="D1336" t="s">
        <v>42</v>
      </c>
      <c r="E1336" t="s">
        <v>43</v>
      </c>
      <c r="F1336" t="s">
        <v>38</v>
      </c>
      <c r="G1336">
        <v>42918</v>
      </c>
      <c r="H1336">
        <v>34334.400000000001</v>
      </c>
      <c r="I1336" s="13">
        <v>0.4</v>
      </c>
      <c r="J1336" t="s">
        <v>6208</v>
      </c>
      <c r="K1336">
        <v>0</v>
      </c>
      <c r="L1336">
        <v>3</v>
      </c>
      <c r="M1336" t="s">
        <v>1</v>
      </c>
      <c r="V1336">
        <v>3</v>
      </c>
      <c r="W1336">
        <v>2</v>
      </c>
      <c r="X1336">
        <v>0</v>
      </c>
      <c r="Y1336">
        <v>0</v>
      </c>
      <c r="Z1336">
        <v>0</v>
      </c>
    </row>
    <row r="1337" spans="1:26" x14ac:dyDescent="0.2">
      <c r="A1337" t="s">
        <v>1455</v>
      </c>
      <c r="B1337" t="s">
        <v>25</v>
      </c>
      <c r="C1337">
        <v>2012</v>
      </c>
      <c r="D1337" t="s">
        <v>46</v>
      </c>
      <c r="E1337" t="s">
        <v>64</v>
      </c>
      <c r="F1337" t="s">
        <v>20</v>
      </c>
      <c r="G1337">
        <v>60704</v>
      </c>
      <c r="H1337">
        <v>48563.200000000004</v>
      </c>
      <c r="I1337" s="13">
        <v>1</v>
      </c>
      <c r="J1337" t="s">
        <v>6207</v>
      </c>
      <c r="K1337">
        <v>7</v>
      </c>
      <c r="L1337">
        <v>3</v>
      </c>
      <c r="M1337" t="s">
        <v>0</v>
      </c>
      <c r="V1337">
        <v>0</v>
      </c>
      <c r="W1337">
        <v>1</v>
      </c>
      <c r="X1337">
        <v>0</v>
      </c>
      <c r="Y1337">
        <v>0</v>
      </c>
      <c r="Z1337">
        <v>0</v>
      </c>
    </row>
    <row r="1338" spans="1:26" x14ac:dyDescent="0.2">
      <c r="A1338" t="s">
        <v>1456</v>
      </c>
      <c r="B1338" t="s">
        <v>56</v>
      </c>
      <c r="C1338">
        <v>2012</v>
      </c>
      <c r="D1338" t="s">
        <v>45</v>
      </c>
      <c r="E1338" t="s">
        <v>18</v>
      </c>
      <c r="F1338" t="s">
        <v>26</v>
      </c>
      <c r="G1338">
        <v>39572</v>
      </c>
      <c r="H1338">
        <v>31657.600000000002</v>
      </c>
      <c r="I1338" s="13">
        <v>0.6</v>
      </c>
      <c r="J1338" t="s">
        <v>6207</v>
      </c>
      <c r="K1338">
        <v>1</v>
      </c>
      <c r="L1338">
        <v>2</v>
      </c>
      <c r="M1338" t="s">
        <v>1</v>
      </c>
      <c r="V1338">
        <v>2</v>
      </c>
      <c r="W1338">
        <v>3</v>
      </c>
      <c r="X1338">
        <v>0</v>
      </c>
      <c r="Y1338">
        <v>0</v>
      </c>
      <c r="Z1338">
        <v>0</v>
      </c>
    </row>
    <row r="1339" spans="1:26" x14ac:dyDescent="0.2">
      <c r="A1339" t="s">
        <v>1457</v>
      </c>
      <c r="B1339" t="s">
        <v>61</v>
      </c>
      <c r="C1339">
        <v>2012</v>
      </c>
      <c r="D1339" t="s">
        <v>70</v>
      </c>
      <c r="E1339" t="s">
        <v>26</v>
      </c>
      <c r="F1339" t="s">
        <v>20</v>
      </c>
      <c r="G1339">
        <v>18439</v>
      </c>
      <c r="H1339">
        <v>14751.2</v>
      </c>
      <c r="I1339" s="13">
        <v>1</v>
      </c>
      <c r="J1339" t="s">
        <v>6207</v>
      </c>
      <c r="K1339">
        <v>0</v>
      </c>
      <c r="L1339">
        <v>3</v>
      </c>
      <c r="M1339" t="s">
        <v>1</v>
      </c>
      <c r="V1339">
        <v>2</v>
      </c>
      <c r="W1339">
        <v>1</v>
      </c>
      <c r="X1339">
        <v>0</v>
      </c>
      <c r="Y1339">
        <v>0</v>
      </c>
      <c r="Z1339">
        <v>0</v>
      </c>
    </row>
    <row r="1340" spans="1:26" x14ac:dyDescent="0.2">
      <c r="A1340" t="s">
        <v>1458</v>
      </c>
      <c r="B1340" t="s">
        <v>41</v>
      </c>
      <c r="C1340">
        <v>2012</v>
      </c>
      <c r="D1340" t="s">
        <v>63</v>
      </c>
      <c r="E1340" t="s">
        <v>31</v>
      </c>
      <c r="F1340" t="s">
        <v>65</v>
      </c>
      <c r="G1340">
        <v>26804</v>
      </c>
      <c r="H1340">
        <v>21443.200000000001</v>
      </c>
      <c r="I1340" s="13">
        <v>0</v>
      </c>
      <c r="J1340" t="s">
        <v>6207</v>
      </c>
      <c r="K1340">
        <v>1</v>
      </c>
      <c r="L1340">
        <v>2</v>
      </c>
      <c r="M1340" t="s">
        <v>1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 spans="1:26" x14ac:dyDescent="0.2">
      <c r="A1341" t="s">
        <v>1459</v>
      </c>
      <c r="B1341" t="s">
        <v>37</v>
      </c>
      <c r="C1341">
        <v>2012</v>
      </c>
      <c r="D1341" t="s">
        <v>43</v>
      </c>
      <c r="E1341" t="s">
        <v>48</v>
      </c>
      <c r="F1341" t="s">
        <v>43</v>
      </c>
      <c r="G1341">
        <v>25138</v>
      </c>
      <c r="H1341">
        <v>20110.400000000001</v>
      </c>
      <c r="I1341" s="13">
        <v>0</v>
      </c>
      <c r="J1341" t="s">
        <v>6206</v>
      </c>
      <c r="K1341">
        <v>0</v>
      </c>
      <c r="L1341">
        <v>4</v>
      </c>
      <c r="M1341" t="s">
        <v>1</v>
      </c>
      <c r="V1341">
        <v>1</v>
      </c>
      <c r="W1341">
        <v>1</v>
      </c>
      <c r="X1341">
        <v>0</v>
      </c>
      <c r="Y1341">
        <v>0</v>
      </c>
      <c r="Z1341">
        <v>0</v>
      </c>
    </row>
    <row r="1342" spans="1:26" x14ac:dyDescent="0.2">
      <c r="A1342" t="s">
        <v>1460</v>
      </c>
      <c r="B1342" t="s">
        <v>44</v>
      </c>
      <c r="C1342">
        <v>2012</v>
      </c>
      <c r="D1342" t="s">
        <v>23</v>
      </c>
      <c r="E1342" t="s">
        <v>69</v>
      </c>
      <c r="F1342" t="s">
        <v>20</v>
      </c>
      <c r="G1342">
        <v>62500</v>
      </c>
      <c r="H1342">
        <v>50000</v>
      </c>
      <c r="I1342" s="13">
        <v>0</v>
      </c>
      <c r="J1342" t="s">
        <v>6207</v>
      </c>
      <c r="K1342">
        <v>2</v>
      </c>
      <c r="L1342">
        <v>1</v>
      </c>
      <c r="M1342" t="s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 x14ac:dyDescent="0.2">
      <c r="A1343" t="s">
        <v>1461</v>
      </c>
      <c r="B1343" t="s">
        <v>56</v>
      </c>
      <c r="C1343">
        <v>2012</v>
      </c>
      <c r="D1343" t="s">
        <v>51</v>
      </c>
      <c r="E1343" t="s">
        <v>72</v>
      </c>
      <c r="F1343" t="s">
        <v>20</v>
      </c>
      <c r="G1343">
        <v>36284</v>
      </c>
      <c r="H1343">
        <v>29027.200000000001</v>
      </c>
      <c r="I1343" s="13">
        <v>0</v>
      </c>
      <c r="J1343" t="s">
        <v>6207</v>
      </c>
      <c r="K1343">
        <v>3</v>
      </c>
      <c r="L1343">
        <v>1</v>
      </c>
      <c r="M1343" t="s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4" spans="1:26" x14ac:dyDescent="0.2">
      <c r="A1344" t="s">
        <v>1462</v>
      </c>
      <c r="B1344" t="s">
        <v>47</v>
      </c>
      <c r="C1344">
        <v>2012</v>
      </c>
      <c r="D1344" t="s">
        <v>71</v>
      </c>
      <c r="E1344" t="s">
        <v>42</v>
      </c>
      <c r="F1344" t="s">
        <v>71</v>
      </c>
      <c r="G1344">
        <v>21088</v>
      </c>
      <c r="H1344">
        <v>16870.400000000001</v>
      </c>
      <c r="I1344" s="13">
        <v>0.75</v>
      </c>
      <c r="J1344" t="s">
        <v>6208</v>
      </c>
      <c r="K1344">
        <v>2</v>
      </c>
      <c r="L1344">
        <v>2</v>
      </c>
      <c r="M1344" t="s">
        <v>58</v>
      </c>
      <c r="V1344">
        <v>0</v>
      </c>
      <c r="W1344">
        <v>4</v>
      </c>
      <c r="X1344">
        <v>0</v>
      </c>
      <c r="Y1344">
        <v>0</v>
      </c>
      <c r="Z1344">
        <v>1</v>
      </c>
    </row>
    <row r="1345" spans="1:26" x14ac:dyDescent="0.2">
      <c r="A1345" t="s">
        <v>1463</v>
      </c>
      <c r="B1345" t="s">
        <v>66</v>
      </c>
      <c r="C1345">
        <v>2012</v>
      </c>
      <c r="D1345" t="s">
        <v>40</v>
      </c>
      <c r="E1345" t="s">
        <v>27</v>
      </c>
      <c r="F1345" t="s">
        <v>49</v>
      </c>
      <c r="G1345">
        <v>53400</v>
      </c>
      <c r="H1345">
        <v>42720</v>
      </c>
      <c r="I1345" s="13">
        <v>0.75</v>
      </c>
      <c r="J1345" t="s">
        <v>6207</v>
      </c>
      <c r="K1345">
        <v>3</v>
      </c>
      <c r="L1345">
        <v>0</v>
      </c>
      <c r="M1345" t="s">
        <v>0</v>
      </c>
      <c r="V1345">
        <v>2</v>
      </c>
      <c r="W1345">
        <v>2</v>
      </c>
      <c r="X1345">
        <v>0</v>
      </c>
      <c r="Y1345">
        <v>0</v>
      </c>
      <c r="Z1345">
        <v>1</v>
      </c>
    </row>
    <row r="1346" spans="1:26" x14ac:dyDescent="0.2">
      <c r="A1346" t="s">
        <v>1464</v>
      </c>
      <c r="B1346" t="s">
        <v>54</v>
      </c>
      <c r="C1346">
        <v>2012</v>
      </c>
      <c r="D1346" t="s">
        <v>73</v>
      </c>
      <c r="E1346" t="s">
        <v>46</v>
      </c>
      <c r="F1346" t="s">
        <v>73</v>
      </c>
      <c r="G1346">
        <v>32384</v>
      </c>
      <c r="H1346">
        <v>25907.200000000001</v>
      </c>
      <c r="I1346" s="13">
        <v>1</v>
      </c>
      <c r="J1346" t="s">
        <v>6206</v>
      </c>
      <c r="K1346">
        <v>1</v>
      </c>
      <c r="L1346">
        <v>1</v>
      </c>
      <c r="M1346" t="s">
        <v>58</v>
      </c>
      <c r="V1346">
        <v>2</v>
      </c>
      <c r="W1346">
        <v>0</v>
      </c>
      <c r="X1346">
        <v>0</v>
      </c>
      <c r="Y1346">
        <v>0</v>
      </c>
      <c r="Z1346">
        <v>0</v>
      </c>
    </row>
    <row r="1347" spans="1:26" x14ac:dyDescent="0.2">
      <c r="A1347" t="s">
        <v>1465</v>
      </c>
      <c r="B1347" t="s">
        <v>52</v>
      </c>
      <c r="C1347">
        <v>2012</v>
      </c>
      <c r="D1347" t="s">
        <v>26</v>
      </c>
      <c r="E1347" t="s">
        <v>35</v>
      </c>
      <c r="F1347" t="s">
        <v>26</v>
      </c>
      <c r="G1347">
        <v>61276</v>
      </c>
      <c r="H1347">
        <v>49020.800000000003</v>
      </c>
      <c r="I1347" s="13">
        <v>1</v>
      </c>
      <c r="J1347" t="s">
        <v>6207</v>
      </c>
      <c r="K1347">
        <v>3</v>
      </c>
      <c r="L1347">
        <v>0</v>
      </c>
      <c r="M1347" t="s">
        <v>0</v>
      </c>
      <c r="V1347">
        <v>0</v>
      </c>
      <c r="W1347">
        <v>1</v>
      </c>
      <c r="X1347">
        <v>0</v>
      </c>
      <c r="Y1347">
        <v>0</v>
      </c>
      <c r="Z1347">
        <v>0</v>
      </c>
    </row>
    <row r="1348" spans="1:26" x14ac:dyDescent="0.2">
      <c r="A1348" t="s">
        <v>1466</v>
      </c>
      <c r="B1348" t="s">
        <v>50</v>
      </c>
      <c r="C1348">
        <v>2012</v>
      </c>
      <c r="D1348" t="s">
        <v>18</v>
      </c>
      <c r="E1348" t="s">
        <v>70</v>
      </c>
      <c r="F1348" t="s">
        <v>20</v>
      </c>
      <c r="G1348">
        <v>40341</v>
      </c>
      <c r="H1348">
        <v>32272.800000000003</v>
      </c>
      <c r="I1348" s="13">
        <v>0.5</v>
      </c>
      <c r="J1348" t="s">
        <v>6207</v>
      </c>
      <c r="K1348">
        <v>0</v>
      </c>
      <c r="L1348">
        <v>1</v>
      </c>
      <c r="M1348" t="s">
        <v>1</v>
      </c>
      <c r="V1348">
        <v>1</v>
      </c>
      <c r="W1348">
        <v>1</v>
      </c>
      <c r="X1348">
        <v>0</v>
      </c>
      <c r="Y1348">
        <v>0</v>
      </c>
      <c r="Z1348">
        <v>0</v>
      </c>
    </row>
    <row r="1349" spans="1:26" x14ac:dyDescent="0.2">
      <c r="A1349" t="s">
        <v>1467</v>
      </c>
      <c r="B1349" t="s">
        <v>32</v>
      </c>
      <c r="C1349">
        <v>2012</v>
      </c>
      <c r="D1349" t="s">
        <v>64</v>
      </c>
      <c r="E1349" t="s">
        <v>45</v>
      </c>
      <c r="F1349" t="s">
        <v>64</v>
      </c>
      <c r="G1349">
        <v>52264</v>
      </c>
      <c r="H1349">
        <v>41811.200000000004</v>
      </c>
      <c r="I1349" s="13">
        <v>0.8</v>
      </c>
      <c r="J1349" t="s">
        <v>6207</v>
      </c>
      <c r="K1349">
        <v>1</v>
      </c>
      <c r="L1349">
        <v>2</v>
      </c>
      <c r="M1349" t="s">
        <v>1</v>
      </c>
      <c r="V1349">
        <v>3</v>
      </c>
      <c r="W1349">
        <v>2</v>
      </c>
      <c r="X1349">
        <v>0</v>
      </c>
      <c r="Y1349">
        <v>0</v>
      </c>
      <c r="Z1349">
        <v>0</v>
      </c>
    </row>
    <row r="1350" spans="1:26" x14ac:dyDescent="0.2">
      <c r="A1350" t="s">
        <v>1468</v>
      </c>
      <c r="B1350" t="s">
        <v>54</v>
      </c>
      <c r="C1350">
        <v>2012</v>
      </c>
      <c r="D1350" t="s">
        <v>70</v>
      </c>
      <c r="E1350" t="s">
        <v>51</v>
      </c>
      <c r="F1350" t="s">
        <v>20</v>
      </c>
      <c r="G1350">
        <v>18439</v>
      </c>
      <c r="H1350">
        <v>14751.2</v>
      </c>
      <c r="I1350" s="13">
        <v>1</v>
      </c>
      <c r="J1350" t="s">
        <v>6206</v>
      </c>
      <c r="K1350">
        <v>0</v>
      </c>
      <c r="L1350">
        <v>0</v>
      </c>
      <c r="M1350" t="s">
        <v>58</v>
      </c>
      <c r="V1350">
        <v>1</v>
      </c>
      <c r="W1350">
        <v>1</v>
      </c>
      <c r="X1350">
        <v>0</v>
      </c>
      <c r="Y1350">
        <v>0</v>
      </c>
      <c r="Z1350">
        <v>0</v>
      </c>
    </row>
    <row r="1351" spans="1:26" x14ac:dyDescent="0.2">
      <c r="A1351" t="s">
        <v>1469</v>
      </c>
      <c r="B1351" t="s">
        <v>67</v>
      </c>
      <c r="C1351">
        <v>2012</v>
      </c>
      <c r="D1351" t="s">
        <v>35</v>
      </c>
      <c r="E1351" t="s">
        <v>23</v>
      </c>
      <c r="F1351" t="s">
        <v>35</v>
      </c>
      <c r="G1351">
        <v>49000</v>
      </c>
      <c r="H1351">
        <v>39200</v>
      </c>
      <c r="I1351" s="13">
        <v>0.66666666666666663</v>
      </c>
      <c r="J1351" t="s">
        <v>6207</v>
      </c>
      <c r="K1351">
        <v>3</v>
      </c>
      <c r="L1351">
        <v>0</v>
      </c>
      <c r="M1351" t="s">
        <v>0</v>
      </c>
      <c r="V1351">
        <v>0</v>
      </c>
      <c r="W1351">
        <v>3</v>
      </c>
      <c r="X1351">
        <v>0</v>
      </c>
      <c r="Y1351">
        <v>0</v>
      </c>
      <c r="Z1351">
        <v>0</v>
      </c>
    </row>
    <row r="1352" spans="1:26" x14ac:dyDescent="0.2">
      <c r="A1352" t="s">
        <v>1470</v>
      </c>
      <c r="B1352" t="s">
        <v>37</v>
      </c>
      <c r="C1352">
        <v>2012</v>
      </c>
      <c r="D1352" t="s">
        <v>27</v>
      </c>
      <c r="E1352" t="s">
        <v>18</v>
      </c>
      <c r="F1352" t="s">
        <v>27</v>
      </c>
      <c r="G1352">
        <v>30089</v>
      </c>
      <c r="H1352">
        <v>24071.200000000001</v>
      </c>
      <c r="I1352" s="13">
        <v>0</v>
      </c>
      <c r="J1352" t="s">
        <v>6206</v>
      </c>
      <c r="K1352">
        <v>0</v>
      </c>
      <c r="L1352">
        <v>4</v>
      </c>
      <c r="M1352" t="s">
        <v>1</v>
      </c>
      <c r="V1352">
        <v>1</v>
      </c>
      <c r="W1352">
        <v>0</v>
      </c>
      <c r="X1352">
        <v>0</v>
      </c>
      <c r="Y1352">
        <v>0</v>
      </c>
      <c r="Z1352">
        <v>2</v>
      </c>
    </row>
    <row r="1353" spans="1:26" x14ac:dyDescent="0.2">
      <c r="A1353" t="s">
        <v>1471</v>
      </c>
      <c r="B1353" t="s">
        <v>60</v>
      </c>
      <c r="C1353">
        <v>2012</v>
      </c>
      <c r="D1353" t="s">
        <v>72</v>
      </c>
      <c r="E1353" t="s">
        <v>63</v>
      </c>
      <c r="F1353" t="s">
        <v>72</v>
      </c>
      <c r="G1353">
        <v>24161</v>
      </c>
      <c r="H1353">
        <v>19328.8</v>
      </c>
      <c r="I1353" s="13">
        <v>1</v>
      </c>
      <c r="J1353" t="s">
        <v>6208</v>
      </c>
      <c r="K1353">
        <v>3</v>
      </c>
      <c r="L1353">
        <v>2</v>
      </c>
      <c r="M1353" t="s">
        <v>0</v>
      </c>
      <c r="V1353">
        <v>1</v>
      </c>
      <c r="W1353">
        <v>1</v>
      </c>
      <c r="X1353">
        <v>0</v>
      </c>
      <c r="Y1353">
        <v>0</v>
      </c>
      <c r="Z1353">
        <v>1</v>
      </c>
    </row>
    <row r="1354" spans="1:26" x14ac:dyDescent="0.2">
      <c r="A1354" t="s">
        <v>1472</v>
      </c>
      <c r="B1354" t="s">
        <v>61</v>
      </c>
      <c r="C1354">
        <v>2012</v>
      </c>
      <c r="D1354" t="s">
        <v>69</v>
      </c>
      <c r="E1354" t="s">
        <v>64</v>
      </c>
      <c r="F1354" t="s">
        <v>69</v>
      </c>
      <c r="G1354">
        <v>27359</v>
      </c>
      <c r="H1354">
        <v>21887.200000000001</v>
      </c>
      <c r="I1354" s="13">
        <v>1</v>
      </c>
      <c r="J1354" t="s">
        <v>6207</v>
      </c>
      <c r="K1354">
        <v>0</v>
      </c>
      <c r="L1354">
        <v>0</v>
      </c>
      <c r="M1354" t="s">
        <v>58</v>
      </c>
      <c r="V1354">
        <v>0</v>
      </c>
      <c r="W1354">
        <v>1</v>
      </c>
      <c r="X1354">
        <v>0</v>
      </c>
      <c r="Y1354">
        <v>0</v>
      </c>
      <c r="Z1354">
        <v>0</v>
      </c>
    </row>
    <row r="1355" spans="1:26" x14ac:dyDescent="0.2">
      <c r="A1355" t="s">
        <v>1473</v>
      </c>
      <c r="B1355" t="s">
        <v>44</v>
      </c>
      <c r="C1355">
        <v>2012</v>
      </c>
      <c r="D1355" t="s">
        <v>31</v>
      </c>
      <c r="E1355" t="s">
        <v>43</v>
      </c>
      <c r="F1355" t="s">
        <v>20</v>
      </c>
      <c r="G1355">
        <v>28500</v>
      </c>
      <c r="H1355">
        <v>22800</v>
      </c>
      <c r="I1355" s="13">
        <v>0</v>
      </c>
      <c r="J1355" t="s">
        <v>6207</v>
      </c>
      <c r="K1355">
        <v>1</v>
      </c>
      <c r="L1355">
        <v>1</v>
      </c>
      <c r="M1355" t="s">
        <v>58</v>
      </c>
      <c r="V1355">
        <v>0</v>
      </c>
      <c r="W1355">
        <v>1</v>
      </c>
      <c r="X1355">
        <v>0</v>
      </c>
      <c r="Y1355">
        <v>0</v>
      </c>
      <c r="Z1355">
        <v>0</v>
      </c>
    </row>
    <row r="1356" spans="1:26" x14ac:dyDescent="0.2">
      <c r="A1356" t="s">
        <v>1474</v>
      </c>
      <c r="B1356" t="s">
        <v>52</v>
      </c>
      <c r="C1356">
        <v>2012</v>
      </c>
      <c r="D1356" t="s">
        <v>45</v>
      </c>
      <c r="E1356" t="s">
        <v>71</v>
      </c>
      <c r="F1356" t="s">
        <v>26</v>
      </c>
      <c r="G1356">
        <v>39572</v>
      </c>
      <c r="H1356">
        <v>31657.600000000002</v>
      </c>
      <c r="I1356" s="13">
        <v>0.8</v>
      </c>
      <c r="J1356" t="s">
        <v>6207</v>
      </c>
      <c r="K1356">
        <v>0</v>
      </c>
      <c r="L1356">
        <v>0</v>
      </c>
      <c r="M1356" t="s">
        <v>58</v>
      </c>
      <c r="V1356">
        <v>1</v>
      </c>
      <c r="W1356">
        <v>4</v>
      </c>
      <c r="X1356">
        <v>0</v>
      </c>
      <c r="Y1356">
        <v>0</v>
      </c>
      <c r="Z1356">
        <v>0</v>
      </c>
    </row>
    <row r="1357" spans="1:26" x14ac:dyDescent="0.2">
      <c r="A1357" t="s">
        <v>1475</v>
      </c>
      <c r="B1357" t="s">
        <v>47</v>
      </c>
      <c r="C1357">
        <v>2012</v>
      </c>
      <c r="D1357" t="s">
        <v>42</v>
      </c>
      <c r="E1357" t="s">
        <v>73</v>
      </c>
      <c r="F1357" t="s">
        <v>38</v>
      </c>
      <c r="G1357">
        <v>42918</v>
      </c>
      <c r="H1357">
        <v>34334.400000000001</v>
      </c>
      <c r="I1357" s="13">
        <v>1</v>
      </c>
      <c r="J1357" t="s">
        <v>6208</v>
      </c>
      <c r="K1357">
        <v>0</v>
      </c>
      <c r="L1357">
        <v>1</v>
      </c>
      <c r="M1357" t="s">
        <v>1</v>
      </c>
      <c r="V1357">
        <v>1</v>
      </c>
      <c r="W1357">
        <v>1</v>
      </c>
      <c r="X1357">
        <v>0</v>
      </c>
      <c r="Y1357">
        <v>0</v>
      </c>
      <c r="Z1357">
        <v>1</v>
      </c>
    </row>
    <row r="1358" spans="1:26" x14ac:dyDescent="0.2">
      <c r="A1358" t="s">
        <v>1476</v>
      </c>
      <c r="B1358" t="s">
        <v>56</v>
      </c>
      <c r="C1358">
        <v>2012</v>
      </c>
      <c r="D1358" t="s">
        <v>48</v>
      </c>
      <c r="E1358" t="s">
        <v>26</v>
      </c>
      <c r="F1358" t="s">
        <v>49</v>
      </c>
      <c r="G1358">
        <v>74197</v>
      </c>
      <c r="H1358">
        <v>59357.600000000006</v>
      </c>
      <c r="I1358" s="13">
        <v>0.8</v>
      </c>
      <c r="J1358" t="s">
        <v>6207</v>
      </c>
      <c r="K1358">
        <v>2</v>
      </c>
      <c r="L1358">
        <v>1</v>
      </c>
      <c r="M1358" t="s">
        <v>0</v>
      </c>
      <c r="V1358">
        <v>1</v>
      </c>
      <c r="W1358">
        <v>4</v>
      </c>
      <c r="X1358">
        <v>0</v>
      </c>
      <c r="Y1358">
        <v>0</v>
      </c>
      <c r="Z1358">
        <v>0</v>
      </c>
    </row>
    <row r="1359" spans="1:26" x14ac:dyDescent="0.2">
      <c r="A1359" t="s">
        <v>1477</v>
      </c>
      <c r="B1359" t="s">
        <v>41</v>
      </c>
      <c r="C1359">
        <v>2012</v>
      </c>
      <c r="D1359" t="s">
        <v>46</v>
      </c>
      <c r="E1359" t="s">
        <v>40</v>
      </c>
      <c r="F1359" t="s">
        <v>20</v>
      </c>
      <c r="G1359">
        <v>60704</v>
      </c>
      <c r="H1359">
        <v>48563.200000000004</v>
      </c>
      <c r="I1359" s="13">
        <v>0.625</v>
      </c>
      <c r="J1359" t="s">
        <v>6207</v>
      </c>
      <c r="K1359">
        <v>0</v>
      </c>
      <c r="L1359">
        <v>2</v>
      </c>
      <c r="M1359" t="s">
        <v>1</v>
      </c>
      <c r="V1359">
        <v>2</v>
      </c>
      <c r="W1359">
        <v>4</v>
      </c>
      <c r="X1359">
        <v>1</v>
      </c>
      <c r="Y1359">
        <v>1</v>
      </c>
      <c r="Z1359">
        <v>1</v>
      </c>
    </row>
    <row r="1360" spans="1:26" x14ac:dyDescent="0.2">
      <c r="A1360" t="s">
        <v>1478</v>
      </c>
      <c r="B1360" t="s">
        <v>66</v>
      </c>
      <c r="C1360">
        <v>2012</v>
      </c>
      <c r="D1360" t="s">
        <v>18</v>
      </c>
      <c r="E1360" t="s">
        <v>73</v>
      </c>
      <c r="F1360" t="s">
        <v>20</v>
      </c>
      <c r="G1360">
        <v>40341</v>
      </c>
      <c r="H1360">
        <v>32272.800000000003</v>
      </c>
      <c r="I1360" s="13">
        <v>1</v>
      </c>
      <c r="J1360" t="s">
        <v>6207</v>
      </c>
      <c r="K1360">
        <v>2</v>
      </c>
      <c r="L1360">
        <v>2</v>
      </c>
      <c r="M1360" t="s">
        <v>58</v>
      </c>
      <c r="V1360">
        <v>1</v>
      </c>
      <c r="W1360">
        <v>0</v>
      </c>
      <c r="X1360">
        <v>0</v>
      </c>
      <c r="Y1360">
        <v>0</v>
      </c>
      <c r="Z1360">
        <v>0</v>
      </c>
    </row>
    <row r="1361" spans="1:26" x14ac:dyDescent="0.2">
      <c r="A1361" t="s">
        <v>1479</v>
      </c>
      <c r="B1361" t="s">
        <v>61</v>
      </c>
      <c r="C1361">
        <v>2012</v>
      </c>
      <c r="D1361" t="s">
        <v>43</v>
      </c>
      <c r="E1361" t="s">
        <v>35</v>
      </c>
      <c r="F1361" t="s">
        <v>43</v>
      </c>
      <c r="G1361">
        <v>25138</v>
      </c>
      <c r="H1361">
        <v>20110.400000000001</v>
      </c>
      <c r="I1361" s="13">
        <v>0.6</v>
      </c>
      <c r="J1361" t="s">
        <v>6207</v>
      </c>
      <c r="K1361">
        <v>2</v>
      </c>
      <c r="L1361">
        <v>3</v>
      </c>
      <c r="M1361" t="s">
        <v>1</v>
      </c>
      <c r="V1361">
        <v>3</v>
      </c>
      <c r="W1361">
        <v>2</v>
      </c>
      <c r="X1361">
        <v>0</v>
      </c>
      <c r="Y1361">
        <v>0</v>
      </c>
      <c r="Z1361">
        <v>1</v>
      </c>
    </row>
    <row r="1362" spans="1:26" x14ac:dyDescent="0.2">
      <c r="A1362" t="s">
        <v>1480</v>
      </c>
      <c r="B1362" t="s">
        <v>56</v>
      </c>
      <c r="C1362">
        <v>2012</v>
      </c>
      <c r="D1362" t="s">
        <v>23</v>
      </c>
      <c r="E1362" t="s">
        <v>70</v>
      </c>
      <c r="F1362" t="s">
        <v>20</v>
      </c>
      <c r="G1362">
        <v>62500</v>
      </c>
      <c r="H1362">
        <v>50000</v>
      </c>
      <c r="I1362" s="13">
        <v>0</v>
      </c>
      <c r="J1362" t="s">
        <v>6207</v>
      </c>
      <c r="K1362">
        <v>1</v>
      </c>
      <c r="L1362">
        <v>1</v>
      </c>
      <c r="M1362" t="s">
        <v>58</v>
      </c>
      <c r="V1362">
        <v>1</v>
      </c>
      <c r="W1362">
        <v>0</v>
      </c>
      <c r="X1362">
        <v>0</v>
      </c>
      <c r="Y1362">
        <v>0</v>
      </c>
      <c r="Z1362">
        <v>0</v>
      </c>
    </row>
    <row r="1363" spans="1:26" x14ac:dyDescent="0.2">
      <c r="A1363" t="s">
        <v>1481</v>
      </c>
      <c r="B1363" t="s">
        <v>41</v>
      </c>
      <c r="C1363">
        <v>2012</v>
      </c>
      <c r="D1363" t="s">
        <v>71</v>
      </c>
      <c r="E1363" t="s">
        <v>27</v>
      </c>
      <c r="F1363" t="s">
        <v>71</v>
      </c>
      <c r="G1363">
        <v>21088</v>
      </c>
      <c r="H1363">
        <v>16870.400000000001</v>
      </c>
      <c r="I1363" s="13">
        <v>0</v>
      </c>
      <c r="J1363" t="s">
        <v>6207</v>
      </c>
      <c r="K1363">
        <v>3</v>
      </c>
      <c r="L1363">
        <v>1</v>
      </c>
      <c r="M1363" t="s">
        <v>0</v>
      </c>
      <c r="V1363">
        <v>0</v>
      </c>
      <c r="W1363">
        <v>0</v>
      </c>
      <c r="X1363">
        <v>0</v>
      </c>
      <c r="Y1363">
        <v>0</v>
      </c>
      <c r="Z1363">
        <v>0</v>
      </c>
    </row>
    <row r="1364" spans="1:26" x14ac:dyDescent="0.2">
      <c r="A1364" t="s">
        <v>1482</v>
      </c>
      <c r="B1364" t="s">
        <v>37</v>
      </c>
      <c r="C1364">
        <v>2012</v>
      </c>
      <c r="D1364" t="s">
        <v>64</v>
      </c>
      <c r="E1364" t="s">
        <v>72</v>
      </c>
      <c r="F1364" t="s">
        <v>64</v>
      </c>
      <c r="G1364">
        <v>52264</v>
      </c>
      <c r="H1364">
        <v>41811.200000000004</v>
      </c>
      <c r="I1364" s="13">
        <v>0.6</v>
      </c>
      <c r="J1364" t="s">
        <v>6206</v>
      </c>
      <c r="K1364">
        <v>1</v>
      </c>
      <c r="L1364">
        <v>2</v>
      </c>
      <c r="M1364" t="s">
        <v>1</v>
      </c>
      <c r="V1364">
        <v>2</v>
      </c>
      <c r="W1364">
        <v>3</v>
      </c>
      <c r="X1364">
        <v>0</v>
      </c>
      <c r="Y1364">
        <v>0</v>
      </c>
      <c r="Z1364">
        <v>0</v>
      </c>
    </row>
    <row r="1365" spans="1:26" x14ac:dyDescent="0.2">
      <c r="A1365" t="s">
        <v>1483</v>
      </c>
      <c r="B1365" t="s">
        <v>68</v>
      </c>
      <c r="C1365">
        <v>2012</v>
      </c>
      <c r="D1365" t="s">
        <v>40</v>
      </c>
      <c r="E1365" t="s">
        <v>31</v>
      </c>
      <c r="F1365" t="s">
        <v>49</v>
      </c>
      <c r="G1365">
        <v>53400</v>
      </c>
      <c r="H1365">
        <v>42720</v>
      </c>
      <c r="I1365" s="13">
        <v>0.66666666666666663</v>
      </c>
      <c r="J1365" t="s">
        <v>6207</v>
      </c>
      <c r="K1365">
        <v>2</v>
      </c>
      <c r="L1365">
        <v>0</v>
      </c>
      <c r="M1365" t="s">
        <v>0</v>
      </c>
      <c r="V1365">
        <v>1</v>
      </c>
      <c r="W1365">
        <v>2</v>
      </c>
      <c r="X1365">
        <v>0</v>
      </c>
      <c r="Y1365">
        <v>0</v>
      </c>
      <c r="Z1365">
        <v>0</v>
      </c>
    </row>
    <row r="1366" spans="1:26" x14ac:dyDescent="0.2">
      <c r="A1366" t="s">
        <v>1484</v>
      </c>
      <c r="B1366" t="s">
        <v>66</v>
      </c>
      <c r="C1366">
        <v>2012</v>
      </c>
      <c r="D1366" t="s">
        <v>26</v>
      </c>
      <c r="E1366" t="s">
        <v>69</v>
      </c>
      <c r="F1366" t="s">
        <v>26</v>
      </c>
      <c r="G1366">
        <v>61276</v>
      </c>
      <c r="H1366">
        <v>49020.800000000003</v>
      </c>
      <c r="I1366" s="13">
        <v>0</v>
      </c>
      <c r="J1366" t="s">
        <v>6207</v>
      </c>
      <c r="K1366">
        <v>5</v>
      </c>
      <c r="L1366">
        <v>0</v>
      </c>
      <c r="M1366" t="s">
        <v>0</v>
      </c>
      <c r="V1366">
        <v>1</v>
      </c>
      <c r="W1366">
        <v>1</v>
      </c>
      <c r="X1366">
        <v>0</v>
      </c>
      <c r="Y1366">
        <v>0</v>
      </c>
      <c r="Z1366">
        <v>0</v>
      </c>
    </row>
    <row r="1367" spans="1:26" x14ac:dyDescent="0.2">
      <c r="A1367" t="s">
        <v>1485</v>
      </c>
      <c r="B1367" t="s">
        <v>54</v>
      </c>
      <c r="C1367">
        <v>2012</v>
      </c>
      <c r="D1367" t="s">
        <v>63</v>
      </c>
      <c r="E1367" t="s">
        <v>42</v>
      </c>
      <c r="F1367" t="s">
        <v>65</v>
      </c>
      <c r="G1367">
        <v>26804</v>
      </c>
      <c r="H1367">
        <v>21443.200000000001</v>
      </c>
      <c r="I1367" s="13">
        <v>0.5</v>
      </c>
      <c r="J1367" t="s">
        <v>6206</v>
      </c>
      <c r="K1367">
        <v>2</v>
      </c>
      <c r="L1367">
        <v>2</v>
      </c>
      <c r="M1367" t="s">
        <v>58</v>
      </c>
      <c r="V1367">
        <v>3</v>
      </c>
      <c r="W1367">
        <v>3</v>
      </c>
      <c r="X1367">
        <v>0</v>
      </c>
      <c r="Y1367">
        <v>0</v>
      </c>
      <c r="Z1367">
        <v>0</v>
      </c>
    </row>
    <row r="1368" spans="1:26" x14ac:dyDescent="0.2">
      <c r="A1368" t="s">
        <v>1486</v>
      </c>
      <c r="B1368" t="s">
        <v>32</v>
      </c>
      <c r="C1368">
        <v>2012</v>
      </c>
      <c r="D1368" t="s">
        <v>18</v>
      </c>
      <c r="E1368" t="s">
        <v>46</v>
      </c>
      <c r="F1368" t="s">
        <v>20</v>
      </c>
      <c r="G1368">
        <v>40341</v>
      </c>
      <c r="H1368">
        <v>32272.800000000003</v>
      </c>
      <c r="I1368" s="13">
        <v>0.66666666666666663</v>
      </c>
      <c r="J1368" t="s">
        <v>6207</v>
      </c>
      <c r="K1368">
        <v>2</v>
      </c>
      <c r="L1368">
        <v>1</v>
      </c>
      <c r="M1368" t="s">
        <v>0</v>
      </c>
      <c r="V1368">
        <v>2</v>
      </c>
      <c r="W1368">
        <v>1</v>
      </c>
      <c r="X1368">
        <v>0</v>
      </c>
      <c r="Y1368">
        <v>0</v>
      </c>
      <c r="Z1368">
        <v>1</v>
      </c>
    </row>
    <row r="1369" spans="1:26" x14ac:dyDescent="0.2">
      <c r="A1369" t="s">
        <v>1487</v>
      </c>
      <c r="B1369" t="s">
        <v>25</v>
      </c>
      <c r="C1369">
        <v>2012</v>
      </c>
      <c r="D1369" t="s">
        <v>51</v>
      </c>
      <c r="E1369" t="s">
        <v>48</v>
      </c>
      <c r="F1369" t="s">
        <v>20</v>
      </c>
      <c r="G1369">
        <v>36284</v>
      </c>
      <c r="H1369">
        <v>29027.200000000001</v>
      </c>
      <c r="I1369" s="13">
        <v>0.5</v>
      </c>
      <c r="J1369" t="s">
        <v>6207</v>
      </c>
      <c r="K1369">
        <v>1</v>
      </c>
      <c r="L1369">
        <v>1</v>
      </c>
      <c r="M1369" t="s">
        <v>58</v>
      </c>
      <c r="V1369">
        <v>2</v>
      </c>
      <c r="W1369">
        <v>4</v>
      </c>
      <c r="X1369">
        <v>0</v>
      </c>
      <c r="Y1369">
        <v>0</v>
      </c>
      <c r="Z1369">
        <v>0</v>
      </c>
    </row>
    <row r="1370" spans="1:26" x14ac:dyDescent="0.2">
      <c r="A1370" t="s">
        <v>1488</v>
      </c>
      <c r="B1370" t="s">
        <v>67</v>
      </c>
      <c r="C1370">
        <v>2012</v>
      </c>
      <c r="D1370" t="s">
        <v>73</v>
      </c>
      <c r="E1370" t="s">
        <v>45</v>
      </c>
      <c r="F1370" t="s">
        <v>73</v>
      </c>
      <c r="G1370">
        <v>32384</v>
      </c>
      <c r="H1370">
        <v>25907.200000000001</v>
      </c>
      <c r="I1370" s="13">
        <v>0.66666666666666663</v>
      </c>
      <c r="J1370" t="s">
        <v>6207</v>
      </c>
      <c r="K1370">
        <v>0</v>
      </c>
      <c r="L1370">
        <v>0</v>
      </c>
      <c r="M1370" t="s">
        <v>58</v>
      </c>
      <c r="V1370">
        <v>2</v>
      </c>
      <c r="W1370">
        <v>1</v>
      </c>
      <c r="X1370">
        <v>0</v>
      </c>
      <c r="Y1370">
        <v>0</v>
      </c>
      <c r="Z1370">
        <v>0</v>
      </c>
    </row>
    <row r="1371" spans="1:26" x14ac:dyDescent="0.2">
      <c r="A1371" t="s">
        <v>1489</v>
      </c>
      <c r="B1371" t="s">
        <v>37</v>
      </c>
      <c r="C1371">
        <v>2012</v>
      </c>
      <c r="D1371" t="s">
        <v>46</v>
      </c>
      <c r="E1371" t="s">
        <v>23</v>
      </c>
      <c r="F1371" t="s">
        <v>20</v>
      </c>
      <c r="G1371">
        <v>60704</v>
      </c>
      <c r="H1371">
        <v>48563.200000000004</v>
      </c>
      <c r="I1371" s="13">
        <v>1</v>
      </c>
      <c r="J1371" t="s">
        <v>6206</v>
      </c>
      <c r="K1371">
        <v>5</v>
      </c>
      <c r="L1371">
        <v>1</v>
      </c>
      <c r="M1371" t="s">
        <v>0</v>
      </c>
      <c r="V1371">
        <v>0</v>
      </c>
      <c r="W1371">
        <v>1</v>
      </c>
      <c r="X1371">
        <v>0</v>
      </c>
      <c r="Y1371">
        <v>0</v>
      </c>
      <c r="Z1371">
        <v>0</v>
      </c>
    </row>
    <row r="1372" spans="1:26" x14ac:dyDescent="0.2">
      <c r="A1372" t="s">
        <v>1490</v>
      </c>
      <c r="B1372" t="s">
        <v>37</v>
      </c>
      <c r="C1372">
        <v>2012</v>
      </c>
      <c r="D1372" t="s">
        <v>35</v>
      </c>
      <c r="E1372" t="s">
        <v>71</v>
      </c>
      <c r="F1372" t="s">
        <v>35</v>
      </c>
      <c r="G1372">
        <v>49000</v>
      </c>
      <c r="H1372">
        <v>39200</v>
      </c>
      <c r="I1372" s="13">
        <v>0.66666666666666663</v>
      </c>
      <c r="J1372" t="s">
        <v>6206</v>
      </c>
      <c r="K1372">
        <v>0</v>
      </c>
      <c r="L1372">
        <v>0</v>
      </c>
      <c r="M1372" t="s">
        <v>58</v>
      </c>
      <c r="V1372">
        <v>1</v>
      </c>
      <c r="W1372">
        <v>2</v>
      </c>
      <c r="X1372">
        <v>0</v>
      </c>
      <c r="Y1372">
        <v>0</v>
      </c>
      <c r="Z1372">
        <v>0</v>
      </c>
    </row>
    <row r="1373" spans="1:26" x14ac:dyDescent="0.2">
      <c r="A1373" t="s">
        <v>1491</v>
      </c>
      <c r="B1373" t="s">
        <v>53</v>
      </c>
      <c r="C1373">
        <v>2012</v>
      </c>
      <c r="D1373" t="s">
        <v>27</v>
      </c>
      <c r="E1373" t="s">
        <v>43</v>
      </c>
      <c r="F1373" t="s">
        <v>27</v>
      </c>
      <c r="G1373">
        <v>30089</v>
      </c>
      <c r="H1373">
        <v>24071.200000000001</v>
      </c>
      <c r="I1373" s="13">
        <v>0.5</v>
      </c>
      <c r="J1373" t="s">
        <v>6207</v>
      </c>
      <c r="K1373">
        <v>2</v>
      </c>
      <c r="L1373">
        <v>2</v>
      </c>
      <c r="M1373" t="s">
        <v>58</v>
      </c>
      <c r="V1373">
        <v>1</v>
      </c>
      <c r="W1373">
        <v>1</v>
      </c>
      <c r="X1373">
        <v>0</v>
      </c>
      <c r="Y1373">
        <v>0</v>
      </c>
      <c r="Z1373">
        <v>0</v>
      </c>
    </row>
    <row r="1374" spans="1:26" x14ac:dyDescent="0.2">
      <c r="A1374" t="s">
        <v>1492</v>
      </c>
      <c r="B1374" t="s">
        <v>52</v>
      </c>
      <c r="C1374">
        <v>2012</v>
      </c>
      <c r="D1374" t="s">
        <v>70</v>
      </c>
      <c r="E1374" t="s">
        <v>40</v>
      </c>
      <c r="F1374" t="s">
        <v>20</v>
      </c>
      <c r="G1374">
        <v>18439</v>
      </c>
      <c r="H1374">
        <v>14751.2</v>
      </c>
      <c r="I1374" s="13">
        <v>0.75</v>
      </c>
      <c r="J1374" t="s">
        <v>6207</v>
      </c>
      <c r="K1374">
        <v>0</v>
      </c>
      <c r="L1374">
        <v>0</v>
      </c>
      <c r="M1374" t="s">
        <v>58</v>
      </c>
      <c r="V1374">
        <v>2</v>
      </c>
      <c r="W1374">
        <v>2</v>
      </c>
      <c r="X1374">
        <v>0</v>
      </c>
      <c r="Y1374">
        <v>0</v>
      </c>
      <c r="Z1374">
        <v>0</v>
      </c>
    </row>
    <row r="1375" spans="1:26" x14ac:dyDescent="0.2">
      <c r="A1375" t="s">
        <v>1493</v>
      </c>
      <c r="B1375" t="s">
        <v>41</v>
      </c>
      <c r="C1375">
        <v>2012</v>
      </c>
      <c r="D1375" t="s">
        <v>42</v>
      </c>
      <c r="E1375" t="s">
        <v>64</v>
      </c>
      <c r="F1375" t="s">
        <v>38</v>
      </c>
      <c r="G1375">
        <v>42918</v>
      </c>
      <c r="H1375">
        <v>34334.400000000001</v>
      </c>
      <c r="I1375" s="13">
        <v>0.5714285714285714</v>
      </c>
      <c r="J1375" t="s">
        <v>6207</v>
      </c>
      <c r="K1375">
        <v>1</v>
      </c>
      <c r="L1375">
        <v>2</v>
      </c>
      <c r="M1375" t="s">
        <v>1</v>
      </c>
      <c r="V1375">
        <v>5</v>
      </c>
      <c r="W1375">
        <v>2</v>
      </c>
      <c r="X1375">
        <v>0</v>
      </c>
      <c r="Y1375">
        <v>0</v>
      </c>
      <c r="Z1375">
        <v>1</v>
      </c>
    </row>
    <row r="1376" spans="1:26" x14ac:dyDescent="0.2">
      <c r="A1376" t="s">
        <v>1494</v>
      </c>
      <c r="B1376" t="s">
        <v>67</v>
      </c>
      <c r="C1376">
        <v>2012</v>
      </c>
      <c r="D1376" t="s">
        <v>69</v>
      </c>
      <c r="E1376" t="s">
        <v>51</v>
      </c>
      <c r="F1376" t="s">
        <v>69</v>
      </c>
      <c r="G1376">
        <v>27359</v>
      </c>
      <c r="H1376">
        <v>21887.200000000001</v>
      </c>
      <c r="I1376" s="13">
        <v>0.6</v>
      </c>
      <c r="J1376" t="s">
        <v>6207</v>
      </c>
      <c r="K1376">
        <v>1</v>
      </c>
      <c r="L1376">
        <v>1</v>
      </c>
      <c r="M1376" t="s">
        <v>58</v>
      </c>
      <c r="V1376">
        <v>4</v>
      </c>
      <c r="W1376">
        <v>1</v>
      </c>
      <c r="X1376">
        <v>0</v>
      </c>
      <c r="Y1376">
        <v>0</v>
      </c>
      <c r="Z1376">
        <v>0</v>
      </c>
    </row>
    <row r="1377" spans="1:26" x14ac:dyDescent="0.2">
      <c r="A1377" t="s">
        <v>1495</v>
      </c>
      <c r="B1377" t="s">
        <v>66</v>
      </c>
      <c r="C1377">
        <v>2012</v>
      </c>
      <c r="D1377" t="s">
        <v>45</v>
      </c>
      <c r="E1377" t="s">
        <v>63</v>
      </c>
      <c r="F1377" t="s">
        <v>26</v>
      </c>
      <c r="G1377">
        <v>39572</v>
      </c>
      <c r="H1377">
        <v>31657.600000000002</v>
      </c>
      <c r="I1377" s="13">
        <v>0.5</v>
      </c>
      <c r="J1377" t="s">
        <v>6207</v>
      </c>
      <c r="K1377">
        <v>2</v>
      </c>
      <c r="L1377">
        <v>1</v>
      </c>
      <c r="M1377" t="s">
        <v>0</v>
      </c>
      <c r="V1377">
        <v>0</v>
      </c>
      <c r="W1377">
        <v>2</v>
      </c>
      <c r="X1377">
        <v>0</v>
      </c>
      <c r="Y1377">
        <v>0</v>
      </c>
      <c r="Z1377">
        <v>1</v>
      </c>
    </row>
    <row r="1378" spans="1:26" x14ac:dyDescent="0.2">
      <c r="A1378" t="s">
        <v>1496</v>
      </c>
      <c r="B1378" t="s">
        <v>60</v>
      </c>
      <c r="C1378">
        <v>2012</v>
      </c>
      <c r="D1378" t="s">
        <v>46</v>
      </c>
      <c r="E1378" t="s">
        <v>26</v>
      </c>
      <c r="F1378" t="s">
        <v>20</v>
      </c>
      <c r="G1378">
        <v>60704</v>
      </c>
      <c r="H1378">
        <v>48563.200000000004</v>
      </c>
      <c r="I1378" s="13">
        <v>0.75</v>
      </c>
      <c r="J1378" t="s">
        <v>6208</v>
      </c>
      <c r="K1378">
        <v>2</v>
      </c>
      <c r="L1378">
        <v>2</v>
      </c>
      <c r="M1378" t="s">
        <v>58</v>
      </c>
      <c r="V1378">
        <v>3</v>
      </c>
      <c r="W1378">
        <v>1</v>
      </c>
      <c r="X1378">
        <v>0</v>
      </c>
      <c r="Y1378">
        <v>0</v>
      </c>
      <c r="Z1378">
        <v>0</v>
      </c>
    </row>
    <row r="1379" spans="1:26" x14ac:dyDescent="0.2">
      <c r="A1379" t="s">
        <v>1497</v>
      </c>
      <c r="B1379" t="s">
        <v>47</v>
      </c>
      <c r="C1379">
        <v>2012</v>
      </c>
      <c r="D1379" t="s">
        <v>72</v>
      </c>
      <c r="E1379" t="s">
        <v>18</v>
      </c>
      <c r="F1379" t="s">
        <v>72</v>
      </c>
      <c r="G1379">
        <v>24161</v>
      </c>
      <c r="H1379">
        <v>19328.8</v>
      </c>
      <c r="I1379" s="13">
        <v>1</v>
      </c>
      <c r="J1379" t="s">
        <v>6208</v>
      </c>
      <c r="K1379">
        <v>2</v>
      </c>
      <c r="L1379">
        <v>2</v>
      </c>
      <c r="M1379" t="s">
        <v>58</v>
      </c>
      <c r="V1379">
        <v>1</v>
      </c>
      <c r="W1379">
        <v>2</v>
      </c>
      <c r="X1379">
        <v>0</v>
      </c>
      <c r="Y1379">
        <v>0</v>
      </c>
      <c r="Z1379">
        <v>0</v>
      </c>
    </row>
    <row r="1380" spans="1:26" x14ac:dyDescent="0.2">
      <c r="A1380" t="s">
        <v>1498</v>
      </c>
      <c r="B1380" t="s">
        <v>50</v>
      </c>
      <c r="C1380">
        <v>2012</v>
      </c>
      <c r="D1380" t="s">
        <v>48</v>
      </c>
      <c r="E1380" t="s">
        <v>73</v>
      </c>
      <c r="F1380" t="s">
        <v>49</v>
      </c>
      <c r="G1380">
        <v>74197</v>
      </c>
      <c r="H1380">
        <v>59357.600000000006</v>
      </c>
      <c r="I1380" s="13">
        <v>1</v>
      </c>
      <c r="J1380" t="s">
        <v>6207</v>
      </c>
      <c r="K1380">
        <v>2</v>
      </c>
      <c r="L1380">
        <v>1</v>
      </c>
      <c r="M1380" t="s">
        <v>0</v>
      </c>
      <c r="V1380">
        <v>2</v>
      </c>
      <c r="W1380">
        <v>1</v>
      </c>
      <c r="X1380">
        <v>0</v>
      </c>
      <c r="Y1380">
        <v>0</v>
      </c>
      <c r="Z1380">
        <v>0</v>
      </c>
    </row>
    <row r="1381" spans="1:26" x14ac:dyDescent="0.2">
      <c r="A1381" t="s">
        <v>1499</v>
      </c>
      <c r="B1381" t="s">
        <v>25</v>
      </c>
      <c r="C1381">
        <v>2012</v>
      </c>
      <c r="D1381" t="s">
        <v>31</v>
      </c>
      <c r="E1381" t="s">
        <v>23</v>
      </c>
      <c r="F1381" t="s">
        <v>20</v>
      </c>
      <c r="G1381">
        <v>28500</v>
      </c>
      <c r="H1381">
        <v>22800</v>
      </c>
      <c r="I1381" s="13">
        <v>0.5</v>
      </c>
      <c r="J1381" t="s">
        <v>6207</v>
      </c>
      <c r="K1381">
        <v>3</v>
      </c>
      <c r="L1381">
        <v>1</v>
      </c>
      <c r="M1381" t="s">
        <v>0</v>
      </c>
      <c r="V1381">
        <v>2</v>
      </c>
      <c r="W1381">
        <v>0</v>
      </c>
      <c r="X1381">
        <v>0</v>
      </c>
      <c r="Y1381">
        <v>0</v>
      </c>
      <c r="Z1381">
        <v>0</v>
      </c>
    </row>
    <row r="1382" spans="1:26" x14ac:dyDescent="0.2">
      <c r="A1382" t="s">
        <v>1500</v>
      </c>
      <c r="B1382" t="s">
        <v>68</v>
      </c>
      <c r="C1382">
        <v>2012</v>
      </c>
      <c r="D1382" t="s">
        <v>70</v>
      </c>
      <c r="E1382" t="s">
        <v>69</v>
      </c>
      <c r="F1382" t="s">
        <v>20</v>
      </c>
      <c r="G1382">
        <v>18439</v>
      </c>
      <c r="H1382">
        <v>14751.2</v>
      </c>
      <c r="I1382" s="13">
        <v>0.7142857142857143</v>
      </c>
      <c r="J1382" t="s">
        <v>6207</v>
      </c>
      <c r="K1382">
        <v>0</v>
      </c>
      <c r="L1382">
        <v>0</v>
      </c>
      <c r="M1382" t="s">
        <v>58</v>
      </c>
      <c r="V1382">
        <v>2</v>
      </c>
      <c r="W1382">
        <v>5</v>
      </c>
      <c r="X1382">
        <v>0</v>
      </c>
      <c r="Y1382">
        <v>0</v>
      </c>
      <c r="Z1382">
        <v>1</v>
      </c>
    </row>
    <row r="1383" spans="1:26" x14ac:dyDescent="0.2">
      <c r="A1383" t="s">
        <v>1501</v>
      </c>
      <c r="B1383" t="s">
        <v>37</v>
      </c>
      <c r="C1383">
        <v>2012</v>
      </c>
      <c r="D1383" t="s">
        <v>43</v>
      </c>
      <c r="E1383" t="s">
        <v>73</v>
      </c>
      <c r="F1383" t="s">
        <v>43</v>
      </c>
      <c r="G1383">
        <v>25138</v>
      </c>
      <c r="H1383">
        <v>20110.400000000001</v>
      </c>
      <c r="I1383" s="13">
        <v>0.5</v>
      </c>
      <c r="J1383" t="s">
        <v>6206</v>
      </c>
      <c r="K1383">
        <v>2</v>
      </c>
      <c r="L1383">
        <v>2</v>
      </c>
      <c r="M1383" t="s">
        <v>58</v>
      </c>
      <c r="V1383">
        <v>0</v>
      </c>
      <c r="W1383">
        <v>2</v>
      </c>
      <c r="X1383">
        <v>0</v>
      </c>
      <c r="Y1383">
        <v>0</v>
      </c>
      <c r="Z1383">
        <v>0</v>
      </c>
    </row>
    <row r="1384" spans="1:26" x14ac:dyDescent="0.2">
      <c r="A1384" t="s">
        <v>1502</v>
      </c>
      <c r="B1384" t="s">
        <v>54</v>
      </c>
      <c r="C1384">
        <v>2012</v>
      </c>
      <c r="D1384" t="s">
        <v>23</v>
      </c>
      <c r="E1384" t="s">
        <v>71</v>
      </c>
      <c r="F1384" t="s">
        <v>20</v>
      </c>
      <c r="G1384">
        <v>62500</v>
      </c>
      <c r="H1384">
        <v>50000</v>
      </c>
      <c r="I1384" s="13">
        <v>1</v>
      </c>
      <c r="J1384" t="s">
        <v>6206</v>
      </c>
      <c r="K1384">
        <v>1</v>
      </c>
      <c r="L1384">
        <v>0</v>
      </c>
      <c r="M1384" t="s">
        <v>0</v>
      </c>
      <c r="V1384">
        <v>1</v>
      </c>
      <c r="W1384">
        <v>1</v>
      </c>
      <c r="X1384">
        <v>0</v>
      </c>
      <c r="Y1384">
        <v>0</v>
      </c>
      <c r="Z1384">
        <v>0</v>
      </c>
    </row>
    <row r="1385" spans="1:26" x14ac:dyDescent="0.2">
      <c r="A1385" t="s">
        <v>1503</v>
      </c>
      <c r="B1385" t="s">
        <v>50</v>
      </c>
      <c r="C1385">
        <v>2012</v>
      </c>
      <c r="D1385" t="s">
        <v>72</v>
      </c>
      <c r="E1385" t="s">
        <v>35</v>
      </c>
      <c r="F1385" t="s">
        <v>72</v>
      </c>
      <c r="G1385">
        <v>24161</v>
      </c>
      <c r="H1385">
        <v>19328.8</v>
      </c>
      <c r="I1385" s="13">
        <v>0.5</v>
      </c>
      <c r="J1385" t="s">
        <v>6207</v>
      </c>
      <c r="K1385">
        <v>2</v>
      </c>
      <c r="L1385">
        <v>1</v>
      </c>
      <c r="M1385" t="s">
        <v>0</v>
      </c>
      <c r="V1385">
        <v>1</v>
      </c>
      <c r="W1385">
        <v>3</v>
      </c>
      <c r="X1385">
        <v>0</v>
      </c>
      <c r="Y1385">
        <v>0</v>
      </c>
      <c r="Z1385">
        <v>1</v>
      </c>
    </row>
    <row r="1386" spans="1:26" x14ac:dyDescent="0.2">
      <c r="A1386" t="s">
        <v>1504</v>
      </c>
      <c r="B1386" t="s">
        <v>56</v>
      </c>
      <c r="C1386">
        <v>2012</v>
      </c>
      <c r="D1386" t="s">
        <v>64</v>
      </c>
      <c r="E1386" t="s">
        <v>18</v>
      </c>
      <c r="F1386" t="s">
        <v>64</v>
      </c>
      <c r="G1386">
        <v>52264</v>
      </c>
      <c r="H1386">
        <v>41811.200000000004</v>
      </c>
      <c r="I1386" s="13">
        <v>0.6</v>
      </c>
      <c r="J1386" t="s">
        <v>6207</v>
      </c>
      <c r="K1386">
        <v>3</v>
      </c>
      <c r="L1386">
        <v>2</v>
      </c>
      <c r="M1386" t="s">
        <v>0</v>
      </c>
      <c r="V1386">
        <v>2</v>
      </c>
      <c r="W1386">
        <v>3</v>
      </c>
      <c r="X1386">
        <v>0</v>
      </c>
      <c r="Y1386">
        <v>0</v>
      </c>
      <c r="Z1386">
        <v>0</v>
      </c>
    </row>
    <row r="1387" spans="1:26" x14ac:dyDescent="0.2">
      <c r="A1387" t="s">
        <v>1505</v>
      </c>
      <c r="B1387" t="s">
        <v>53</v>
      </c>
      <c r="C1387">
        <v>2012</v>
      </c>
      <c r="D1387" t="s">
        <v>45</v>
      </c>
      <c r="E1387" t="s">
        <v>42</v>
      </c>
      <c r="F1387" t="s">
        <v>26</v>
      </c>
      <c r="G1387">
        <v>39572</v>
      </c>
      <c r="H1387">
        <v>31657.600000000002</v>
      </c>
      <c r="I1387" s="13">
        <v>0.4</v>
      </c>
      <c r="J1387" t="s">
        <v>6207</v>
      </c>
      <c r="K1387">
        <v>3</v>
      </c>
      <c r="L1387">
        <v>3</v>
      </c>
      <c r="M1387" t="s">
        <v>58</v>
      </c>
      <c r="V1387">
        <v>1</v>
      </c>
      <c r="W1387">
        <v>4</v>
      </c>
      <c r="X1387">
        <v>0</v>
      </c>
      <c r="Y1387">
        <v>0</v>
      </c>
      <c r="Z1387">
        <v>0</v>
      </c>
    </row>
    <row r="1388" spans="1:26" x14ac:dyDescent="0.2">
      <c r="A1388" t="s">
        <v>1506</v>
      </c>
      <c r="B1388" t="s">
        <v>25</v>
      </c>
      <c r="C1388">
        <v>2012</v>
      </c>
      <c r="D1388" t="s">
        <v>46</v>
      </c>
      <c r="E1388" t="s">
        <v>27</v>
      </c>
      <c r="F1388" t="s">
        <v>20</v>
      </c>
      <c r="G1388">
        <v>60704</v>
      </c>
      <c r="H1388">
        <v>48563.200000000004</v>
      </c>
      <c r="I1388" s="13">
        <v>0.33333333333333331</v>
      </c>
      <c r="J1388" t="s">
        <v>6207</v>
      </c>
      <c r="K1388">
        <v>1</v>
      </c>
      <c r="L1388">
        <v>0</v>
      </c>
      <c r="M1388" t="s">
        <v>0</v>
      </c>
      <c r="V1388">
        <v>0</v>
      </c>
      <c r="W1388">
        <v>3</v>
      </c>
      <c r="X1388">
        <v>0</v>
      </c>
      <c r="Y1388">
        <v>0</v>
      </c>
      <c r="Z1388">
        <v>0</v>
      </c>
    </row>
    <row r="1389" spans="1:26" x14ac:dyDescent="0.2">
      <c r="A1389" t="s">
        <v>1507</v>
      </c>
      <c r="B1389" t="s">
        <v>60</v>
      </c>
      <c r="C1389">
        <v>2012</v>
      </c>
      <c r="D1389" t="s">
        <v>31</v>
      </c>
      <c r="E1389" t="s">
        <v>48</v>
      </c>
      <c r="F1389" t="s">
        <v>20</v>
      </c>
      <c r="G1389">
        <v>28500</v>
      </c>
      <c r="H1389">
        <v>22800</v>
      </c>
      <c r="I1389" s="13">
        <v>0</v>
      </c>
      <c r="J1389" t="s">
        <v>6208</v>
      </c>
      <c r="K1389">
        <v>0</v>
      </c>
      <c r="L1389">
        <v>1</v>
      </c>
      <c r="M1389" t="s">
        <v>1</v>
      </c>
      <c r="V1389">
        <v>1</v>
      </c>
      <c r="W1389">
        <v>1</v>
      </c>
      <c r="X1389">
        <v>0</v>
      </c>
      <c r="Y1389">
        <v>0</v>
      </c>
      <c r="Z1389">
        <v>0</v>
      </c>
    </row>
    <row r="1390" spans="1:26" x14ac:dyDescent="0.2">
      <c r="A1390" t="s">
        <v>1508</v>
      </c>
      <c r="B1390" t="s">
        <v>44</v>
      </c>
      <c r="C1390">
        <v>2012</v>
      </c>
      <c r="D1390" t="s">
        <v>63</v>
      </c>
      <c r="E1390" t="s">
        <v>51</v>
      </c>
      <c r="F1390" t="s">
        <v>65</v>
      </c>
      <c r="G1390">
        <v>26804</v>
      </c>
      <c r="H1390">
        <v>21443.200000000001</v>
      </c>
      <c r="I1390" s="13">
        <v>0.5</v>
      </c>
      <c r="J1390" t="s">
        <v>6207</v>
      </c>
      <c r="K1390">
        <v>0</v>
      </c>
      <c r="L1390">
        <v>1</v>
      </c>
      <c r="M1390" t="s">
        <v>1</v>
      </c>
      <c r="V1390">
        <v>1</v>
      </c>
      <c r="W1390">
        <v>0</v>
      </c>
      <c r="X1390">
        <v>1</v>
      </c>
      <c r="Y1390">
        <v>0</v>
      </c>
      <c r="Z1390">
        <v>0</v>
      </c>
    </row>
    <row r="1391" spans="1:26" x14ac:dyDescent="0.2">
      <c r="A1391" t="s">
        <v>1509</v>
      </c>
      <c r="B1391" t="s">
        <v>61</v>
      </c>
      <c r="C1391">
        <v>2012</v>
      </c>
      <c r="D1391" t="s">
        <v>40</v>
      </c>
      <c r="E1391" t="s">
        <v>26</v>
      </c>
      <c r="F1391" t="s">
        <v>49</v>
      </c>
      <c r="G1391">
        <v>53400</v>
      </c>
      <c r="H1391">
        <v>42720</v>
      </c>
      <c r="I1391" s="13">
        <v>0.33333333333333331</v>
      </c>
      <c r="J1391" t="s">
        <v>6207</v>
      </c>
      <c r="K1391">
        <v>2</v>
      </c>
      <c r="L1391">
        <v>2</v>
      </c>
      <c r="M1391" t="s">
        <v>58</v>
      </c>
      <c r="V1391">
        <v>2</v>
      </c>
      <c r="W1391">
        <v>4</v>
      </c>
      <c r="X1391">
        <v>0</v>
      </c>
      <c r="Y1391">
        <v>0</v>
      </c>
      <c r="Z1391">
        <v>0</v>
      </c>
    </row>
    <row r="1392" spans="1:26" x14ac:dyDescent="0.2">
      <c r="A1392" t="s">
        <v>1510</v>
      </c>
      <c r="B1392" t="s">
        <v>52</v>
      </c>
      <c r="C1392">
        <v>2012</v>
      </c>
      <c r="D1392" t="s">
        <v>51</v>
      </c>
      <c r="E1392" t="s">
        <v>64</v>
      </c>
      <c r="F1392" t="s">
        <v>20</v>
      </c>
      <c r="G1392">
        <v>36284</v>
      </c>
      <c r="H1392">
        <v>29027.200000000001</v>
      </c>
      <c r="I1392" s="13">
        <v>1</v>
      </c>
      <c r="J1392" t="s">
        <v>6207</v>
      </c>
      <c r="K1392">
        <v>2</v>
      </c>
      <c r="L1392">
        <v>1</v>
      </c>
      <c r="M1392" t="s">
        <v>0</v>
      </c>
      <c r="V1392">
        <v>0</v>
      </c>
      <c r="W1392">
        <v>2</v>
      </c>
      <c r="X1392">
        <v>0</v>
      </c>
      <c r="Y1392">
        <v>0</v>
      </c>
      <c r="Z1392">
        <v>0</v>
      </c>
    </row>
    <row r="1393" spans="1:26" x14ac:dyDescent="0.2">
      <c r="A1393" t="s">
        <v>1511</v>
      </c>
      <c r="B1393" t="s">
        <v>67</v>
      </c>
      <c r="C1393">
        <v>2012</v>
      </c>
      <c r="D1393" t="s">
        <v>71</v>
      </c>
      <c r="E1393" t="s">
        <v>70</v>
      </c>
      <c r="F1393" t="s">
        <v>71</v>
      </c>
      <c r="G1393">
        <v>21088</v>
      </c>
      <c r="H1393">
        <v>16870.400000000001</v>
      </c>
      <c r="I1393" s="13">
        <v>0.75</v>
      </c>
      <c r="J1393" t="s">
        <v>6207</v>
      </c>
      <c r="K1393">
        <v>4</v>
      </c>
      <c r="L1393">
        <v>1</v>
      </c>
      <c r="M1393" t="s">
        <v>0</v>
      </c>
      <c r="V1393">
        <v>1</v>
      </c>
      <c r="W1393">
        <v>3</v>
      </c>
      <c r="X1393">
        <v>0</v>
      </c>
      <c r="Y1393">
        <v>0</v>
      </c>
      <c r="Z1393">
        <v>0</v>
      </c>
    </row>
    <row r="1394" spans="1:26" x14ac:dyDescent="0.2">
      <c r="A1394" t="s">
        <v>1512</v>
      </c>
      <c r="B1394" t="s">
        <v>61</v>
      </c>
      <c r="C1394">
        <v>2012</v>
      </c>
      <c r="D1394" t="s">
        <v>35</v>
      </c>
      <c r="E1394" t="s">
        <v>46</v>
      </c>
      <c r="F1394" t="s">
        <v>35</v>
      </c>
      <c r="G1394">
        <v>49000</v>
      </c>
      <c r="H1394">
        <v>39200</v>
      </c>
      <c r="I1394" s="13">
        <v>0.16666666666666666</v>
      </c>
      <c r="J1394" t="s">
        <v>6207</v>
      </c>
      <c r="K1394">
        <v>0</v>
      </c>
      <c r="L1394">
        <v>1</v>
      </c>
      <c r="M1394" t="s">
        <v>1</v>
      </c>
      <c r="V1394">
        <v>3</v>
      </c>
      <c r="W1394">
        <v>2</v>
      </c>
      <c r="X1394">
        <v>0</v>
      </c>
      <c r="Y1394">
        <v>1</v>
      </c>
      <c r="Z1394">
        <v>0</v>
      </c>
    </row>
    <row r="1395" spans="1:26" x14ac:dyDescent="0.2">
      <c r="A1395" t="s">
        <v>1513</v>
      </c>
      <c r="B1395" t="s">
        <v>66</v>
      </c>
      <c r="C1395">
        <v>2012</v>
      </c>
      <c r="D1395" t="s">
        <v>27</v>
      </c>
      <c r="E1395" t="s">
        <v>72</v>
      </c>
      <c r="F1395" t="s">
        <v>27</v>
      </c>
      <c r="G1395">
        <v>30089</v>
      </c>
      <c r="H1395">
        <v>24071.200000000001</v>
      </c>
      <c r="I1395" s="13">
        <v>1</v>
      </c>
      <c r="J1395" t="s">
        <v>6207</v>
      </c>
      <c r="K1395">
        <v>2</v>
      </c>
      <c r="L1395">
        <v>1</v>
      </c>
      <c r="M1395" t="s">
        <v>0</v>
      </c>
      <c r="V1395">
        <v>2</v>
      </c>
      <c r="W1395">
        <v>0</v>
      </c>
      <c r="X1395">
        <v>0</v>
      </c>
      <c r="Y1395">
        <v>0</v>
      </c>
      <c r="Z1395">
        <v>0</v>
      </c>
    </row>
    <row r="1396" spans="1:26" x14ac:dyDescent="0.2">
      <c r="A1396" t="s">
        <v>1514</v>
      </c>
      <c r="B1396" t="s">
        <v>56</v>
      </c>
      <c r="C1396">
        <v>2012</v>
      </c>
      <c r="D1396" t="s">
        <v>69</v>
      </c>
      <c r="E1396" t="s">
        <v>31</v>
      </c>
      <c r="F1396" t="s">
        <v>69</v>
      </c>
      <c r="G1396">
        <v>27359</v>
      </c>
      <c r="H1396">
        <v>21887.200000000001</v>
      </c>
      <c r="I1396" s="13">
        <v>0.75</v>
      </c>
      <c r="J1396" t="s">
        <v>6207</v>
      </c>
      <c r="K1396">
        <v>0</v>
      </c>
      <c r="L1396">
        <v>0</v>
      </c>
      <c r="M1396" t="s">
        <v>58</v>
      </c>
      <c r="V1396">
        <v>2</v>
      </c>
      <c r="W1396">
        <v>2</v>
      </c>
      <c r="X1396">
        <v>0</v>
      </c>
      <c r="Y1396">
        <v>0</v>
      </c>
      <c r="Z1396">
        <v>0</v>
      </c>
    </row>
    <row r="1397" spans="1:26" x14ac:dyDescent="0.2">
      <c r="A1397" t="s">
        <v>1515</v>
      </c>
      <c r="B1397" t="s">
        <v>41</v>
      </c>
      <c r="C1397">
        <v>2012</v>
      </c>
      <c r="D1397" t="s">
        <v>18</v>
      </c>
      <c r="E1397" t="s">
        <v>43</v>
      </c>
      <c r="F1397" t="s">
        <v>20</v>
      </c>
      <c r="G1397">
        <v>40341</v>
      </c>
      <c r="H1397">
        <v>32272.800000000003</v>
      </c>
      <c r="I1397" s="13">
        <v>1</v>
      </c>
      <c r="J1397" t="s">
        <v>6207</v>
      </c>
      <c r="K1397">
        <v>4</v>
      </c>
      <c r="L1397">
        <v>1</v>
      </c>
      <c r="M1397" t="s">
        <v>0</v>
      </c>
      <c r="V1397">
        <v>1</v>
      </c>
      <c r="W1397">
        <v>2</v>
      </c>
      <c r="X1397">
        <v>0</v>
      </c>
      <c r="Y1397">
        <v>0</v>
      </c>
      <c r="Z1397">
        <v>0</v>
      </c>
    </row>
    <row r="1398" spans="1:26" x14ac:dyDescent="0.2">
      <c r="A1398" t="s">
        <v>1516</v>
      </c>
      <c r="B1398" t="s">
        <v>32</v>
      </c>
      <c r="C1398">
        <v>2012</v>
      </c>
      <c r="D1398" t="s">
        <v>73</v>
      </c>
      <c r="E1398" t="s">
        <v>40</v>
      </c>
      <c r="F1398" t="s">
        <v>73</v>
      </c>
      <c r="G1398">
        <v>32384</v>
      </c>
      <c r="H1398">
        <v>25907.200000000001</v>
      </c>
      <c r="I1398" s="13">
        <v>0.66666666666666663</v>
      </c>
      <c r="J1398" t="s">
        <v>6207</v>
      </c>
      <c r="K1398">
        <v>3</v>
      </c>
      <c r="L1398">
        <v>1</v>
      </c>
      <c r="M1398" t="s">
        <v>0</v>
      </c>
      <c r="V1398">
        <v>1</v>
      </c>
      <c r="W1398">
        <v>2</v>
      </c>
      <c r="X1398">
        <v>0</v>
      </c>
      <c r="Y1398">
        <v>0</v>
      </c>
      <c r="Z1398">
        <v>0</v>
      </c>
    </row>
    <row r="1399" spans="1:26" x14ac:dyDescent="0.2">
      <c r="A1399" t="s">
        <v>1517</v>
      </c>
      <c r="B1399" t="s">
        <v>44</v>
      </c>
      <c r="C1399">
        <v>2012</v>
      </c>
      <c r="D1399" t="s">
        <v>42</v>
      </c>
      <c r="E1399" t="s">
        <v>23</v>
      </c>
      <c r="F1399" t="s">
        <v>38</v>
      </c>
      <c r="G1399">
        <v>42918</v>
      </c>
      <c r="H1399">
        <v>34334.400000000001</v>
      </c>
      <c r="I1399" s="13">
        <v>0.6</v>
      </c>
      <c r="J1399" t="s">
        <v>6207</v>
      </c>
      <c r="K1399">
        <v>2</v>
      </c>
      <c r="L1399">
        <v>1</v>
      </c>
      <c r="M1399" t="s">
        <v>0</v>
      </c>
      <c r="V1399">
        <v>3</v>
      </c>
      <c r="W1399">
        <v>2</v>
      </c>
      <c r="X1399">
        <v>0</v>
      </c>
      <c r="Y1399">
        <v>0</v>
      </c>
      <c r="Z1399">
        <v>1</v>
      </c>
    </row>
    <row r="1400" spans="1:26" x14ac:dyDescent="0.2">
      <c r="A1400" t="s">
        <v>1518</v>
      </c>
      <c r="B1400" t="s">
        <v>47</v>
      </c>
      <c r="C1400">
        <v>2012</v>
      </c>
      <c r="D1400" t="s">
        <v>48</v>
      </c>
      <c r="E1400" t="s">
        <v>45</v>
      </c>
      <c r="F1400" t="s">
        <v>49</v>
      </c>
      <c r="G1400">
        <v>74197</v>
      </c>
      <c r="H1400">
        <v>59357.600000000006</v>
      </c>
      <c r="I1400" s="13">
        <v>1</v>
      </c>
      <c r="J1400" t="s">
        <v>6208</v>
      </c>
      <c r="K1400">
        <v>2</v>
      </c>
      <c r="L1400">
        <v>0</v>
      </c>
      <c r="M1400" t="s">
        <v>0</v>
      </c>
      <c r="V1400">
        <v>0</v>
      </c>
      <c r="W1400">
        <v>2</v>
      </c>
      <c r="X1400">
        <v>0</v>
      </c>
      <c r="Y1400">
        <v>0</v>
      </c>
      <c r="Z1400">
        <v>0</v>
      </c>
    </row>
    <row r="1401" spans="1:26" x14ac:dyDescent="0.2">
      <c r="A1401" t="s">
        <v>1519</v>
      </c>
      <c r="B1401" t="s">
        <v>68</v>
      </c>
      <c r="C1401">
        <v>2012</v>
      </c>
      <c r="D1401" t="s">
        <v>26</v>
      </c>
      <c r="E1401" t="s">
        <v>63</v>
      </c>
      <c r="F1401" t="s">
        <v>26</v>
      </c>
      <c r="G1401">
        <v>61276</v>
      </c>
      <c r="H1401">
        <v>49020.800000000003</v>
      </c>
      <c r="I1401" s="13">
        <v>0.4</v>
      </c>
      <c r="J1401" t="s">
        <v>6207</v>
      </c>
      <c r="K1401">
        <v>0</v>
      </c>
      <c r="L1401">
        <v>2</v>
      </c>
      <c r="M1401" t="s">
        <v>1</v>
      </c>
      <c r="V1401">
        <v>1</v>
      </c>
      <c r="W1401">
        <v>4</v>
      </c>
      <c r="X1401">
        <v>0</v>
      </c>
      <c r="Y1401">
        <v>0</v>
      </c>
      <c r="Z1401">
        <v>1</v>
      </c>
    </row>
    <row r="1402" spans="1:26" x14ac:dyDescent="0.2">
      <c r="A1402" t="s">
        <v>1520</v>
      </c>
      <c r="B1402" t="s">
        <v>56</v>
      </c>
      <c r="C1402">
        <v>2012</v>
      </c>
      <c r="D1402" t="s">
        <v>26</v>
      </c>
      <c r="E1402" t="s">
        <v>71</v>
      </c>
      <c r="F1402" t="s">
        <v>26</v>
      </c>
      <c r="G1402">
        <v>61276</v>
      </c>
      <c r="H1402">
        <v>49020.800000000003</v>
      </c>
      <c r="I1402" s="13">
        <v>1</v>
      </c>
      <c r="J1402" t="s">
        <v>6207</v>
      </c>
      <c r="K1402">
        <v>5</v>
      </c>
      <c r="L1402">
        <v>0</v>
      </c>
      <c r="M1402" t="s">
        <v>0</v>
      </c>
      <c r="V1402">
        <v>0</v>
      </c>
      <c r="W1402">
        <v>1</v>
      </c>
      <c r="X1402">
        <v>0</v>
      </c>
      <c r="Y1402">
        <v>0</v>
      </c>
      <c r="Z1402">
        <v>2</v>
      </c>
    </row>
    <row r="1403" spans="1:26" x14ac:dyDescent="0.2">
      <c r="A1403" t="s">
        <v>1521</v>
      </c>
      <c r="B1403" t="s">
        <v>54</v>
      </c>
      <c r="C1403">
        <v>2012</v>
      </c>
      <c r="D1403" t="s">
        <v>31</v>
      </c>
      <c r="E1403" t="s">
        <v>27</v>
      </c>
      <c r="F1403" t="s">
        <v>20</v>
      </c>
      <c r="G1403">
        <v>28500</v>
      </c>
      <c r="H1403">
        <v>22800</v>
      </c>
      <c r="I1403" s="13">
        <v>0.75</v>
      </c>
      <c r="J1403" t="s">
        <v>6206</v>
      </c>
      <c r="K1403">
        <v>1</v>
      </c>
      <c r="L1403">
        <v>0</v>
      </c>
      <c r="M1403" t="s">
        <v>0</v>
      </c>
      <c r="V1403">
        <v>1</v>
      </c>
      <c r="W1403">
        <v>3</v>
      </c>
      <c r="X1403">
        <v>0</v>
      </c>
      <c r="Y1403">
        <v>0</v>
      </c>
      <c r="Z1403">
        <v>1</v>
      </c>
    </row>
    <row r="1404" spans="1:26" x14ac:dyDescent="0.2">
      <c r="A1404" t="s">
        <v>1522</v>
      </c>
      <c r="B1404" t="s">
        <v>74</v>
      </c>
      <c r="C1404">
        <v>2012</v>
      </c>
      <c r="D1404" t="s">
        <v>63</v>
      </c>
      <c r="E1404" t="s">
        <v>35</v>
      </c>
      <c r="F1404" t="s">
        <v>65</v>
      </c>
      <c r="G1404">
        <v>26804</v>
      </c>
      <c r="H1404">
        <v>21443.200000000001</v>
      </c>
      <c r="I1404" s="13">
        <v>0.33333333333333331</v>
      </c>
      <c r="J1404" t="s">
        <v>6208</v>
      </c>
      <c r="K1404">
        <v>2</v>
      </c>
      <c r="L1404">
        <v>1</v>
      </c>
      <c r="M1404" t="s">
        <v>0</v>
      </c>
      <c r="V1404">
        <v>2</v>
      </c>
      <c r="W1404">
        <v>1</v>
      </c>
      <c r="X1404">
        <v>0</v>
      </c>
      <c r="Y1404">
        <v>0</v>
      </c>
      <c r="Z1404">
        <v>1</v>
      </c>
    </row>
    <row r="1405" spans="1:26" x14ac:dyDescent="0.2">
      <c r="A1405" t="s">
        <v>1523</v>
      </c>
      <c r="B1405" t="s">
        <v>52</v>
      </c>
      <c r="C1405">
        <v>2012</v>
      </c>
      <c r="D1405" t="s">
        <v>72</v>
      </c>
      <c r="E1405" t="s">
        <v>43</v>
      </c>
      <c r="F1405" t="s">
        <v>72</v>
      </c>
      <c r="G1405">
        <v>24161</v>
      </c>
      <c r="H1405">
        <v>19328.8</v>
      </c>
      <c r="I1405" s="13">
        <v>1</v>
      </c>
      <c r="J1405" t="s">
        <v>6207</v>
      </c>
      <c r="K1405">
        <v>0</v>
      </c>
      <c r="L1405">
        <v>3</v>
      </c>
      <c r="M1405" t="s">
        <v>1</v>
      </c>
      <c r="V1405">
        <v>1</v>
      </c>
      <c r="W1405">
        <v>1</v>
      </c>
      <c r="X1405">
        <v>1</v>
      </c>
      <c r="Y1405">
        <v>0</v>
      </c>
      <c r="Z1405">
        <v>0</v>
      </c>
    </row>
    <row r="1406" spans="1:26" x14ac:dyDescent="0.2">
      <c r="A1406" t="s">
        <v>1524</v>
      </c>
      <c r="B1406" t="s">
        <v>61</v>
      </c>
      <c r="C1406">
        <v>2012</v>
      </c>
      <c r="D1406" t="s">
        <v>70</v>
      </c>
      <c r="E1406" t="s">
        <v>48</v>
      </c>
      <c r="F1406" t="s">
        <v>20</v>
      </c>
      <c r="G1406">
        <v>18439</v>
      </c>
      <c r="H1406">
        <v>14751.2</v>
      </c>
      <c r="I1406" s="13">
        <v>0</v>
      </c>
      <c r="J1406" t="s">
        <v>6207</v>
      </c>
      <c r="K1406">
        <v>0</v>
      </c>
      <c r="L1406">
        <v>2</v>
      </c>
      <c r="M1406" t="s">
        <v>1</v>
      </c>
      <c r="V1406">
        <v>0</v>
      </c>
      <c r="W1406">
        <v>0</v>
      </c>
      <c r="X1406">
        <v>0</v>
      </c>
      <c r="Y1406">
        <v>0</v>
      </c>
      <c r="Z1406">
        <v>0</v>
      </c>
    </row>
    <row r="1407" spans="1:26" x14ac:dyDescent="0.2">
      <c r="A1407" t="s">
        <v>1525</v>
      </c>
      <c r="B1407" t="s">
        <v>50</v>
      </c>
      <c r="C1407">
        <v>2012</v>
      </c>
      <c r="D1407" t="s">
        <v>69</v>
      </c>
      <c r="E1407" t="s">
        <v>45</v>
      </c>
      <c r="F1407" t="s">
        <v>69</v>
      </c>
      <c r="G1407">
        <v>27359</v>
      </c>
      <c r="H1407">
        <v>21887.200000000001</v>
      </c>
      <c r="I1407" s="13">
        <v>0</v>
      </c>
      <c r="J1407" t="s">
        <v>6207</v>
      </c>
      <c r="K1407">
        <v>2</v>
      </c>
      <c r="L1407">
        <v>1</v>
      </c>
      <c r="M1407" t="s">
        <v>0</v>
      </c>
      <c r="V1407">
        <v>1</v>
      </c>
      <c r="W1407">
        <v>1</v>
      </c>
      <c r="X1407">
        <v>0</v>
      </c>
      <c r="Y1407">
        <v>0</v>
      </c>
      <c r="Z1407">
        <v>0</v>
      </c>
    </row>
    <row r="1408" spans="1:26" x14ac:dyDescent="0.2">
      <c r="A1408" t="s">
        <v>1526</v>
      </c>
      <c r="B1408" t="s">
        <v>32</v>
      </c>
      <c r="C1408">
        <v>2012</v>
      </c>
      <c r="D1408" t="s">
        <v>46</v>
      </c>
      <c r="E1408" t="s">
        <v>42</v>
      </c>
      <c r="F1408" t="s">
        <v>20</v>
      </c>
      <c r="G1408">
        <v>60704</v>
      </c>
      <c r="H1408">
        <v>48563.200000000004</v>
      </c>
      <c r="I1408" s="13">
        <v>0.33333333333333331</v>
      </c>
      <c r="J1408" t="s">
        <v>6207</v>
      </c>
      <c r="K1408">
        <v>2</v>
      </c>
      <c r="L1408">
        <v>1</v>
      </c>
      <c r="M1408" t="s">
        <v>0</v>
      </c>
      <c r="V1408">
        <v>1</v>
      </c>
      <c r="W1408">
        <v>2</v>
      </c>
      <c r="X1408">
        <v>0</v>
      </c>
      <c r="Y1408">
        <v>0</v>
      </c>
      <c r="Z1408">
        <v>0</v>
      </c>
    </row>
    <row r="1409" spans="1:26" x14ac:dyDescent="0.2">
      <c r="A1409" t="s">
        <v>1527</v>
      </c>
      <c r="B1409" t="s">
        <v>25</v>
      </c>
      <c r="C1409">
        <v>2012</v>
      </c>
      <c r="D1409" t="s">
        <v>64</v>
      </c>
      <c r="E1409" t="s">
        <v>73</v>
      </c>
      <c r="F1409" t="s">
        <v>64</v>
      </c>
      <c r="G1409">
        <v>52264</v>
      </c>
      <c r="H1409">
        <v>41811.200000000004</v>
      </c>
      <c r="I1409" s="13">
        <v>0.75</v>
      </c>
      <c r="J1409" t="s">
        <v>6207</v>
      </c>
      <c r="K1409">
        <v>4</v>
      </c>
      <c r="L1409">
        <v>2</v>
      </c>
      <c r="M1409" t="s">
        <v>0</v>
      </c>
      <c r="V1409">
        <v>0</v>
      </c>
      <c r="W1409">
        <v>4</v>
      </c>
      <c r="X1409">
        <v>0</v>
      </c>
      <c r="Y1409">
        <v>0</v>
      </c>
      <c r="Z1409">
        <v>1</v>
      </c>
    </row>
    <row r="1410" spans="1:26" x14ac:dyDescent="0.2">
      <c r="A1410" t="s">
        <v>1528</v>
      </c>
      <c r="B1410" t="s">
        <v>37</v>
      </c>
      <c r="C1410">
        <v>2012</v>
      </c>
      <c r="D1410" t="s">
        <v>40</v>
      </c>
      <c r="E1410" t="s">
        <v>18</v>
      </c>
      <c r="F1410" t="s">
        <v>49</v>
      </c>
      <c r="G1410">
        <v>53400</v>
      </c>
      <c r="H1410">
        <v>42720</v>
      </c>
      <c r="I1410" s="13">
        <v>0.75</v>
      </c>
      <c r="J1410" t="s">
        <v>6206</v>
      </c>
      <c r="K1410">
        <v>2</v>
      </c>
      <c r="L1410">
        <v>0</v>
      </c>
      <c r="M1410" t="s">
        <v>0</v>
      </c>
      <c r="V1410">
        <v>3</v>
      </c>
      <c r="W1410">
        <v>1</v>
      </c>
      <c r="X1410">
        <v>0</v>
      </c>
      <c r="Y1410">
        <v>0</v>
      </c>
      <c r="Z1410">
        <v>1</v>
      </c>
    </row>
    <row r="1411" spans="1:26" x14ac:dyDescent="0.2">
      <c r="A1411" t="s">
        <v>1529</v>
      </c>
      <c r="B1411" t="s">
        <v>56</v>
      </c>
      <c r="C1411">
        <v>2012</v>
      </c>
      <c r="D1411" t="s">
        <v>23</v>
      </c>
      <c r="E1411" t="s">
        <v>51</v>
      </c>
      <c r="F1411" t="s">
        <v>20</v>
      </c>
      <c r="G1411">
        <v>62500</v>
      </c>
      <c r="H1411">
        <v>50000</v>
      </c>
      <c r="I1411" s="13">
        <v>0.4</v>
      </c>
      <c r="J1411" t="s">
        <v>6207</v>
      </c>
      <c r="K1411">
        <v>2</v>
      </c>
      <c r="L1411">
        <v>3</v>
      </c>
      <c r="M1411" t="s">
        <v>1</v>
      </c>
      <c r="V1411">
        <v>4</v>
      </c>
      <c r="W1411">
        <v>1</v>
      </c>
      <c r="X1411">
        <v>0</v>
      </c>
      <c r="Y1411">
        <v>0</v>
      </c>
      <c r="Z1411">
        <v>1</v>
      </c>
    </row>
    <row r="1412" spans="1:26" x14ac:dyDescent="0.2">
      <c r="A1412" t="s">
        <v>1530</v>
      </c>
      <c r="B1412" t="s">
        <v>76</v>
      </c>
      <c r="C1412">
        <v>2012</v>
      </c>
      <c r="D1412" t="s">
        <v>71</v>
      </c>
      <c r="E1412" t="s">
        <v>64</v>
      </c>
      <c r="F1412" t="s">
        <v>71</v>
      </c>
      <c r="G1412">
        <v>21088</v>
      </c>
      <c r="H1412">
        <v>16870.400000000001</v>
      </c>
      <c r="I1412" s="13">
        <v>1</v>
      </c>
      <c r="J1412" t="s">
        <v>6207</v>
      </c>
      <c r="K1412">
        <v>1</v>
      </c>
      <c r="L1412">
        <v>0</v>
      </c>
      <c r="M1412" t="s">
        <v>0</v>
      </c>
      <c r="V1412">
        <v>0</v>
      </c>
      <c r="W1412">
        <v>2</v>
      </c>
      <c r="X1412">
        <v>0</v>
      </c>
      <c r="Y1412">
        <v>0</v>
      </c>
      <c r="Z1412">
        <v>0</v>
      </c>
    </row>
    <row r="1413" spans="1:26" x14ac:dyDescent="0.2">
      <c r="A1413" t="s">
        <v>1531</v>
      </c>
      <c r="B1413" t="s">
        <v>47</v>
      </c>
      <c r="C1413">
        <v>2012</v>
      </c>
      <c r="D1413" t="s">
        <v>35</v>
      </c>
      <c r="E1413" t="s">
        <v>31</v>
      </c>
      <c r="F1413" t="s">
        <v>35</v>
      </c>
      <c r="G1413">
        <v>49000</v>
      </c>
      <c r="H1413">
        <v>39200</v>
      </c>
      <c r="I1413" s="13">
        <v>0.75</v>
      </c>
      <c r="J1413" t="s">
        <v>6208</v>
      </c>
      <c r="K1413">
        <v>2</v>
      </c>
      <c r="L1413">
        <v>2</v>
      </c>
      <c r="M1413" t="s">
        <v>58</v>
      </c>
      <c r="V1413">
        <v>1</v>
      </c>
      <c r="W1413">
        <v>3</v>
      </c>
      <c r="X1413">
        <v>0</v>
      </c>
      <c r="Y1413">
        <v>0</v>
      </c>
      <c r="Z1413">
        <v>2</v>
      </c>
    </row>
    <row r="1414" spans="1:26" x14ac:dyDescent="0.2">
      <c r="A1414" t="s">
        <v>1532</v>
      </c>
      <c r="B1414" t="s">
        <v>68</v>
      </c>
      <c r="C1414">
        <v>2012</v>
      </c>
      <c r="D1414" t="s">
        <v>27</v>
      </c>
      <c r="E1414" t="s">
        <v>23</v>
      </c>
      <c r="F1414" t="s">
        <v>27</v>
      </c>
      <c r="G1414">
        <v>30089</v>
      </c>
      <c r="H1414">
        <v>24071.200000000001</v>
      </c>
      <c r="I1414" s="13">
        <v>0.33333333333333331</v>
      </c>
      <c r="J1414" t="s">
        <v>6207</v>
      </c>
      <c r="K1414">
        <v>0</v>
      </c>
      <c r="L1414">
        <v>1</v>
      </c>
      <c r="M1414" t="s">
        <v>1</v>
      </c>
      <c r="V1414">
        <v>1</v>
      </c>
      <c r="W1414">
        <v>2</v>
      </c>
      <c r="X1414">
        <v>0</v>
      </c>
      <c r="Y1414">
        <v>0</v>
      </c>
      <c r="Z1414">
        <v>0</v>
      </c>
    </row>
    <row r="1415" spans="1:26" x14ac:dyDescent="0.2">
      <c r="A1415" t="s">
        <v>1533</v>
      </c>
      <c r="B1415" t="s">
        <v>56</v>
      </c>
      <c r="C1415">
        <v>2012</v>
      </c>
      <c r="D1415" t="s">
        <v>73</v>
      </c>
      <c r="E1415" t="s">
        <v>70</v>
      </c>
      <c r="F1415" t="s">
        <v>73</v>
      </c>
      <c r="G1415">
        <v>32384</v>
      </c>
      <c r="H1415">
        <v>25907.200000000001</v>
      </c>
      <c r="I1415" s="13">
        <v>0</v>
      </c>
      <c r="J1415" t="s">
        <v>6207</v>
      </c>
      <c r="K1415">
        <v>1</v>
      </c>
      <c r="L1415">
        <v>2</v>
      </c>
      <c r="M1415" t="s">
        <v>1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x14ac:dyDescent="0.2">
      <c r="A1416" t="s">
        <v>1534</v>
      </c>
      <c r="B1416" t="s">
        <v>67</v>
      </c>
      <c r="C1416">
        <v>2012</v>
      </c>
      <c r="D1416" t="s">
        <v>48</v>
      </c>
      <c r="E1416" t="s">
        <v>69</v>
      </c>
      <c r="F1416" t="s">
        <v>49</v>
      </c>
      <c r="G1416">
        <v>74197</v>
      </c>
      <c r="H1416">
        <v>59357.600000000006</v>
      </c>
      <c r="I1416" s="13">
        <v>0.5</v>
      </c>
      <c r="J1416" t="s">
        <v>6207</v>
      </c>
      <c r="K1416">
        <v>4</v>
      </c>
      <c r="L1416">
        <v>0</v>
      </c>
      <c r="M1416" t="s">
        <v>0</v>
      </c>
      <c r="V1416">
        <v>0</v>
      </c>
      <c r="W1416">
        <v>4</v>
      </c>
      <c r="X1416">
        <v>0</v>
      </c>
      <c r="Y1416">
        <v>0</v>
      </c>
      <c r="Z1416">
        <v>0</v>
      </c>
    </row>
    <row r="1417" spans="1:26" x14ac:dyDescent="0.2">
      <c r="A1417" t="s">
        <v>1535</v>
      </c>
      <c r="B1417" t="s">
        <v>61</v>
      </c>
      <c r="C1417">
        <v>2012</v>
      </c>
      <c r="D1417" t="s">
        <v>45</v>
      </c>
      <c r="E1417" t="s">
        <v>72</v>
      </c>
      <c r="F1417" t="s">
        <v>26</v>
      </c>
      <c r="G1417">
        <v>39572</v>
      </c>
      <c r="H1417">
        <v>31657.600000000002</v>
      </c>
      <c r="I1417" s="13">
        <v>0.5</v>
      </c>
      <c r="J1417" t="s">
        <v>6207</v>
      </c>
      <c r="K1417">
        <v>3</v>
      </c>
      <c r="L1417">
        <v>1</v>
      </c>
      <c r="M1417" t="s">
        <v>0</v>
      </c>
      <c r="V1417">
        <v>1</v>
      </c>
      <c r="W1417">
        <v>1</v>
      </c>
      <c r="X1417">
        <v>0</v>
      </c>
      <c r="Y1417">
        <v>0</v>
      </c>
      <c r="Z1417">
        <v>0</v>
      </c>
    </row>
    <row r="1418" spans="1:26" x14ac:dyDescent="0.2">
      <c r="A1418" t="s">
        <v>1536</v>
      </c>
      <c r="B1418" t="s">
        <v>60</v>
      </c>
      <c r="C1418">
        <v>2012</v>
      </c>
      <c r="D1418" t="s">
        <v>18</v>
      </c>
      <c r="E1418" t="s">
        <v>63</v>
      </c>
      <c r="F1418" t="s">
        <v>20</v>
      </c>
      <c r="G1418">
        <v>40341</v>
      </c>
      <c r="H1418">
        <v>32272.800000000003</v>
      </c>
      <c r="I1418" s="13">
        <v>0.66666666666666663</v>
      </c>
      <c r="J1418" t="s">
        <v>6208</v>
      </c>
      <c r="K1418">
        <v>1</v>
      </c>
      <c r="L1418">
        <v>0</v>
      </c>
      <c r="M1418" t="s">
        <v>0</v>
      </c>
      <c r="V1418">
        <v>1</v>
      </c>
      <c r="W1418">
        <v>2</v>
      </c>
      <c r="X1418">
        <v>0</v>
      </c>
      <c r="Y1418">
        <v>0</v>
      </c>
      <c r="Z1418">
        <v>0</v>
      </c>
    </row>
    <row r="1419" spans="1:26" x14ac:dyDescent="0.2">
      <c r="A1419" t="s">
        <v>1537</v>
      </c>
      <c r="B1419" t="s">
        <v>32</v>
      </c>
      <c r="C1419">
        <v>2012</v>
      </c>
      <c r="D1419" t="s">
        <v>43</v>
      </c>
      <c r="E1419" t="s">
        <v>26</v>
      </c>
      <c r="F1419" t="s">
        <v>43</v>
      </c>
      <c r="G1419">
        <v>25138</v>
      </c>
      <c r="H1419">
        <v>20110.400000000001</v>
      </c>
      <c r="I1419" s="13">
        <v>0.25</v>
      </c>
      <c r="J1419" t="s">
        <v>6207</v>
      </c>
      <c r="K1419">
        <v>0</v>
      </c>
      <c r="L1419">
        <v>4</v>
      </c>
      <c r="M1419" t="s">
        <v>1</v>
      </c>
      <c r="V1419">
        <v>2</v>
      </c>
      <c r="W1419">
        <v>2</v>
      </c>
      <c r="X1419">
        <v>0</v>
      </c>
      <c r="Y1419">
        <v>0</v>
      </c>
      <c r="Z1419">
        <v>0</v>
      </c>
    </row>
    <row r="1420" spans="1:26" x14ac:dyDescent="0.2">
      <c r="A1420" t="s">
        <v>1538</v>
      </c>
      <c r="B1420" t="s">
        <v>44</v>
      </c>
      <c r="C1420">
        <v>2012</v>
      </c>
      <c r="D1420" t="s">
        <v>51</v>
      </c>
      <c r="E1420" t="s">
        <v>46</v>
      </c>
      <c r="F1420" t="s">
        <v>20</v>
      </c>
      <c r="G1420">
        <v>36284</v>
      </c>
      <c r="H1420">
        <v>29027.200000000001</v>
      </c>
      <c r="I1420" s="13">
        <v>0.5</v>
      </c>
      <c r="J1420" t="s">
        <v>6207</v>
      </c>
      <c r="K1420">
        <v>2</v>
      </c>
      <c r="L1420">
        <v>1</v>
      </c>
      <c r="M1420" t="s">
        <v>0</v>
      </c>
      <c r="V1420">
        <v>3</v>
      </c>
      <c r="W1420">
        <v>1</v>
      </c>
      <c r="X1420">
        <v>0</v>
      </c>
      <c r="Y1420">
        <v>0</v>
      </c>
      <c r="Z1420">
        <v>0</v>
      </c>
    </row>
    <row r="1421" spans="1:26" x14ac:dyDescent="0.2">
      <c r="A1421" t="s">
        <v>1539</v>
      </c>
      <c r="B1421" t="s">
        <v>41</v>
      </c>
      <c r="C1421">
        <v>2012</v>
      </c>
      <c r="D1421" t="s">
        <v>42</v>
      </c>
      <c r="E1421" t="s">
        <v>40</v>
      </c>
      <c r="F1421" t="s">
        <v>38</v>
      </c>
      <c r="G1421">
        <v>42918</v>
      </c>
      <c r="H1421">
        <v>34334.400000000001</v>
      </c>
      <c r="I1421" s="13">
        <v>0.5</v>
      </c>
      <c r="J1421" t="s">
        <v>6207</v>
      </c>
      <c r="K1421">
        <v>0</v>
      </c>
      <c r="L1421">
        <v>1</v>
      </c>
      <c r="M1421" t="s">
        <v>1</v>
      </c>
      <c r="V1421">
        <v>2</v>
      </c>
      <c r="W1421">
        <v>0</v>
      </c>
      <c r="X1421">
        <v>0</v>
      </c>
      <c r="Y1421">
        <v>0</v>
      </c>
      <c r="Z1421">
        <v>0</v>
      </c>
    </row>
    <row r="1422" spans="1:26" x14ac:dyDescent="0.2">
      <c r="A1422" t="s">
        <v>1540</v>
      </c>
      <c r="B1422" t="s">
        <v>50</v>
      </c>
      <c r="C1422">
        <v>2012</v>
      </c>
      <c r="D1422" t="s">
        <v>63</v>
      </c>
      <c r="E1422" t="s">
        <v>71</v>
      </c>
      <c r="F1422" t="s">
        <v>65</v>
      </c>
      <c r="G1422">
        <v>26804</v>
      </c>
      <c r="H1422">
        <v>21443.200000000001</v>
      </c>
      <c r="I1422" s="13">
        <v>0.5</v>
      </c>
      <c r="J1422" t="s">
        <v>6207</v>
      </c>
      <c r="K1422">
        <v>2</v>
      </c>
      <c r="L1422">
        <v>1</v>
      </c>
      <c r="M1422" t="s">
        <v>0</v>
      </c>
      <c r="V1422">
        <v>1</v>
      </c>
      <c r="W1422">
        <v>1</v>
      </c>
      <c r="X1422">
        <v>0</v>
      </c>
      <c r="Y1422">
        <v>0</v>
      </c>
      <c r="Z1422">
        <v>1</v>
      </c>
    </row>
    <row r="1423" spans="1:26" x14ac:dyDescent="0.2">
      <c r="A1423" t="s">
        <v>1541</v>
      </c>
      <c r="B1423" t="s">
        <v>68</v>
      </c>
      <c r="C1423">
        <v>2012</v>
      </c>
      <c r="D1423" t="s">
        <v>72</v>
      </c>
      <c r="E1423" t="s">
        <v>42</v>
      </c>
      <c r="F1423" t="s">
        <v>72</v>
      </c>
      <c r="G1423">
        <v>24161</v>
      </c>
      <c r="H1423">
        <v>19328.8</v>
      </c>
      <c r="I1423" s="13">
        <v>0.6</v>
      </c>
      <c r="J1423" t="s">
        <v>6207</v>
      </c>
      <c r="K1423">
        <v>1</v>
      </c>
      <c r="L1423">
        <v>2</v>
      </c>
      <c r="M1423" t="s">
        <v>1</v>
      </c>
      <c r="V1423">
        <v>2</v>
      </c>
      <c r="W1423">
        <v>3</v>
      </c>
      <c r="X1423">
        <v>0</v>
      </c>
      <c r="Y1423">
        <v>0</v>
      </c>
      <c r="Z1423">
        <v>0</v>
      </c>
    </row>
    <row r="1424" spans="1:26" x14ac:dyDescent="0.2">
      <c r="A1424" t="s">
        <v>1542</v>
      </c>
      <c r="B1424" t="s">
        <v>53</v>
      </c>
      <c r="C1424">
        <v>2012</v>
      </c>
      <c r="D1424" t="s">
        <v>70</v>
      </c>
      <c r="E1424" t="s">
        <v>35</v>
      </c>
      <c r="F1424" t="s">
        <v>20</v>
      </c>
      <c r="G1424">
        <v>18439</v>
      </c>
      <c r="H1424">
        <v>14751.2</v>
      </c>
      <c r="I1424" s="13">
        <v>0.5</v>
      </c>
      <c r="J1424" t="s">
        <v>6207</v>
      </c>
      <c r="K1424">
        <v>3</v>
      </c>
      <c r="L1424">
        <v>1</v>
      </c>
      <c r="M1424" t="s">
        <v>0</v>
      </c>
      <c r="V1424">
        <v>0</v>
      </c>
      <c r="W1424">
        <v>2</v>
      </c>
      <c r="X1424">
        <v>0</v>
      </c>
      <c r="Y1424">
        <v>0</v>
      </c>
      <c r="Z1424">
        <v>0</v>
      </c>
    </row>
    <row r="1425" spans="1:26" x14ac:dyDescent="0.2">
      <c r="A1425" t="s">
        <v>1543</v>
      </c>
      <c r="B1425" t="s">
        <v>44</v>
      </c>
      <c r="C1425">
        <v>2012</v>
      </c>
      <c r="D1425" t="s">
        <v>69</v>
      </c>
      <c r="E1425" t="s">
        <v>73</v>
      </c>
      <c r="F1425" t="s">
        <v>69</v>
      </c>
      <c r="G1425">
        <v>27359</v>
      </c>
      <c r="H1425">
        <v>21887.200000000001</v>
      </c>
      <c r="I1425" s="13">
        <v>0.2</v>
      </c>
      <c r="J1425" t="s">
        <v>6207</v>
      </c>
      <c r="K1425">
        <v>0</v>
      </c>
      <c r="L1425">
        <v>0</v>
      </c>
      <c r="M1425" t="s">
        <v>58</v>
      </c>
      <c r="V1425">
        <v>2</v>
      </c>
      <c r="W1425">
        <v>3</v>
      </c>
      <c r="X1425">
        <v>0</v>
      </c>
      <c r="Y1425">
        <v>0</v>
      </c>
      <c r="Z1425">
        <v>1</v>
      </c>
    </row>
    <row r="1426" spans="1:26" x14ac:dyDescent="0.2">
      <c r="A1426" t="s">
        <v>1544</v>
      </c>
      <c r="B1426" t="s">
        <v>37</v>
      </c>
      <c r="C1426">
        <v>2012</v>
      </c>
      <c r="D1426" t="s">
        <v>64</v>
      </c>
      <c r="E1426" t="s">
        <v>27</v>
      </c>
      <c r="F1426" t="s">
        <v>64</v>
      </c>
      <c r="G1426">
        <v>52264</v>
      </c>
      <c r="H1426">
        <v>41811.200000000004</v>
      </c>
      <c r="I1426" s="13">
        <v>1</v>
      </c>
      <c r="J1426" t="s">
        <v>6206</v>
      </c>
      <c r="K1426">
        <v>2</v>
      </c>
      <c r="L1426">
        <v>1</v>
      </c>
      <c r="M1426" t="s">
        <v>0</v>
      </c>
      <c r="V1426">
        <v>1</v>
      </c>
      <c r="W1426">
        <v>1</v>
      </c>
      <c r="X1426">
        <v>0</v>
      </c>
      <c r="Y1426">
        <v>0</v>
      </c>
      <c r="Z1426">
        <v>1</v>
      </c>
    </row>
    <row r="1427" spans="1:26" x14ac:dyDescent="0.2">
      <c r="A1427" t="s">
        <v>1545</v>
      </c>
      <c r="B1427" t="s">
        <v>66</v>
      </c>
      <c r="C1427">
        <v>2012</v>
      </c>
      <c r="D1427" t="s">
        <v>26</v>
      </c>
      <c r="E1427" t="s">
        <v>51</v>
      </c>
      <c r="F1427" t="s">
        <v>26</v>
      </c>
      <c r="G1427">
        <v>61276</v>
      </c>
      <c r="H1427">
        <v>49020.800000000003</v>
      </c>
      <c r="I1427" s="13">
        <v>0.5</v>
      </c>
      <c r="J1427" t="s">
        <v>6207</v>
      </c>
      <c r="K1427">
        <v>3</v>
      </c>
      <c r="L1427">
        <v>2</v>
      </c>
      <c r="M1427" t="s">
        <v>0</v>
      </c>
      <c r="V1427">
        <v>1</v>
      </c>
      <c r="W1427">
        <v>1</v>
      </c>
      <c r="X1427">
        <v>0</v>
      </c>
      <c r="Y1427">
        <v>0</v>
      </c>
      <c r="Z1427">
        <v>1</v>
      </c>
    </row>
    <row r="1428" spans="1:26" x14ac:dyDescent="0.2">
      <c r="A1428" t="s">
        <v>1546</v>
      </c>
      <c r="B1428" t="s">
        <v>54</v>
      </c>
      <c r="C1428">
        <v>2012</v>
      </c>
      <c r="D1428" t="s">
        <v>45</v>
      </c>
      <c r="E1428" t="s">
        <v>40</v>
      </c>
      <c r="F1428" t="s">
        <v>26</v>
      </c>
      <c r="G1428">
        <v>39572</v>
      </c>
      <c r="H1428">
        <v>31657.600000000002</v>
      </c>
      <c r="I1428" s="13">
        <v>0.75</v>
      </c>
      <c r="J1428" t="s">
        <v>6206</v>
      </c>
      <c r="K1428">
        <v>2</v>
      </c>
      <c r="L1428">
        <v>0</v>
      </c>
      <c r="M1428" t="s">
        <v>0</v>
      </c>
      <c r="V1428">
        <v>4</v>
      </c>
      <c r="W1428">
        <v>3</v>
      </c>
      <c r="X1428">
        <v>1</v>
      </c>
      <c r="Y1428">
        <v>0</v>
      </c>
      <c r="Z1428">
        <v>0</v>
      </c>
    </row>
    <row r="1429" spans="1:26" x14ac:dyDescent="0.2">
      <c r="A1429" t="s">
        <v>1547</v>
      </c>
      <c r="B1429" t="s">
        <v>68</v>
      </c>
      <c r="C1429">
        <v>2012</v>
      </c>
      <c r="D1429" t="s">
        <v>71</v>
      </c>
      <c r="E1429" t="s">
        <v>46</v>
      </c>
      <c r="F1429" t="s">
        <v>71</v>
      </c>
      <c r="G1429">
        <v>21088</v>
      </c>
      <c r="H1429">
        <v>16870.400000000001</v>
      </c>
      <c r="I1429" s="13">
        <v>1</v>
      </c>
      <c r="J1429" t="s">
        <v>6207</v>
      </c>
      <c r="K1429">
        <v>0</v>
      </c>
      <c r="L1429">
        <v>2</v>
      </c>
      <c r="M1429" t="s">
        <v>1</v>
      </c>
      <c r="V1429">
        <v>1</v>
      </c>
      <c r="W1429">
        <v>1</v>
      </c>
      <c r="X1429">
        <v>0</v>
      </c>
      <c r="Y1429">
        <v>0</v>
      </c>
      <c r="Z1429">
        <v>0</v>
      </c>
    </row>
    <row r="1430" spans="1:26" x14ac:dyDescent="0.2">
      <c r="A1430" t="s">
        <v>1548</v>
      </c>
      <c r="B1430" t="s">
        <v>41</v>
      </c>
      <c r="C1430">
        <v>2012</v>
      </c>
      <c r="D1430" t="s">
        <v>27</v>
      </c>
      <c r="E1430" t="s">
        <v>63</v>
      </c>
      <c r="F1430" t="s">
        <v>27</v>
      </c>
      <c r="G1430">
        <v>30089</v>
      </c>
      <c r="H1430">
        <v>24071.200000000001</v>
      </c>
      <c r="I1430" s="13">
        <v>0</v>
      </c>
      <c r="J1430" t="s">
        <v>6207</v>
      </c>
      <c r="K1430">
        <v>0</v>
      </c>
      <c r="L1430">
        <v>0</v>
      </c>
      <c r="M1430" t="s">
        <v>58</v>
      </c>
      <c r="V1430">
        <v>2</v>
      </c>
      <c r="W1430">
        <v>2</v>
      </c>
      <c r="X1430">
        <v>0</v>
      </c>
      <c r="Y1430">
        <v>0</v>
      </c>
      <c r="Z1430">
        <v>0</v>
      </c>
    </row>
    <row r="1431" spans="1:26" x14ac:dyDescent="0.2">
      <c r="A1431" t="s">
        <v>1549</v>
      </c>
      <c r="B1431" t="s">
        <v>52</v>
      </c>
      <c r="C1431">
        <v>2012</v>
      </c>
      <c r="D1431" t="s">
        <v>73</v>
      </c>
      <c r="E1431" t="s">
        <v>26</v>
      </c>
      <c r="F1431" t="s">
        <v>73</v>
      </c>
      <c r="G1431">
        <v>32384</v>
      </c>
      <c r="H1431">
        <v>25907.200000000001</v>
      </c>
      <c r="I1431" s="13">
        <v>1</v>
      </c>
      <c r="J1431" t="s">
        <v>6207</v>
      </c>
      <c r="K1431">
        <v>3</v>
      </c>
      <c r="L1431">
        <v>1</v>
      </c>
      <c r="M1431" t="s">
        <v>0</v>
      </c>
      <c r="V1431">
        <v>0</v>
      </c>
      <c r="W1431">
        <v>1</v>
      </c>
      <c r="X1431">
        <v>0</v>
      </c>
      <c r="Y1431">
        <v>0</v>
      </c>
      <c r="Z1431">
        <v>0</v>
      </c>
    </row>
    <row r="1432" spans="1:26" x14ac:dyDescent="0.2">
      <c r="A1432" t="s">
        <v>1550</v>
      </c>
      <c r="B1432" t="s">
        <v>60</v>
      </c>
      <c r="C1432">
        <v>2012</v>
      </c>
      <c r="D1432" t="s">
        <v>42</v>
      </c>
      <c r="E1432" t="s">
        <v>70</v>
      </c>
      <c r="F1432" t="s">
        <v>38</v>
      </c>
      <c r="G1432">
        <v>42918</v>
      </c>
      <c r="H1432">
        <v>34334.400000000001</v>
      </c>
      <c r="I1432" s="13">
        <v>0.8</v>
      </c>
      <c r="J1432" t="s">
        <v>6208</v>
      </c>
      <c r="K1432">
        <v>3</v>
      </c>
      <c r="L1432">
        <v>2</v>
      </c>
      <c r="M1432" t="s">
        <v>0</v>
      </c>
      <c r="V1432">
        <v>3</v>
      </c>
      <c r="W1432">
        <v>2</v>
      </c>
      <c r="X1432">
        <v>0</v>
      </c>
      <c r="Y1432">
        <v>0</v>
      </c>
      <c r="Z1432">
        <v>0</v>
      </c>
    </row>
    <row r="1433" spans="1:26" x14ac:dyDescent="0.2">
      <c r="A1433" t="s">
        <v>1551</v>
      </c>
      <c r="B1433" t="s">
        <v>50</v>
      </c>
      <c r="C1433">
        <v>2012</v>
      </c>
      <c r="D1433" t="s">
        <v>48</v>
      </c>
      <c r="E1433" t="s">
        <v>72</v>
      </c>
      <c r="F1433" t="s">
        <v>49</v>
      </c>
      <c r="G1433">
        <v>74197</v>
      </c>
      <c r="H1433">
        <v>59357.600000000006</v>
      </c>
      <c r="I1433" s="13">
        <v>1</v>
      </c>
      <c r="J1433" t="s">
        <v>6207</v>
      </c>
      <c r="K1433">
        <v>1</v>
      </c>
      <c r="L1433">
        <v>0</v>
      </c>
      <c r="M1433" t="s">
        <v>0</v>
      </c>
      <c r="V1433">
        <v>0</v>
      </c>
      <c r="W1433">
        <v>2</v>
      </c>
      <c r="X1433">
        <v>0</v>
      </c>
      <c r="Y1433">
        <v>0</v>
      </c>
      <c r="Z1433">
        <v>0</v>
      </c>
    </row>
    <row r="1434" spans="1:26" x14ac:dyDescent="0.2">
      <c r="A1434" t="s">
        <v>1552</v>
      </c>
      <c r="B1434" t="s">
        <v>25</v>
      </c>
      <c r="C1434">
        <v>2012</v>
      </c>
      <c r="D1434" t="s">
        <v>35</v>
      </c>
      <c r="E1434" t="s">
        <v>69</v>
      </c>
      <c r="F1434" t="s">
        <v>35</v>
      </c>
      <c r="G1434">
        <v>49000</v>
      </c>
      <c r="H1434">
        <v>39200</v>
      </c>
      <c r="I1434" s="13">
        <v>0.2</v>
      </c>
      <c r="J1434" t="s">
        <v>6207</v>
      </c>
      <c r="K1434">
        <v>1</v>
      </c>
      <c r="L1434">
        <v>1</v>
      </c>
      <c r="M1434" t="s">
        <v>58</v>
      </c>
      <c r="V1434">
        <v>1</v>
      </c>
      <c r="W1434">
        <v>3</v>
      </c>
      <c r="X1434">
        <v>0</v>
      </c>
      <c r="Y1434">
        <v>1</v>
      </c>
      <c r="Z1434">
        <v>1</v>
      </c>
    </row>
    <row r="1435" spans="1:26" x14ac:dyDescent="0.2">
      <c r="A1435" t="s">
        <v>1553</v>
      </c>
      <c r="B1435" t="s">
        <v>53</v>
      </c>
      <c r="C1435">
        <v>2012</v>
      </c>
      <c r="D1435" t="s">
        <v>51</v>
      </c>
      <c r="E1435" t="s">
        <v>31</v>
      </c>
      <c r="F1435" t="s">
        <v>20</v>
      </c>
      <c r="G1435">
        <v>36284</v>
      </c>
      <c r="H1435">
        <v>29027.200000000001</v>
      </c>
      <c r="I1435" s="13">
        <v>1</v>
      </c>
      <c r="J1435" t="s">
        <v>6207</v>
      </c>
      <c r="K1435">
        <v>0</v>
      </c>
      <c r="L1435">
        <v>1</v>
      </c>
      <c r="M1435" t="s">
        <v>1</v>
      </c>
      <c r="V1435">
        <v>1</v>
      </c>
      <c r="W1435">
        <v>1</v>
      </c>
      <c r="X1435">
        <v>0</v>
      </c>
      <c r="Y1435">
        <v>0</v>
      </c>
      <c r="Z1435">
        <v>0</v>
      </c>
    </row>
    <row r="1436" spans="1:26" x14ac:dyDescent="0.2">
      <c r="A1436" t="s">
        <v>1554</v>
      </c>
      <c r="B1436" t="s">
        <v>47</v>
      </c>
      <c r="C1436">
        <v>2012</v>
      </c>
      <c r="D1436" t="s">
        <v>43</v>
      </c>
      <c r="E1436" t="s">
        <v>64</v>
      </c>
      <c r="F1436" t="s">
        <v>43</v>
      </c>
      <c r="G1436">
        <v>25138</v>
      </c>
      <c r="H1436">
        <v>20110.400000000001</v>
      </c>
      <c r="I1436" s="13">
        <v>0.66666666666666663</v>
      </c>
      <c r="J1436" t="s">
        <v>6208</v>
      </c>
      <c r="K1436">
        <v>2</v>
      </c>
      <c r="L1436">
        <v>1</v>
      </c>
      <c r="M1436" t="s">
        <v>0</v>
      </c>
      <c r="V1436">
        <v>1</v>
      </c>
      <c r="W1436">
        <v>2</v>
      </c>
      <c r="X1436">
        <v>0</v>
      </c>
      <c r="Y1436">
        <v>0</v>
      </c>
      <c r="Z1436">
        <v>0</v>
      </c>
    </row>
    <row r="1437" spans="1:26" x14ac:dyDescent="0.2">
      <c r="A1437" t="s">
        <v>1555</v>
      </c>
      <c r="B1437" t="s">
        <v>66</v>
      </c>
      <c r="C1437">
        <v>2012</v>
      </c>
      <c r="D1437" t="s">
        <v>18</v>
      </c>
      <c r="E1437" t="s">
        <v>23</v>
      </c>
      <c r="F1437" t="s">
        <v>20</v>
      </c>
      <c r="G1437">
        <v>40341</v>
      </c>
      <c r="H1437">
        <v>32272.800000000003</v>
      </c>
      <c r="I1437" s="13">
        <v>1</v>
      </c>
      <c r="J1437" t="s">
        <v>6207</v>
      </c>
      <c r="K1437">
        <v>2</v>
      </c>
      <c r="L1437">
        <v>0</v>
      </c>
      <c r="M1437" t="s">
        <v>0</v>
      </c>
      <c r="V1437">
        <v>0</v>
      </c>
      <c r="W1437">
        <v>2</v>
      </c>
      <c r="X1437">
        <v>0</v>
      </c>
      <c r="Y1437">
        <v>0</v>
      </c>
      <c r="Z1437">
        <v>0</v>
      </c>
    </row>
    <row r="1438" spans="1:26" x14ac:dyDescent="0.2">
      <c r="A1438" t="s">
        <v>1556</v>
      </c>
      <c r="B1438" t="s">
        <v>60</v>
      </c>
      <c r="C1438">
        <v>2012</v>
      </c>
      <c r="D1438" t="s">
        <v>35</v>
      </c>
      <c r="E1438" t="s">
        <v>48</v>
      </c>
      <c r="F1438" t="s">
        <v>35</v>
      </c>
      <c r="G1438">
        <v>49000</v>
      </c>
      <c r="H1438">
        <v>39200</v>
      </c>
      <c r="I1438" s="13">
        <v>0.5</v>
      </c>
      <c r="J1438" t="s">
        <v>6208</v>
      </c>
      <c r="K1438">
        <v>0</v>
      </c>
      <c r="L1438">
        <v>1</v>
      </c>
      <c r="M1438" t="s">
        <v>1</v>
      </c>
      <c r="V1438">
        <v>3</v>
      </c>
      <c r="W1438">
        <v>1</v>
      </c>
      <c r="X1438">
        <v>0</v>
      </c>
      <c r="Y1438">
        <v>0</v>
      </c>
      <c r="Z1438">
        <v>0</v>
      </c>
    </row>
    <row r="1439" spans="1:26" x14ac:dyDescent="0.2">
      <c r="A1439" t="s">
        <v>1557</v>
      </c>
      <c r="B1439" t="s">
        <v>56</v>
      </c>
      <c r="C1439">
        <v>2012</v>
      </c>
      <c r="D1439" t="s">
        <v>43</v>
      </c>
      <c r="E1439" t="s">
        <v>69</v>
      </c>
      <c r="F1439" t="s">
        <v>43</v>
      </c>
      <c r="G1439">
        <v>25138</v>
      </c>
      <c r="H1439">
        <v>20110.400000000001</v>
      </c>
      <c r="I1439" s="13">
        <v>0.66666666666666663</v>
      </c>
      <c r="J1439" t="s">
        <v>6207</v>
      </c>
      <c r="K1439">
        <v>1</v>
      </c>
      <c r="L1439">
        <v>0</v>
      </c>
      <c r="M1439" t="s">
        <v>0</v>
      </c>
      <c r="V1439">
        <v>1</v>
      </c>
      <c r="W1439">
        <v>2</v>
      </c>
      <c r="X1439">
        <v>0</v>
      </c>
      <c r="Y1439">
        <v>0</v>
      </c>
      <c r="Z1439">
        <v>0</v>
      </c>
    </row>
    <row r="1440" spans="1:26" x14ac:dyDescent="0.2">
      <c r="A1440" t="s">
        <v>1558</v>
      </c>
      <c r="B1440" t="s">
        <v>37</v>
      </c>
      <c r="C1440">
        <v>2012</v>
      </c>
      <c r="D1440" t="s">
        <v>23</v>
      </c>
      <c r="E1440" t="s">
        <v>63</v>
      </c>
      <c r="F1440" t="s">
        <v>20</v>
      </c>
      <c r="G1440">
        <v>62500</v>
      </c>
      <c r="H1440">
        <v>50000</v>
      </c>
      <c r="I1440" s="13">
        <v>1</v>
      </c>
      <c r="J1440" t="s">
        <v>6206</v>
      </c>
      <c r="K1440">
        <v>3</v>
      </c>
      <c r="L1440">
        <v>1</v>
      </c>
      <c r="M1440" t="s">
        <v>0</v>
      </c>
      <c r="V1440">
        <v>1</v>
      </c>
      <c r="W1440">
        <v>1</v>
      </c>
      <c r="X1440">
        <v>0</v>
      </c>
      <c r="Y1440">
        <v>1</v>
      </c>
      <c r="Z1440">
        <v>1</v>
      </c>
    </row>
    <row r="1441" spans="1:26" x14ac:dyDescent="0.2">
      <c r="A1441" t="s">
        <v>1559</v>
      </c>
      <c r="B1441" t="s">
        <v>61</v>
      </c>
      <c r="C1441">
        <v>2012</v>
      </c>
      <c r="D1441" t="s">
        <v>71</v>
      </c>
      <c r="E1441" t="s">
        <v>51</v>
      </c>
      <c r="F1441" t="s">
        <v>71</v>
      </c>
      <c r="G1441">
        <v>21088</v>
      </c>
      <c r="H1441">
        <v>16870.400000000001</v>
      </c>
      <c r="I1441" s="13">
        <v>0.5</v>
      </c>
      <c r="J1441" t="s">
        <v>6207</v>
      </c>
      <c r="K1441">
        <v>1</v>
      </c>
      <c r="L1441">
        <v>2</v>
      </c>
      <c r="M1441" t="s">
        <v>1</v>
      </c>
      <c r="V1441">
        <v>2</v>
      </c>
      <c r="W1441">
        <v>4</v>
      </c>
      <c r="X1441">
        <v>0</v>
      </c>
      <c r="Y1441">
        <v>0</v>
      </c>
      <c r="Z1441">
        <v>0</v>
      </c>
    </row>
    <row r="1442" spans="1:26" x14ac:dyDescent="0.2">
      <c r="A1442" t="s">
        <v>1560</v>
      </c>
      <c r="B1442" t="s">
        <v>68</v>
      </c>
      <c r="C1442">
        <v>2012</v>
      </c>
      <c r="D1442" t="s">
        <v>73</v>
      </c>
      <c r="E1442" t="s">
        <v>18</v>
      </c>
      <c r="F1442" t="s">
        <v>73</v>
      </c>
      <c r="G1442">
        <v>32384</v>
      </c>
      <c r="H1442">
        <v>25907.200000000001</v>
      </c>
      <c r="I1442" s="13">
        <v>0.66666666666666663</v>
      </c>
      <c r="J1442" t="s">
        <v>6207</v>
      </c>
      <c r="K1442">
        <v>2</v>
      </c>
      <c r="L1442">
        <v>1</v>
      </c>
      <c r="M1442" t="s">
        <v>0</v>
      </c>
      <c r="V1442">
        <v>2</v>
      </c>
      <c r="W1442">
        <v>1</v>
      </c>
      <c r="X1442">
        <v>0</v>
      </c>
      <c r="Y1442">
        <v>0</v>
      </c>
      <c r="Z1442">
        <v>0</v>
      </c>
    </row>
    <row r="1443" spans="1:26" x14ac:dyDescent="0.2">
      <c r="A1443" t="s">
        <v>1561</v>
      </c>
      <c r="B1443" t="s">
        <v>67</v>
      </c>
      <c r="C1443">
        <v>2012</v>
      </c>
      <c r="D1443" t="s">
        <v>40</v>
      </c>
      <c r="E1443" t="s">
        <v>64</v>
      </c>
      <c r="F1443" t="s">
        <v>49</v>
      </c>
      <c r="G1443">
        <v>53400</v>
      </c>
      <c r="H1443">
        <v>42720</v>
      </c>
      <c r="I1443" s="13">
        <v>1</v>
      </c>
      <c r="J1443" t="s">
        <v>6207</v>
      </c>
      <c r="K1443">
        <v>4</v>
      </c>
      <c r="L1443">
        <v>0</v>
      </c>
      <c r="M1443" t="s">
        <v>0</v>
      </c>
      <c r="V1443">
        <v>0</v>
      </c>
      <c r="W1443">
        <v>2</v>
      </c>
      <c r="X1443">
        <v>0</v>
      </c>
      <c r="Y1443">
        <v>0</v>
      </c>
      <c r="Z1443">
        <v>0</v>
      </c>
    </row>
    <row r="1444" spans="1:26" x14ac:dyDescent="0.2">
      <c r="A1444" t="s">
        <v>1562</v>
      </c>
      <c r="B1444" t="s">
        <v>25</v>
      </c>
      <c r="C1444">
        <v>2012</v>
      </c>
      <c r="D1444" t="s">
        <v>46</v>
      </c>
      <c r="E1444" t="s">
        <v>72</v>
      </c>
      <c r="F1444" t="s">
        <v>20</v>
      </c>
      <c r="G1444">
        <v>60704</v>
      </c>
      <c r="H1444">
        <v>48563.200000000004</v>
      </c>
      <c r="I1444" s="13">
        <v>0</v>
      </c>
      <c r="J1444" t="s">
        <v>6207</v>
      </c>
      <c r="K1444">
        <v>4</v>
      </c>
      <c r="L1444">
        <v>1</v>
      </c>
      <c r="M1444" t="s">
        <v>0</v>
      </c>
      <c r="V1444">
        <v>0</v>
      </c>
      <c r="W1444">
        <v>1</v>
      </c>
      <c r="X1444">
        <v>0</v>
      </c>
      <c r="Y1444">
        <v>0</v>
      </c>
      <c r="Z1444">
        <v>1</v>
      </c>
    </row>
    <row r="1445" spans="1:26" x14ac:dyDescent="0.2">
      <c r="A1445" t="s">
        <v>1563</v>
      </c>
      <c r="B1445" t="s">
        <v>53</v>
      </c>
      <c r="C1445">
        <v>2012</v>
      </c>
      <c r="D1445" t="s">
        <v>45</v>
      </c>
      <c r="E1445" t="s">
        <v>27</v>
      </c>
      <c r="F1445" t="s">
        <v>26</v>
      </c>
      <c r="G1445">
        <v>39572</v>
      </c>
      <c r="H1445">
        <v>31657.600000000002</v>
      </c>
      <c r="I1445" s="13">
        <v>0.25</v>
      </c>
      <c r="J1445" t="s">
        <v>6207</v>
      </c>
      <c r="K1445">
        <v>1</v>
      </c>
      <c r="L1445">
        <v>0</v>
      </c>
      <c r="M1445" t="s">
        <v>0</v>
      </c>
      <c r="V1445">
        <v>1</v>
      </c>
      <c r="W1445">
        <v>3</v>
      </c>
      <c r="X1445">
        <v>0</v>
      </c>
      <c r="Y1445">
        <v>0</v>
      </c>
      <c r="Z1445">
        <v>0</v>
      </c>
    </row>
    <row r="1446" spans="1:26" x14ac:dyDescent="0.2">
      <c r="A1446" t="s">
        <v>1564</v>
      </c>
      <c r="B1446" t="s">
        <v>50</v>
      </c>
      <c r="C1446">
        <v>2012</v>
      </c>
      <c r="D1446" t="s">
        <v>42</v>
      </c>
      <c r="E1446" t="s">
        <v>26</v>
      </c>
      <c r="F1446" t="s">
        <v>38</v>
      </c>
      <c r="G1446">
        <v>42918</v>
      </c>
      <c r="H1446">
        <v>34334.400000000001</v>
      </c>
      <c r="I1446" s="13">
        <v>0</v>
      </c>
      <c r="J1446" t="s">
        <v>6207</v>
      </c>
      <c r="K1446">
        <v>1</v>
      </c>
      <c r="L1446">
        <v>2</v>
      </c>
      <c r="M1446" t="s">
        <v>1</v>
      </c>
      <c r="V1446">
        <v>1</v>
      </c>
      <c r="W1446">
        <v>1</v>
      </c>
      <c r="X1446">
        <v>0</v>
      </c>
      <c r="Y1446">
        <v>0</v>
      </c>
      <c r="Z1446">
        <v>1</v>
      </c>
    </row>
    <row r="1447" spans="1:26" x14ac:dyDescent="0.2">
      <c r="A1447" t="s">
        <v>1565</v>
      </c>
      <c r="B1447" t="s">
        <v>54</v>
      </c>
      <c r="C1447">
        <v>2012</v>
      </c>
      <c r="D1447" t="s">
        <v>31</v>
      </c>
      <c r="E1447" t="s">
        <v>70</v>
      </c>
      <c r="F1447" t="s">
        <v>20</v>
      </c>
      <c r="G1447">
        <v>28500</v>
      </c>
      <c r="H1447">
        <v>22800</v>
      </c>
      <c r="I1447" s="13">
        <v>0.5</v>
      </c>
      <c r="J1447" t="s">
        <v>6206</v>
      </c>
      <c r="K1447">
        <v>3</v>
      </c>
      <c r="L1447">
        <v>2</v>
      </c>
      <c r="M1447" t="s">
        <v>0</v>
      </c>
      <c r="V1447">
        <v>2</v>
      </c>
      <c r="W1447">
        <v>1</v>
      </c>
      <c r="X1447">
        <v>1</v>
      </c>
      <c r="Y1447">
        <v>0</v>
      </c>
      <c r="Z1447">
        <v>2</v>
      </c>
    </row>
    <row r="1448" spans="1:26" x14ac:dyDescent="0.2">
      <c r="A1448" t="s">
        <v>1566</v>
      </c>
      <c r="B1448" t="s">
        <v>53</v>
      </c>
      <c r="C1448">
        <v>2012</v>
      </c>
      <c r="D1448" t="s">
        <v>72</v>
      </c>
      <c r="E1448" t="s">
        <v>73</v>
      </c>
      <c r="F1448" t="s">
        <v>72</v>
      </c>
      <c r="G1448">
        <v>24161</v>
      </c>
      <c r="H1448">
        <v>19328.8</v>
      </c>
      <c r="I1448" s="13">
        <v>0</v>
      </c>
      <c r="J1448" t="s">
        <v>6207</v>
      </c>
      <c r="K1448">
        <v>0</v>
      </c>
      <c r="L1448">
        <v>2</v>
      </c>
      <c r="M1448" t="s">
        <v>1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1:26" x14ac:dyDescent="0.2">
      <c r="A1449" t="s">
        <v>1567</v>
      </c>
      <c r="B1449" t="s">
        <v>56</v>
      </c>
      <c r="C1449">
        <v>2012</v>
      </c>
      <c r="D1449" t="s">
        <v>63</v>
      </c>
      <c r="E1449" t="s">
        <v>46</v>
      </c>
      <c r="F1449" t="s">
        <v>65</v>
      </c>
      <c r="G1449">
        <v>26804</v>
      </c>
      <c r="H1449">
        <v>21443.200000000001</v>
      </c>
      <c r="I1449" s="13">
        <v>0.7142857142857143</v>
      </c>
      <c r="J1449" t="s">
        <v>6207</v>
      </c>
      <c r="K1449">
        <v>1</v>
      </c>
      <c r="L1449">
        <v>2</v>
      </c>
      <c r="M1449" t="s">
        <v>1</v>
      </c>
      <c r="V1449">
        <v>2</v>
      </c>
      <c r="W1449">
        <v>4</v>
      </c>
      <c r="X1449">
        <v>0</v>
      </c>
      <c r="Y1449">
        <v>1</v>
      </c>
      <c r="Z1449">
        <v>1</v>
      </c>
    </row>
    <row r="1450" spans="1:26" x14ac:dyDescent="0.2">
      <c r="A1450" t="s">
        <v>1568</v>
      </c>
      <c r="B1450" t="s">
        <v>44</v>
      </c>
      <c r="C1450">
        <v>2012</v>
      </c>
      <c r="D1450" t="s">
        <v>27</v>
      </c>
      <c r="E1450" t="s">
        <v>42</v>
      </c>
      <c r="F1450" t="s">
        <v>27</v>
      </c>
      <c r="G1450">
        <v>30089</v>
      </c>
      <c r="H1450">
        <v>24071.200000000001</v>
      </c>
      <c r="I1450" s="13">
        <v>0</v>
      </c>
      <c r="J1450" t="s">
        <v>6207</v>
      </c>
      <c r="K1450">
        <v>1</v>
      </c>
      <c r="L1450">
        <v>3</v>
      </c>
      <c r="M1450" t="s">
        <v>1</v>
      </c>
      <c r="V1450">
        <v>3</v>
      </c>
      <c r="W1450">
        <v>1</v>
      </c>
      <c r="X1450">
        <v>0</v>
      </c>
      <c r="Y1450">
        <v>0</v>
      </c>
      <c r="Z1450">
        <v>0</v>
      </c>
    </row>
    <row r="1451" spans="1:26" x14ac:dyDescent="0.2">
      <c r="A1451" t="s">
        <v>1569</v>
      </c>
      <c r="B1451" t="s">
        <v>66</v>
      </c>
      <c r="C1451">
        <v>2012</v>
      </c>
      <c r="D1451" t="s">
        <v>69</v>
      </c>
      <c r="E1451" t="s">
        <v>71</v>
      </c>
      <c r="F1451" t="s">
        <v>69</v>
      </c>
      <c r="G1451">
        <v>27359</v>
      </c>
      <c r="H1451">
        <v>21887.200000000001</v>
      </c>
      <c r="I1451" s="13">
        <v>0.375</v>
      </c>
      <c r="J1451" t="s">
        <v>6207</v>
      </c>
      <c r="K1451">
        <v>2</v>
      </c>
      <c r="L1451">
        <v>2</v>
      </c>
      <c r="M1451" t="s">
        <v>58</v>
      </c>
      <c r="V1451">
        <v>5</v>
      </c>
      <c r="W1451">
        <v>3</v>
      </c>
      <c r="X1451">
        <v>0</v>
      </c>
      <c r="Y1451">
        <v>0</v>
      </c>
      <c r="Z1451">
        <v>0</v>
      </c>
    </row>
    <row r="1452" spans="1:26" x14ac:dyDescent="0.2">
      <c r="A1452" t="s">
        <v>1570</v>
      </c>
      <c r="B1452" t="s">
        <v>61</v>
      </c>
      <c r="C1452">
        <v>2012</v>
      </c>
      <c r="D1452" t="s">
        <v>26</v>
      </c>
      <c r="E1452" t="s">
        <v>23</v>
      </c>
      <c r="F1452" t="s">
        <v>26</v>
      </c>
      <c r="G1452">
        <v>61276</v>
      </c>
      <c r="H1452">
        <v>49020.800000000003</v>
      </c>
      <c r="I1452" s="13">
        <v>1</v>
      </c>
      <c r="J1452" t="s">
        <v>6207</v>
      </c>
      <c r="K1452">
        <v>0</v>
      </c>
      <c r="L1452">
        <v>0</v>
      </c>
      <c r="M1452" t="s">
        <v>58</v>
      </c>
      <c r="V1452">
        <v>0</v>
      </c>
      <c r="W1452">
        <v>1</v>
      </c>
      <c r="X1452">
        <v>0</v>
      </c>
      <c r="Y1452">
        <v>0</v>
      </c>
      <c r="Z1452">
        <v>0</v>
      </c>
    </row>
    <row r="1453" spans="1:26" x14ac:dyDescent="0.2">
      <c r="A1453" t="s">
        <v>1571</v>
      </c>
      <c r="B1453" t="s">
        <v>37</v>
      </c>
      <c r="C1453">
        <v>2012</v>
      </c>
      <c r="D1453" t="s">
        <v>51</v>
      </c>
      <c r="E1453" t="s">
        <v>45</v>
      </c>
      <c r="F1453" t="s">
        <v>20</v>
      </c>
      <c r="G1453">
        <v>36284</v>
      </c>
      <c r="H1453">
        <v>29027.200000000001</v>
      </c>
      <c r="I1453" s="13">
        <v>1</v>
      </c>
      <c r="J1453" t="s">
        <v>6206</v>
      </c>
      <c r="K1453">
        <v>2</v>
      </c>
      <c r="L1453">
        <v>2</v>
      </c>
      <c r="M1453" t="s">
        <v>58</v>
      </c>
      <c r="V1453">
        <v>1</v>
      </c>
      <c r="W1453">
        <v>1</v>
      </c>
      <c r="X1453">
        <v>0</v>
      </c>
      <c r="Y1453">
        <v>0</v>
      </c>
      <c r="Z1453">
        <v>0</v>
      </c>
    </row>
    <row r="1454" spans="1:26" x14ac:dyDescent="0.2">
      <c r="A1454" t="s">
        <v>1572</v>
      </c>
      <c r="B1454" t="s">
        <v>60</v>
      </c>
      <c r="C1454">
        <v>2012</v>
      </c>
      <c r="D1454" t="s">
        <v>64</v>
      </c>
      <c r="E1454" t="s">
        <v>31</v>
      </c>
      <c r="F1454" t="s">
        <v>64</v>
      </c>
      <c r="G1454">
        <v>52264</v>
      </c>
      <c r="H1454">
        <v>41811.200000000004</v>
      </c>
      <c r="I1454" s="13">
        <v>0.75</v>
      </c>
      <c r="J1454" t="s">
        <v>6208</v>
      </c>
      <c r="K1454">
        <v>1</v>
      </c>
      <c r="L1454">
        <v>0</v>
      </c>
      <c r="M1454" t="s">
        <v>0</v>
      </c>
      <c r="V1454">
        <v>2</v>
      </c>
      <c r="W1454">
        <v>2</v>
      </c>
      <c r="X1454">
        <v>0</v>
      </c>
      <c r="Y1454">
        <v>0</v>
      </c>
      <c r="Z1454">
        <v>0</v>
      </c>
    </row>
    <row r="1455" spans="1:26" x14ac:dyDescent="0.2">
      <c r="A1455" t="s">
        <v>1573</v>
      </c>
      <c r="B1455" t="s">
        <v>67</v>
      </c>
      <c r="C1455">
        <v>2012</v>
      </c>
      <c r="D1455" t="s">
        <v>18</v>
      </c>
      <c r="E1455" t="s">
        <v>35</v>
      </c>
      <c r="F1455" t="s">
        <v>20</v>
      </c>
      <c r="G1455">
        <v>40341</v>
      </c>
      <c r="H1455">
        <v>32272.800000000003</v>
      </c>
      <c r="I1455" s="13">
        <v>0</v>
      </c>
      <c r="J1455" t="s">
        <v>6207</v>
      </c>
      <c r="K1455">
        <v>2</v>
      </c>
      <c r="L1455">
        <v>1</v>
      </c>
      <c r="M1455" t="s">
        <v>0</v>
      </c>
      <c r="V1455">
        <v>0</v>
      </c>
      <c r="W1455">
        <v>2</v>
      </c>
      <c r="X1455">
        <v>0</v>
      </c>
      <c r="Y1455">
        <v>0</v>
      </c>
      <c r="Z1455">
        <v>0</v>
      </c>
    </row>
    <row r="1456" spans="1:26" x14ac:dyDescent="0.2">
      <c r="A1456" t="s">
        <v>1574</v>
      </c>
      <c r="B1456" t="s">
        <v>52</v>
      </c>
      <c r="C1456">
        <v>2012</v>
      </c>
      <c r="D1456" t="s">
        <v>70</v>
      </c>
      <c r="E1456" t="s">
        <v>43</v>
      </c>
      <c r="F1456" t="s">
        <v>20</v>
      </c>
      <c r="G1456">
        <v>18439</v>
      </c>
      <c r="H1456">
        <v>14751.2</v>
      </c>
      <c r="I1456" s="13">
        <v>0.83333333333333337</v>
      </c>
      <c r="J1456" t="s">
        <v>6207</v>
      </c>
      <c r="K1456">
        <v>1</v>
      </c>
      <c r="L1456">
        <v>1</v>
      </c>
      <c r="M1456" t="s">
        <v>58</v>
      </c>
      <c r="V1456">
        <v>2</v>
      </c>
      <c r="W1456">
        <v>3</v>
      </c>
      <c r="X1456">
        <v>1</v>
      </c>
      <c r="Y1456">
        <v>0</v>
      </c>
      <c r="Z1456">
        <v>0</v>
      </c>
    </row>
    <row r="1457" spans="1:26" x14ac:dyDescent="0.2">
      <c r="A1457" t="s">
        <v>1575</v>
      </c>
      <c r="B1457" t="s">
        <v>41</v>
      </c>
      <c r="C1457">
        <v>2012</v>
      </c>
      <c r="D1457" t="s">
        <v>48</v>
      </c>
      <c r="E1457" t="s">
        <v>40</v>
      </c>
      <c r="F1457" t="s">
        <v>49</v>
      </c>
      <c r="G1457">
        <v>74197</v>
      </c>
      <c r="H1457">
        <v>59357.600000000006</v>
      </c>
      <c r="I1457" s="13">
        <v>0.75</v>
      </c>
      <c r="J1457" t="s">
        <v>6207</v>
      </c>
      <c r="K1457">
        <v>1</v>
      </c>
      <c r="L1457">
        <v>2</v>
      </c>
      <c r="M1457" t="s">
        <v>1</v>
      </c>
      <c r="V1457">
        <v>3</v>
      </c>
      <c r="W1457">
        <v>5</v>
      </c>
      <c r="X1457">
        <v>0</v>
      </c>
      <c r="Y1457">
        <v>0</v>
      </c>
      <c r="Z1457">
        <v>0</v>
      </c>
    </row>
    <row r="1458" spans="1:26" x14ac:dyDescent="0.2">
      <c r="A1458" t="s">
        <v>1576</v>
      </c>
      <c r="B1458" t="s">
        <v>41</v>
      </c>
      <c r="C1458">
        <v>2012</v>
      </c>
      <c r="D1458" t="s">
        <v>73</v>
      </c>
      <c r="E1458" t="s">
        <v>23</v>
      </c>
      <c r="F1458" t="s">
        <v>73</v>
      </c>
      <c r="G1458">
        <v>32384</v>
      </c>
      <c r="H1458">
        <v>25907.200000000001</v>
      </c>
      <c r="I1458" s="13">
        <v>0.6</v>
      </c>
      <c r="J1458" t="s">
        <v>6207</v>
      </c>
      <c r="K1458">
        <v>1</v>
      </c>
      <c r="L1458">
        <v>1</v>
      </c>
      <c r="M1458" t="s">
        <v>58</v>
      </c>
      <c r="V1458">
        <v>2</v>
      </c>
      <c r="W1458">
        <v>3</v>
      </c>
      <c r="X1458">
        <v>0</v>
      </c>
      <c r="Y1458">
        <v>0</v>
      </c>
      <c r="Z1458">
        <v>0</v>
      </c>
    </row>
    <row r="1459" spans="1:26" x14ac:dyDescent="0.2">
      <c r="A1459" t="s">
        <v>1577</v>
      </c>
      <c r="B1459" t="s">
        <v>44</v>
      </c>
      <c r="C1459">
        <v>2012</v>
      </c>
      <c r="D1459" t="s">
        <v>72</v>
      </c>
      <c r="E1459" t="s">
        <v>26</v>
      </c>
      <c r="F1459" t="s">
        <v>72</v>
      </c>
      <c r="G1459">
        <v>24161</v>
      </c>
      <c r="H1459">
        <v>19328.8</v>
      </c>
      <c r="I1459" s="13">
        <v>0.66666666666666663</v>
      </c>
      <c r="J1459" t="s">
        <v>6207</v>
      </c>
      <c r="K1459">
        <v>0</v>
      </c>
      <c r="L1459">
        <v>0</v>
      </c>
      <c r="M1459" t="s">
        <v>58</v>
      </c>
      <c r="V1459">
        <v>2</v>
      </c>
      <c r="W1459">
        <v>1</v>
      </c>
      <c r="X1459">
        <v>0</v>
      </c>
      <c r="Y1459">
        <v>0</v>
      </c>
      <c r="Z1459">
        <v>0</v>
      </c>
    </row>
    <row r="1460" spans="1:26" x14ac:dyDescent="0.2">
      <c r="A1460" t="s">
        <v>1578</v>
      </c>
      <c r="B1460" t="s">
        <v>50</v>
      </c>
      <c r="C1460">
        <v>2012</v>
      </c>
      <c r="D1460" t="s">
        <v>45</v>
      </c>
      <c r="E1460" t="s">
        <v>70</v>
      </c>
      <c r="F1460" t="s">
        <v>26</v>
      </c>
      <c r="G1460">
        <v>39572</v>
      </c>
      <c r="H1460">
        <v>31657.600000000002</v>
      </c>
      <c r="I1460" s="13">
        <v>1</v>
      </c>
      <c r="J1460" t="s">
        <v>6207</v>
      </c>
      <c r="K1460">
        <v>2</v>
      </c>
      <c r="L1460">
        <v>0</v>
      </c>
      <c r="M1460" t="s">
        <v>0</v>
      </c>
      <c r="V1460">
        <v>3</v>
      </c>
      <c r="W1460">
        <v>3</v>
      </c>
      <c r="X1460">
        <v>0</v>
      </c>
      <c r="Y1460">
        <v>0</v>
      </c>
      <c r="Z1460">
        <v>0</v>
      </c>
    </row>
    <row r="1461" spans="1:26" x14ac:dyDescent="0.2">
      <c r="A1461" t="s">
        <v>1579</v>
      </c>
      <c r="B1461" t="s">
        <v>52</v>
      </c>
      <c r="C1461">
        <v>2012</v>
      </c>
      <c r="D1461" t="s">
        <v>42</v>
      </c>
      <c r="E1461" t="s">
        <v>31</v>
      </c>
      <c r="F1461" t="s">
        <v>38</v>
      </c>
      <c r="G1461">
        <v>42918</v>
      </c>
      <c r="H1461">
        <v>34334.400000000001</v>
      </c>
      <c r="I1461" s="13">
        <v>0.66666666666666663</v>
      </c>
      <c r="J1461" t="s">
        <v>6207</v>
      </c>
      <c r="K1461">
        <v>1</v>
      </c>
      <c r="L1461">
        <v>1</v>
      </c>
      <c r="M1461" t="s">
        <v>58</v>
      </c>
      <c r="V1461">
        <v>1</v>
      </c>
      <c r="W1461">
        <v>2</v>
      </c>
      <c r="X1461">
        <v>0</v>
      </c>
      <c r="Y1461">
        <v>0</v>
      </c>
      <c r="Z1461">
        <v>0</v>
      </c>
    </row>
    <row r="1462" spans="1:26" x14ac:dyDescent="0.2">
      <c r="A1462" t="s">
        <v>1580</v>
      </c>
      <c r="B1462" t="s">
        <v>53</v>
      </c>
      <c r="C1462">
        <v>2012</v>
      </c>
      <c r="D1462" t="s">
        <v>46</v>
      </c>
      <c r="E1462" t="s">
        <v>69</v>
      </c>
      <c r="F1462" t="s">
        <v>20</v>
      </c>
      <c r="G1462">
        <v>60704</v>
      </c>
      <c r="H1462">
        <v>48563.200000000004</v>
      </c>
      <c r="I1462" s="13">
        <v>0.33333333333333331</v>
      </c>
      <c r="J1462" t="s">
        <v>6207</v>
      </c>
      <c r="K1462">
        <v>3</v>
      </c>
      <c r="L1462">
        <v>1</v>
      </c>
      <c r="M1462" t="s">
        <v>0</v>
      </c>
      <c r="V1462">
        <v>1</v>
      </c>
      <c r="W1462">
        <v>2</v>
      </c>
      <c r="X1462">
        <v>0</v>
      </c>
      <c r="Y1462">
        <v>0</v>
      </c>
      <c r="Z1462">
        <v>1</v>
      </c>
    </row>
    <row r="1463" spans="1:26" x14ac:dyDescent="0.2">
      <c r="A1463" t="s">
        <v>1581</v>
      </c>
      <c r="B1463" t="s">
        <v>56</v>
      </c>
      <c r="C1463">
        <v>2012</v>
      </c>
      <c r="D1463" t="s">
        <v>64</v>
      </c>
      <c r="E1463" t="s">
        <v>35</v>
      </c>
      <c r="F1463" t="s">
        <v>64</v>
      </c>
      <c r="G1463">
        <v>52264</v>
      </c>
      <c r="H1463">
        <v>41811.200000000004</v>
      </c>
      <c r="I1463" s="13">
        <v>0.4</v>
      </c>
      <c r="J1463" t="s">
        <v>6207</v>
      </c>
      <c r="K1463">
        <v>0</v>
      </c>
      <c r="L1463">
        <v>3</v>
      </c>
      <c r="M1463" t="s">
        <v>1</v>
      </c>
      <c r="V1463">
        <v>3</v>
      </c>
      <c r="W1463">
        <v>2</v>
      </c>
      <c r="X1463">
        <v>0</v>
      </c>
      <c r="Y1463">
        <v>0</v>
      </c>
      <c r="Z1463">
        <v>0</v>
      </c>
    </row>
    <row r="1464" spans="1:26" x14ac:dyDescent="0.2">
      <c r="A1464" t="s">
        <v>1582</v>
      </c>
      <c r="B1464" t="s">
        <v>68</v>
      </c>
      <c r="C1464">
        <v>2012</v>
      </c>
      <c r="D1464" t="s">
        <v>27</v>
      </c>
      <c r="E1464" t="s">
        <v>48</v>
      </c>
      <c r="F1464" t="s">
        <v>27</v>
      </c>
      <c r="G1464">
        <v>30089</v>
      </c>
      <c r="H1464">
        <v>24071.200000000001</v>
      </c>
      <c r="I1464" s="13">
        <v>0.5</v>
      </c>
      <c r="J1464" t="s">
        <v>6207</v>
      </c>
      <c r="K1464">
        <v>0</v>
      </c>
      <c r="L1464">
        <v>2</v>
      </c>
      <c r="M1464" t="s">
        <v>1</v>
      </c>
      <c r="V1464">
        <v>1</v>
      </c>
      <c r="W1464">
        <v>1</v>
      </c>
      <c r="X1464">
        <v>0</v>
      </c>
      <c r="Y1464">
        <v>0</v>
      </c>
      <c r="Z1464">
        <v>1</v>
      </c>
    </row>
    <row r="1465" spans="1:26" x14ac:dyDescent="0.2">
      <c r="A1465" t="s">
        <v>1583</v>
      </c>
      <c r="B1465" t="s">
        <v>67</v>
      </c>
      <c r="C1465">
        <v>2012</v>
      </c>
      <c r="D1465" t="s">
        <v>46</v>
      </c>
      <c r="E1465" t="s">
        <v>45</v>
      </c>
      <c r="F1465" t="s">
        <v>20</v>
      </c>
      <c r="G1465">
        <v>60704</v>
      </c>
      <c r="H1465">
        <v>48563.200000000004</v>
      </c>
      <c r="I1465" s="13">
        <v>0.8</v>
      </c>
      <c r="J1465" t="s">
        <v>6207</v>
      </c>
      <c r="K1465">
        <v>0</v>
      </c>
      <c r="L1465">
        <v>0</v>
      </c>
      <c r="M1465" t="s">
        <v>58</v>
      </c>
      <c r="V1465">
        <v>2</v>
      </c>
      <c r="W1465">
        <v>3</v>
      </c>
      <c r="X1465">
        <v>0</v>
      </c>
      <c r="Y1465">
        <v>0</v>
      </c>
      <c r="Z1465">
        <v>0</v>
      </c>
    </row>
    <row r="1466" spans="1:26" x14ac:dyDescent="0.2">
      <c r="A1466" t="s">
        <v>1584</v>
      </c>
      <c r="B1466" t="s">
        <v>54</v>
      </c>
      <c r="C1466">
        <v>2012</v>
      </c>
      <c r="D1466" t="s">
        <v>23</v>
      </c>
      <c r="E1466" t="s">
        <v>48</v>
      </c>
      <c r="F1466" t="s">
        <v>20</v>
      </c>
      <c r="G1466">
        <v>62500</v>
      </c>
      <c r="H1466">
        <v>50000</v>
      </c>
      <c r="I1466" s="13">
        <v>0</v>
      </c>
      <c r="J1466" t="s">
        <v>6206</v>
      </c>
      <c r="K1466">
        <v>2</v>
      </c>
      <c r="L1466">
        <v>2</v>
      </c>
      <c r="M1466" t="s">
        <v>58</v>
      </c>
      <c r="V1466">
        <v>1</v>
      </c>
      <c r="W1466">
        <v>0</v>
      </c>
      <c r="X1466">
        <v>0</v>
      </c>
      <c r="Y1466">
        <v>0</v>
      </c>
      <c r="Z1466">
        <v>0</v>
      </c>
    </row>
    <row r="1467" spans="1:26" x14ac:dyDescent="0.2">
      <c r="A1467" t="s">
        <v>1585</v>
      </c>
      <c r="B1467" t="s">
        <v>68</v>
      </c>
      <c r="C1467">
        <v>2012</v>
      </c>
      <c r="D1467" t="s">
        <v>40</v>
      </c>
      <c r="E1467" t="s">
        <v>43</v>
      </c>
      <c r="F1467" t="s">
        <v>49</v>
      </c>
      <c r="G1467">
        <v>53400</v>
      </c>
      <c r="H1467">
        <v>42720</v>
      </c>
      <c r="I1467" s="13">
        <v>0.66666666666666663</v>
      </c>
      <c r="J1467" t="s">
        <v>6207</v>
      </c>
      <c r="K1467">
        <v>1</v>
      </c>
      <c r="L1467">
        <v>0</v>
      </c>
      <c r="M1467" t="s">
        <v>0</v>
      </c>
      <c r="V1467">
        <v>2</v>
      </c>
      <c r="W1467">
        <v>1</v>
      </c>
      <c r="X1467">
        <v>0</v>
      </c>
      <c r="Y1467">
        <v>0</v>
      </c>
      <c r="Z1467">
        <v>0</v>
      </c>
    </row>
    <row r="1468" spans="1:26" x14ac:dyDescent="0.2">
      <c r="A1468" t="s">
        <v>1586</v>
      </c>
      <c r="B1468" t="s">
        <v>41</v>
      </c>
      <c r="C1468">
        <v>2012</v>
      </c>
      <c r="D1468" t="s">
        <v>31</v>
      </c>
      <c r="E1468" t="s">
        <v>18</v>
      </c>
      <c r="F1468" t="s">
        <v>20</v>
      </c>
      <c r="G1468">
        <v>28500</v>
      </c>
      <c r="H1468">
        <v>22800</v>
      </c>
      <c r="I1468" s="13">
        <v>1</v>
      </c>
      <c r="J1468" t="s">
        <v>6207</v>
      </c>
      <c r="K1468">
        <v>0</v>
      </c>
      <c r="L1468">
        <v>3</v>
      </c>
      <c r="M1468" t="s">
        <v>1</v>
      </c>
      <c r="V1468">
        <v>2</v>
      </c>
      <c r="W1468">
        <v>1</v>
      </c>
      <c r="X1468">
        <v>0</v>
      </c>
      <c r="Y1468">
        <v>0</v>
      </c>
      <c r="Z1468">
        <v>0</v>
      </c>
    </row>
    <row r="1469" spans="1:26" x14ac:dyDescent="0.2">
      <c r="A1469" t="s">
        <v>1587</v>
      </c>
      <c r="B1469" t="s">
        <v>67</v>
      </c>
      <c r="C1469">
        <v>2012</v>
      </c>
      <c r="D1469" t="s">
        <v>23</v>
      </c>
      <c r="E1469" t="s">
        <v>43</v>
      </c>
      <c r="F1469" t="s">
        <v>20</v>
      </c>
      <c r="G1469">
        <v>62500</v>
      </c>
      <c r="H1469">
        <v>50000</v>
      </c>
      <c r="I1469" s="13">
        <v>0</v>
      </c>
      <c r="J1469" t="s">
        <v>6207</v>
      </c>
      <c r="K1469">
        <v>2</v>
      </c>
      <c r="L1469">
        <v>0</v>
      </c>
      <c r="M1469" t="s">
        <v>0</v>
      </c>
      <c r="V1469">
        <v>3</v>
      </c>
      <c r="W1469">
        <v>1</v>
      </c>
      <c r="X1469">
        <v>0</v>
      </c>
      <c r="Y1469">
        <v>0</v>
      </c>
      <c r="Z1469">
        <v>0</v>
      </c>
    </row>
    <row r="1470" spans="1:26" x14ac:dyDescent="0.2">
      <c r="A1470" t="s">
        <v>1588</v>
      </c>
      <c r="B1470" t="s">
        <v>53</v>
      </c>
      <c r="C1470">
        <v>2012</v>
      </c>
      <c r="D1470" t="s">
        <v>63</v>
      </c>
      <c r="E1470" t="s">
        <v>64</v>
      </c>
      <c r="F1470" t="s">
        <v>65</v>
      </c>
      <c r="G1470">
        <v>26804</v>
      </c>
      <c r="H1470">
        <v>21443.200000000001</v>
      </c>
      <c r="I1470" s="13">
        <v>1</v>
      </c>
      <c r="J1470" t="s">
        <v>6207</v>
      </c>
      <c r="K1470">
        <v>1</v>
      </c>
      <c r="L1470">
        <v>1</v>
      </c>
      <c r="M1470" t="s">
        <v>58</v>
      </c>
      <c r="V1470">
        <v>0</v>
      </c>
      <c r="W1470">
        <v>2</v>
      </c>
      <c r="X1470">
        <v>0</v>
      </c>
      <c r="Y1470">
        <v>0</v>
      </c>
      <c r="Z1470">
        <v>0</v>
      </c>
    </row>
    <row r="1471" spans="1:26" x14ac:dyDescent="0.2">
      <c r="A1471" t="s">
        <v>1589</v>
      </c>
      <c r="B1471" t="s">
        <v>47</v>
      </c>
      <c r="C1471">
        <v>2012</v>
      </c>
      <c r="D1471" t="s">
        <v>71</v>
      </c>
      <c r="E1471" t="s">
        <v>73</v>
      </c>
      <c r="F1471" t="s">
        <v>71</v>
      </c>
      <c r="G1471">
        <v>21088</v>
      </c>
      <c r="H1471">
        <v>16870.400000000001</v>
      </c>
      <c r="I1471" s="13">
        <v>0</v>
      </c>
      <c r="J1471" t="s">
        <v>6208</v>
      </c>
      <c r="K1471">
        <v>0</v>
      </c>
      <c r="L1471">
        <v>0</v>
      </c>
      <c r="M1471" t="s">
        <v>58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2">
      <c r="A1472" t="s">
        <v>1590</v>
      </c>
      <c r="B1472" t="s">
        <v>52</v>
      </c>
      <c r="C1472">
        <v>2012</v>
      </c>
      <c r="D1472" t="s">
        <v>35</v>
      </c>
      <c r="E1472" t="s">
        <v>45</v>
      </c>
      <c r="F1472" t="s">
        <v>35</v>
      </c>
      <c r="G1472">
        <v>49000</v>
      </c>
      <c r="H1472">
        <v>39200</v>
      </c>
      <c r="I1472" s="13">
        <v>1</v>
      </c>
      <c r="J1472" t="s">
        <v>6207</v>
      </c>
      <c r="K1472">
        <v>1</v>
      </c>
      <c r="L1472">
        <v>0</v>
      </c>
      <c r="M1472" t="s">
        <v>0</v>
      </c>
      <c r="V1472">
        <v>1</v>
      </c>
      <c r="W1472">
        <v>2</v>
      </c>
      <c r="X1472">
        <v>0</v>
      </c>
      <c r="Y1472">
        <v>0</v>
      </c>
      <c r="Z1472">
        <v>0</v>
      </c>
    </row>
    <row r="1473" spans="1:26" x14ac:dyDescent="0.2">
      <c r="A1473" t="s">
        <v>1591</v>
      </c>
      <c r="B1473" t="s">
        <v>25</v>
      </c>
      <c r="C1473">
        <v>2012</v>
      </c>
      <c r="D1473" t="s">
        <v>70</v>
      </c>
      <c r="E1473" t="s">
        <v>27</v>
      </c>
      <c r="F1473" t="s">
        <v>20</v>
      </c>
      <c r="G1473">
        <v>18439</v>
      </c>
      <c r="H1473">
        <v>14751.2</v>
      </c>
      <c r="I1473" s="13">
        <v>0.33333333333333331</v>
      </c>
      <c r="J1473" t="s">
        <v>6207</v>
      </c>
      <c r="K1473">
        <v>0</v>
      </c>
      <c r="L1473">
        <v>2</v>
      </c>
      <c r="M1473" t="s">
        <v>1</v>
      </c>
      <c r="V1473">
        <v>1</v>
      </c>
      <c r="W1473">
        <v>2</v>
      </c>
      <c r="X1473">
        <v>0</v>
      </c>
      <c r="Y1473">
        <v>0</v>
      </c>
      <c r="Z1473">
        <v>1</v>
      </c>
    </row>
    <row r="1474" spans="1:26" x14ac:dyDescent="0.2">
      <c r="A1474" t="s">
        <v>1592</v>
      </c>
      <c r="B1474" t="s">
        <v>41</v>
      </c>
      <c r="C1474">
        <v>2012</v>
      </c>
      <c r="D1474" t="s">
        <v>69</v>
      </c>
      <c r="E1474" t="s">
        <v>72</v>
      </c>
      <c r="F1474" t="s">
        <v>69</v>
      </c>
      <c r="G1474">
        <v>27359</v>
      </c>
      <c r="H1474">
        <v>21887.200000000001</v>
      </c>
      <c r="I1474" s="13">
        <v>0.6</v>
      </c>
      <c r="J1474" t="s">
        <v>6207</v>
      </c>
      <c r="K1474">
        <v>2</v>
      </c>
      <c r="L1474">
        <v>1</v>
      </c>
      <c r="M1474" t="s">
        <v>0</v>
      </c>
      <c r="V1474">
        <v>2</v>
      </c>
      <c r="W1474">
        <v>3</v>
      </c>
      <c r="X1474">
        <v>0</v>
      </c>
      <c r="Y1474">
        <v>0</v>
      </c>
      <c r="Z1474">
        <v>0</v>
      </c>
    </row>
    <row r="1475" spans="1:26" x14ac:dyDescent="0.2">
      <c r="A1475" t="s">
        <v>1593</v>
      </c>
      <c r="B1475" t="s">
        <v>37</v>
      </c>
      <c r="C1475">
        <v>2012</v>
      </c>
      <c r="D1475" t="s">
        <v>31</v>
      </c>
      <c r="E1475" t="s">
        <v>46</v>
      </c>
      <c r="F1475" t="s">
        <v>20</v>
      </c>
      <c r="G1475">
        <v>28500</v>
      </c>
      <c r="H1475">
        <v>22800</v>
      </c>
      <c r="I1475" s="13">
        <v>0.5</v>
      </c>
      <c r="J1475" t="s">
        <v>6206</v>
      </c>
      <c r="K1475">
        <v>0</v>
      </c>
      <c r="L1475">
        <v>1</v>
      </c>
      <c r="M1475" t="s">
        <v>1</v>
      </c>
      <c r="V1475">
        <v>0</v>
      </c>
      <c r="W1475">
        <v>2</v>
      </c>
      <c r="X1475">
        <v>1</v>
      </c>
      <c r="Y1475">
        <v>1</v>
      </c>
      <c r="Z1475">
        <v>0</v>
      </c>
    </row>
    <row r="1476" spans="1:26" x14ac:dyDescent="0.2">
      <c r="A1476" t="s">
        <v>1594</v>
      </c>
      <c r="B1476" t="s">
        <v>50</v>
      </c>
      <c r="C1476">
        <v>2012</v>
      </c>
      <c r="D1476" t="s">
        <v>51</v>
      </c>
      <c r="E1476" t="s">
        <v>40</v>
      </c>
      <c r="F1476" t="s">
        <v>20</v>
      </c>
      <c r="G1476">
        <v>36284</v>
      </c>
      <c r="H1476">
        <v>29027.200000000001</v>
      </c>
      <c r="I1476" s="13">
        <v>0.2</v>
      </c>
      <c r="J1476" t="s">
        <v>6207</v>
      </c>
      <c r="K1476">
        <v>3</v>
      </c>
      <c r="L1476">
        <v>1</v>
      </c>
      <c r="M1476" t="s">
        <v>0</v>
      </c>
      <c r="V1476">
        <v>3</v>
      </c>
      <c r="W1476">
        <v>2</v>
      </c>
      <c r="X1476">
        <v>0</v>
      </c>
      <c r="Y1476">
        <v>0</v>
      </c>
      <c r="Z1476">
        <v>0</v>
      </c>
    </row>
    <row r="1477" spans="1:26" x14ac:dyDescent="0.2">
      <c r="A1477" t="s">
        <v>1595</v>
      </c>
      <c r="B1477" t="s">
        <v>60</v>
      </c>
      <c r="C1477">
        <v>2012</v>
      </c>
      <c r="D1477" t="s">
        <v>26</v>
      </c>
      <c r="E1477" t="s">
        <v>18</v>
      </c>
      <c r="F1477" t="s">
        <v>26</v>
      </c>
      <c r="G1477">
        <v>61276</v>
      </c>
      <c r="H1477">
        <v>49020.800000000003</v>
      </c>
      <c r="I1477" s="13">
        <v>0.625</v>
      </c>
      <c r="J1477" t="s">
        <v>6208</v>
      </c>
      <c r="K1477">
        <v>2</v>
      </c>
      <c r="L1477">
        <v>2</v>
      </c>
      <c r="M1477" t="s">
        <v>58</v>
      </c>
      <c r="V1477">
        <v>5</v>
      </c>
      <c r="W1477">
        <v>3</v>
      </c>
      <c r="X1477">
        <v>0</v>
      </c>
      <c r="Y1477">
        <v>0</v>
      </c>
      <c r="Z1477">
        <v>1</v>
      </c>
    </row>
    <row r="1478" spans="1:26" x14ac:dyDescent="0.2">
      <c r="A1478" t="s">
        <v>1596</v>
      </c>
      <c r="B1478" t="s">
        <v>61</v>
      </c>
      <c r="C1478">
        <v>2012</v>
      </c>
      <c r="D1478" t="s">
        <v>48</v>
      </c>
      <c r="E1478" t="s">
        <v>42</v>
      </c>
      <c r="F1478" t="s">
        <v>49</v>
      </c>
      <c r="G1478">
        <v>74197</v>
      </c>
      <c r="H1478">
        <v>59357.600000000006</v>
      </c>
      <c r="I1478" s="13">
        <v>1</v>
      </c>
      <c r="J1478" t="s">
        <v>6207</v>
      </c>
      <c r="K1478">
        <v>3</v>
      </c>
      <c r="L1478">
        <v>0</v>
      </c>
      <c r="M1478" t="s">
        <v>0</v>
      </c>
      <c r="V1478">
        <v>1</v>
      </c>
      <c r="W1478">
        <v>0</v>
      </c>
      <c r="X1478">
        <v>0</v>
      </c>
      <c r="Y1478">
        <v>0</v>
      </c>
      <c r="Z1478">
        <v>0</v>
      </c>
    </row>
    <row r="1479" spans="1:26" x14ac:dyDescent="0.2">
      <c r="A1479" t="s">
        <v>1597</v>
      </c>
      <c r="B1479" t="s">
        <v>56</v>
      </c>
      <c r="C1479">
        <v>2012</v>
      </c>
      <c r="D1479" t="s">
        <v>40</v>
      </c>
      <c r="E1479" t="s">
        <v>23</v>
      </c>
      <c r="F1479" t="s">
        <v>49</v>
      </c>
      <c r="G1479">
        <v>53400</v>
      </c>
      <c r="H1479">
        <v>42720</v>
      </c>
      <c r="I1479" s="13">
        <v>0.5</v>
      </c>
      <c r="J1479" t="s">
        <v>6207</v>
      </c>
      <c r="K1479">
        <v>2</v>
      </c>
      <c r="L1479">
        <v>1</v>
      </c>
      <c r="M1479" t="s">
        <v>0</v>
      </c>
      <c r="V1479">
        <v>1</v>
      </c>
      <c r="W1479">
        <v>3</v>
      </c>
      <c r="X1479">
        <v>0</v>
      </c>
      <c r="Y1479">
        <v>0</v>
      </c>
      <c r="Z1479">
        <v>0</v>
      </c>
    </row>
    <row r="1480" spans="1:26" x14ac:dyDescent="0.2">
      <c r="A1480" t="s">
        <v>1598</v>
      </c>
      <c r="B1480" t="s">
        <v>32</v>
      </c>
      <c r="C1480">
        <v>2012</v>
      </c>
      <c r="D1480" t="s">
        <v>43</v>
      </c>
      <c r="E1480" t="s">
        <v>51</v>
      </c>
      <c r="F1480" t="s">
        <v>43</v>
      </c>
      <c r="G1480">
        <v>25138</v>
      </c>
      <c r="H1480">
        <v>20110.400000000001</v>
      </c>
      <c r="I1480" s="13">
        <v>0.75</v>
      </c>
      <c r="J1480" t="s">
        <v>6207</v>
      </c>
      <c r="K1480">
        <v>2</v>
      </c>
      <c r="L1480">
        <v>2</v>
      </c>
      <c r="M1480" t="s">
        <v>58</v>
      </c>
      <c r="V1480">
        <v>3</v>
      </c>
      <c r="W1480">
        <v>1</v>
      </c>
      <c r="X1480">
        <v>0</v>
      </c>
      <c r="Y1480">
        <v>0</v>
      </c>
      <c r="Z1480">
        <v>0</v>
      </c>
    </row>
    <row r="1481" spans="1:26" x14ac:dyDescent="0.2">
      <c r="A1481" t="s">
        <v>1599</v>
      </c>
      <c r="B1481" t="s">
        <v>61</v>
      </c>
      <c r="C1481">
        <v>2012</v>
      </c>
      <c r="D1481" t="s">
        <v>27</v>
      </c>
      <c r="E1481" t="s">
        <v>69</v>
      </c>
      <c r="F1481" t="s">
        <v>27</v>
      </c>
      <c r="G1481">
        <v>30089</v>
      </c>
      <c r="H1481">
        <v>24071.200000000001</v>
      </c>
      <c r="I1481" s="13">
        <v>0.33333333333333331</v>
      </c>
      <c r="J1481" t="s">
        <v>6207</v>
      </c>
      <c r="K1481">
        <v>1</v>
      </c>
      <c r="L1481">
        <v>0</v>
      </c>
      <c r="M1481" t="s">
        <v>0</v>
      </c>
      <c r="V1481">
        <v>4</v>
      </c>
      <c r="W1481">
        <v>2</v>
      </c>
      <c r="X1481">
        <v>0</v>
      </c>
      <c r="Y1481">
        <v>0</v>
      </c>
      <c r="Z1481">
        <v>0</v>
      </c>
    </row>
    <row r="1482" spans="1:26" x14ac:dyDescent="0.2">
      <c r="A1482" t="s">
        <v>1600</v>
      </c>
      <c r="B1482" t="s">
        <v>77</v>
      </c>
      <c r="C1482">
        <v>2012</v>
      </c>
      <c r="D1482" t="s">
        <v>73</v>
      </c>
      <c r="E1482" t="s">
        <v>63</v>
      </c>
      <c r="F1482" t="s">
        <v>73</v>
      </c>
      <c r="G1482">
        <v>32384</v>
      </c>
      <c r="H1482">
        <v>25907.200000000001</v>
      </c>
      <c r="I1482" s="13">
        <v>0.5714285714285714</v>
      </c>
      <c r="J1482" t="s">
        <v>6207</v>
      </c>
      <c r="K1482">
        <v>0</v>
      </c>
      <c r="L1482">
        <v>3</v>
      </c>
      <c r="M1482" t="s">
        <v>1</v>
      </c>
      <c r="V1482">
        <v>2</v>
      </c>
      <c r="W1482">
        <v>2</v>
      </c>
      <c r="X1482">
        <v>2</v>
      </c>
      <c r="Y1482">
        <v>1</v>
      </c>
      <c r="Z1482">
        <v>0</v>
      </c>
    </row>
    <row r="1483" spans="1:26" x14ac:dyDescent="0.2">
      <c r="A1483" t="s">
        <v>1601</v>
      </c>
      <c r="B1483" t="s">
        <v>68</v>
      </c>
      <c r="C1483">
        <v>2012</v>
      </c>
      <c r="D1483" t="s">
        <v>45</v>
      </c>
      <c r="E1483" t="s">
        <v>31</v>
      </c>
      <c r="F1483" t="s">
        <v>26</v>
      </c>
      <c r="G1483">
        <v>39572</v>
      </c>
      <c r="H1483">
        <v>31657.600000000002</v>
      </c>
      <c r="I1483" s="13">
        <v>0.75</v>
      </c>
      <c r="J1483" t="s">
        <v>6207</v>
      </c>
      <c r="K1483">
        <v>1</v>
      </c>
      <c r="L1483">
        <v>0</v>
      </c>
      <c r="M1483" t="s">
        <v>0</v>
      </c>
      <c r="V1483">
        <v>1</v>
      </c>
      <c r="W1483">
        <v>3</v>
      </c>
      <c r="X1483">
        <v>0</v>
      </c>
      <c r="Y1483">
        <v>0</v>
      </c>
      <c r="Z1483">
        <v>0</v>
      </c>
    </row>
    <row r="1484" spans="1:26" x14ac:dyDescent="0.2">
      <c r="A1484" t="s">
        <v>1602</v>
      </c>
      <c r="B1484" t="s">
        <v>37</v>
      </c>
      <c r="C1484">
        <v>2012</v>
      </c>
      <c r="D1484" t="s">
        <v>64</v>
      </c>
      <c r="E1484" t="s">
        <v>26</v>
      </c>
      <c r="F1484" t="s">
        <v>64</v>
      </c>
      <c r="G1484">
        <v>52264</v>
      </c>
      <c r="H1484">
        <v>41811.200000000004</v>
      </c>
      <c r="I1484" s="13">
        <v>0.33333333333333331</v>
      </c>
      <c r="J1484" t="s">
        <v>6206</v>
      </c>
      <c r="K1484">
        <v>0</v>
      </c>
      <c r="L1484">
        <v>6</v>
      </c>
      <c r="M1484" t="s">
        <v>1</v>
      </c>
      <c r="V1484">
        <v>3</v>
      </c>
      <c r="W1484">
        <v>2</v>
      </c>
      <c r="X1484">
        <v>1</v>
      </c>
      <c r="Y1484">
        <v>0</v>
      </c>
      <c r="Z1484">
        <v>0</v>
      </c>
    </row>
    <row r="1485" spans="1:26" x14ac:dyDescent="0.2">
      <c r="A1485" t="s">
        <v>1603</v>
      </c>
      <c r="B1485" t="s">
        <v>60</v>
      </c>
      <c r="C1485">
        <v>2012</v>
      </c>
      <c r="D1485" t="s">
        <v>72</v>
      </c>
      <c r="E1485" t="s">
        <v>70</v>
      </c>
      <c r="F1485" t="s">
        <v>72</v>
      </c>
      <c r="G1485">
        <v>24161</v>
      </c>
      <c r="H1485">
        <v>19328.8</v>
      </c>
      <c r="I1485" s="13">
        <v>1</v>
      </c>
      <c r="J1485" t="s">
        <v>6208</v>
      </c>
      <c r="K1485">
        <v>0</v>
      </c>
      <c r="L1485">
        <v>0</v>
      </c>
      <c r="M1485" t="s">
        <v>58</v>
      </c>
      <c r="V1485">
        <v>0</v>
      </c>
      <c r="W1485">
        <v>2</v>
      </c>
      <c r="X1485">
        <v>0</v>
      </c>
      <c r="Y1485">
        <v>0</v>
      </c>
      <c r="Z1485">
        <v>0</v>
      </c>
    </row>
    <row r="1486" spans="1:26" x14ac:dyDescent="0.2">
      <c r="A1486" t="s">
        <v>1604</v>
      </c>
      <c r="B1486" t="s">
        <v>44</v>
      </c>
      <c r="C1486">
        <v>2012</v>
      </c>
      <c r="D1486" t="s">
        <v>18</v>
      </c>
      <c r="E1486" t="s">
        <v>71</v>
      </c>
      <c r="F1486" t="s">
        <v>20</v>
      </c>
      <c r="G1486">
        <v>40341</v>
      </c>
      <c r="H1486">
        <v>32272.800000000003</v>
      </c>
      <c r="I1486" s="13">
        <v>0.25</v>
      </c>
      <c r="J1486" t="s">
        <v>6207</v>
      </c>
      <c r="K1486">
        <v>2</v>
      </c>
      <c r="L1486">
        <v>0</v>
      </c>
      <c r="M1486" t="s">
        <v>0</v>
      </c>
      <c r="V1486">
        <v>1</v>
      </c>
      <c r="W1486">
        <v>3</v>
      </c>
      <c r="X1486">
        <v>0</v>
      </c>
      <c r="Y1486">
        <v>0</v>
      </c>
      <c r="Z1486">
        <v>1</v>
      </c>
    </row>
    <row r="1487" spans="1:26" x14ac:dyDescent="0.2">
      <c r="A1487" t="s">
        <v>1605</v>
      </c>
      <c r="B1487" t="s">
        <v>52</v>
      </c>
      <c r="C1487">
        <v>2012</v>
      </c>
      <c r="D1487" t="s">
        <v>46</v>
      </c>
      <c r="E1487" t="s">
        <v>48</v>
      </c>
      <c r="F1487" t="s">
        <v>20</v>
      </c>
      <c r="G1487">
        <v>60704</v>
      </c>
      <c r="H1487">
        <v>48563.200000000004</v>
      </c>
      <c r="I1487" s="13">
        <v>0.375</v>
      </c>
      <c r="J1487" t="s">
        <v>6207</v>
      </c>
      <c r="K1487">
        <v>1</v>
      </c>
      <c r="L1487">
        <v>1</v>
      </c>
      <c r="M1487" t="s">
        <v>58</v>
      </c>
      <c r="V1487">
        <v>3</v>
      </c>
      <c r="W1487">
        <v>5</v>
      </c>
      <c r="X1487">
        <v>0</v>
      </c>
      <c r="Y1487">
        <v>0</v>
      </c>
      <c r="Z1487">
        <v>1</v>
      </c>
    </row>
    <row r="1488" spans="1:26" x14ac:dyDescent="0.2">
      <c r="A1488" t="s">
        <v>1606</v>
      </c>
      <c r="B1488" t="s">
        <v>54</v>
      </c>
      <c r="C1488">
        <v>2012</v>
      </c>
      <c r="D1488" t="s">
        <v>42</v>
      </c>
      <c r="E1488" t="s">
        <v>35</v>
      </c>
      <c r="F1488" t="s">
        <v>38</v>
      </c>
      <c r="G1488">
        <v>42918</v>
      </c>
      <c r="H1488">
        <v>34334.400000000001</v>
      </c>
      <c r="I1488" s="13">
        <v>0.5</v>
      </c>
      <c r="J1488" t="s">
        <v>6206</v>
      </c>
      <c r="K1488">
        <v>6</v>
      </c>
      <c r="L1488">
        <v>1</v>
      </c>
      <c r="M1488" t="s">
        <v>0</v>
      </c>
      <c r="V1488">
        <v>0</v>
      </c>
      <c r="W1488">
        <v>3</v>
      </c>
      <c r="X1488">
        <v>0</v>
      </c>
      <c r="Y1488">
        <v>1</v>
      </c>
      <c r="Z1488">
        <v>0</v>
      </c>
    </row>
    <row r="1489" spans="1:26" x14ac:dyDescent="0.2">
      <c r="A1489" t="s">
        <v>1607</v>
      </c>
      <c r="B1489" t="s">
        <v>52</v>
      </c>
      <c r="C1489">
        <v>2012</v>
      </c>
      <c r="D1489" t="s">
        <v>23</v>
      </c>
      <c r="E1489" t="s">
        <v>64</v>
      </c>
      <c r="F1489" t="s">
        <v>20</v>
      </c>
      <c r="G1489">
        <v>62500</v>
      </c>
      <c r="H1489">
        <v>50000</v>
      </c>
      <c r="I1489" s="13">
        <v>1</v>
      </c>
      <c r="J1489" t="s">
        <v>6207</v>
      </c>
      <c r="K1489">
        <v>0</v>
      </c>
      <c r="L1489">
        <v>0</v>
      </c>
      <c r="M1489" t="s">
        <v>58</v>
      </c>
      <c r="V1489">
        <v>1</v>
      </c>
      <c r="W1489">
        <v>1</v>
      </c>
      <c r="X1489">
        <v>0</v>
      </c>
      <c r="Y1489">
        <v>0</v>
      </c>
      <c r="Z1489">
        <v>0</v>
      </c>
    </row>
    <row r="1490" spans="1:26" x14ac:dyDescent="0.2">
      <c r="A1490" t="s">
        <v>1608</v>
      </c>
      <c r="B1490" t="s">
        <v>54</v>
      </c>
      <c r="C1490">
        <v>2012</v>
      </c>
      <c r="D1490" t="s">
        <v>63</v>
      </c>
      <c r="E1490" t="s">
        <v>43</v>
      </c>
      <c r="F1490" t="s">
        <v>65</v>
      </c>
      <c r="G1490">
        <v>26804</v>
      </c>
      <c r="H1490">
        <v>21443.200000000001</v>
      </c>
      <c r="I1490" s="13">
        <v>0.42857142857142855</v>
      </c>
      <c r="J1490" t="s">
        <v>6206</v>
      </c>
      <c r="K1490">
        <v>2</v>
      </c>
      <c r="L1490">
        <v>3</v>
      </c>
      <c r="M1490" t="s">
        <v>1</v>
      </c>
      <c r="V1490">
        <v>4</v>
      </c>
      <c r="W1490">
        <v>3</v>
      </c>
      <c r="X1490">
        <v>0</v>
      </c>
      <c r="Y1490">
        <v>0</v>
      </c>
      <c r="Z1490">
        <v>0</v>
      </c>
    </row>
    <row r="1491" spans="1:26" x14ac:dyDescent="0.2">
      <c r="A1491" t="s">
        <v>1609</v>
      </c>
      <c r="B1491" t="s">
        <v>44</v>
      </c>
      <c r="C1491">
        <v>2012</v>
      </c>
      <c r="D1491" t="s">
        <v>51</v>
      </c>
      <c r="E1491" t="s">
        <v>73</v>
      </c>
      <c r="F1491" t="s">
        <v>20</v>
      </c>
      <c r="G1491">
        <v>36284</v>
      </c>
      <c r="H1491">
        <v>29027.200000000001</v>
      </c>
      <c r="I1491" s="13">
        <v>0</v>
      </c>
      <c r="J1491" t="s">
        <v>6207</v>
      </c>
      <c r="K1491">
        <v>1</v>
      </c>
      <c r="L1491">
        <v>0</v>
      </c>
      <c r="M1491" t="s">
        <v>0</v>
      </c>
      <c r="V1491">
        <v>1</v>
      </c>
      <c r="W1491">
        <v>1</v>
      </c>
      <c r="X1491">
        <v>0</v>
      </c>
      <c r="Y1491">
        <v>0</v>
      </c>
      <c r="Z1491">
        <v>0</v>
      </c>
    </row>
    <row r="1492" spans="1:26" x14ac:dyDescent="0.2">
      <c r="A1492" t="s">
        <v>1610</v>
      </c>
      <c r="B1492" t="s">
        <v>53</v>
      </c>
      <c r="C1492">
        <v>2012</v>
      </c>
      <c r="D1492" t="s">
        <v>71</v>
      </c>
      <c r="E1492" t="s">
        <v>40</v>
      </c>
      <c r="F1492" t="s">
        <v>71</v>
      </c>
      <c r="G1492">
        <v>21088</v>
      </c>
      <c r="H1492">
        <v>16870.400000000001</v>
      </c>
      <c r="I1492" s="13">
        <v>0</v>
      </c>
      <c r="J1492" t="s">
        <v>6207</v>
      </c>
      <c r="K1492">
        <v>0</v>
      </c>
      <c r="L1492">
        <v>0</v>
      </c>
      <c r="M1492" t="s">
        <v>58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 x14ac:dyDescent="0.2">
      <c r="A1493" t="s">
        <v>1611</v>
      </c>
      <c r="B1493" t="s">
        <v>60</v>
      </c>
      <c r="C1493">
        <v>2012</v>
      </c>
      <c r="D1493" t="s">
        <v>69</v>
      </c>
      <c r="E1493" t="s">
        <v>42</v>
      </c>
      <c r="F1493" t="s">
        <v>69</v>
      </c>
      <c r="G1493">
        <v>27359</v>
      </c>
      <c r="H1493">
        <v>21887.200000000001</v>
      </c>
      <c r="I1493" s="13">
        <v>0.2</v>
      </c>
      <c r="J1493" t="s">
        <v>6208</v>
      </c>
      <c r="K1493">
        <v>1</v>
      </c>
      <c r="L1493">
        <v>2</v>
      </c>
      <c r="M1493" t="s">
        <v>1</v>
      </c>
      <c r="V1493">
        <v>2</v>
      </c>
      <c r="W1493">
        <v>3</v>
      </c>
      <c r="X1493">
        <v>0</v>
      </c>
      <c r="Y1493">
        <v>0</v>
      </c>
      <c r="Z1493">
        <v>1</v>
      </c>
    </row>
    <row r="1494" spans="1:26" x14ac:dyDescent="0.2">
      <c r="A1494" t="s">
        <v>1612</v>
      </c>
      <c r="B1494" t="s">
        <v>67</v>
      </c>
      <c r="C1494">
        <v>2012</v>
      </c>
      <c r="D1494" t="s">
        <v>31</v>
      </c>
      <c r="E1494" t="s">
        <v>72</v>
      </c>
      <c r="F1494" t="s">
        <v>20</v>
      </c>
      <c r="G1494">
        <v>28500</v>
      </c>
      <c r="H1494">
        <v>22800</v>
      </c>
      <c r="I1494" s="13">
        <v>1</v>
      </c>
      <c r="J1494" t="s">
        <v>6207</v>
      </c>
      <c r="K1494">
        <v>2</v>
      </c>
      <c r="L1494">
        <v>4</v>
      </c>
      <c r="M1494" t="s">
        <v>1</v>
      </c>
      <c r="V1494">
        <v>2</v>
      </c>
      <c r="W1494">
        <v>1</v>
      </c>
      <c r="X1494">
        <v>0</v>
      </c>
      <c r="Y1494">
        <v>0</v>
      </c>
      <c r="Z1494">
        <v>1</v>
      </c>
    </row>
    <row r="1495" spans="1:26" x14ac:dyDescent="0.2">
      <c r="A1495" t="s">
        <v>1613</v>
      </c>
      <c r="B1495" t="s">
        <v>68</v>
      </c>
      <c r="C1495">
        <v>2012</v>
      </c>
      <c r="D1495" t="s">
        <v>70</v>
      </c>
      <c r="E1495" t="s">
        <v>46</v>
      </c>
      <c r="F1495" t="s">
        <v>20</v>
      </c>
      <c r="G1495">
        <v>18439</v>
      </c>
      <c r="H1495">
        <v>14751.2</v>
      </c>
      <c r="I1495" s="13">
        <v>0.33333333333333331</v>
      </c>
      <c r="J1495" t="s">
        <v>6207</v>
      </c>
      <c r="K1495">
        <v>0</v>
      </c>
      <c r="L1495">
        <v>1</v>
      </c>
      <c r="M1495" t="s">
        <v>1</v>
      </c>
      <c r="V1495">
        <v>2</v>
      </c>
      <c r="W1495">
        <v>1</v>
      </c>
      <c r="X1495">
        <v>0</v>
      </c>
      <c r="Y1495">
        <v>0</v>
      </c>
      <c r="Z1495">
        <v>0</v>
      </c>
    </row>
    <row r="1496" spans="1:26" x14ac:dyDescent="0.2">
      <c r="A1496" t="s">
        <v>1614</v>
      </c>
      <c r="B1496" t="s">
        <v>66</v>
      </c>
      <c r="C1496">
        <v>2012</v>
      </c>
      <c r="D1496" t="s">
        <v>26</v>
      </c>
      <c r="E1496" t="s">
        <v>45</v>
      </c>
      <c r="F1496" t="s">
        <v>26</v>
      </c>
      <c r="G1496">
        <v>61276</v>
      </c>
      <c r="H1496">
        <v>49020.800000000003</v>
      </c>
      <c r="I1496" s="13">
        <v>0.66666666666666663</v>
      </c>
      <c r="J1496" t="s">
        <v>6207</v>
      </c>
      <c r="K1496">
        <v>0</v>
      </c>
      <c r="L1496">
        <v>0</v>
      </c>
      <c r="M1496" t="s">
        <v>58</v>
      </c>
      <c r="V1496">
        <v>1</v>
      </c>
      <c r="W1496">
        <v>2</v>
      </c>
      <c r="X1496">
        <v>0</v>
      </c>
      <c r="Y1496">
        <v>0</v>
      </c>
      <c r="Z1496">
        <v>0</v>
      </c>
    </row>
    <row r="1497" spans="1:26" x14ac:dyDescent="0.2">
      <c r="A1497" t="s">
        <v>1615</v>
      </c>
      <c r="B1497" t="s">
        <v>56</v>
      </c>
      <c r="C1497">
        <v>2012</v>
      </c>
      <c r="D1497" t="s">
        <v>48</v>
      </c>
      <c r="E1497" t="s">
        <v>18</v>
      </c>
      <c r="F1497" t="s">
        <v>49</v>
      </c>
      <c r="G1497">
        <v>74197</v>
      </c>
      <c r="H1497">
        <v>59357.600000000006</v>
      </c>
      <c r="I1497" s="13">
        <v>0.75</v>
      </c>
      <c r="J1497" t="s">
        <v>6207</v>
      </c>
      <c r="K1497">
        <v>0</v>
      </c>
      <c r="L1497">
        <v>1</v>
      </c>
      <c r="M1497" t="s">
        <v>1</v>
      </c>
      <c r="V1497">
        <v>2</v>
      </c>
      <c r="W1497">
        <v>1</v>
      </c>
      <c r="X1497">
        <v>1</v>
      </c>
      <c r="Y1497">
        <v>0</v>
      </c>
      <c r="Z1497">
        <v>0</v>
      </c>
    </row>
    <row r="1498" spans="1:26" x14ac:dyDescent="0.2">
      <c r="A1498" t="s">
        <v>1616</v>
      </c>
      <c r="B1498" t="s">
        <v>50</v>
      </c>
      <c r="C1498">
        <v>2012</v>
      </c>
      <c r="D1498" t="s">
        <v>35</v>
      </c>
      <c r="E1498" t="s">
        <v>27</v>
      </c>
      <c r="F1498" t="s">
        <v>35</v>
      </c>
      <c r="G1498">
        <v>49000</v>
      </c>
      <c r="H1498">
        <v>39200</v>
      </c>
      <c r="I1498" s="13">
        <v>0.6</v>
      </c>
      <c r="J1498" t="s">
        <v>6207</v>
      </c>
      <c r="K1498">
        <v>1</v>
      </c>
      <c r="L1498">
        <v>1</v>
      </c>
      <c r="M1498" t="s">
        <v>58</v>
      </c>
      <c r="V1498">
        <v>2</v>
      </c>
      <c r="W1498">
        <v>2</v>
      </c>
      <c r="X1498">
        <v>1</v>
      </c>
      <c r="Y1498">
        <v>0</v>
      </c>
      <c r="Z1498">
        <v>0</v>
      </c>
    </row>
    <row r="1499" spans="1:26" x14ac:dyDescent="0.2">
      <c r="A1499" t="s">
        <v>1617</v>
      </c>
      <c r="B1499" t="s">
        <v>60</v>
      </c>
      <c r="C1499">
        <v>2012</v>
      </c>
      <c r="D1499" t="s">
        <v>43</v>
      </c>
      <c r="E1499" t="s">
        <v>71</v>
      </c>
      <c r="F1499" t="s">
        <v>43</v>
      </c>
      <c r="G1499">
        <v>25138</v>
      </c>
      <c r="H1499">
        <v>20110.400000000001</v>
      </c>
      <c r="I1499" s="13">
        <v>0.75</v>
      </c>
      <c r="J1499" t="s">
        <v>6208</v>
      </c>
      <c r="K1499">
        <v>2</v>
      </c>
      <c r="L1499">
        <v>3</v>
      </c>
      <c r="M1499" t="s">
        <v>1</v>
      </c>
      <c r="V1499">
        <v>2</v>
      </c>
      <c r="W1499">
        <v>2</v>
      </c>
      <c r="X1499">
        <v>0</v>
      </c>
      <c r="Y1499">
        <v>0</v>
      </c>
      <c r="Z1499">
        <v>0</v>
      </c>
    </row>
    <row r="1500" spans="1:26" x14ac:dyDescent="0.2">
      <c r="A1500" t="s">
        <v>1618</v>
      </c>
      <c r="B1500" t="s">
        <v>52</v>
      </c>
      <c r="C1500">
        <v>2012</v>
      </c>
      <c r="D1500" t="s">
        <v>40</v>
      </c>
      <c r="E1500" t="s">
        <v>63</v>
      </c>
      <c r="F1500" t="s">
        <v>49</v>
      </c>
      <c r="G1500">
        <v>53400</v>
      </c>
      <c r="H1500">
        <v>42720</v>
      </c>
      <c r="I1500" s="13">
        <v>1</v>
      </c>
      <c r="J1500" t="s">
        <v>6207</v>
      </c>
      <c r="K1500">
        <v>1</v>
      </c>
      <c r="L1500">
        <v>0</v>
      </c>
      <c r="M1500" t="s">
        <v>0</v>
      </c>
      <c r="V1500">
        <v>2</v>
      </c>
      <c r="W1500">
        <v>1</v>
      </c>
      <c r="X1500">
        <v>0</v>
      </c>
      <c r="Y1500">
        <v>0</v>
      </c>
      <c r="Z1500">
        <v>0</v>
      </c>
    </row>
    <row r="1501" spans="1:26" x14ac:dyDescent="0.2">
      <c r="A1501" t="s">
        <v>1619</v>
      </c>
      <c r="B1501" t="s">
        <v>41</v>
      </c>
      <c r="C1501">
        <v>2012</v>
      </c>
      <c r="D1501" t="s">
        <v>18</v>
      </c>
      <c r="E1501" t="s">
        <v>51</v>
      </c>
      <c r="F1501" t="s">
        <v>20</v>
      </c>
      <c r="G1501">
        <v>40341</v>
      </c>
      <c r="H1501">
        <v>32272.800000000003</v>
      </c>
      <c r="I1501" s="13">
        <v>0.66666666666666663</v>
      </c>
      <c r="J1501" t="s">
        <v>6207</v>
      </c>
      <c r="K1501">
        <v>2</v>
      </c>
      <c r="L1501">
        <v>2</v>
      </c>
      <c r="M1501" t="s">
        <v>58</v>
      </c>
      <c r="V1501">
        <v>1</v>
      </c>
      <c r="W1501">
        <v>2</v>
      </c>
      <c r="X1501">
        <v>0</v>
      </c>
      <c r="Y1501">
        <v>0</v>
      </c>
      <c r="Z1501">
        <v>0</v>
      </c>
    </row>
    <row r="1502" spans="1:26" x14ac:dyDescent="0.2">
      <c r="A1502" t="s">
        <v>1620</v>
      </c>
      <c r="B1502" t="s">
        <v>50</v>
      </c>
      <c r="C1502">
        <v>2012</v>
      </c>
      <c r="D1502" t="s">
        <v>42</v>
      </c>
      <c r="E1502" t="s">
        <v>18</v>
      </c>
      <c r="F1502" t="s">
        <v>38</v>
      </c>
      <c r="G1502">
        <v>42918</v>
      </c>
      <c r="H1502">
        <v>34334.400000000001</v>
      </c>
      <c r="I1502" s="13">
        <v>0.2857142857142857</v>
      </c>
      <c r="J1502" t="s">
        <v>6207</v>
      </c>
      <c r="K1502">
        <v>1</v>
      </c>
      <c r="L1502">
        <v>2</v>
      </c>
      <c r="M1502" t="s">
        <v>1</v>
      </c>
      <c r="V1502">
        <v>2</v>
      </c>
      <c r="W1502">
        <v>3</v>
      </c>
      <c r="X1502">
        <v>1</v>
      </c>
      <c r="Y1502">
        <v>1</v>
      </c>
      <c r="Z1502">
        <v>0</v>
      </c>
    </row>
    <row r="1503" spans="1:26" x14ac:dyDescent="0.2">
      <c r="A1503" t="s">
        <v>1621</v>
      </c>
      <c r="B1503" t="s">
        <v>60</v>
      </c>
      <c r="C1503">
        <v>2012</v>
      </c>
      <c r="D1503" t="s">
        <v>27</v>
      </c>
      <c r="E1503" t="s">
        <v>51</v>
      </c>
      <c r="F1503" t="s">
        <v>27</v>
      </c>
      <c r="G1503">
        <v>30089</v>
      </c>
      <c r="H1503">
        <v>24071.200000000001</v>
      </c>
      <c r="I1503" s="13">
        <v>0.33333333333333331</v>
      </c>
      <c r="J1503" t="s">
        <v>6208</v>
      </c>
      <c r="K1503">
        <v>1</v>
      </c>
      <c r="L1503">
        <v>2</v>
      </c>
      <c r="M1503" t="s">
        <v>1</v>
      </c>
      <c r="V1503">
        <v>4</v>
      </c>
      <c r="W1503">
        <v>1</v>
      </c>
      <c r="X1503">
        <v>1</v>
      </c>
      <c r="Y1503">
        <v>0</v>
      </c>
      <c r="Z1503">
        <v>0</v>
      </c>
    </row>
    <row r="1504" spans="1:26" x14ac:dyDescent="0.2">
      <c r="A1504" t="s">
        <v>1622</v>
      </c>
      <c r="B1504" t="s">
        <v>41</v>
      </c>
      <c r="C1504">
        <v>2012</v>
      </c>
      <c r="D1504" t="s">
        <v>35</v>
      </c>
      <c r="E1504" t="s">
        <v>73</v>
      </c>
      <c r="F1504" t="s">
        <v>35</v>
      </c>
      <c r="G1504">
        <v>49000</v>
      </c>
      <c r="H1504">
        <v>39200</v>
      </c>
      <c r="I1504" s="13">
        <v>0.5</v>
      </c>
      <c r="J1504" t="s">
        <v>6207</v>
      </c>
      <c r="K1504">
        <v>1</v>
      </c>
      <c r="L1504">
        <v>1</v>
      </c>
      <c r="M1504" t="s">
        <v>58</v>
      </c>
      <c r="V1504">
        <v>0</v>
      </c>
      <c r="W1504">
        <v>2</v>
      </c>
      <c r="X1504">
        <v>0</v>
      </c>
      <c r="Y1504">
        <v>0</v>
      </c>
      <c r="Z1504">
        <v>0</v>
      </c>
    </row>
    <row r="1505" spans="1:26" x14ac:dyDescent="0.2">
      <c r="A1505" t="s">
        <v>1623</v>
      </c>
      <c r="B1505" t="s">
        <v>54</v>
      </c>
      <c r="C1505">
        <v>2012</v>
      </c>
      <c r="D1505" t="s">
        <v>70</v>
      </c>
      <c r="E1505" t="s">
        <v>64</v>
      </c>
      <c r="F1505" t="s">
        <v>20</v>
      </c>
      <c r="G1505">
        <v>18439</v>
      </c>
      <c r="H1505">
        <v>14751.2</v>
      </c>
      <c r="I1505" s="13">
        <v>0.6</v>
      </c>
      <c r="J1505" t="s">
        <v>6206</v>
      </c>
      <c r="K1505">
        <v>1</v>
      </c>
      <c r="L1505">
        <v>2</v>
      </c>
      <c r="M1505" t="s">
        <v>1</v>
      </c>
      <c r="V1505">
        <v>1</v>
      </c>
      <c r="W1505">
        <v>3</v>
      </c>
      <c r="X1505">
        <v>0</v>
      </c>
      <c r="Y1505">
        <v>1</v>
      </c>
      <c r="Z1505">
        <v>2</v>
      </c>
    </row>
    <row r="1506" spans="1:26" x14ac:dyDescent="0.2">
      <c r="A1506" t="s">
        <v>1624</v>
      </c>
      <c r="B1506" t="s">
        <v>56</v>
      </c>
      <c r="C1506">
        <v>2012</v>
      </c>
      <c r="D1506" t="s">
        <v>69</v>
      </c>
      <c r="E1506" t="s">
        <v>63</v>
      </c>
      <c r="F1506" t="s">
        <v>69</v>
      </c>
      <c r="G1506">
        <v>27359</v>
      </c>
      <c r="H1506">
        <v>21887.200000000001</v>
      </c>
      <c r="I1506" s="13">
        <v>0.66666666666666663</v>
      </c>
      <c r="J1506" t="s">
        <v>6207</v>
      </c>
      <c r="K1506">
        <v>4</v>
      </c>
      <c r="L1506">
        <v>0</v>
      </c>
      <c r="M1506" t="s">
        <v>0</v>
      </c>
      <c r="V1506">
        <v>2</v>
      </c>
      <c r="W1506">
        <v>1</v>
      </c>
      <c r="X1506">
        <v>0</v>
      </c>
      <c r="Y1506">
        <v>0</v>
      </c>
      <c r="Z1506">
        <v>0</v>
      </c>
    </row>
    <row r="1507" spans="1:26" x14ac:dyDescent="0.2">
      <c r="A1507" t="s">
        <v>1625</v>
      </c>
      <c r="B1507" t="s">
        <v>47</v>
      </c>
      <c r="C1507">
        <v>2012</v>
      </c>
      <c r="D1507" t="s">
        <v>31</v>
      </c>
      <c r="E1507" t="s">
        <v>26</v>
      </c>
      <c r="F1507" t="s">
        <v>20</v>
      </c>
      <c r="G1507">
        <v>28500</v>
      </c>
      <c r="H1507">
        <v>22800</v>
      </c>
      <c r="I1507" s="13">
        <v>0</v>
      </c>
      <c r="J1507" t="s">
        <v>6208</v>
      </c>
      <c r="K1507">
        <v>1</v>
      </c>
      <c r="L1507">
        <v>3</v>
      </c>
      <c r="M1507" t="s">
        <v>1</v>
      </c>
      <c r="V1507">
        <v>0</v>
      </c>
      <c r="W1507">
        <v>1</v>
      </c>
      <c r="X1507">
        <v>0</v>
      </c>
      <c r="Y1507">
        <v>0</v>
      </c>
      <c r="Z1507">
        <v>0</v>
      </c>
    </row>
    <row r="1508" spans="1:26" x14ac:dyDescent="0.2">
      <c r="A1508" t="s">
        <v>1626</v>
      </c>
      <c r="B1508" t="s">
        <v>52</v>
      </c>
      <c r="C1508">
        <v>2012</v>
      </c>
      <c r="D1508" t="s">
        <v>45</v>
      </c>
      <c r="E1508" t="s">
        <v>23</v>
      </c>
      <c r="F1508" t="s">
        <v>26</v>
      </c>
      <c r="G1508">
        <v>39572</v>
      </c>
      <c r="H1508">
        <v>31657.600000000002</v>
      </c>
      <c r="I1508" s="13">
        <v>0.66666666666666663</v>
      </c>
      <c r="J1508" t="s">
        <v>6207</v>
      </c>
      <c r="K1508">
        <v>2</v>
      </c>
      <c r="L1508">
        <v>0</v>
      </c>
      <c r="M1508" t="s">
        <v>0</v>
      </c>
      <c r="V1508">
        <v>1</v>
      </c>
      <c r="W1508">
        <v>2</v>
      </c>
      <c r="X1508">
        <v>0</v>
      </c>
      <c r="Y1508">
        <v>0</v>
      </c>
      <c r="Z1508">
        <v>0</v>
      </c>
    </row>
    <row r="1509" spans="1:26" x14ac:dyDescent="0.2">
      <c r="A1509" t="s">
        <v>1627</v>
      </c>
      <c r="B1509" t="s">
        <v>68</v>
      </c>
      <c r="C1509">
        <v>2012</v>
      </c>
      <c r="D1509" t="s">
        <v>48</v>
      </c>
      <c r="E1509" t="s">
        <v>71</v>
      </c>
      <c r="F1509" t="s">
        <v>49</v>
      </c>
      <c r="G1509">
        <v>74197</v>
      </c>
      <c r="H1509">
        <v>59357.600000000006</v>
      </c>
      <c r="I1509" s="13">
        <v>0</v>
      </c>
      <c r="J1509" t="s">
        <v>6207</v>
      </c>
      <c r="K1509">
        <v>2</v>
      </c>
      <c r="L1509">
        <v>1</v>
      </c>
      <c r="M1509" t="s">
        <v>0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 x14ac:dyDescent="0.2">
      <c r="A1510" t="s">
        <v>1628</v>
      </c>
      <c r="B1510" t="s">
        <v>41</v>
      </c>
      <c r="C1510">
        <v>2012</v>
      </c>
      <c r="D1510" t="s">
        <v>46</v>
      </c>
      <c r="E1510" t="s">
        <v>43</v>
      </c>
      <c r="F1510" t="s">
        <v>20</v>
      </c>
      <c r="G1510">
        <v>60704</v>
      </c>
      <c r="H1510">
        <v>48563.200000000004</v>
      </c>
      <c r="I1510" s="13">
        <v>0.5</v>
      </c>
      <c r="J1510" t="s">
        <v>6207</v>
      </c>
      <c r="K1510">
        <v>4</v>
      </c>
      <c r="L1510">
        <v>1</v>
      </c>
      <c r="M1510" t="s">
        <v>0</v>
      </c>
      <c r="V1510">
        <v>0</v>
      </c>
      <c r="W1510">
        <v>2</v>
      </c>
      <c r="X1510">
        <v>0</v>
      </c>
      <c r="Y1510">
        <v>0</v>
      </c>
      <c r="Z1510">
        <v>0</v>
      </c>
    </row>
    <row r="1511" spans="1:26" x14ac:dyDescent="0.2">
      <c r="A1511" t="s">
        <v>1629</v>
      </c>
      <c r="B1511" t="s">
        <v>32</v>
      </c>
      <c r="C1511">
        <v>2012</v>
      </c>
      <c r="D1511" t="s">
        <v>72</v>
      </c>
      <c r="E1511" t="s">
        <v>40</v>
      </c>
      <c r="F1511" t="s">
        <v>72</v>
      </c>
      <c r="G1511">
        <v>24161</v>
      </c>
      <c r="H1511">
        <v>19328.8</v>
      </c>
      <c r="I1511" s="13">
        <v>0</v>
      </c>
      <c r="J1511" t="s">
        <v>6207</v>
      </c>
      <c r="K1511">
        <v>0</v>
      </c>
      <c r="L1511">
        <v>2</v>
      </c>
      <c r="M1511" t="s">
        <v>1</v>
      </c>
      <c r="V1511">
        <v>0</v>
      </c>
      <c r="W1511">
        <v>1</v>
      </c>
      <c r="X1511">
        <v>0</v>
      </c>
      <c r="Y1511">
        <v>0</v>
      </c>
      <c r="Z1511">
        <v>0</v>
      </c>
    </row>
    <row r="1512" spans="1:26" x14ac:dyDescent="0.2">
      <c r="A1512" t="s">
        <v>1630</v>
      </c>
      <c r="B1512" t="s">
        <v>67</v>
      </c>
      <c r="C1512">
        <v>2012</v>
      </c>
      <c r="D1512" t="s">
        <v>43</v>
      </c>
      <c r="E1512" t="s">
        <v>42</v>
      </c>
      <c r="F1512" t="s">
        <v>43</v>
      </c>
      <c r="G1512">
        <v>25138</v>
      </c>
      <c r="H1512">
        <v>20110.400000000001</v>
      </c>
      <c r="I1512" s="13">
        <v>0.66666666666666663</v>
      </c>
      <c r="J1512" t="s">
        <v>6207</v>
      </c>
      <c r="K1512">
        <v>2</v>
      </c>
      <c r="L1512">
        <v>2</v>
      </c>
      <c r="M1512" t="s">
        <v>58</v>
      </c>
      <c r="V1512">
        <v>2</v>
      </c>
      <c r="W1512">
        <v>1</v>
      </c>
      <c r="X1512">
        <v>0</v>
      </c>
      <c r="Y1512">
        <v>0</v>
      </c>
      <c r="Z1512">
        <v>0</v>
      </c>
    </row>
    <row r="1513" spans="1:26" x14ac:dyDescent="0.2">
      <c r="A1513" t="s">
        <v>1631</v>
      </c>
      <c r="B1513" t="s">
        <v>41</v>
      </c>
      <c r="C1513">
        <v>2012</v>
      </c>
      <c r="D1513" t="s">
        <v>23</v>
      </c>
      <c r="E1513" t="s">
        <v>72</v>
      </c>
      <c r="F1513" t="s">
        <v>20</v>
      </c>
      <c r="G1513">
        <v>62500</v>
      </c>
      <c r="H1513">
        <v>50000</v>
      </c>
      <c r="I1513" s="13">
        <v>0.33333333333333331</v>
      </c>
      <c r="J1513" t="s">
        <v>6207</v>
      </c>
      <c r="K1513">
        <v>4</v>
      </c>
      <c r="L1513">
        <v>2</v>
      </c>
      <c r="M1513" t="s">
        <v>0</v>
      </c>
      <c r="V1513">
        <v>2</v>
      </c>
      <c r="W1513">
        <v>1</v>
      </c>
      <c r="X1513">
        <v>0</v>
      </c>
      <c r="Y1513">
        <v>0</v>
      </c>
      <c r="Z1513">
        <v>0</v>
      </c>
    </row>
    <row r="1514" spans="1:26" x14ac:dyDescent="0.2">
      <c r="A1514" t="s">
        <v>1632</v>
      </c>
      <c r="B1514" t="s">
        <v>66</v>
      </c>
      <c r="C1514">
        <v>2012</v>
      </c>
      <c r="D1514" t="s">
        <v>63</v>
      </c>
      <c r="E1514" t="s">
        <v>48</v>
      </c>
      <c r="F1514" t="s">
        <v>65</v>
      </c>
      <c r="G1514">
        <v>26804</v>
      </c>
      <c r="H1514">
        <v>21443.200000000001</v>
      </c>
      <c r="I1514" s="13">
        <v>0</v>
      </c>
      <c r="J1514" t="s">
        <v>6207</v>
      </c>
      <c r="K1514">
        <v>5</v>
      </c>
      <c r="L1514">
        <v>5</v>
      </c>
      <c r="M1514" t="s">
        <v>58</v>
      </c>
      <c r="V1514">
        <v>0</v>
      </c>
      <c r="W1514">
        <v>1</v>
      </c>
      <c r="X1514">
        <v>0</v>
      </c>
      <c r="Y1514">
        <v>0</v>
      </c>
      <c r="Z1514">
        <v>0</v>
      </c>
    </row>
    <row r="1515" spans="1:26" x14ac:dyDescent="0.2">
      <c r="A1515" t="s">
        <v>1633</v>
      </c>
      <c r="B1515" t="s">
        <v>37</v>
      </c>
      <c r="C1515">
        <v>2012</v>
      </c>
      <c r="D1515" t="s">
        <v>51</v>
      </c>
      <c r="E1515" t="s">
        <v>35</v>
      </c>
      <c r="F1515" t="s">
        <v>20</v>
      </c>
      <c r="G1515">
        <v>36284</v>
      </c>
      <c r="H1515">
        <v>29027.200000000001</v>
      </c>
      <c r="I1515" s="13">
        <v>0.4</v>
      </c>
      <c r="J1515" t="s">
        <v>6206</v>
      </c>
      <c r="K1515">
        <v>1</v>
      </c>
      <c r="L1515">
        <v>0</v>
      </c>
      <c r="M1515" t="s">
        <v>0</v>
      </c>
      <c r="V1515">
        <v>1</v>
      </c>
      <c r="W1515">
        <v>3</v>
      </c>
      <c r="X1515">
        <v>0</v>
      </c>
      <c r="Y1515">
        <v>1</v>
      </c>
      <c r="Z1515">
        <v>0</v>
      </c>
    </row>
    <row r="1516" spans="1:26" x14ac:dyDescent="0.2">
      <c r="A1516" t="s">
        <v>1634</v>
      </c>
      <c r="B1516" t="s">
        <v>50</v>
      </c>
      <c r="C1516">
        <v>2012</v>
      </c>
      <c r="D1516" t="s">
        <v>71</v>
      </c>
      <c r="E1516" t="s">
        <v>31</v>
      </c>
      <c r="F1516" t="s">
        <v>71</v>
      </c>
      <c r="G1516">
        <v>21088</v>
      </c>
      <c r="H1516">
        <v>16870.400000000001</v>
      </c>
      <c r="I1516" s="13">
        <v>1</v>
      </c>
      <c r="J1516" t="s">
        <v>6207</v>
      </c>
      <c r="K1516">
        <v>0</v>
      </c>
      <c r="L1516">
        <v>3</v>
      </c>
      <c r="M1516" t="s">
        <v>1</v>
      </c>
      <c r="V1516">
        <v>2</v>
      </c>
      <c r="W1516">
        <v>1</v>
      </c>
      <c r="X1516">
        <v>0</v>
      </c>
      <c r="Y1516">
        <v>0</v>
      </c>
      <c r="Z1516">
        <v>0</v>
      </c>
    </row>
    <row r="1517" spans="1:26" x14ac:dyDescent="0.2">
      <c r="A1517" t="s">
        <v>1635</v>
      </c>
      <c r="B1517" t="s">
        <v>54</v>
      </c>
      <c r="C1517">
        <v>2012</v>
      </c>
      <c r="D1517" t="s">
        <v>73</v>
      </c>
      <c r="E1517" t="s">
        <v>27</v>
      </c>
      <c r="F1517" t="s">
        <v>73</v>
      </c>
      <c r="G1517">
        <v>32384</v>
      </c>
      <c r="H1517">
        <v>25907.200000000001</v>
      </c>
      <c r="I1517" s="13">
        <v>0.5</v>
      </c>
      <c r="J1517" t="s">
        <v>6206</v>
      </c>
      <c r="K1517">
        <v>1</v>
      </c>
      <c r="L1517">
        <v>1</v>
      </c>
      <c r="M1517" t="s">
        <v>58</v>
      </c>
      <c r="V1517">
        <v>0</v>
      </c>
      <c r="W1517">
        <v>2</v>
      </c>
      <c r="X1517">
        <v>0</v>
      </c>
      <c r="Y1517">
        <v>0</v>
      </c>
      <c r="Z1517">
        <v>0</v>
      </c>
    </row>
    <row r="1518" spans="1:26" x14ac:dyDescent="0.2">
      <c r="A1518" t="s">
        <v>1636</v>
      </c>
      <c r="B1518" t="s">
        <v>56</v>
      </c>
      <c r="C1518">
        <v>2012</v>
      </c>
      <c r="D1518" t="s">
        <v>64</v>
      </c>
      <c r="E1518" t="s">
        <v>46</v>
      </c>
      <c r="F1518" t="s">
        <v>64</v>
      </c>
      <c r="G1518">
        <v>52264</v>
      </c>
      <c r="H1518">
        <v>41811.200000000004</v>
      </c>
      <c r="I1518" s="13">
        <v>0.66666666666666663</v>
      </c>
      <c r="J1518" t="s">
        <v>6207</v>
      </c>
      <c r="K1518">
        <v>0</v>
      </c>
      <c r="L1518">
        <v>1</v>
      </c>
      <c r="M1518" t="s">
        <v>1</v>
      </c>
      <c r="V1518">
        <v>1</v>
      </c>
      <c r="W1518">
        <v>2</v>
      </c>
      <c r="X1518">
        <v>0</v>
      </c>
      <c r="Y1518">
        <v>0</v>
      </c>
      <c r="Z1518">
        <v>0</v>
      </c>
    </row>
    <row r="1519" spans="1:26" x14ac:dyDescent="0.2">
      <c r="A1519" t="s">
        <v>1637</v>
      </c>
      <c r="B1519" t="s">
        <v>47</v>
      </c>
      <c r="C1519">
        <v>2012</v>
      </c>
      <c r="D1519" t="s">
        <v>40</v>
      </c>
      <c r="E1519" t="s">
        <v>69</v>
      </c>
      <c r="F1519" t="s">
        <v>49</v>
      </c>
      <c r="G1519">
        <v>53400</v>
      </c>
      <c r="H1519">
        <v>42720</v>
      </c>
      <c r="I1519" s="13">
        <v>0</v>
      </c>
      <c r="J1519" t="s">
        <v>6208</v>
      </c>
      <c r="K1519">
        <v>2</v>
      </c>
      <c r="L1519">
        <v>3</v>
      </c>
      <c r="M1519" t="s">
        <v>1</v>
      </c>
      <c r="V1519">
        <v>1</v>
      </c>
      <c r="W1519">
        <v>0</v>
      </c>
      <c r="X1519">
        <v>0</v>
      </c>
      <c r="Y1519">
        <v>0</v>
      </c>
      <c r="Z1519">
        <v>0</v>
      </c>
    </row>
    <row r="1520" spans="1:26" x14ac:dyDescent="0.2">
      <c r="A1520" t="s">
        <v>1638</v>
      </c>
      <c r="B1520" t="s">
        <v>32</v>
      </c>
      <c r="C1520">
        <v>2012</v>
      </c>
      <c r="D1520" t="s">
        <v>26</v>
      </c>
      <c r="E1520" t="s">
        <v>70</v>
      </c>
      <c r="F1520" t="s">
        <v>26</v>
      </c>
      <c r="G1520">
        <v>61276</v>
      </c>
      <c r="H1520">
        <v>49020.800000000003</v>
      </c>
      <c r="I1520" s="13">
        <v>0.25</v>
      </c>
      <c r="J1520" t="s">
        <v>6207</v>
      </c>
      <c r="K1520">
        <v>1</v>
      </c>
      <c r="L1520">
        <v>0</v>
      </c>
      <c r="M1520" t="s">
        <v>0</v>
      </c>
      <c r="V1520">
        <v>1</v>
      </c>
      <c r="W1520">
        <v>3</v>
      </c>
      <c r="X1520">
        <v>0</v>
      </c>
      <c r="Y1520">
        <v>0</v>
      </c>
      <c r="Z1520">
        <v>0</v>
      </c>
    </row>
    <row r="1521" spans="1:26" x14ac:dyDescent="0.2">
      <c r="A1521" t="s">
        <v>1639</v>
      </c>
      <c r="B1521" t="s">
        <v>61</v>
      </c>
      <c r="C1521">
        <v>2012</v>
      </c>
      <c r="D1521" t="s">
        <v>18</v>
      </c>
      <c r="E1521" t="s">
        <v>45</v>
      </c>
      <c r="F1521" t="s">
        <v>20</v>
      </c>
      <c r="G1521">
        <v>40341</v>
      </c>
      <c r="H1521">
        <v>32272.800000000003</v>
      </c>
      <c r="I1521" s="13">
        <v>1</v>
      </c>
      <c r="J1521" t="s">
        <v>6207</v>
      </c>
      <c r="K1521">
        <v>2</v>
      </c>
      <c r="L1521">
        <v>1</v>
      </c>
      <c r="M1521" t="s">
        <v>0</v>
      </c>
      <c r="V1521">
        <v>2</v>
      </c>
      <c r="W1521">
        <v>2</v>
      </c>
      <c r="X1521">
        <v>0</v>
      </c>
      <c r="Y1521">
        <v>0</v>
      </c>
      <c r="Z1521">
        <v>0</v>
      </c>
    </row>
    <row r="1522" spans="1:26" x14ac:dyDescent="0.2">
      <c r="A1522" t="s">
        <v>1640</v>
      </c>
      <c r="B1522" t="s">
        <v>32</v>
      </c>
      <c r="C1522">
        <v>2013</v>
      </c>
      <c r="D1522" t="s">
        <v>26</v>
      </c>
      <c r="E1522" t="s">
        <v>27</v>
      </c>
      <c r="F1522" t="s">
        <v>26</v>
      </c>
      <c r="G1522">
        <v>61276</v>
      </c>
      <c r="H1522">
        <v>49020.800000000003</v>
      </c>
      <c r="I1522" s="13">
        <v>1</v>
      </c>
      <c r="J1522" t="s">
        <v>6207</v>
      </c>
      <c r="K1522">
        <v>1</v>
      </c>
      <c r="L1522">
        <v>0</v>
      </c>
      <c r="M1522" t="s">
        <v>0</v>
      </c>
      <c r="N1522" s="2">
        <v>0.55000000000000004</v>
      </c>
      <c r="O1522" s="2">
        <v>0.45</v>
      </c>
      <c r="P1522">
        <v>11</v>
      </c>
      <c r="Q1522">
        <v>12</v>
      </c>
      <c r="R1522">
        <v>12</v>
      </c>
      <c r="S1522">
        <v>6</v>
      </c>
      <c r="T1522">
        <v>11</v>
      </c>
      <c r="U1522">
        <v>12</v>
      </c>
      <c r="V1522">
        <v>1</v>
      </c>
      <c r="W1522">
        <v>1</v>
      </c>
      <c r="X1522">
        <v>0</v>
      </c>
      <c r="Y1522">
        <v>0</v>
      </c>
      <c r="Z1522">
        <v>1</v>
      </c>
    </row>
    <row r="1523" spans="1:26" x14ac:dyDescent="0.2">
      <c r="A1523" t="s">
        <v>1641</v>
      </c>
      <c r="B1523" t="s">
        <v>56</v>
      </c>
      <c r="C1523">
        <v>2013</v>
      </c>
      <c r="D1523" t="s">
        <v>23</v>
      </c>
      <c r="E1523" t="s">
        <v>78</v>
      </c>
      <c r="F1523" t="s">
        <v>20</v>
      </c>
      <c r="G1523">
        <v>62500</v>
      </c>
      <c r="H1523">
        <v>50000</v>
      </c>
      <c r="I1523" s="13">
        <v>0</v>
      </c>
      <c r="J1523" t="s">
        <v>6207</v>
      </c>
      <c r="K1523">
        <v>2</v>
      </c>
      <c r="L1523">
        <v>0</v>
      </c>
      <c r="M1523" t="s">
        <v>0</v>
      </c>
      <c r="N1523" s="2">
        <v>0.51</v>
      </c>
      <c r="O1523" s="2">
        <v>0.49</v>
      </c>
      <c r="P1523">
        <v>6</v>
      </c>
      <c r="Q1523">
        <v>13</v>
      </c>
      <c r="R1523">
        <v>4</v>
      </c>
      <c r="S1523">
        <v>3</v>
      </c>
      <c r="T1523">
        <v>10</v>
      </c>
      <c r="U1523">
        <v>7</v>
      </c>
      <c r="V1523">
        <v>0</v>
      </c>
      <c r="W1523">
        <v>1</v>
      </c>
      <c r="X1523">
        <v>0</v>
      </c>
      <c r="Y1523">
        <v>0</v>
      </c>
      <c r="Z1523">
        <v>0</v>
      </c>
    </row>
    <row r="1524" spans="1:26" x14ac:dyDescent="0.2">
      <c r="A1524" t="s">
        <v>1642</v>
      </c>
      <c r="B1524" t="s">
        <v>60</v>
      </c>
      <c r="C1524">
        <v>2013</v>
      </c>
      <c r="D1524" t="s">
        <v>63</v>
      </c>
      <c r="E1524" t="s">
        <v>73</v>
      </c>
      <c r="F1524" t="s">
        <v>65</v>
      </c>
      <c r="G1524">
        <v>26804</v>
      </c>
      <c r="H1524">
        <v>21443.200000000001</v>
      </c>
      <c r="I1524" s="13">
        <v>0.5</v>
      </c>
      <c r="J1524" t="s">
        <v>6208</v>
      </c>
      <c r="K1524">
        <v>0</v>
      </c>
      <c r="L1524">
        <v>1</v>
      </c>
      <c r="M1524" t="s">
        <v>1</v>
      </c>
      <c r="N1524" s="2">
        <v>0.47</v>
      </c>
      <c r="O1524" s="2">
        <v>0.53</v>
      </c>
      <c r="P1524">
        <v>25</v>
      </c>
      <c r="Q1524">
        <v>15</v>
      </c>
      <c r="R1524">
        <v>4</v>
      </c>
      <c r="S1524">
        <v>8</v>
      </c>
      <c r="T1524">
        <v>15</v>
      </c>
      <c r="U1524">
        <v>25</v>
      </c>
      <c r="V1524">
        <v>4</v>
      </c>
      <c r="W1524">
        <v>0</v>
      </c>
      <c r="X1524">
        <v>0</v>
      </c>
      <c r="Y1524">
        <v>0</v>
      </c>
      <c r="Z1524">
        <v>1</v>
      </c>
    </row>
    <row r="1525" spans="1:26" x14ac:dyDescent="0.2">
      <c r="A1525" t="s">
        <v>1643</v>
      </c>
      <c r="B1525" t="s">
        <v>67</v>
      </c>
      <c r="C1525">
        <v>2013</v>
      </c>
      <c r="D1525" t="s">
        <v>35</v>
      </c>
      <c r="E1525" t="s">
        <v>31</v>
      </c>
      <c r="F1525" t="s">
        <v>35</v>
      </c>
      <c r="G1525">
        <v>49000</v>
      </c>
      <c r="H1525">
        <v>39200</v>
      </c>
      <c r="I1525" s="13">
        <v>1</v>
      </c>
      <c r="J1525" t="s">
        <v>6207</v>
      </c>
      <c r="K1525">
        <v>0</v>
      </c>
      <c r="L1525">
        <v>1</v>
      </c>
      <c r="M1525" t="s">
        <v>1</v>
      </c>
      <c r="N1525" s="2">
        <v>0.56999999999999995</v>
      </c>
      <c r="O1525" s="2">
        <v>0.43</v>
      </c>
      <c r="P1525">
        <v>12</v>
      </c>
      <c r="Q1525">
        <v>16</v>
      </c>
      <c r="R1525">
        <v>6</v>
      </c>
      <c r="S1525">
        <v>1</v>
      </c>
      <c r="T1525">
        <v>14</v>
      </c>
      <c r="U1525">
        <v>14</v>
      </c>
      <c r="V1525">
        <v>0</v>
      </c>
      <c r="W1525">
        <v>3</v>
      </c>
      <c r="X1525">
        <v>0</v>
      </c>
      <c r="Y1525">
        <v>0</v>
      </c>
      <c r="Z1525">
        <v>0</v>
      </c>
    </row>
    <row r="1526" spans="1:26" x14ac:dyDescent="0.2">
      <c r="A1526" t="s">
        <v>1644</v>
      </c>
      <c r="B1526" t="s">
        <v>66</v>
      </c>
      <c r="C1526">
        <v>2013</v>
      </c>
      <c r="D1526" t="s">
        <v>69</v>
      </c>
      <c r="E1526" t="s">
        <v>45</v>
      </c>
      <c r="F1526" t="s">
        <v>69</v>
      </c>
      <c r="G1526">
        <v>27359</v>
      </c>
      <c r="H1526">
        <v>21887.200000000001</v>
      </c>
      <c r="I1526" s="13">
        <v>0.5</v>
      </c>
      <c r="J1526" t="s">
        <v>6207</v>
      </c>
      <c r="K1526">
        <v>2</v>
      </c>
      <c r="L1526">
        <v>2</v>
      </c>
      <c r="M1526" t="s">
        <v>58</v>
      </c>
      <c r="N1526" s="2">
        <v>0.32</v>
      </c>
      <c r="O1526" s="2">
        <v>0.68</v>
      </c>
      <c r="R1526">
        <v>6</v>
      </c>
      <c r="S1526">
        <v>8</v>
      </c>
      <c r="T1526">
        <v>14</v>
      </c>
      <c r="U1526">
        <v>10</v>
      </c>
      <c r="V1526">
        <v>2</v>
      </c>
      <c r="W1526">
        <v>0</v>
      </c>
      <c r="X1526">
        <v>0</v>
      </c>
      <c r="Y1526">
        <v>0</v>
      </c>
      <c r="Z1526">
        <v>0</v>
      </c>
    </row>
    <row r="1527" spans="1:26" x14ac:dyDescent="0.2">
      <c r="A1527" t="s">
        <v>1645</v>
      </c>
      <c r="B1527" t="s">
        <v>61</v>
      </c>
      <c r="C1527">
        <v>2013</v>
      </c>
      <c r="D1527" t="s">
        <v>46</v>
      </c>
      <c r="E1527" t="s">
        <v>42</v>
      </c>
      <c r="F1527" t="s">
        <v>20</v>
      </c>
      <c r="G1527">
        <v>60704</v>
      </c>
      <c r="H1527">
        <v>48563.200000000004</v>
      </c>
      <c r="I1527" s="13">
        <v>0.6</v>
      </c>
      <c r="J1527" t="s">
        <v>6207</v>
      </c>
      <c r="K1527">
        <v>1</v>
      </c>
      <c r="L1527">
        <v>3</v>
      </c>
      <c r="M1527" t="s">
        <v>1</v>
      </c>
      <c r="N1527" s="2">
        <v>0.64</v>
      </c>
      <c r="O1527" s="2">
        <v>0.36</v>
      </c>
      <c r="P1527">
        <v>18</v>
      </c>
      <c r="Q1527">
        <v>16</v>
      </c>
      <c r="R1527">
        <v>4</v>
      </c>
      <c r="S1527">
        <v>3</v>
      </c>
      <c r="T1527">
        <v>15</v>
      </c>
      <c r="U1527">
        <v>19</v>
      </c>
      <c r="V1527">
        <v>4</v>
      </c>
      <c r="W1527">
        <v>5</v>
      </c>
      <c r="X1527">
        <v>1</v>
      </c>
      <c r="Y1527">
        <v>0</v>
      </c>
      <c r="Z1527">
        <v>2</v>
      </c>
    </row>
    <row r="1528" spans="1:26" x14ac:dyDescent="0.2">
      <c r="A1528" t="s">
        <v>1646</v>
      </c>
      <c r="B1528" t="s">
        <v>52</v>
      </c>
      <c r="C1528">
        <v>2013</v>
      </c>
      <c r="D1528" t="s">
        <v>71</v>
      </c>
      <c r="E1528" t="s">
        <v>48</v>
      </c>
      <c r="F1528" t="s">
        <v>71</v>
      </c>
      <c r="G1528">
        <v>21088</v>
      </c>
      <c r="H1528">
        <v>16870.400000000001</v>
      </c>
      <c r="I1528" s="13">
        <v>0.5</v>
      </c>
      <c r="J1528" t="s">
        <v>6207</v>
      </c>
      <c r="K1528">
        <v>1</v>
      </c>
      <c r="L1528">
        <v>4</v>
      </c>
      <c r="M1528" t="s">
        <v>1</v>
      </c>
      <c r="N1528" s="2">
        <v>0.54</v>
      </c>
      <c r="O1528" s="2">
        <v>0.46</v>
      </c>
      <c r="P1528">
        <v>14</v>
      </c>
      <c r="Q1528">
        <v>15</v>
      </c>
      <c r="R1528">
        <v>7</v>
      </c>
      <c r="S1528">
        <v>4</v>
      </c>
      <c r="T1528">
        <v>13</v>
      </c>
      <c r="U1528">
        <v>10</v>
      </c>
      <c r="V1528">
        <v>1</v>
      </c>
      <c r="W1528">
        <v>3</v>
      </c>
      <c r="X1528">
        <v>0</v>
      </c>
      <c r="Y1528">
        <v>0</v>
      </c>
      <c r="Z1528">
        <v>0</v>
      </c>
    </row>
    <row r="1529" spans="1:26" x14ac:dyDescent="0.2">
      <c r="A1529" t="s">
        <v>1647</v>
      </c>
      <c r="B1529" t="s">
        <v>44</v>
      </c>
      <c r="C1529">
        <v>2013</v>
      </c>
      <c r="D1529" t="s">
        <v>79</v>
      </c>
      <c r="E1529" t="s">
        <v>51</v>
      </c>
      <c r="F1529" t="s">
        <v>20</v>
      </c>
      <c r="G1529">
        <v>25486</v>
      </c>
      <c r="H1529">
        <v>20388.800000000003</v>
      </c>
      <c r="I1529" s="13">
        <v>1</v>
      </c>
      <c r="J1529" t="s">
        <v>6207</v>
      </c>
      <c r="K1529">
        <v>0</v>
      </c>
      <c r="L1529">
        <v>1</v>
      </c>
      <c r="M1529" t="s">
        <v>1</v>
      </c>
      <c r="N1529" s="2">
        <v>0.42</v>
      </c>
      <c r="O1529" s="2">
        <v>0.57999999999999996</v>
      </c>
      <c r="P1529">
        <v>7</v>
      </c>
      <c r="Q1529">
        <v>13</v>
      </c>
      <c r="R1529">
        <v>3</v>
      </c>
      <c r="S1529">
        <v>7</v>
      </c>
      <c r="T1529">
        <v>9</v>
      </c>
      <c r="U1529">
        <v>8</v>
      </c>
      <c r="V1529">
        <v>1</v>
      </c>
      <c r="W1529">
        <v>0</v>
      </c>
      <c r="X1529">
        <v>0</v>
      </c>
      <c r="Y1529">
        <v>0</v>
      </c>
      <c r="Z1529">
        <v>1</v>
      </c>
    </row>
    <row r="1530" spans="1:26" x14ac:dyDescent="0.2">
      <c r="A1530" t="s">
        <v>1648</v>
      </c>
      <c r="B1530" t="s">
        <v>68</v>
      </c>
      <c r="C1530">
        <v>2013</v>
      </c>
      <c r="D1530" t="s">
        <v>18</v>
      </c>
      <c r="E1530" t="s">
        <v>19</v>
      </c>
      <c r="F1530" t="s">
        <v>20</v>
      </c>
      <c r="G1530">
        <v>40341</v>
      </c>
      <c r="H1530">
        <v>32272.800000000003</v>
      </c>
      <c r="I1530" s="13">
        <v>1</v>
      </c>
      <c r="J1530" t="s">
        <v>6207</v>
      </c>
      <c r="K1530">
        <v>2</v>
      </c>
      <c r="L1530">
        <v>0</v>
      </c>
      <c r="M1530" t="s">
        <v>0</v>
      </c>
      <c r="N1530" s="2">
        <v>0.51</v>
      </c>
      <c r="O1530" s="2">
        <v>0.49</v>
      </c>
      <c r="P1530">
        <v>14</v>
      </c>
      <c r="Q1530">
        <v>7</v>
      </c>
      <c r="R1530">
        <v>5</v>
      </c>
      <c r="S1530">
        <v>1</v>
      </c>
      <c r="T1530">
        <v>8</v>
      </c>
      <c r="U1530">
        <v>16</v>
      </c>
      <c r="V1530">
        <v>0</v>
      </c>
      <c r="W1530">
        <v>1</v>
      </c>
      <c r="X1530">
        <v>0</v>
      </c>
      <c r="Y1530">
        <v>0</v>
      </c>
      <c r="Z1530">
        <v>1</v>
      </c>
    </row>
    <row r="1531" spans="1:26" x14ac:dyDescent="0.2">
      <c r="A1531" t="s">
        <v>1649</v>
      </c>
      <c r="B1531" t="s">
        <v>37</v>
      </c>
      <c r="C1531">
        <v>2013</v>
      </c>
      <c r="D1531" t="s">
        <v>40</v>
      </c>
      <c r="E1531" t="s">
        <v>64</v>
      </c>
      <c r="F1531" t="s">
        <v>49</v>
      </c>
      <c r="G1531">
        <v>53400</v>
      </c>
      <c r="H1531">
        <v>42720</v>
      </c>
      <c r="I1531" s="13">
        <v>0.83333333333333337</v>
      </c>
      <c r="J1531" t="s">
        <v>6206</v>
      </c>
      <c r="K1531">
        <v>4</v>
      </c>
      <c r="L1531">
        <v>0</v>
      </c>
      <c r="M1531" t="s">
        <v>0</v>
      </c>
      <c r="N1531" s="2">
        <v>0.63</v>
      </c>
      <c r="O1531" s="2">
        <v>0.37</v>
      </c>
      <c r="P1531">
        <v>10</v>
      </c>
      <c r="Q1531">
        <v>12</v>
      </c>
      <c r="R1531">
        <v>8</v>
      </c>
      <c r="S1531">
        <v>1</v>
      </c>
      <c r="T1531">
        <v>9</v>
      </c>
      <c r="U1531">
        <v>8</v>
      </c>
      <c r="V1531">
        <v>2</v>
      </c>
      <c r="W1531">
        <v>3</v>
      </c>
      <c r="X1531">
        <v>0</v>
      </c>
      <c r="Y1531">
        <v>1</v>
      </c>
      <c r="Z1531">
        <v>0</v>
      </c>
    </row>
    <row r="1532" spans="1:26" x14ac:dyDescent="0.2">
      <c r="A1532" t="s">
        <v>1650</v>
      </c>
      <c r="B1532" t="s">
        <v>60</v>
      </c>
      <c r="C1532">
        <v>2013</v>
      </c>
      <c r="D1532" t="s">
        <v>18</v>
      </c>
      <c r="E1532" t="s">
        <v>42</v>
      </c>
      <c r="F1532" t="s">
        <v>20</v>
      </c>
      <c r="G1532">
        <v>40341</v>
      </c>
      <c r="H1532">
        <v>32272.800000000003</v>
      </c>
      <c r="I1532" s="13">
        <v>0.8</v>
      </c>
      <c r="J1532" t="s">
        <v>6208</v>
      </c>
      <c r="K1532">
        <v>2</v>
      </c>
      <c r="L1532">
        <v>1</v>
      </c>
      <c r="M1532" t="s">
        <v>0</v>
      </c>
      <c r="N1532" s="2">
        <v>0.69</v>
      </c>
      <c r="O1532" s="2">
        <v>0.31</v>
      </c>
      <c r="P1532">
        <v>20</v>
      </c>
      <c r="Q1532">
        <v>18</v>
      </c>
      <c r="R1532">
        <v>1</v>
      </c>
      <c r="S1532">
        <v>2</v>
      </c>
      <c r="T1532">
        <v>13</v>
      </c>
      <c r="U1532">
        <v>16</v>
      </c>
      <c r="V1532">
        <v>1</v>
      </c>
      <c r="W1532">
        <v>4</v>
      </c>
      <c r="X1532">
        <v>0</v>
      </c>
      <c r="Y1532">
        <v>0</v>
      </c>
      <c r="Z1532">
        <v>0</v>
      </c>
    </row>
    <row r="1533" spans="1:26" x14ac:dyDescent="0.2">
      <c r="A1533" t="s">
        <v>1651</v>
      </c>
      <c r="B1533" t="s">
        <v>56</v>
      </c>
      <c r="C1533">
        <v>2013</v>
      </c>
      <c r="D1533" t="s">
        <v>31</v>
      </c>
      <c r="E1533" t="s">
        <v>46</v>
      </c>
      <c r="F1533" t="s">
        <v>20</v>
      </c>
      <c r="G1533">
        <v>28500</v>
      </c>
      <c r="H1533">
        <v>22800</v>
      </c>
      <c r="I1533" s="13">
        <v>0.25</v>
      </c>
      <c r="J1533" t="s">
        <v>6207</v>
      </c>
      <c r="K1533">
        <v>1</v>
      </c>
      <c r="L1533">
        <v>3</v>
      </c>
      <c r="M1533" t="s">
        <v>1</v>
      </c>
      <c r="N1533" s="2">
        <v>0.46</v>
      </c>
      <c r="O1533" s="2">
        <v>0.54</v>
      </c>
      <c r="P1533">
        <v>7</v>
      </c>
      <c r="Q1533">
        <v>13</v>
      </c>
      <c r="R1533">
        <v>1</v>
      </c>
      <c r="S1533">
        <v>8</v>
      </c>
      <c r="T1533">
        <v>10</v>
      </c>
      <c r="U1533">
        <v>9</v>
      </c>
      <c r="V1533">
        <v>2</v>
      </c>
      <c r="W1533">
        <v>2</v>
      </c>
      <c r="X1533">
        <v>0</v>
      </c>
      <c r="Y1533">
        <v>0</v>
      </c>
      <c r="Z1533">
        <v>0</v>
      </c>
    </row>
    <row r="1534" spans="1:26" x14ac:dyDescent="0.2">
      <c r="A1534" t="s">
        <v>1652</v>
      </c>
      <c r="B1534" t="s">
        <v>37</v>
      </c>
      <c r="C1534">
        <v>2013</v>
      </c>
      <c r="D1534" t="s">
        <v>27</v>
      </c>
      <c r="E1534" t="s">
        <v>79</v>
      </c>
      <c r="F1534" t="s">
        <v>27</v>
      </c>
      <c r="G1534">
        <v>30089</v>
      </c>
      <c r="H1534">
        <v>24071.200000000001</v>
      </c>
      <c r="I1534" s="13">
        <v>0.66666666666666663</v>
      </c>
      <c r="J1534" t="s">
        <v>6206</v>
      </c>
      <c r="K1534">
        <v>2</v>
      </c>
      <c r="L1534">
        <v>1</v>
      </c>
      <c r="M1534" t="s">
        <v>0</v>
      </c>
      <c r="N1534" s="2">
        <v>0.5</v>
      </c>
      <c r="O1534" s="2">
        <v>0.5</v>
      </c>
      <c r="P1534">
        <v>6</v>
      </c>
      <c r="Q1534">
        <v>14</v>
      </c>
      <c r="R1534">
        <v>7</v>
      </c>
      <c r="S1534">
        <v>0</v>
      </c>
      <c r="T1534">
        <v>14</v>
      </c>
      <c r="U1534">
        <v>6</v>
      </c>
      <c r="V1534">
        <v>3</v>
      </c>
      <c r="W1534">
        <v>0</v>
      </c>
      <c r="X1534">
        <v>0</v>
      </c>
      <c r="Y1534">
        <v>0</v>
      </c>
      <c r="Z1534">
        <v>0</v>
      </c>
    </row>
    <row r="1535" spans="1:26" x14ac:dyDescent="0.2">
      <c r="A1535" t="s">
        <v>1653</v>
      </c>
      <c r="B1535" t="s">
        <v>50</v>
      </c>
      <c r="C1535">
        <v>2013</v>
      </c>
      <c r="D1535" t="s">
        <v>73</v>
      </c>
      <c r="E1535" t="s">
        <v>35</v>
      </c>
      <c r="F1535" t="s">
        <v>73</v>
      </c>
      <c r="G1535">
        <v>32384</v>
      </c>
      <c r="H1535">
        <v>25907.200000000001</v>
      </c>
      <c r="I1535" s="13">
        <v>0.5</v>
      </c>
      <c r="J1535" t="s">
        <v>6207</v>
      </c>
      <c r="K1535">
        <v>1</v>
      </c>
      <c r="L1535">
        <v>1</v>
      </c>
      <c r="M1535" t="s">
        <v>58</v>
      </c>
      <c r="N1535" s="2">
        <v>0.67</v>
      </c>
      <c r="O1535" s="2">
        <v>0.33</v>
      </c>
      <c r="P1535">
        <v>12</v>
      </c>
      <c r="Q1535">
        <v>10</v>
      </c>
      <c r="R1535">
        <v>5</v>
      </c>
      <c r="S1535">
        <v>2</v>
      </c>
      <c r="T1535">
        <v>11</v>
      </c>
      <c r="U1535">
        <v>13</v>
      </c>
      <c r="V1535">
        <v>2</v>
      </c>
      <c r="W1535">
        <v>2</v>
      </c>
      <c r="X1535">
        <v>0</v>
      </c>
      <c r="Y1535">
        <v>0</v>
      </c>
      <c r="Z1535">
        <v>0</v>
      </c>
    </row>
    <row r="1536" spans="1:26" x14ac:dyDescent="0.2">
      <c r="A1536" t="s">
        <v>1654</v>
      </c>
      <c r="B1536" t="s">
        <v>52</v>
      </c>
      <c r="C1536">
        <v>2013</v>
      </c>
      <c r="D1536" t="s">
        <v>64</v>
      </c>
      <c r="E1536" t="s">
        <v>23</v>
      </c>
      <c r="F1536" t="s">
        <v>64</v>
      </c>
      <c r="G1536">
        <v>52264</v>
      </c>
      <c r="H1536">
        <v>41811.200000000004</v>
      </c>
      <c r="I1536" s="13">
        <v>1</v>
      </c>
      <c r="J1536" t="s">
        <v>6207</v>
      </c>
      <c r="K1536">
        <v>0</v>
      </c>
      <c r="L1536">
        <v>0</v>
      </c>
      <c r="M1536" t="s">
        <v>58</v>
      </c>
      <c r="N1536" s="2">
        <v>0.55000000000000004</v>
      </c>
      <c r="O1536" s="2">
        <v>0.45</v>
      </c>
      <c r="P1536">
        <v>15</v>
      </c>
      <c r="Q1536">
        <v>13</v>
      </c>
      <c r="R1536">
        <v>5</v>
      </c>
      <c r="S1536">
        <v>4</v>
      </c>
      <c r="T1536">
        <v>12</v>
      </c>
      <c r="U1536">
        <v>15</v>
      </c>
      <c r="V1536">
        <v>0</v>
      </c>
      <c r="W1536">
        <v>1</v>
      </c>
      <c r="X1536">
        <v>0</v>
      </c>
      <c r="Y1536">
        <v>0</v>
      </c>
      <c r="Z1536">
        <v>0</v>
      </c>
    </row>
    <row r="1537" spans="1:26" x14ac:dyDescent="0.2">
      <c r="A1537" t="s">
        <v>1655</v>
      </c>
      <c r="B1537" t="s">
        <v>53</v>
      </c>
      <c r="C1537">
        <v>2013</v>
      </c>
      <c r="D1537" t="s">
        <v>19</v>
      </c>
      <c r="E1537" t="s">
        <v>69</v>
      </c>
      <c r="F1537" t="s">
        <v>19</v>
      </c>
      <c r="G1537">
        <v>25586</v>
      </c>
      <c r="H1537">
        <v>20468.800000000003</v>
      </c>
      <c r="I1537" s="13">
        <v>0.66666666666666663</v>
      </c>
      <c r="J1537" t="s">
        <v>6207</v>
      </c>
      <c r="K1537">
        <v>1</v>
      </c>
      <c r="L1537">
        <v>0</v>
      </c>
      <c r="M1537" t="s">
        <v>0</v>
      </c>
      <c r="N1537" s="2">
        <v>0.39</v>
      </c>
      <c r="O1537" s="2">
        <v>0.61</v>
      </c>
      <c r="P1537">
        <v>18</v>
      </c>
      <c r="Q1537">
        <v>15</v>
      </c>
      <c r="R1537">
        <v>1</v>
      </c>
      <c r="S1537">
        <v>5</v>
      </c>
      <c r="T1537">
        <v>15</v>
      </c>
      <c r="U1537">
        <v>19</v>
      </c>
      <c r="V1537">
        <v>1</v>
      </c>
      <c r="W1537">
        <v>1</v>
      </c>
      <c r="X1537">
        <v>1</v>
      </c>
      <c r="Y1537">
        <v>0</v>
      </c>
      <c r="Z1537">
        <v>1</v>
      </c>
    </row>
    <row r="1538" spans="1:26" x14ac:dyDescent="0.2">
      <c r="A1538" t="s">
        <v>1656</v>
      </c>
      <c r="B1538" t="s">
        <v>74</v>
      </c>
      <c r="C1538">
        <v>2013</v>
      </c>
      <c r="D1538" t="s">
        <v>45</v>
      </c>
      <c r="E1538" t="s">
        <v>63</v>
      </c>
      <c r="F1538" t="s">
        <v>26</v>
      </c>
      <c r="G1538">
        <v>39572</v>
      </c>
      <c r="H1538">
        <v>31657.600000000002</v>
      </c>
      <c r="I1538" s="13">
        <v>0.5</v>
      </c>
      <c r="J1538" t="s">
        <v>6208</v>
      </c>
      <c r="K1538">
        <v>0</v>
      </c>
      <c r="L1538">
        <v>0</v>
      </c>
      <c r="M1538" t="s">
        <v>58</v>
      </c>
      <c r="N1538" s="2">
        <v>0.62</v>
      </c>
      <c r="O1538" s="2">
        <v>0.38</v>
      </c>
      <c r="P1538">
        <v>17</v>
      </c>
      <c r="Q1538">
        <v>20</v>
      </c>
      <c r="R1538">
        <v>11</v>
      </c>
      <c r="S1538">
        <v>1</v>
      </c>
      <c r="T1538">
        <v>15</v>
      </c>
      <c r="U1538">
        <v>17</v>
      </c>
      <c r="V1538">
        <v>1</v>
      </c>
      <c r="W1538">
        <v>1</v>
      </c>
      <c r="X1538">
        <v>0</v>
      </c>
      <c r="Y1538">
        <v>0</v>
      </c>
      <c r="Z1538">
        <v>0</v>
      </c>
    </row>
    <row r="1539" spans="1:26" x14ac:dyDescent="0.2">
      <c r="A1539" t="s">
        <v>1657</v>
      </c>
      <c r="B1539" t="s">
        <v>44</v>
      </c>
      <c r="C1539">
        <v>2013</v>
      </c>
      <c r="D1539" t="s">
        <v>42</v>
      </c>
      <c r="E1539" t="s">
        <v>26</v>
      </c>
      <c r="F1539" t="s">
        <v>38</v>
      </c>
      <c r="G1539">
        <v>42918</v>
      </c>
      <c r="H1539">
        <v>34334.400000000001</v>
      </c>
      <c r="I1539" s="13">
        <v>0.5</v>
      </c>
      <c r="J1539" t="s">
        <v>6207</v>
      </c>
      <c r="K1539">
        <v>0</v>
      </c>
      <c r="L1539">
        <v>1</v>
      </c>
      <c r="M1539" t="s">
        <v>1</v>
      </c>
      <c r="N1539" s="2">
        <v>0.47</v>
      </c>
      <c r="O1539" s="2">
        <v>0.53</v>
      </c>
      <c r="P1539">
        <v>7</v>
      </c>
      <c r="Q1539">
        <v>12</v>
      </c>
      <c r="R1539">
        <v>8</v>
      </c>
      <c r="S1539">
        <v>2</v>
      </c>
      <c r="T1539">
        <v>10</v>
      </c>
      <c r="U1539">
        <v>8</v>
      </c>
      <c r="V1539">
        <v>3</v>
      </c>
      <c r="W1539">
        <v>3</v>
      </c>
      <c r="X1539">
        <v>0</v>
      </c>
      <c r="Y1539">
        <v>0</v>
      </c>
      <c r="Z1539">
        <v>0</v>
      </c>
    </row>
    <row r="1540" spans="1:26" x14ac:dyDescent="0.2">
      <c r="A1540" t="s">
        <v>1658</v>
      </c>
      <c r="B1540" t="s">
        <v>67</v>
      </c>
      <c r="C1540">
        <v>2013</v>
      </c>
      <c r="D1540" t="s">
        <v>51</v>
      </c>
      <c r="E1540" t="s">
        <v>71</v>
      </c>
      <c r="F1540" t="s">
        <v>20</v>
      </c>
      <c r="G1540">
        <v>36284</v>
      </c>
      <c r="H1540">
        <v>29027.200000000001</v>
      </c>
      <c r="I1540" s="13">
        <v>0.6</v>
      </c>
      <c r="J1540" t="s">
        <v>6207</v>
      </c>
      <c r="K1540">
        <v>1</v>
      </c>
      <c r="L1540">
        <v>0</v>
      </c>
      <c r="M1540" t="s">
        <v>0</v>
      </c>
      <c r="N1540" s="2">
        <v>0.48</v>
      </c>
      <c r="O1540" s="2">
        <v>0.52</v>
      </c>
      <c r="P1540">
        <v>14</v>
      </c>
      <c r="Q1540">
        <v>10</v>
      </c>
      <c r="R1540">
        <v>8</v>
      </c>
      <c r="S1540">
        <v>3</v>
      </c>
      <c r="T1540">
        <v>10</v>
      </c>
      <c r="U1540">
        <v>15</v>
      </c>
      <c r="V1540">
        <v>1</v>
      </c>
      <c r="W1540">
        <v>4</v>
      </c>
      <c r="X1540">
        <v>0</v>
      </c>
      <c r="Y1540">
        <v>0</v>
      </c>
      <c r="Z1540">
        <v>1</v>
      </c>
    </row>
    <row r="1541" spans="1:26" x14ac:dyDescent="0.2">
      <c r="A1541" t="s">
        <v>1659</v>
      </c>
      <c r="B1541" t="s">
        <v>54</v>
      </c>
      <c r="C1541">
        <v>2013</v>
      </c>
      <c r="D1541" t="s">
        <v>78</v>
      </c>
      <c r="E1541" t="s">
        <v>40</v>
      </c>
      <c r="F1541" t="s">
        <v>78</v>
      </c>
      <c r="G1541">
        <v>33280</v>
      </c>
      <c r="H1541">
        <v>26624</v>
      </c>
      <c r="I1541" s="13">
        <v>0</v>
      </c>
      <c r="J1541" t="s">
        <v>6206</v>
      </c>
      <c r="K1541">
        <v>3</v>
      </c>
      <c r="L1541">
        <v>2</v>
      </c>
      <c r="M1541" t="s">
        <v>0</v>
      </c>
      <c r="N1541" s="2">
        <v>0.3</v>
      </c>
      <c r="O1541" s="2">
        <v>0.7</v>
      </c>
      <c r="P1541">
        <v>10</v>
      </c>
      <c r="Q1541">
        <v>6</v>
      </c>
      <c r="R1541">
        <v>3</v>
      </c>
      <c r="S1541">
        <v>8</v>
      </c>
      <c r="T1541">
        <v>2</v>
      </c>
      <c r="U1541">
        <v>11</v>
      </c>
      <c r="V1541">
        <v>0</v>
      </c>
      <c r="W1541">
        <v>0</v>
      </c>
      <c r="X1541">
        <v>0</v>
      </c>
      <c r="Y1541">
        <v>0</v>
      </c>
      <c r="Z1541">
        <v>0</v>
      </c>
    </row>
    <row r="1542" spans="1:26" x14ac:dyDescent="0.2">
      <c r="A1542" t="s">
        <v>1660</v>
      </c>
      <c r="B1542" t="s">
        <v>32</v>
      </c>
      <c r="C1542">
        <v>2013</v>
      </c>
      <c r="D1542" t="s">
        <v>48</v>
      </c>
      <c r="E1542" t="s">
        <v>18</v>
      </c>
      <c r="F1542" t="s">
        <v>49</v>
      </c>
      <c r="G1542">
        <v>74197</v>
      </c>
      <c r="H1542">
        <v>59357.600000000006</v>
      </c>
      <c r="I1542" s="13">
        <v>1</v>
      </c>
      <c r="J1542" t="s">
        <v>6207</v>
      </c>
      <c r="K1542">
        <v>0</v>
      </c>
      <c r="L1542">
        <v>0</v>
      </c>
      <c r="M1542" t="s">
        <v>58</v>
      </c>
      <c r="N1542" s="2">
        <v>0.55000000000000004</v>
      </c>
      <c r="O1542" s="2">
        <v>0.45</v>
      </c>
      <c r="P1542">
        <v>10</v>
      </c>
      <c r="Q1542">
        <v>12</v>
      </c>
      <c r="R1542">
        <v>4</v>
      </c>
      <c r="S1542">
        <v>1</v>
      </c>
      <c r="T1542">
        <v>9</v>
      </c>
      <c r="U1542">
        <v>10</v>
      </c>
      <c r="V1542">
        <v>0</v>
      </c>
      <c r="W1542">
        <v>2</v>
      </c>
      <c r="X1542">
        <v>0</v>
      </c>
      <c r="Y1542">
        <v>0</v>
      </c>
      <c r="Z1542">
        <v>0</v>
      </c>
    </row>
    <row r="1543" spans="1:26" x14ac:dyDescent="0.2">
      <c r="A1543" t="s">
        <v>1661</v>
      </c>
      <c r="B1543" t="s">
        <v>52</v>
      </c>
      <c r="C1543">
        <v>2013</v>
      </c>
      <c r="D1543" t="s">
        <v>40</v>
      </c>
      <c r="E1543" t="s">
        <v>19</v>
      </c>
      <c r="F1543" t="s">
        <v>49</v>
      </c>
      <c r="G1543">
        <v>53400</v>
      </c>
      <c r="H1543">
        <v>42720</v>
      </c>
      <c r="I1543" s="13">
        <v>1</v>
      </c>
      <c r="J1543" t="s">
        <v>6207</v>
      </c>
      <c r="K1543">
        <v>2</v>
      </c>
      <c r="L1543">
        <v>0</v>
      </c>
      <c r="M1543" t="s">
        <v>0</v>
      </c>
      <c r="N1543" s="2">
        <v>0.57999999999999996</v>
      </c>
      <c r="O1543" s="2">
        <v>0.42</v>
      </c>
      <c r="P1543">
        <v>14</v>
      </c>
      <c r="Q1543">
        <v>16</v>
      </c>
      <c r="R1543">
        <v>7</v>
      </c>
      <c r="S1543">
        <v>4</v>
      </c>
      <c r="T1543">
        <v>15</v>
      </c>
      <c r="U1543">
        <v>14</v>
      </c>
      <c r="V1543">
        <v>2</v>
      </c>
      <c r="W1543">
        <v>3</v>
      </c>
      <c r="X1543">
        <v>0</v>
      </c>
      <c r="Y1543">
        <v>0</v>
      </c>
      <c r="Z1543">
        <v>0</v>
      </c>
    </row>
    <row r="1544" spans="1:26" x14ac:dyDescent="0.2">
      <c r="A1544" t="s">
        <v>1662</v>
      </c>
      <c r="B1544" t="s">
        <v>68</v>
      </c>
      <c r="C1544">
        <v>2013</v>
      </c>
      <c r="D1544" t="s">
        <v>23</v>
      </c>
      <c r="E1544" t="s">
        <v>27</v>
      </c>
      <c r="F1544" t="s">
        <v>20</v>
      </c>
      <c r="G1544">
        <v>62500</v>
      </c>
      <c r="H1544">
        <v>50000</v>
      </c>
      <c r="I1544" s="13">
        <v>0.66666666666666663</v>
      </c>
      <c r="J1544" t="s">
        <v>6207</v>
      </c>
      <c r="K1544">
        <v>0</v>
      </c>
      <c r="L1544">
        <v>1</v>
      </c>
      <c r="M1544" t="s">
        <v>1</v>
      </c>
      <c r="N1544" s="2">
        <v>0.45</v>
      </c>
      <c r="O1544" s="2">
        <v>0.55000000000000004</v>
      </c>
      <c r="P1544">
        <v>12</v>
      </c>
      <c r="Q1544">
        <v>8</v>
      </c>
      <c r="R1544">
        <v>3</v>
      </c>
      <c r="S1544">
        <v>4</v>
      </c>
      <c r="T1544">
        <v>10</v>
      </c>
      <c r="U1544">
        <v>12</v>
      </c>
      <c r="V1544">
        <v>2</v>
      </c>
      <c r="W1544">
        <v>1</v>
      </c>
      <c r="X1544">
        <v>0</v>
      </c>
      <c r="Y1544">
        <v>0</v>
      </c>
      <c r="Z1544">
        <v>0</v>
      </c>
    </row>
    <row r="1545" spans="1:26" x14ac:dyDescent="0.2">
      <c r="A1545" t="s">
        <v>1663</v>
      </c>
      <c r="B1545" t="s">
        <v>56</v>
      </c>
      <c r="C1545">
        <v>2013</v>
      </c>
      <c r="D1545" t="s">
        <v>69</v>
      </c>
      <c r="E1545" t="s">
        <v>73</v>
      </c>
      <c r="F1545" t="s">
        <v>69</v>
      </c>
      <c r="G1545">
        <v>27359</v>
      </c>
      <c r="H1545">
        <v>21887.200000000001</v>
      </c>
      <c r="I1545" s="13">
        <v>0</v>
      </c>
      <c r="J1545" t="s">
        <v>6207</v>
      </c>
      <c r="K1545">
        <v>1</v>
      </c>
      <c r="L1545">
        <v>0</v>
      </c>
      <c r="M1545" t="s">
        <v>0</v>
      </c>
      <c r="N1545" s="2">
        <v>0.42</v>
      </c>
      <c r="O1545" s="2">
        <v>0.57999999999999996</v>
      </c>
      <c r="P1545">
        <v>21</v>
      </c>
      <c r="Q1545">
        <v>11</v>
      </c>
      <c r="R1545">
        <v>5</v>
      </c>
      <c r="S1545">
        <v>4</v>
      </c>
      <c r="T1545">
        <v>11</v>
      </c>
      <c r="U1545">
        <v>15</v>
      </c>
      <c r="V1545">
        <v>0</v>
      </c>
      <c r="W1545">
        <v>0</v>
      </c>
      <c r="X1545">
        <v>0</v>
      </c>
      <c r="Y1545">
        <v>0</v>
      </c>
      <c r="Z1545">
        <v>0</v>
      </c>
    </row>
    <row r="1546" spans="1:26" x14ac:dyDescent="0.2">
      <c r="A1546" t="s">
        <v>1664</v>
      </c>
      <c r="B1546" t="s">
        <v>25</v>
      </c>
      <c r="C1546">
        <v>2013</v>
      </c>
      <c r="D1546" t="s">
        <v>64</v>
      </c>
      <c r="E1546" t="s">
        <v>31</v>
      </c>
      <c r="F1546" t="s">
        <v>64</v>
      </c>
      <c r="G1546">
        <v>52264</v>
      </c>
      <c r="H1546">
        <v>41811.200000000004</v>
      </c>
      <c r="I1546" s="13">
        <v>0.5</v>
      </c>
      <c r="J1546" t="s">
        <v>6207</v>
      </c>
      <c r="K1546">
        <v>1</v>
      </c>
      <c r="L1546">
        <v>0</v>
      </c>
      <c r="M1546" t="s">
        <v>0</v>
      </c>
      <c r="N1546" s="2">
        <v>0.54</v>
      </c>
      <c r="O1546" s="2">
        <v>0.46</v>
      </c>
      <c r="P1546">
        <v>13</v>
      </c>
      <c r="Q1546">
        <v>12</v>
      </c>
      <c r="R1546">
        <v>13</v>
      </c>
      <c r="S1546">
        <v>2</v>
      </c>
      <c r="T1546">
        <v>13</v>
      </c>
      <c r="U1546">
        <v>10</v>
      </c>
      <c r="V1546">
        <v>2</v>
      </c>
      <c r="W1546">
        <v>2</v>
      </c>
      <c r="X1546">
        <v>0</v>
      </c>
      <c r="Y1546">
        <v>0</v>
      </c>
      <c r="Z1546">
        <v>0</v>
      </c>
    </row>
    <row r="1547" spans="1:26" x14ac:dyDescent="0.2">
      <c r="A1547" t="s">
        <v>1665</v>
      </c>
      <c r="B1547" t="s">
        <v>61</v>
      </c>
      <c r="C1547">
        <v>2013</v>
      </c>
      <c r="D1547" t="s">
        <v>78</v>
      </c>
      <c r="E1547" t="s">
        <v>45</v>
      </c>
      <c r="F1547" t="s">
        <v>78</v>
      </c>
      <c r="G1547">
        <v>33280</v>
      </c>
      <c r="H1547">
        <v>26624</v>
      </c>
      <c r="I1547" s="13">
        <v>0</v>
      </c>
      <c r="J1547" t="s">
        <v>6207</v>
      </c>
      <c r="K1547">
        <v>0</v>
      </c>
      <c r="L1547">
        <v>0</v>
      </c>
      <c r="M1547" t="s">
        <v>58</v>
      </c>
      <c r="N1547" s="2">
        <v>0.37</v>
      </c>
      <c r="O1547" s="2">
        <v>0.63</v>
      </c>
      <c r="P1547">
        <v>9</v>
      </c>
      <c r="Q1547">
        <v>13</v>
      </c>
      <c r="R1547">
        <v>4</v>
      </c>
      <c r="S1547">
        <v>4</v>
      </c>
      <c r="T1547">
        <v>11</v>
      </c>
      <c r="U1547">
        <v>7</v>
      </c>
      <c r="V1547">
        <v>1</v>
      </c>
      <c r="W1547">
        <v>1</v>
      </c>
      <c r="X1547">
        <v>0</v>
      </c>
      <c r="Y1547">
        <v>0</v>
      </c>
      <c r="Z1547">
        <v>0</v>
      </c>
    </row>
    <row r="1548" spans="1:26" x14ac:dyDescent="0.2">
      <c r="A1548" t="s">
        <v>1666</v>
      </c>
      <c r="B1548" t="s">
        <v>54</v>
      </c>
      <c r="C1548">
        <v>2013</v>
      </c>
      <c r="D1548" t="s">
        <v>79</v>
      </c>
      <c r="E1548" t="s">
        <v>35</v>
      </c>
      <c r="F1548" t="s">
        <v>20</v>
      </c>
      <c r="G1548">
        <v>25486</v>
      </c>
      <c r="H1548">
        <v>20388.800000000003</v>
      </c>
      <c r="I1548" s="13">
        <v>1</v>
      </c>
      <c r="J1548" t="s">
        <v>6206</v>
      </c>
      <c r="K1548">
        <v>3</v>
      </c>
      <c r="L1548">
        <v>1</v>
      </c>
      <c r="M1548" t="s">
        <v>0</v>
      </c>
      <c r="N1548" s="2">
        <v>0.5</v>
      </c>
      <c r="O1548" s="2">
        <v>0.5</v>
      </c>
      <c r="P1548">
        <v>7</v>
      </c>
      <c r="Q1548">
        <v>6</v>
      </c>
      <c r="R1548">
        <v>6</v>
      </c>
      <c r="S1548">
        <v>6</v>
      </c>
      <c r="T1548">
        <v>6</v>
      </c>
      <c r="U1548">
        <v>7</v>
      </c>
      <c r="V1548">
        <v>1</v>
      </c>
      <c r="W1548">
        <v>0</v>
      </c>
      <c r="X1548">
        <v>0</v>
      </c>
      <c r="Y1548">
        <v>1</v>
      </c>
      <c r="Z1548">
        <v>1</v>
      </c>
    </row>
    <row r="1549" spans="1:26" x14ac:dyDescent="0.2">
      <c r="A1549" t="s">
        <v>1667</v>
      </c>
      <c r="B1549" t="s">
        <v>41</v>
      </c>
      <c r="C1549">
        <v>2013</v>
      </c>
      <c r="D1549" t="s">
        <v>63</v>
      </c>
      <c r="E1549" t="s">
        <v>71</v>
      </c>
      <c r="F1549" t="s">
        <v>65</v>
      </c>
      <c r="G1549">
        <v>26804</v>
      </c>
      <c r="H1549">
        <v>21443.200000000001</v>
      </c>
      <c r="I1549" s="13">
        <v>0.7142857142857143</v>
      </c>
      <c r="J1549" t="s">
        <v>6207</v>
      </c>
      <c r="K1549">
        <v>0</v>
      </c>
      <c r="L1549">
        <v>2</v>
      </c>
      <c r="M1549" t="s">
        <v>1</v>
      </c>
      <c r="N1549" s="2">
        <v>0.42</v>
      </c>
      <c r="O1549" s="2">
        <v>0.57999999999999996</v>
      </c>
      <c r="P1549">
        <v>17</v>
      </c>
      <c r="Q1549">
        <v>12</v>
      </c>
      <c r="R1549">
        <v>2</v>
      </c>
      <c r="S1549">
        <v>5</v>
      </c>
      <c r="T1549">
        <v>10</v>
      </c>
      <c r="U1549">
        <v>14</v>
      </c>
      <c r="V1549">
        <v>4</v>
      </c>
      <c r="W1549">
        <v>3</v>
      </c>
      <c r="X1549">
        <v>0</v>
      </c>
      <c r="Y1549">
        <v>0</v>
      </c>
      <c r="Z1549">
        <v>0</v>
      </c>
    </row>
    <row r="1550" spans="1:26" x14ac:dyDescent="0.2">
      <c r="A1550" t="s">
        <v>1668</v>
      </c>
      <c r="B1550" t="s">
        <v>37</v>
      </c>
      <c r="C1550">
        <v>2013</v>
      </c>
      <c r="D1550" t="s">
        <v>26</v>
      </c>
      <c r="E1550" t="s">
        <v>48</v>
      </c>
      <c r="F1550" t="s">
        <v>26</v>
      </c>
      <c r="G1550">
        <v>61276</v>
      </c>
      <c r="H1550">
        <v>49020.800000000003</v>
      </c>
      <c r="I1550" s="13">
        <v>0.33333333333333331</v>
      </c>
      <c r="J1550" t="s">
        <v>6206</v>
      </c>
      <c r="K1550">
        <v>1</v>
      </c>
      <c r="L1550">
        <v>0</v>
      </c>
      <c r="M1550" t="s">
        <v>0</v>
      </c>
      <c r="N1550" s="2">
        <v>0.42</v>
      </c>
      <c r="O1550" s="2">
        <v>0.57999999999999996</v>
      </c>
      <c r="P1550">
        <v>13</v>
      </c>
      <c r="Q1550">
        <v>15</v>
      </c>
      <c r="R1550">
        <v>2</v>
      </c>
      <c r="S1550">
        <v>7</v>
      </c>
      <c r="T1550">
        <v>15</v>
      </c>
      <c r="U1550">
        <v>15</v>
      </c>
      <c r="V1550">
        <v>2</v>
      </c>
      <c r="W1550">
        <v>4</v>
      </c>
      <c r="X1550">
        <v>0</v>
      </c>
      <c r="Y1550">
        <v>0</v>
      </c>
      <c r="Z1550">
        <v>0</v>
      </c>
    </row>
    <row r="1551" spans="1:26" x14ac:dyDescent="0.2">
      <c r="A1551" t="s">
        <v>1669</v>
      </c>
      <c r="B1551" t="s">
        <v>66</v>
      </c>
      <c r="C1551">
        <v>2013</v>
      </c>
      <c r="D1551" t="s">
        <v>46</v>
      </c>
      <c r="E1551" t="s">
        <v>51</v>
      </c>
      <c r="F1551" t="s">
        <v>20</v>
      </c>
      <c r="G1551">
        <v>60704</v>
      </c>
      <c r="H1551">
        <v>48563.200000000004</v>
      </c>
      <c r="I1551" s="13">
        <v>0.75</v>
      </c>
      <c r="J1551" t="s">
        <v>6207</v>
      </c>
      <c r="K1551">
        <v>1</v>
      </c>
      <c r="L1551">
        <v>0</v>
      </c>
      <c r="M1551" t="s">
        <v>0</v>
      </c>
      <c r="N1551" s="2">
        <v>0.43</v>
      </c>
      <c r="O1551" s="2">
        <v>0.56999999999999995</v>
      </c>
      <c r="P1551">
        <v>12</v>
      </c>
      <c r="Q1551">
        <v>15</v>
      </c>
      <c r="R1551">
        <v>3</v>
      </c>
      <c r="S1551">
        <v>6</v>
      </c>
      <c r="T1551">
        <v>15</v>
      </c>
      <c r="U1551">
        <v>14</v>
      </c>
      <c r="V1551">
        <v>2</v>
      </c>
      <c r="W1551">
        <v>2</v>
      </c>
      <c r="X1551">
        <v>0</v>
      </c>
      <c r="Y1551">
        <v>0</v>
      </c>
      <c r="Z1551">
        <v>0</v>
      </c>
    </row>
    <row r="1552" spans="1:26" x14ac:dyDescent="0.2">
      <c r="A1552" t="s">
        <v>1670</v>
      </c>
      <c r="B1552" t="s">
        <v>68</v>
      </c>
      <c r="C1552">
        <v>2013</v>
      </c>
      <c r="D1552" t="s">
        <v>48</v>
      </c>
      <c r="E1552" t="s">
        <v>79</v>
      </c>
      <c r="F1552" t="s">
        <v>49</v>
      </c>
      <c r="G1552">
        <v>74197</v>
      </c>
      <c r="H1552">
        <v>59357.600000000006</v>
      </c>
      <c r="I1552" s="13">
        <v>0.5</v>
      </c>
      <c r="J1552" t="s">
        <v>6207</v>
      </c>
      <c r="K1552">
        <v>2</v>
      </c>
      <c r="L1552">
        <v>0</v>
      </c>
      <c r="M1552" t="s">
        <v>0</v>
      </c>
      <c r="N1552" s="2">
        <v>0.6</v>
      </c>
      <c r="O1552" s="2">
        <v>0.4</v>
      </c>
      <c r="P1552">
        <v>9</v>
      </c>
      <c r="Q1552">
        <v>15</v>
      </c>
      <c r="R1552">
        <v>10</v>
      </c>
      <c r="S1552">
        <v>1</v>
      </c>
      <c r="T1552">
        <v>10</v>
      </c>
      <c r="U1552">
        <v>12</v>
      </c>
      <c r="V1552">
        <v>1</v>
      </c>
      <c r="W1552">
        <v>2</v>
      </c>
      <c r="X1552">
        <v>0</v>
      </c>
      <c r="Y1552">
        <v>1</v>
      </c>
      <c r="Z1552">
        <v>1</v>
      </c>
    </row>
    <row r="1553" spans="1:26" x14ac:dyDescent="0.2">
      <c r="A1553" t="s">
        <v>1671</v>
      </c>
      <c r="B1553" t="s">
        <v>50</v>
      </c>
      <c r="C1553">
        <v>2013</v>
      </c>
      <c r="D1553" t="s">
        <v>51</v>
      </c>
      <c r="E1553" t="s">
        <v>69</v>
      </c>
      <c r="F1553" t="s">
        <v>20</v>
      </c>
      <c r="G1553">
        <v>36284</v>
      </c>
      <c r="H1553">
        <v>29027.200000000001</v>
      </c>
      <c r="I1553" s="13">
        <v>0.75</v>
      </c>
      <c r="J1553" t="s">
        <v>6207</v>
      </c>
      <c r="K1553">
        <v>2</v>
      </c>
      <c r="L1553">
        <v>0</v>
      </c>
      <c r="M1553" t="s">
        <v>0</v>
      </c>
      <c r="N1553" s="2">
        <v>0.69</v>
      </c>
      <c r="O1553" s="2">
        <v>0.31</v>
      </c>
      <c r="P1553">
        <v>16</v>
      </c>
      <c r="Q1553">
        <v>4</v>
      </c>
      <c r="R1553">
        <v>8</v>
      </c>
      <c r="S1553">
        <v>1</v>
      </c>
      <c r="T1553">
        <v>4</v>
      </c>
      <c r="U1553">
        <v>12</v>
      </c>
      <c r="V1553">
        <v>1</v>
      </c>
      <c r="W1553">
        <v>3</v>
      </c>
      <c r="X1553">
        <v>0</v>
      </c>
      <c r="Y1553">
        <v>0</v>
      </c>
      <c r="Z1553">
        <v>0</v>
      </c>
    </row>
    <row r="1554" spans="1:26" x14ac:dyDescent="0.2">
      <c r="A1554" t="s">
        <v>1672</v>
      </c>
      <c r="B1554" t="s">
        <v>32</v>
      </c>
      <c r="C1554">
        <v>2013</v>
      </c>
      <c r="D1554" t="s">
        <v>35</v>
      </c>
      <c r="E1554" t="s">
        <v>46</v>
      </c>
      <c r="F1554" t="s">
        <v>35</v>
      </c>
      <c r="G1554">
        <v>49000</v>
      </c>
      <c r="H1554">
        <v>39200</v>
      </c>
      <c r="I1554" s="13">
        <v>0.66666666666666663</v>
      </c>
      <c r="J1554" t="s">
        <v>6207</v>
      </c>
      <c r="K1554">
        <v>1</v>
      </c>
      <c r="L1554">
        <v>3</v>
      </c>
      <c r="M1554" t="s">
        <v>1</v>
      </c>
      <c r="N1554" s="2">
        <v>0.31</v>
      </c>
      <c r="O1554" s="2">
        <v>0.69</v>
      </c>
      <c r="P1554">
        <v>6</v>
      </c>
      <c r="Q1554">
        <v>15</v>
      </c>
      <c r="R1554">
        <v>6</v>
      </c>
      <c r="S1554">
        <v>6</v>
      </c>
      <c r="T1554">
        <v>13</v>
      </c>
      <c r="U1554">
        <v>11</v>
      </c>
      <c r="V1554">
        <v>1</v>
      </c>
      <c r="W1554">
        <v>2</v>
      </c>
      <c r="X1554">
        <v>0</v>
      </c>
      <c r="Y1554">
        <v>0</v>
      </c>
      <c r="Z1554">
        <v>1</v>
      </c>
    </row>
    <row r="1555" spans="1:26" x14ac:dyDescent="0.2">
      <c r="A1555" t="s">
        <v>1673</v>
      </c>
      <c r="B1555" t="s">
        <v>44</v>
      </c>
      <c r="C1555">
        <v>2013</v>
      </c>
      <c r="D1555" t="s">
        <v>27</v>
      </c>
      <c r="E1555" t="s">
        <v>40</v>
      </c>
      <c r="F1555" t="s">
        <v>27</v>
      </c>
      <c r="G1555">
        <v>30089</v>
      </c>
      <c r="H1555">
        <v>24071.200000000001</v>
      </c>
      <c r="I1555" s="13">
        <v>1</v>
      </c>
      <c r="J1555" t="s">
        <v>6207</v>
      </c>
      <c r="K1555">
        <v>0</v>
      </c>
      <c r="L1555">
        <v>0</v>
      </c>
      <c r="M1555" t="s">
        <v>58</v>
      </c>
      <c r="N1555" s="2">
        <v>0.42</v>
      </c>
      <c r="O1555" s="2">
        <v>0.57999999999999996</v>
      </c>
      <c r="P1555">
        <v>10</v>
      </c>
      <c r="Q1555">
        <v>13</v>
      </c>
      <c r="R1555">
        <v>2</v>
      </c>
      <c r="S1555">
        <v>4</v>
      </c>
      <c r="T1555">
        <v>13</v>
      </c>
      <c r="U1555">
        <v>11</v>
      </c>
      <c r="V1555">
        <v>1</v>
      </c>
      <c r="W1555">
        <v>1</v>
      </c>
      <c r="X1555">
        <v>0</v>
      </c>
      <c r="Y1555">
        <v>0</v>
      </c>
      <c r="Z1555">
        <v>0</v>
      </c>
    </row>
    <row r="1556" spans="1:26" x14ac:dyDescent="0.2">
      <c r="A1556" t="s">
        <v>1674</v>
      </c>
      <c r="B1556" t="s">
        <v>77</v>
      </c>
      <c r="C1556">
        <v>2013</v>
      </c>
      <c r="D1556" t="s">
        <v>19</v>
      </c>
      <c r="E1556" t="s">
        <v>78</v>
      </c>
      <c r="F1556" t="s">
        <v>19</v>
      </c>
      <c r="G1556">
        <v>25586</v>
      </c>
      <c r="H1556">
        <v>20468.800000000003</v>
      </c>
      <c r="I1556" s="13">
        <v>0.33333333333333331</v>
      </c>
      <c r="J1556" t="s">
        <v>6207</v>
      </c>
      <c r="K1556">
        <v>1</v>
      </c>
      <c r="L1556">
        <v>1</v>
      </c>
      <c r="M1556" t="s">
        <v>58</v>
      </c>
      <c r="N1556" s="2">
        <v>0.46</v>
      </c>
      <c r="O1556" s="2">
        <v>0.54</v>
      </c>
      <c r="P1556">
        <v>9</v>
      </c>
      <c r="Q1556">
        <v>8</v>
      </c>
      <c r="R1556">
        <v>6</v>
      </c>
      <c r="S1556">
        <v>2</v>
      </c>
      <c r="T1556">
        <v>7</v>
      </c>
      <c r="U1556">
        <v>9</v>
      </c>
      <c r="V1556">
        <v>1</v>
      </c>
      <c r="W1556">
        <v>2</v>
      </c>
      <c r="X1556">
        <v>0</v>
      </c>
      <c r="Y1556">
        <v>0</v>
      </c>
      <c r="Z1556">
        <v>0</v>
      </c>
    </row>
    <row r="1557" spans="1:26" x14ac:dyDescent="0.2">
      <c r="A1557" t="s">
        <v>1675</v>
      </c>
      <c r="B1557" t="s">
        <v>54</v>
      </c>
      <c r="C1557">
        <v>2013</v>
      </c>
      <c r="D1557" t="s">
        <v>31</v>
      </c>
      <c r="E1557" t="s">
        <v>63</v>
      </c>
      <c r="F1557" t="s">
        <v>20</v>
      </c>
      <c r="G1557">
        <v>28500</v>
      </c>
      <c r="H1557">
        <v>22800</v>
      </c>
      <c r="I1557" s="13">
        <v>1</v>
      </c>
      <c r="J1557" t="s">
        <v>6206</v>
      </c>
      <c r="K1557">
        <v>1</v>
      </c>
      <c r="L1557">
        <v>1</v>
      </c>
      <c r="M1557" t="s">
        <v>58</v>
      </c>
      <c r="N1557" s="2">
        <v>0.56000000000000005</v>
      </c>
      <c r="O1557" s="2">
        <v>0.44</v>
      </c>
      <c r="P1557">
        <v>14</v>
      </c>
      <c r="Q1557">
        <v>13</v>
      </c>
      <c r="R1557">
        <v>4</v>
      </c>
      <c r="S1557">
        <v>5</v>
      </c>
      <c r="T1557">
        <v>11</v>
      </c>
      <c r="U1557">
        <v>12</v>
      </c>
      <c r="V1557">
        <v>0</v>
      </c>
      <c r="W1557">
        <v>1</v>
      </c>
      <c r="X1557">
        <v>0</v>
      </c>
      <c r="Y1557">
        <v>0</v>
      </c>
      <c r="Z1557">
        <v>0</v>
      </c>
    </row>
    <row r="1558" spans="1:26" x14ac:dyDescent="0.2">
      <c r="A1558" t="s">
        <v>1676</v>
      </c>
      <c r="B1558" t="s">
        <v>41</v>
      </c>
      <c r="C1558">
        <v>2013</v>
      </c>
      <c r="D1558" t="s">
        <v>42</v>
      </c>
      <c r="E1558" t="s">
        <v>64</v>
      </c>
      <c r="F1558" t="s">
        <v>38</v>
      </c>
      <c r="G1558">
        <v>42918</v>
      </c>
      <c r="H1558">
        <v>34334.400000000001</v>
      </c>
      <c r="I1558" s="13">
        <v>0.8</v>
      </c>
      <c r="J1558" t="s">
        <v>6207</v>
      </c>
      <c r="K1558">
        <v>1</v>
      </c>
      <c r="L1558">
        <v>2</v>
      </c>
      <c r="M1558" t="s">
        <v>1</v>
      </c>
      <c r="N1558" s="2">
        <v>0.55000000000000004</v>
      </c>
      <c r="O1558" s="2">
        <v>0.45</v>
      </c>
      <c r="P1558">
        <v>15</v>
      </c>
      <c r="Q1558">
        <v>11</v>
      </c>
      <c r="R1558">
        <v>4</v>
      </c>
      <c r="S1558">
        <v>2</v>
      </c>
      <c r="T1558">
        <v>10</v>
      </c>
      <c r="U1558">
        <v>12</v>
      </c>
      <c r="V1558">
        <v>1</v>
      </c>
      <c r="W1558">
        <v>4</v>
      </c>
      <c r="X1558">
        <v>0</v>
      </c>
      <c r="Y1558">
        <v>0</v>
      </c>
      <c r="Z1558">
        <v>0</v>
      </c>
    </row>
    <row r="1559" spans="1:26" x14ac:dyDescent="0.2">
      <c r="A1559" t="s">
        <v>1677</v>
      </c>
      <c r="B1559" t="s">
        <v>56</v>
      </c>
      <c r="C1559">
        <v>2013</v>
      </c>
      <c r="D1559" t="s">
        <v>45</v>
      </c>
      <c r="E1559" t="s">
        <v>18</v>
      </c>
      <c r="F1559" t="s">
        <v>26</v>
      </c>
      <c r="G1559">
        <v>39572</v>
      </c>
      <c r="H1559">
        <v>31657.600000000002</v>
      </c>
      <c r="I1559" s="13">
        <v>1</v>
      </c>
      <c r="J1559" t="s">
        <v>6207</v>
      </c>
      <c r="K1559">
        <v>1</v>
      </c>
      <c r="L1559">
        <v>0</v>
      </c>
      <c r="M1559" t="s">
        <v>0</v>
      </c>
      <c r="N1559" s="2">
        <v>0.43</v>
      </c>
      <c r="O1559" s="2">
        <v>0.56999999999999995</v>
      </c>
      <c r="P1559">
        <v>12</v>
      </c>
      <c r="Q1559">
        <v>12</v>
      </c>
      <c r="R1559">
        <v>5</v>
      </c>
      <c r="S1559">
        <v>7</v>
      </c>
      <c r="T1559">
        <v>10</v>
      </c>
      <c r="U1559">
        <v>14</v>
      </c>
      <c r="V1559">
        <v>0</v>
      </c>
      <c r="W1559">
        <v>4</v>
      </c>
      <c r="X1559">
        <v>0</v>
      </c>
      <c r="Y1559">
        <v>0</v>
      </c>
      <c r="Z1559">
        <v>0</v>
      </c>
    </row>
    <row r="1560" spans="1:26" x14ac:dyDescent="0.2">
      <c r="A1560" t="s">
        <v>1678</v>
      </c>
      <c r="B1560" t="s">
        <v>37</v>
      </c>
      <c r="C1560">
        <v>2013</v>
      </c>
      <c r="D1560" t="s">
        <v>73</v>
      </c>
      <c r="E1560" t="s">
        <v>23</v>
      </c>
      <c r="F1560" t="s">
        <v>73</v>
      </c>
      <c r="G1560">
        <v>32384</v>
      </c>
      <c r="H1560">
        <v>25907.200000000001</v>
      </c>
      <c r="I1560" s="13">
        <v>0.75</v>
      </c>
      <c r="J1560" t="s">
        <v>6206</v>
      </c>
      <c r="K1560">
        <v>0</v>
      </c>
      <c r="L1560">
        <v>0</v>
      </c>
      <c r="M1560" t="s">
        <v>58</v>
      </c>
      <c r="N1560" s="2">
        <v>0.59</v>
      </c>
      <c r="O1560" s="2">
        <v>0.41</v>
      </c>
      <c r="P1560">
        <v>14</v>
      </c>
      <c r="Q1560">
        <v>12</v>
      </c>
      <c r="R1560">
        <v>10</v>
      </c>
      <c r="S1560">
        <v>5</v>
      </c>
      <c r="T1560">
        <v>12</v>
      </c>
      <c r="U1560">
        <v>12</v>
      </c>
      <c r="V1560">
        <v>1</v>
      </c>
      <c r="W1560">
        <v>3</v>
      </c>
      <c r="X1560">
        <v>0</v>
      </c>
      <c r="Y1560">
        <v>0</v>
      </c>
      <c r="Z1560">
        <v>0</v>
      </c>
    </row>
    <row r="1561" spans="1:26" x14ac:dyDescent="0.2">
      <c r="A1561" t="s">
        <v>1679</v>
      </c>
      <c r="B1561" t="s">
        <v>66</v>
      </c>
      <c r="C1561">
        <v>2013</v>
      </c>
      <c r="D1561" t="s">
        <v>71</v>
      </c>
      <c r="E1561" t="s">
        <v>26</v>
      </c>
      <c r="F1561" t="s">
        <v>71</v>
      </c>
      <c r="G1561">
        <v>21088</v>
      </c>
      <c r="H1561">
        <v>16870.400000000001</v>
      </c>
      <c r="I1561" s="13">
        <v>0.2</v>
      </c>
      <c r="J1561" t="s">
        <v>6207</v>
      </c>
      <c r="K1561">
        <v>2</v>
      </c>
      <c r="L1561">
        <v>2</v>
      </c>
      <c r="M1561" t="s">
        <v>58</v>
      </c>
      <c r="N1561" s="2">
        <v>0.59</v>
      </c>
      <c r="O1561" s="2">
        <v>0.41</v>
      </c>
      <c r="P1561">
        <v>10</v>
      </c>
      <c r="Q1561">
        <v>8</v>
      </c>
      <c r="R1561">
        <v>3</v>
      </c>
      <c r="S1561">
        <v>7</v>
      </c>
      <c r="T1561">
        <v>8</v>
      </c>
      <c r="U1561">
        <v>10</v>
      </c>
      <c r="V1561">
        <v>2</v>
      </c>
      <c r="W1561">
        <v>3</v>
      </c>
      <c r="X1561">
        <v>0</v>
      </c>
      <c r="Y1561">
        <v>0</v>
      </c>
      <c r="Z1561">
        <v>0</v>
      </c>
    </row>
    <row r="1562" spans="1:26" x14ac:dyDescent="0.2">
      <c r="A1562" t="s">
        <v>1680</v>
      </c>
      <c r="B1562" t="s">
        <v>25</v>
      </c>
      <c r="C1562">
        <v>2013</v>
      </c>
      <c r="D1562" t="s">
        <v>69</v>
      </c>
      <c r="E1562" t="s">
        <v>42</v>
      </c>
      <c r="F1562" t="s">
        <v>69</v>
      </c>
      <c r="G1562">
        <v>27359</v>
      </c>
      <c r="H1562">
        <v>21887.200000000001</v>
      </c>
      <c r="I1562" s="13">
        <v>1</v>
      </c>
      <c r="J1562" t="s">
        <v>6207</v>
      </c>
      <c r="K1562">
        <v>0</v>
      </c>
      <c r="L1562">
        <v>1</v>
      </c>
      <c r="M1562" t="s">
        <v>1</v>
      </c>
      <c r="N1562" s="2">
        <v>0.64</v>
      </c>
      <c r="O1562" s="2">
        <v>0.36</v>
      </c>
      <c r="P1562">
        <v>13</v>
      </c>
      <c r="Q1562">
        <v>16</v>
      </c>
      <c r="R1562">
        <v>7</v>
      </c>
      <c r="S1562">
        <v>4</v>
      </c>
      <c r="T1562">
        <v>15</v>
      </c>
      <c r="U1562">
        <v>12</v>
      </c>
      <c r="V1562">
        <v>1</v>
      </c>
      <c r="W1562">
        <v>0</v>
      </c>
      <c r="X1562">
        <v>0</v>
      </c>
      <c r="Y1562">
        <v>0</v>
      </c>
      <c r="Z1562">
        <v>1</v>
      </c>
    </row>
    <row r="1563" spans="1:26" x14ac:dyDescent="0.2">
      <c r="A1563" t="s">
        <v>1681</v>
      </c>
      <c r="B1563" t="s">
        <v>50</v>
      </c>
      <c r="C1563">
        <v>2013</v>
      </c>
      <c r="D1563" t="s">
        <v>23</v>
      </c>
      <c r="E1563" t="s">
        <v>45</v>
      </c>
      <c r="F1563" t="s">
        <v>20</v>
      </c>
      <c r="G1563">
        <v>62500</v>
      </c>
      <c r="H1563">
        <v>50000</v>
      </c>
      <c r="I1563" s="13">
        <v>0.2</v>
      </c>
      <c r="J1563" t="s">
        <v>6207</v>
      </c>
      <c r="K1563">
        <v>2</v>
      </c>
      <c r="L1563">
        <v>3</v>
      </c>
      <c r="M1563" t="s">
        <v>1</v>
      </c>
      <c r="N1563" s="2">
        <v>0.38</v>
      </c>
      <c r="O1563" s="2">
        <v>0.62</v>
      </c>
      <c r="P1563">
        <v>13</v>
      </c>
      <c r="Q1563">
        <v>15</v>
      </c>
      <c r="R1563">
        <v>5</v>
      </c>
      <c r="S1563">
        <v>5</v>
      </c>
      <c r="T1563">
        <v>17</v>
      </c>
      <c r="U1563">
        <v>12</v>
      </c>
      <c r="V1563">
        <v>3</v>
      </c>
      <c r="W1563">
        <v>1</v>
      </c>
      <c r="X1563">
        <v>1</v>
      </c>
      <c r="Y1563">
        <v>0</v>
      </c>
      <c r="Z1563">
        <v>1</v>
      </c>
    </row>
    <row r="1564" spans="1:26" x14ac:dyDescent="0.2">
      <c r="A1564" t="s">
        <v>1682</v>
      </c>
      <c r="B1564" t="s">
        <v>52</v>
      </c>
      <c r="C1564">
        <v>2013</v>
      </c>
      <c r="D1564" t="s">
        <v>63</v>
      </c>
      <c r="E1564" t="s">
        <v>35</v>
      </c>
      <c r="F1564" t="s">
        <v>65</v>
      </c>
      <c r="G1564">
        <v>26804</v>
      </c>
      <c r="H1564">
        <v>21443.200000000001</v>
      </c>
      <c r="I1564" s="13">
        <v>0</v>
      </c>
      <c r="J1564" t="s">
        <v>6207</v>
      </c>
      <c r="K1564">
        <v>3</v>
      </c>
      <c r="L1564">
        <v>0</v>
      </c>
      <c r="M1564" t="s">
        <v>0</v>
      </c>
      <c r="N1564" s="2">
        <v>0.54</v>
      </c>
      <c r="O1564" s="2">
        <v>0.46</v>
      </c>
      <c r="P1564">
        <v>11</v>
      </c>
      <c r="Q1564">
        <v>12</v>
      </c>
      <c r="R1564">
        <v>5</v>
      </c>
      <c r="S1564">
        <v>6</v>
      </c>
      <c r="T1564">
        <v>9</v>
      </c>
      <c r="U1564">
        <v>12</v>
      </c>
      <c r="V1564">
        <v>0</v>
      </c>
      <c r="W1564">
        <v>2</v>
      </c>
      <c r="X1564">
        <v>0</v>
      </c>
      <c r="Y1564">
        <v>0</v>
      </c>
      <c r="Z1564">
        <v>0</v>
      </c>
    </row>
    <row r="1565" spans="1:26" x14ac:dyDescent="0.2">
      <c r="A1565" t="s">
        <v>1683</v>
      </c>
      <c r="B1565" t="s">
        <v>32</v>
      </c>
      <c r="C1565">
        <v>2013</v>
      </c>
      <c r="D1565" t="s">
        <v>64</v>
      </c>
      <c r="E1565" t="s">
        <v>19</v>
      </c>
      <c r="F1565" t="s">
        <v>64</v>
      </c>
      <c r="G1565">
        <v>52264</v>
      </c>
      <c r="H1565">
        <v>41811.200000000004</v>
      </c>
      <c r="I1565" s="13">
        <v>0.5</v>
      </c>
      <c r="J1565" t="s">
        <v>6207</v>
      </c>
      <c r="K1565">
        <v>2</v>
      </c>
      <c r="L1565">
        <v>3</v>
      </c>
      <c r="M1565" t="s">
        <v>1</v>
      </c>
      <c r="N1565" s="2">
        <v>0.61</v>
      </c>
      <c r="O1565" s="2">
        <v>0.39</v>
      </c>
      <c r="P1565">
        <v>13</v>
      </c>
      <c r="Q1565">
        <v>10</v>
      </c>
      <c r="R1565">
        <v>3</v>
      </c>
      <c r="S1565">
        <v>3</v>
      </c>
      <c r="T1565">
        <v>11</v>
      </c>
      <c r="U1565">
        <v>8</v>
      </c>
      <c r="V1565">
        <v>1</v>
      </c>
      <c r="W1565">
        <v>1</v>
      </c>
      <c r="X1565">
        <v>0</v>
      </c>
      <c r="Y1565">
        <v>0</v>
      </c>
      <c r="Z1565">
        <v>0</v>
      </c>
    </row>
    <row r="1566" spans="1:26" x14ac:dyDescent="0.2">
      <c r="A1566" t="s">
        <v>1684</v>
      </c>
      <c r="B1566" t="s">
        <v>67</v>
      </c>
      <c r="C1566">
        <v>2013</v>
      </c>
      <c r="D1566" t="s">
        <v>26</v>
      </c>
      <c r="E1566" t="s">
        <v>73</v>
      </c>
      <c r="F1566" t="s">
        <v>26</v>
      </c>
      <c r="G1566">
        <v>61276</v>
      </c>
      <c r="H1566">
        <v>49020.800000000003</v>
      </c>
      <c r="I1566" s="13">
        <v>0</v>
      </c>
      <c r="J1566" t="s">
        <v>6207</v>
      </c>
      <c r="K1566">
        <v>0</v>
      </c>
      <c r="L1566">
        <v>1</v>
      </c>
      <c r="M1566" t="s">
        <v>1</v>
      </c>
      <c r="N1566" s="2">
        <v>0.55000000000000004</v>
      </c>
      <c r="O1566" s="2">
        <v>0.45</v>
      </c>
      <c r="P1566">
        <v>12</v>
      </c>
      <c r="Q1566">
        <v>9</v>
      </c>
      <c r="R1566">
        <v>6</v>
      </c>
      <c r="S1566">
        <v>6</v>
      </c>
      <c r="T1566">
        <v>6</v>
      </c>
      <c r="U1566">
        <v>9</v>
      </c>
      <c r="V1566">
        <v>0</v>
      </c>
      <c r="W1566">
        <v>1</v>
      </c>
      <c r="X1566">
        <v>0</v>
      </c>
      <c r="Y1566">
        <v>0</v>
      </c>
      <c r="Z1566">
        <v>0</v>
      </c>
    </row>
    <row r="1567" spans="1:26" x14ac:dyDescent="0.2">
      <c r="A1567" t="s">
        <v>1685</v>
      </c>
      <c r="B1567" t="s">
        <v>37</v>
      </c>
      <c r="C1567">
        <v>2013</v>
      </c>
      <c r="D1567" t="s">
        <v>18</v>
      </c>
      <c r="E1567" t="s">
        <v>31</v>
      </c>
      <c r="F1567" t="s">
        <v>20</v>
      </c>
      <c r="G1567">
        <v>40341</v>
      </c>
      <c r="H1567">
        <v>32272.800000000003</v>
      </c>
      <c r="I1567" s="13">
        <v>0</v>
      </c>
      <c r="J1567" t="s">
        <v>6206</v>
      </c>
      <c r="K1567">
        <v>2</v>
      </c>
      <c r="L1567">
        <v>0</v>
      </c>
      <c r="M1567" t="s">
        <v>0</v>
      </c>
      <c r="N1567" s="2">
        <v>0.64</v>
      </c>
      <c r="O1567" s="2">
        <v>0.36</v>
      </c>
      <c r="P1567">
        <v>9</v>
      </c>
      <c r="Q1567">
        <v>12</v>
      </c>
      <c r="R1567">
        <v>13</v>
      </c>
      <c r="S1567">
        <v>3</v>
      </c>
      <c r="T1567">
        <v>11</v>
      </c>
      <c r="U1567">
        <v>9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8" spans="1:26" x14ac:dyDescent="0.2">
      <c r="A1568" t="s">
        <v>1686</v>
      </c>
      <c r="B1568" t="s">
        <v>60</v>
      </c>
      <c r="C1568">
        <v>2013</v>
      </c>
      <c r="D1568" t="s">
        <v>79</v>
      </c>
      <c r="E1568" t="s">
        <v>71</v>
      </c>
      <c r="F1568" t="s">
        <v>20</v>
      </c>
      <c r="G1568">
        <v>25486</v>
      </c>
      <c r="H1568">
        <v>20388.800000000003</v>
      </c>
      <c r="I1568" s="13">
        <v>0.75</v>
      </c>
      <c r="J1568" t="s">
        <v>6208</v>
      </c>
      <c r="K1568">
        <v>0</v>
      </c>
      <c r="L1568">
        <v>2</v>
      </c>
      <c r="M1568" t="s">
        <v>1</v>
      </c>
      <c r="N1568" s="2">
        <v>0.43</v>
      </c>
      <c r="O1568" s="2">
        <v>0.56999999999999995</v>
      </c>
      <c r="P1568">
        <v>14</v>
      </c>
      <c r="Q1568">
        <v>14</v>
      </c>
      <c r="R1568">
        <v>6</v>
      </c>
      <c r="S1568">
        <v>8</v>
      </c>
      <c r="T1568">
        <v>13</v>
      </c>
      <c r="U1568">
        <v>11</v>
      </c>
      <c r="V1568">
        <v>2</v>
      </c>
      <c r="W1568">
        <v>2</v>
      </c>
      <c r="X1568">
        <v>0</v>
      </c>
      <c r="Y1568">
        <v>0</v>
      </c>
      <c r="Z1568">
        <v>0</v>
      </c>
    </row>
    <row r="1569" spans="1:26" x14ac:dyDescent="0.2">
      <c r="A1569" t="s">
        <v>1687</v>
      </c>
      <c r="B1569" t="s">
        <v>41</v>
      </c>
      <c r="C1569">
        <v>2013</v>
      </c>
      <c r="D1569" t="s">
        <v>46</v>
      </c>
      <c r="E1569" t="s">
        <v>27</v>
      </c>
      <c r="F1569" t="s">
        <v>20</v>
      </c>
      <c r="G1569">
        <v>60704</v>
      </c>
      <c r="H1569">
        <v>48563.200000000004</v>
      </c>
      <c r="I1569" s="13">
        <v>1</v>
      </c>
      <c r="J1569" t="s">
        <v>6207</v>
      </c>
      <c r="K1569">
        <v>3</v>
      </c>
      <c r="L1569">
        <v>1</v>
      </c>
      <c r="M1569" t="s">
        <v>0</v>
      </c>
      <c r="N1569" s="2">
        <v>0.51</v>
      </c>
      <c r="O1569" s="2">
        <v>0.49</v>
      </c>
      <c r="P1569">
        <v>14</v>
      </c>
      <c r="Q1569">
        <v>9</v>
      </c>
      <c r="R1569">
        <v>6</v>
      </c>
      <c r="S1569">
        <v>7</v>
      </c>
      <c r="T1569">
        <v>8</v>
      </c>
      <c r="U1569">
        <v>14</v>
      </c>
      <c r="V1569">
        <v>0</v>
      </c>
      <c r="W1569">
        <v>2</v>
      </c>
      <c r="X1569">
        <v>0</v>
      </c>
      <c r="Y1569">
        <v>0</v>
      </c>
      <c r="Z1569">
        <v>0</v>
      </c>
    </row>
    <row r="1570" spans="1:26" x14ac:dyDescent="0.2">
      <c r="A1570" t="s">
        <v>1688</v>
      </c>
      <c r="B1570" t="s">
        <v>56</v>
      </c>
      <c r="C1570">
        <v>2013</v>
      </c>
      <c r="D1570" t="s">
        <v>40</v>
      </c>
      <c r="E1570" t="s">
        <v>48</v>
      </c>
      <c r="F1570" t="s">
        <v>49</v>
      </c>
      <c r="G1570">
        <v>53400</v>
      </c>
      <c r="H1570">
        <v>42720</v>
      </c>
      <c r="I1570" s="13">
        <v>0.66666666666666663</v>
      </c>
      <c r="J1570" t="s">
        <v>6207</v>
      </c>
      <c r="K1570">
        <v>4</v>
      </c>
      <c r="L1570">
        <v>1</v>
      </c>
      <c r="M1570" t="s">
        <v>0</v>
      </c>
      <c r="N1570" s="2">
        <v>0.42</v>
      </c>
      <c r="O1570" s="2">
        <v>0.57999999999999996</v>
      </c>
      <c r="P1570">
        <v>16</v>
      </c>
      <c r="Q1570">
        <v>7</v>
      </c>
      <c r="R1570">
        <v>8</v>
      </c>
      <c r="S1570">
        <v>4</v>
      </c>
      <c r="T1570">
        <v>8</v>
      </c>
      <c r="U1570">
        <v>12</v>
      </c>
      <c r="V1570">
        <v>1</v>
      </c>
      <c r="W1570">
        <v>2</v>
      </c>
      <c r="X1570">
        <v>0</v>
      </c>
      <c r="Y1570">
        <v>0</v>
      </c>
      <c r="Z1570">
        <v>0</v>
      </c>
    </row>
    <row r="1571" spans="1:26" x14ac:dyDescent="0.2">
      <c r="A1571" t="s">
        <v>1689</v>
      </c>
      <c r="B1571" t="s">
        <v>44</v>
      </c>
      <c r="C1571">
        <v>2013</v>
      </c>
      <c r="D1571" t="s">
        <v>78</v>
      </c>
      <c r="E1571" t="s">
        <v>51</v>
      </c>
      <c r="F1571" t="s">
        <v>78</v>
      </c>
      <c r="G1571">
        <v>33280</v>
      </c>
      <c r="H1571">
        <v>26624</v>
      </c>
      <c r="I1571" s="13">
        <v>0.4</v>
      </c>
      <c r="J1571" t="s">
        <v>6207</v>
      </c>
      <c r="K1571">
        <v>0</v>
      </c>
      <c r="L1571">
        <v>1</v>
      </c>
      <c r="M1571" t="s">
        <v>1</v>
      </c>
      <c r="N1571" s="2">
        <v>0.36</v>
      </c>
      <c r="O1571" s="2">
        <v>0.64</v>
      </c>
      <c r="P1571">
        <v>9</v>
      </c>
      <c r="Q1571">
        <v>12</v>
      </c>
      <c r="R1571">
        <v>2</v>
      </c>
      <c r="S1571">
        <v>12</v>
      </c>
      <c r="T1571">
        <v>7</v>
      </c>
      <c r="U1571">
        <v>8</v>
      </c>
      <c r="V1571">
        <v>1</v>
      </c>
      <c r="W1571">
        <v>4</v>
      </c>
      <c r="X1571">
        <v>0</v>
      </c>
      <c r="Y1571">
        <v>0</v>
      </c>
      <c r="Z1571">
        <v>0</v>
      </c>
    </row>
    <row r="1572" spans="1:26" x14ac:dyDescent="0.2">
      <c r="A1572" t="s">
        <v>1690</v>
      </c>
      <c r="B1572" t="s">
        <v>41</v>
      </c>
      <c r="C1572">
        <v>2013</v>
      </c>
      <c r="D1572" t="s">
        <v>51</v>
      </c>
      <c r="E1572" t="s">
        <v>18</v>
      </c>
      <c r="F1572" t="s">
        <v>20</v>
      </c>
      <c r="G1572">
        <v>36284</v>
      </c>
      <c r="H1572">
        <v>29027.200000000001</v>
      </c>
      <c r="I1572" s="13">
        <v>0.75</v>
      </c>
      <c r="J1572" t="s">
        <v>6207</v>
      </c>
      <c r="K1572">
        <v>1</v>
      </c>
      <c r="L1572">
        <v>1</v>
      </c>
      <c r="M1572" t="s">
        <v>58</v>
      </c>
      <c r="N1572" s="2">
        <v>0.54</v>
      </c>
      <c r="O1572" s="2">
        <v>0.46</v>
      </c>
      <c r="P1572">
        <v>23</v>
      </c>
      <c r="Q1572">
        <v>15</v>
      </c>
      <c r="R1572">
        <v>4</v>
      </c>
      <c r="S1572">
        <v>5</v>
      </c>
      <c r="T1572">
        <v>16</v>
      </c>
      <c r="U1572">
        <v>14</v>
      </c>
      <c r="V1572">
        <v>5</v>
      </c>
      <c r="W1572">
        <v>2</v>
      </c>
      <c r="X1572">
        <v>0</v>
      </c>
      <c r="Y1572">
        <v>1</v>
      </c>
      <c r="Z1572">
        <v>0</v>
      </c>
    </row>
    <row r="1573" spans="1:26" x14ac:dyDescent="0.2">
      <c r="A1573" t="s">
        <v>1691</v>
      </c>
      <c r="B1573" t="s">
        <v>32</v>
      </c>
      <c r="C1573">
        <v>2013</v>
      </c>
      <c r="D1573" t="s">
        <v>73</v>
      </c>
      <c r="E1573" t="s">
        <v>79</v>
      </c>
      <c r="F1573" t="s">
        <v>73</v>
      </c>
      <c r="G1573">
        <v>32384</v>
      </c>
      <c r="H1573">
        <v>25907.200000000001</v>
      </c>
      <c r="I1573" s="13">
        <v>0.66666666666666663</v>
      </c>
      <c r="J1573" t="s">
        <v>6207</v>
      </c>
      <c r="K1573">
        <v>2</v>
      </c>
      <c r="L1573">
        <v>0</v>
      </c>
      <c r="M1573" t="s">
        <v>0</v>
      </c>
      <c r="N1573" s="2">
        <v>0.61</v>
      </c>
      <c r="O1573" s="2">
        <v>0.39</v>
      </c>
      <c r="P1573">
        <v>15</v>
      </c>
      <c r="Q1573">
        <v>11</v>
      </c>
      <c r="R1573">
        <v>8</v>
      </c>
      <c r="S1573">
        <v>2</v>
      </c>
      <c r="T1573">
        <v>11</v>
      </c>
      <c r="U1573">
        <v>15</v>
      </c>
      <c r="V1573">
        <v>1</v>
      </c>
      <c r="W1573">
        <v>2</v>
      </c>
      <c r="X1573">
        <v>0</v>
      </c>
      <c r="Y1573">
        <v>0</v>
      </c>
      <c r="Z1573">
        <v>0</v>
      </c>
    </row>
    <row r="1574" spans="1:26" x14ac:dyDescent="0.2">
      <c r="A1574" t="s">
        <v>1692</v>
      </c>
      <c r="B1574" t="s">
        <v>66</v>
      </c>
      <c r="C1574">
        <v>2013</v>
      </c>
      <c r="D1574" t="s">
        <v>48</v>
      </c>
      <c r="E1574" t="s">
        <v>63</v>
      </c>
      <c r="F1574" t="s">
        <v>49</v>
      </c>
      <c r="G1574">
        <v>74197</v>
      </c>
      <c r="H1574">
        <v>59357.600000000006</v>
      </c>
      <c r="I1574" s="13">
        <v>0.6</v>
      </c>
      <c r="J1574" t="s">
        <v>6207</v>
      </c>
      <c r="K1574">
        <v>1</v>
      </c>
      <c r="L1574">
        <v>2</v>
      </c>
      <c r="M1574" t="s">
        <v>1</v>
      </c>
      <c r="N1574" s="2">
        <v>0.59</v>
      </c>
      <c r="O1574" s="2">
        <v>0.41</v>
      </c>
      <c r="P1574">
        <v>13</v>
      </c>
      <c r="Q1574">
        <v>13</v>
      </c>
      <c r="R1574">
        <v>5</v>
      </c>
      <c r="S1574">
        <v>8</v>
      </c>
      <c r="T1574">
        <v>10</v>
      </c>
      <c r="U1574">
        <v>14</v>
      </c>
      <c r="V1574">
        <v>3</v>
      </c>
      <c r="W1574">
        <v>2</v>
      </c>
      <c r="X1574">
        <v>0</v>
      </c>
      <c r="Y1574">
        <v>0</v>
      </c>
      <c r="Z1574">
        <v>0</v>
      </c>
    </row>
    <row r="1575" spans="1:26" x14ac:dyDescent="0.2">
      <c r="A1575" t="s">
        <v>1693</v>
      </c>
      <c r="B1575" t="s">
        <v>60</v>
      </c>
      <c r="C1575">
        <v>2013</v>
      </c>
      <c r="D1575" t="s">
        <v>19</v>
      </c>
      <c r="E1575" t="s">
        <v>23</v>
      </c>
      <c r="F1575" t="s">
        <v>19</v>
      </c>
      <c r="G1575">
        <v>25586</v>
      </c>
      <c r="H1575">
        <v>20468.800000000003</v>
      </c>
      <c r="I1575" s="13">
        <v>0.33333333333333331</v>
      </c>
      <c r="J1575" t="s">
        <v>6208</v>
      </c>
      <c r="K1575">
        <v>1</v>
      </c>
      <c r="L1575">
        <v>0</v>
      </c>
      <c r="M1575" t="s">
        <v>0</v>
      </c>
      <c r="N1575" s="2">
        <v>0.4</v>
      </c>
      <c r="O1575" s="2">
        <v>0.6</v>
      </c>
      <c r="P1575">
        <v>9</v>
      </c>
      <c r="Q1575">
        <v>12</v>
      </c>
      <c r="R1575">
        <v>6</v>
      </c>
      <c r="S1575">
        <v>6</v>
      </c>
      <c r="T1575">
        <v>11</v>
      </c>
      <c r="U1575">
        <v>13</v>
      </c>
      <c r="V1575">
        <v>1</v>
      </c>
      <c r="W1575">
        <v>2</v>
      </c>
      <c r="X1575">
        <v>0</v>
      </c>
      <c r="Y1575">
        <v>0</v>
      </c>
      <c r="Z1575">
        <v>1</v>
      </c>
    </row>
    <row r="1576" spans="1:26" x14ac:dyDescent="0.2">
      <c r="A1576" t="s">
        <v>1694</v>
      </c>
      <c r="B1576" t="s">
        <v>76</v>
      </c>
      <c r="C1576">
        <v>2013</v>
      </c>
      <c r="D1576" t="s">
        <v>31</v>
      </c>
      <c r="E1576" t="s">
        <v>78</v>
      </c>
      <c r="F1576" t="s">
        <v>20</v>
      </c>
      <c r="G1576">
        <v>28500</v>
      </c>
      <c r="H1576">
        <v>22800</v>
      </c>
      <c r="I1576" s="13">
        <v>1</v>
      </c>
      <c r="J1576" t="s">
        <v>6207</v>
      </c>
      <c r="K1576">
        <v>1</v>
      </c>
      <c r="L1576">
        <v>2</v>
      </c>
      <c r="M1576" t="s">
        <v>1</v>
      </c>
      <c r="N1576" s="2">
        <v>0.48</v>
      </c>
      <c r="O1576" s="2">
        <v>0.52</v>
      </c>
      <c r="P1576">
        <v>14</v>
      </c>
      <c r="Q1576">
        <v>13</v>
      </c>
      <c r="R1576">
        <v>11</v>
      </c>
      <c r="S1576">
        <v>10</v>
      </c>
      <c r="T1576">
        <v>14</v>
      </c>
      <c r="U1576">
        <v>14</v>
      </c>
      <c r="V1576">
        <v>1</v>
      </c>
      <c r="W1576">
        <v>1</v>
      </c>
      <c r="X1576">
        <v>0</v>
      </c>
      <c r="Y1576">
        <v>0</v>
      </c>
      <c r="Z1576">
        <v>0</v>
      </c>
    </row>
    <row r="1577" spans="1:26" x14ac:dyDescent="0.2">
      <c r="A1577" t="s">
        <v>1695</v>
      </c>
      <c r="B1577" t="s">
        <v>53</v>
      </c>
      <c r="C1577">
        <v>2013</v>
      </c>
      <c r="D1577" t="s">
        <v>42</v>
      </c>
      <c r="E1577" t="s">
        <v>40</v>
      </c>
      <c r="F1577" t="s">
        <v>38</v>
      </c>
      <c r="G1577">
        <v>42918</v>
      </c>
      <c r="H1577">
        <v>34334.400000000001</v>
      </c>
      <c r="I1577" s="13">
        <v>1</v>
      </c>
      <c r="J1577" t="s">
        <v>6207</v>
      </c>
      <c r="K1577">
        <v>3</v>
      </c>
      <c r="L1577">
        <v>2</v>
      </c>
      <c r="M1577" t="s">
        <v>0</v>
      </c>
      <c r="N1577" s="2">
        <v>0.33</v>
      </c>
      <c r="O1577" s="2">
        <v>0.67</v>
      </c>
      <c r="P1577">
        <v>12</v>
      </c>
      <c r="Q1577">
        <v>12</v>
      </c>
      <c r="R1577">
        <v>2</v>
      </c>
      <c r="S1577">
        <v>13</v>
      </c>
      <c r="T1577">
        <v>13</v>
      </c>
      <c r="U1577">
        <v>9</v>
      </c>
      <c r="V1577">
        <v>1</v>
      </c>
      <c r="W1577">
        <v>1</v>
      </c>
      <c r="X1577">
        <v>0</v>
      </c>
      <c r="Y1577">
        <v>0</v>
      </c>
      <c r="Z1577">
        <v>0</v>
      </c>
    </row>
    <row r="1578" spans="1:26" x14ac:dyDescent="0.2">
      <c r="A1578" t="s">
        <v>1696</v>
      </c>
      <c r="B1578" t="s">
        <v>44</v>
      </c>
      <c r="C1578">
        <v>2013</v>
      </c>
      <c r="D1578" t="s">
        <v>71</v>
      </c>
      <c r="E1578" t="s">
        <v>46</v>
      </c>
      <c r="F1578" t="s">
        <v>71</v>
      </c>
      <c r="G1578">
        <v>21088</v>
      </c>
      <c r="H1578">
        <v>16870.400000000001</v>
      </c>
      <c r="I1578" s="13">
        <v>1</v>
      </c>
      <c r="J1578" t="s">
        <v>6207</v>
      </c>
      <c r="K1578">
        <v>1</v>
      </c>
      <c r="L1578">
        <v>2</v>
      </c>
      <c r="M1578" t="s">
        <v>1</v>
      </c>
      <c r="N1578" s="2">
        <v>0.57999999999999996</v>
      </c>
      <c r="O1578" s="2">
        <v>0.42</v>
      </c>
      <c r="P1578">
        <v>14</v>
      </c>
      <c r="Q1578">
        <v>9</v>
      </c>
      <c r="R1578">
        <v>4</v>
      </c>
      <c r="S1578">
        <v>3</v>
      </c>
      <c r="T1578">
        <v>6</v>
      </c>
      <c r="U1578">
        <v>11</v>
      </c>
      <c r="V1578">
        <v>3</v>
      </c>
      <c r="W1578">
        <v>2</v>
      </c>
      <c r="X1578">
        <v>0</v>
      </c>
      <c r="Y1578">
        <v>0</v>
      </c>
      <c r="Z1578">
        <v>0</v>
      </c>
    </row>
    <row r="1579" spans="1:26" x14ac:dyDescent="0.2">
      <c r="A1579" t="s">
        <v>1697</v>
      </c>
      <c r="B1579" t="s">
        <v>61</v>
      </c>
      <c r="C1579">
        <v>2013</v>
      </c>
      <c r="D1579" t="s">
        <v>27</v>
      </c>
      <c r="E1579" t="s">
        <v>69</v>
      </c>
      <c r="F1579" t="s">
        <v>27</v>
      </c>
      <c r="G1579">
        <v>30089</v>
      </c>
      <c r="H1579">
        <v>24071.200000000001</v>
      </c>
      <c r="I1579" s="13">
        <v>1</v>
      </c>
      <c r="J1579" t="s">
        <v>6207</v>
      </c>
      <c r="K1579">
        <v>0</v>
      </c>
      <c r="L1579">
        <v>1</v>
      </c>
      <c r="M1579" t="s">
        <v>1</v>
      </c>
      <c r="N1579" s="2">
        <v>0.56000000000000005</v>
      </c>
      <c r="O1579" s="2">
        <v>0.44</v>
      </c>
      <c r="P1579">
        <v>14</v>
      </c>
      <c r="Q1579">
        <v>18</v>
      </c>
      <c r="R1579">
        <v>7</v>
      </c>
      <c r="S1579">
        <v>3</v>
      </c>
      <c r="T1579">
        <v>14</v>
      </c>
      <c r="U1579">
        <v>12</v>
      </c>
      <c r="V1579">
        <v>2</v>
      </c>
      <c r="W1579">
        <v>1</v>
      </c>
      <c r="X1579">
        <v>0</v>
      </c>
      <c r="Y1579">
        <v>0</v>
      </c>
      <c r="Z1579">
        <v>0</v>
      </c>
    </row>
    <row r="1580" spans="1:26" x14ac:dyDescent="0.2">
      <c r="A1580" t="s">
        <v>1698</v>
      </c>
      <c r="B1580" t="s">
        <v>56</v>
      </c>
      <c r="C1580">
        <v>2013</v>
      </c>
      <c r="D1580" t="s">
        <v>35</v>
      </c>
      <c r="E1580" t="s">
        <v>26</v>
      </c>
      <c r="F1580" t="s">
        <v>35</v>
      </c>
      <c r="G1580">
        <v>49000</v>
      </c>
      <c r="H1580">
        <v>39200</v>
      </c>
      <c r="I1580" s="13">
        <v>0.66666666666666663</v>
      </c>
      <c r="J1580" t="s">
        <v>6207</v>
      </c>
      <c r="K1580">
        <v>1</v>
      </c>
      <c r="L1580">
        <v>3</v>
      </c>
      <c r="M1580" t="s">
        <v>1</v>
      </c>
      <c r="N1580" s="2">
        <v>0.46</v>
      </c>
      <c r="O1580" s="2">
        <v>0.54</v>
      </c>
      <c r="P1580">
        <v>11</v>
      </c>
      <c r="Q1580">
        <v>12</v>
      </c>
      <c r="R1580">
        <v>10</v>
      </c>
      <c r="S1580">
        <v>8</v>
      </c>
      <c r="T1580">
        <v>9</v>
      </c>
      <c r="U1580">
        <v>11</v>
      </c>
      <c r="V1580">
        <v>2</v>
      </c>
      <c r="W1580">
        <v>1</v>
      </c>
      <c r="X1580">
        <v>0</v>
      </c>
      <c r="Y1580">
        <v>0</v>
      </c>
      <c r="Z1580">
        <v>0</v>
      </c>
    </row>
    <row r="1581" spans="1:26" x14ac:dyDescent="0.2">
      <c r="A1581" t="s">
        <v>1699</v>
      </c>
      <c r="B1581" t="s">
        <v>52</v>
      </c>
      <c r="C1581">
        <v>2013</v>
      </c>
      <c r="D1581" t="s">
        <v>45</v>
      </c>
      <c r="E1581" t="s">
        <v>64</v>
      </c>
      <c r="F1581" t="s">
        <v>26</v>
      </c>
      <c r="G1581">
        <v>39572</v>
      </c>
      <c r="H1581">
        <v>31657.600000000002</v>
      </c>
      <c r="I1581" s="13">
        <v>0.5</v>
      </c>
      <c r="J1581" t="s">
        <v>6207</v>
      </c>
      <c r="K1581">
        <v>3</v>
      </c>
      <c r="L1581">
        <v>2</v>
      </c>
      <c r="M1581" t="s">
        <v>0</v>
      </c>
      <c r="N1581" s="2">
        <v>0.5</v>
      </c>
      <c r="O1581" s="2">
        <v>0.5</v>
      </c>
      <c r="P1581">
        <v>20</v>
      </c>
      <c r="Q1581">
        <v>10</v>
      </c>
      <c r="R1581">
        <v>1</v>
      </c>
      <c r="S1581">
        <v>1</v>
      </c>
      <c r="T1581">
        <v>7</v>
      </c>
      <c r="U1581">
        <v>16</v>
      </c>
      <c r="V1581">
        <v>3</v>
      </c>
      <c r="W1581">
        <v>1</v>
      </c>
      <c r="X1581">
        <v>0</v>
      </c>
      <c r="Y1581">
        <v>0</v>
      </c>
      <c r="Z1581">
        <v>0</v>
      </c>
    </row>
    <row r="1582" spans="1:26" x14ac:dyDescent="0.2">
      <c r="A1582" t="s">
        <v>1700</v>
      </c>
      <c r="B1582" t="s">
        <v>68</v>
      </c>
      <c r="C1582">
        <v>2013</v>
      </c>
      <c r="D1582" t="s">
        <v>40</v>
      </c>
      <c r="E1582" t="s">
        <v>45</v>
      </c>
      <c r="F1582" t="s">
        <v>49</v>
      </c>
      <c r="G1582">
        <v>53400</v>
      </c>
      <c r="H1582">
        <v>42720</v>
      </c>
      <c r="I1582" s="13">
        <v>0.77777777777777779</v>
      </c>
      <c r="J1582" t="s">
        <v>6207</v>
      </c>
      <c r="K1582">
        <v>3</v>
      </c>
      <c r="L1582">
        <v>1</v>
      </c>
      <c r="M1582" t="s">
        <v>0</v>
      </c>
      <c r="N1582" s="2">
        <v>0.54</v>
      </c>
      <c r="O1582" s="2">
        <v>0.46</v>
      </c>
      <c r="P1582">
        <v>12</v>
      </c>
      <c r="Q1582">
        <v>17</v>
      </c>
      <c r="R1582">
        <v>8</v>
      </c>
      <c r="S1582">
        <v>1</v>
      </c>
      <c r="T1582">
        <v>15</v>
      </c>
      <c r="U1582">
        <v>10</v>
      </c>
      <c r="V1582">
        <v>5</v>
      </c>
      <c r="W1582">
        <v>4</v>
      </c>
      <c r="X1582">
        <v>0</v>
      </c>
      <c r="Y1582">
        <v>0</v>
      </c>
      <c r="Z1582">
        <v>1</v>
      </c>
    </row>
    <row r="1583" spans="1:26" x14ac:dyDescent="0.2">
      <c r="A1583" t="s">
        <v>1701</v>
      </c>
      <c r="B1583" t="s">
        <v>61</v>
      </c>
      <c r="C1583">
        <v>2013</v>
      </c>
      <c r="D1583" t="s">
        <v>26</v>
      </c>
      <c r="E1583" t="s">
        <v>79</v>
      </c>
      <c r="F1583" t="s">
        <v>26</v>
      </c>
      <c r="G1583">
        <v>61276</v>
      </c>
      <c r="H1583">
        <v>49020.800000000003</v>
      </c>
      <c r="I1583" s="13">
        <v>0.33333333333333331</v>
      </c>
      <c r="J1583" t="s">
        <v>6207</v>
      </c>
      <c r="K1583">
        <v>3</v>
      </c>
      <c r="L1583">
        <v>1</v>
      </c>
      <c r="M1583" t="s">
        <v>0</v>
      </c>
      <c r="N1583" s="2">
        <v>0.62</v>
      </c>
      <c r="O1583" s="2">
        <v>0.38</v>
      </c>
      <c r="P1583">
        <v>6</v>
      </c>
      <c r="Q1583">
        <v>15</v>
      </c>
      <c r="R1583">
        <v>11</v>
      </c>
      <c r="S1583">
        <v>3</v>
      </c>
      <c r="T1583">
        <v>11</v>
      </c>
      <c r="U1583">
        <v>6</v>
      </c>
      <c r="V1583">
        <v>2</v>
      </c>
      <c r="W1583">
        <v>1</v>
      </c>
      <c r="X1583">
        <v>0</v>
      </c>
      <c r="Y1583">
        <v>0</v>
      </c>
      <c r="Z1583">
        <v>1</v>
      </c>
    </row>
    <row r="1584" spans="1:26" x14ac:dyDescent="0.2">
      <c r="A1584" t="s">
        <v>1702</v>
      </c>
      <c r="B1584" t="s">
        <v>44</v>
      </c>
      <c r="C1584">
        <v>2013</v>
      </c>
      <c r="D1584" t="s">
        <v>19</v>
      </c>
      <c r="E1584" t="s">
        <v>42</v>
      </c>
      <c r="F1584" t="s">
        <v>19</v>
      </c>
      <c r="G1584">
        <v>25586</v>
      </c>
      <c r="H1584">
        <v>20468.800000000003</v>
      </c>
      <c r="I1584" s="13">
        <v>0.33333333333333331</v>
      </c>
      <c r="J1584" t="s">
        <v>6207</v>
      </c>
      <c r="K1584">
        <v>0</v>
      </c>
      <c r="L1584">
        <v>0</v>
      </c>
      <c r="M1584" t="s">
        <v>58</v>
      </c>
      <c r="N1584" s="2">
        <v>0.45</v>
      </c>
      <c r="O1584" s="2">
        <v>0.55000000000000004</v>
      </c>
      <c r="P1584">
        <v>13</v>
      </c>
      <c r="Q1584">
        <v>8</v>
      </c>
      <c r="R1584">
        <v>7</v>
      </c>
      <c r="S1584">
        <v>7</v>
      </c>
      <c r="T1584">
        <v>7</v>
      </c>
      <c r="U1584">
        <v>11</v>
      </c>
      <c r="V1584">
        <v>2</v>
      </c>
      <c r="W1584">
        <v>1</v>
      </c>
      <c r="X1584">
        <v>0</v>
      </c>
      <c r="Y1584">
        <v>0</v>
      </c>
      <c r="Z1584">
        <v>0</v>
      </c>
    </row>
    <row r="1585" spans="1:26" x14ac:dyDescent="0.2">
      <c r="A1585" t="s">
        <v>1703</v>
      </c>
      <c r="B1585" t="s">
        <v>74</v>
      </c>
      <c r="C1585">
        <v>2013</v>
      </c>
      <c r="D1585" t="s">
        <v>31</v>
      </c>
      <c r="E1585" t="s">
        <v>27</v>
      </c>
      <c r="F1585" t="s">
        <v>20</v>
      </c>
      <c r="G1585">
        <v>28500</v>
      </c>
      <c r="H1585">
        <v>22800</v>
      </c>
      <c r="I1585" s="13">
        <v>0.8</v>
      </c>
      <c r="J1585" t="s">
        <v>6208</v>
      </c>
      <c r="K1585">
        <v>1</v>
      </c>
      <c r="L1585">
        <v>0</v>
      </c>
      <c r="M1585" t="s">
        <v>0</v>
      </c>
      <c r="N1585" s="2">
        <v>0.44</v>
      </c>
      <c r="O1585" s="2">
        <v>0.56000000000000005</v>
      </c>
      <c r="P1585">
        <v>17</v>
      </c>
      <c r="Q1585">
        <v>16</v>
      </c>
      <c r="R1585">
        <v>7</v>
      </c>
      <c r="S1585">
        <v>5</v>
      </c>
      <c r="T1585">
        <v>11</v>
      </c>
      <c r="U1585">
        <v>13</v>
      </c>
      <c r="V1585">
        <v>3</v>
      </c>
      <c r="W1585">
        <v>2</v>
      </c>
      <c r="X1585">
        <v>0</v>
      </c>
      <c r="Y1585">
        <v>0</v>
      </c>
      <c r="Z1585">
        <v>0</v>
      </c>
    </row>
    <row r="1586" spans="1:26" x14ac:dyDescent="0.2">
      <c r="A1586" t="s">
        <v>1704</v>
      </c>
      <c r="B1586" t="s">
        <v>60</v>
      </c>
      <c r="C1586">
        <v>2013</v>
      </c>
      <c r="D1586" t="s">
        <v>78</v>
      </c>
      <c r="E1586" t="s">
        <v>64</v>
      </c>
      <c r="F1586" t="s">
        <v>78</v>
      </c>
      <c r="G1586">
        <v>33280</v>
      </c>
      <c r="H1586">
        <v>26624</v>
      </c>
      <c r="I1586" s="13">
        <v>1</v>
      </c>
      <c r="J1586" t="s">
        <v>6208</v>
      </c>
      <c r="K1586">
        <v>1</v>
      </c>
      <c r="L1586">
        <v>2</v>
      </c>
      <c r="M1586" t="s">
        <v>1</v>
      </c>
      <c r="N1586" s="2">
        <v>0.56999999999999995</v>
      </c>
      <c r="O1586" s="2">
        <v>0.43</v>
      </c>
      <c r="P1586">
        <v>9</v>
      </c>
      <c r="Q1586">
        <v>11</v>
      </c>
      <c r="R1586">
        <v>3</v>
      </c>
      <c r="S1586">
        <v>3</v>
      </c>
      <c r="T1586">
        <v>11</v>
      </c>
      <c r="U1586">
        <v>8</v>
      </c>
      <c r="V1586">
        <v>1</v>
      </c>
      <c r="W1586">
        <v>0</v>
      </c>
      <c r="X1586">
        <v>0</v>
      </c>
      <c r="Y1586">
        <v>0</v>
      </c>
      <c r="Z1586">
        <v>0</v>
      </c>
    </row>
    <row r="1587" spans="1:26" x14ac:dyDescent="0.2">
      <c r="A1587" t="s">
        <v>1705</v>
      </c>
      <c r="B1587" t="s">
        <v>25</v>
      </c>
      <c r="C1587">
        <v>2013</v>
      </c>
      <c r="D1587" t="s">
        <v>35</v>
      </c>
      <c r="E1587" t="s">
        <v>48</v>
      </c>
      <c r="F1587" t="s">
        <v>35</v>
      </c>
      <c r="G1587">
        <v>49000</v>
      </c>
      <c r="H1587">
        <v>39200</v>
      </c>
      <c r="I1587" s="13">
        <v>0.66666666666666663</v>
      </c>
      <c r="J1587" t="s">
        <v>6207</v>
      </c>
      <c r="K1587">
        <v>1</v>
      </c>
      <c r="L1587">
        <v>2</v>
      </c>
      <c r="M1587" t="s">
        <v>1</v>
      </c>
      <c r="N1587" s="2">
        <v>0.38</v>
      </c>
      <c r="O1587" s="2">
        <v>0.62</v>
      </c>
      <c r="P1587">
        <v>15</v>
      </c>
      <c r="Q1587">
        <v>16</v>
      </c>
      <c r="R1587">
        <v>4</v>
      </c>
      <c r="S1587">
        <v>4</v>
      </c>
      <c r="T1587">
        <v>15</v>
      </c>
      <c r="U1587">
        <v>13</v>
      </c>
      <c r="V1587">
        <v>2</v>
      </c>
      <c r="W1587">
        <v>4</v>
      </c>
      <c r="X1587">
        <v>0</v>
      </c>
      <c r="Y1587">
        <v>0</v>
      </c>
      <c r="Z1587">
        <v>0</v>
      </c>
    </row>
    <row r="1588" spans="1:26" x14ac:dyDescent="0.2">
      <c r="A1588" t="s">
        <v>1706</v>
      </c>
      <c r="B1588" t="s">
        <v>41</v>
      </c>
      <c r="C1588">
        <v>2013</v>
      </c>
      <c r="D1588" t="s">
        <v>73</v>
      </c>
      <c r="E1588" t="s">
        <v>71</v>
      </c>
      <c r="F1588" t="s">
        <v>73</v>
      </c>
      <c r="G1588">
        <v>32384</v>
      </c>
      <c r="H1588">
        <v>25907.200000000001</v>
      </c>
      <c r="I1588" s="13">
        <v>1</v>
      </c>
      <c r="J1588" t="s">
        <v>6207</v>
      </c>
      <c r="K1588">
        <v>2</v>
      </c>
      <c r="L1588">
        <v>0</v>
      </c>
      <c r="M1588" t="s">
        <v>0</v>
      </c>
      <c r="N1588" s="2">
        <v>0.42</v>
      </c>
      <c r="O1588" s="2">
        <v>0.57999999999999996</v>
      </c>
      <c r="P1588">
        <v>8</v>
      </c>
      <c r="Q1588">
        <v>17</v>
      </c>
      <c r="R1588">
        <v>7</v>
      </c>
      <c r="S1588">
        <v>4</v>
      </c>
      <c r="T1588">
        <v>13</v>
      </c>
      <c r="U1588">
        <v>8</v>
      </c>
      <c r="V1588">
        <v>3</v>
      </c>
      <c r="W1588">
        <v>1</v>
      </c>
      <c r="X1588">
        <v>0</v>
      </c>
      <c r="Y1588">
        <v>0</v>
      </c>
      <c r="Z1588">
        <v>0</v>
      </c>
    </row>
    <row r="1589" spans="1:26" x14ac:dyDescent="0.2">
      <c r="A1589" t="s">
        <v>1707</v>
      </c>
      <c r="B1589" t="s">
        <v>67</v>
      </c>
      <c r="C1589">
        <v>2013</v>
      </c>
      <c r="D1589" t="s">
        <v>69</v>
      </c>
      <c r="E1589" t="s">
        <v>18</v>
      </c>
      <c r="F1589" t="s">
        <v>69</v>
      </c>
      <c r="G1589">
        <v>27359</v>
      </c>
      <c r="H1589">
        <v>21887.200000000001</v>
      </c>
      <c r="I1589" s="13">
        <v>1</v>
      </c>
      <c r="J1589" t="s">
        <v>6207</v>
      </c>
      <c r="K1589">
        <v>1</v>
      </c>
      <c r="L1589">
        <v>3</v>
      </c>
      <c r="M1589" t="s">
        <v>1</v>
      </c>
      <c r="N1589" s="2">
        <v>0.45</v>
      </c>
      <c r="O1589" s="2">
        <v>0.55000000000000004</v>
      </c>
      <c r="P1589">
        <v>9</v>
      </c>
      <c r="Q1589">
        <v>11</v>
      </c>
      <c r="R1589">
        <v>4</v>
      </c>
      <c r="S1589">
        <v>6</v>
      </c>
      <c r="T1589">
        <v>12</v>
      </c>
      <c r="U1589">
        <v>9</v>
      </c>
      <c r="V1589">
        <v>1</v>
      </c>
      <c r="W1589">
        <v>1</v>
      </c>
      <c r="X1589">
        <v>0</v>
      </c>
      <c r="Y1589">
        <v>0</v>
      </c>
      <c r="Z1589">
        <v>0</v>
      </c>
    </row>
    <row r="1590" spans="1:26" x14ac:dyDescent="0.2">
      <c r="A1590" t="s">
        <v>1708</v>
      </c>
      <c r="B1590" t="s">
        <v>50</v>
      </c>
      <c r="C1590">
        <v>2013</v>
      </c>
      <c r="D1590" t="s">
        <v>63</v>
      </c>
      <c r="E1590" t="s">
        <v>46</v>
      </c>
      <c r="F1590" t="s">
        <v>65</v>
      </c>
      <c r="G1590">
        <v>26804</v>
      </c>
      <c r="H1590">
        <v>21443.200000000001</v>
      </c>
      <c r="I1590" s="13">
        <v>0.66666666666666663</v>
      </c>
      <c r="J1590" t="s">
        <v>6207</v>
      </c>
      <c r="K1590">
        <v>1</v>
      </c>
      <c r="L1590">
        <v>1</v>
      </c>
      <c r="M1590" t="s">
        <v>58</v>
      </c>
      <c r="N1590" s="2">
        <v>0.44</v>
      </c>
      <c r="O1590" s="2">
        <v>0.56000000000000005</v>
      </c>
      <c r="P1590">
        <v>12</v>
      </c>
      <c r="Q1590">
        <v>9</v>
      </c>
      <c r="R1590">
        <v>6</v>
      </c>
      <c r="S1590">
        <v>2</v>
      </c>
      <c r="T1590">
        <v>6</v>
      </c>
      <c r="U1590">
        <v>11</v>
      </c>
      <c r="V1590">
        <v>1</v>
      </c>
      <c r="W1590">
        <v>2</v>
      </c>
      <c r="X1590">
        <v>0</v>
      </c>
      <c r="Y1590">
        <v>0</v>
      </c>
      <c r="Z1590">
        <v>0</v>
      </c>
    </row>
    <row r="1591" spans="1:26" x14ac:dyDescent="0.2">
      <c r="A1591" t="s">
        <v>1709</v>
      </c>
      <c r="B1591" t="s">
        <v>54</v>
      </c>
      <c r="C1591">
        <v>2013</v>
      </c>
      <c r="D1591" t="s">
        <v>51</v>
      </c>
      <c r="E1591" t="s">
        <v>23</v>
      </c>
      <c r="F1591" t="s">
        <v>20</v>
      </c>
      <c r="G1591">
        <v>36284</v>
      </c>
      <c r="H1591">
        <v>29027.200000000001</v>
      </c>
      <c r="I1591" s="13">
        <v>0</v>
      </c>
      <c r="J1591" t="s">
        <v>6206</v>
      </c>
      <c r="K1591">
        <v>0</v>
      </c>
      <c r="L1591">
        <v>3</v>
      </c>
      <c r="M1591" t="s">
        <v>1</v>
      </c>
      <c r="N1591" s="2">
        <v>0.61</v>
      </c>
      <c r="O1591" s="2">
        <v>0.39</v>
      </c>
      <c r="P1591">
        <v>10</v>
      </c>
      <c r="Q1591">
        <v>7</v>
      </c>
      <c r="R1591">
        <v>6</v>
      </c>
      <c r="S1591">
        <v>7</v>
      </c>
      <c r="T1591">
        <v>5</v>
      </c>
      <c r="U1591">
        <v>9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 x14ac:dyDescent="0.2">
      <c r="A1592" t="s">
        <v>1710</v>
      </c>
      <c r="B1592" t="s">
        <v>37</v>
      </c>
      <c r="C1592">
        <v>2013</v>
      </c>
      <c r="D1592" t="s">
        <v>64</v>
      </c>
      <c r="E1592" t="s">
        <v>26</v>
      </c>
      <c r="F1592" t="s">
        <v>64</v>
      </c>
      <c r="G1592">
        <v>52264</v>
      </c>
      <c r="H1592">
        <v>41811.200000000004</v>
      </c>
      <c r="I1592" s="13">
        <v>0.66666666666666663</v>
      </c>
      <c r="J1592" t="s">
        <v>6206</v>
      </c>
      <c r="K1592">
        <v>2</v>
      </c>
      <c r="L1592">
        <v>2</v>
      </c>
      <c r="M1592" t="s">
        <v>58</v>
      </c>
      <c r="N1592" s="2">
        <v>0.38</v>
      </c>
      <c r="O1592" s="2">
        <v>0.62</v>
      </c>
      <c r="P1592">
        <v>12</v>
      </c>
      <c r="Q1592">
        <v>6</v>
      </c>
      <c r="R1592">
        <v>3</v>
      </c>
      <c r="S1592">
        <v>13</v>
      </c>
      <c r="T1592">
        <v>8</v>
      </c>
      <c r="U1592">
        <v>10</v>
      </c>
      <c r="V1592">
        <v>2</v>
      </c>
      <c r="W1592">
        <v>3</v>
      </c>
      <c r="X1592">
        <v>1</v>
      </c>
      <c r="Y1592">
        <v>0</v>
      </c>
      <c r="Z1592">
        <v>1</v>
      </c>
    </row>
    <row r="1593" spans="1:26" x14ac:dyDescent="0.2">
      <c r="A1593" t="s">
        <v>1711</v>
      </c>
      <c r="B1593" t="s">
        <v>76</v>
      </c>
      <c r="C1593">
        <v>2013</v>
      </c>
      <c r="D1593" t="s">
        <v>71</v>
      </c>
      <c r="E1593" t="s">
        <v>35</v>
      </c>
      <c r="F1593" t="s">
        <v>71</v>
      </c>
      <c r="G1593">
        <v>21088</v>
      </c>
      <c r="H1593">
        <v>16870.400000000001</v>
      </c>
      <c r="I1593" s="13">
        <v>0.66666666666666663</v>
      </c>
      <c r="J1593" t="s">
        <v>6207</v>
      </c>
      <c r="K1593">
        <v>4</v>
      </c>
      <c r="L1593">
        <v>0</v>
      </c>
      <c r="M1593" t="s">
        <v>0</v>
      </c>
      <c r="N1593" s="2">
        <v>0.64</v>
      </c>
      <c r="O1593" s="2">
        <v>0.36</v>
      </c>
      <c r="P1593">
        <v>16</v>
      </c>
      <c r="Q1593">
        <v>14</v>
      </c>
      <c r="R1593">
        <v>7</v>
      </c>
      <c r="S1593">
        <v>2</v>
      </c>
      <c r="T1593">
        <v>12</v>
      </c>
      <c r="U1593">
        <v>13</v>
      </c>
      <c r="V1593">
        <v>1</v>
      </c>
      <c r="W1593">
        <v>2</v>
      </c>
      <c r="X1593">
        <v>0</v>
      </c>
      <c r="Y1593">
        <v>0</v>
      </c>
      <c r="Z1593">
        <v>1</v>
      </c>
    </row>
    <row r="1594" spans="1:26" x14ac:dyDescent="0.2">
      <c r="A1594" t="s">
        <v>1712</v>
      </c>
      <c r="B1594" t="s">
        <v>56</v>
      </c>
      <c r="C1594">
        <v>2013</v>
      </c>
      <c r="D1594" t="s">
        <v>27</v>
      </c>
      <c r="E1594" t="s">
        <v>63</v>
      </c>
      <c r="F1594" t="s">
        <v>27</v>
      </c>
      <c r="G1594">
        <v>30089</v>
      </c>
      <c r="H1594">
        <v>24071.200000000001</v>
      </c>
      <c r="I1594" s="13">
        <v>0</v>
      </c>
      <c r="J1594" t="s">
        <v>6207</v>
      </c>
      <c r="K1594">
        <v>0</v>
      </c>
      <c r="L1594">
        <v>0</v>
      </c>
      <c r="M1594" t="s">
        <v>58</v>
      </c>
      <c r="N1594" s="2">
        <v>0.5</v>
      </c>
      <c r="O1594" s="2">
        <v>0.5</v>
      </c>
      <c r="P1594">
        <v>12</v>
      </c>
      <c r="Q1594">
        <v>14</v>
      </c>
      <c r="R1594">
        <v>6</v>
      </c>
      <c r="S1594">
        <v>6</v>
      </c>
      <c r="T1594">
        <v>12</v>
      </c>
      <c r="U1594">
        <v>10</v>
      </c>
      <c r="V1594">
        <v>1</v>
      </c>
      <c r="W1594">
        <v>0</v>
      </c>
      <c r="X1594">
        <v>0</v>
      </c>
      <c r="Y1594">
        <v>0</v>
      </c>
      <c r="Z1594">
        <v>0</v>
      </c>
    </row>
    <row r="1595" spans="1:26" x14ac:dyDescent="0.2">
      <c r="A1595" t="s">
        <v>1713</v>
      </c>
      <c r="B1595" t="s">
        <v>53</v>
      </c>
      <c r="C1595">
        <v>2013</v>
      </c>
      <c r="D1595" t="s">
        <v>48</v>
      </c>
      <c r="E1595" t="s">
        <v>73</v>
      </c>
      <c r="F1595" t="s">
        <v>49</v>
      </c>
      <c r="G1595">
        <v>74197</v>
      </c>
      <c r="H1595">
        <v>59357.600000000006</v>
      </c>
      <c r="I1595" s="13">
        <v>0.8</v>
      </c>
      <c r="J1595" t="s">
        <v>6207</v>
      </c>
      <c r="K1595">
        <v>1</v>
      </c>
      <c r="L1595">
        <v>1</v>
      </c>
      <c r="M1595" t="s">
        <v>58</v>
      </c>
      <c r="N1595" s="2">
        <v>0.46</v>
      </c>
      <c r="O1595" s="2">
        <v>0.54</v>
      </c>
      <c r="P1595">
        <v>21</v>
      </c>
      <c r="Q1595">
        <v>17</v>
      </c>
      <c r="R1595">
        <v>4</v>
      </c>
      <c r="S1595">
        <v>4</v>
      </c>
      <c r="T1595">
        <v>10</v>
      </c>
      <c r="U1595">
        <v>19</v>
      </c>
      <c r="V1595">
        <v>2</v>
      </c>
      <c r="W1595">
        <v>3</v>
      </c>
      <c r="X1595">
        <v>0</v>
      </c>
      <c r="Y1595">
        <v>0</v>
      </c>
      <c r="Z1595">
        <v>0</v>
      </c>
    </row>
    <row r="1596" spans="1:26" x14ac:dyDescent="0.2">
      <c r="A1596" t="s">
        <v>1714</v>
      </c>
      <c r="B1596" t="s">
        <v>67</v>
      </c>
      <c r="C1596">
        <v>2013</v>
      </c>
      <c r="D1596" t="s">
        <v>45</v>
      </c>
      <c r="E1596" t="s">
        <v>19</v>
      </c>
      <c r="F1596" t="s">
        <v>26</v>
      </c>
      <c r="G1596">
        <v>39572</v>
      </c>
      <c r="H1596">
        <v>31657.600000000002</v>
      </c>
      <c r="I1596" s="13">
        <v>0</v>
      </c>
      <c r="J1596" t="s">
        <v>6207</v>
      </c>
      <c r="K1596">
        <v>2</v>
      </c>
      <c r="L1596">
        <v>1</v>
      </c>
      <c r="M1596" t="s">
        <v>0</v>
      </c>
      <c r="N1596" s="2">
        <v>0.67</v>
      </c>
      <c r="O1596" s="2">
        <v>0.33</v>
      </c>
      <c r="P1596">
        <v>17</v>
      </c>
      <c r="Q1596">
        <v>9</v>
      </c>
      <c r="R1596">
        <v>5</v>
      </c>
      <c r="S1596">
        <v>7</v>
      </c>
      <c r="T1596">
        <v>7</v>
      </c>
      <c r="U1596">
        <v>17</v>
      </c>
      <c r="V1596">
        <v>3</v>
      </c>
      <c r="W1596">
        <v>1</v>
      </c>
      <c r="X1596">
        <v>0</v>
      </c>
      <c r="Y1596">
        <v>0</v>
      </c>
      <c r="Z1596">
        <v>0</v>
      </c>
    </row>
    <row r="1597" spans="1:26" x14ac:dyDescent="0.2">
      <c r="A1597" t="s">
        <v>1715</v>
      </c>
      <c r="B1597" t="s">
        <v>61</v>
      </c>
      <c r="C1597">
        <v>2013</v>
      </c>
      <c r="D1597" t="s">
        <v>18</v>
      </c>
      <c r="E1597" t="s">
        <v>78</v>
      </c>
      <c r="F1597" t="s">
        <v>20</v>
      </c>
      <c r="G1597">
        <v>40341</v>
      </c>
      <c r="H1597">
        <v>32272.800000000003</v>
      </c>
      <c r="I1597" s="13">
        <v>0.33333333333333331</v>
      </c>
      <c r="J1597" t="s">
        <v>6207</v>
      </c>
      <c r="K1597">
        <v>4</v>
      </c>
      <c r="L1597">
        <v>1</v>
      </c>
      <c r="M1597" t="s">
        <v>0</v>
      </c>
      <c r="N1597" s="2">
        <v>0.65</v>
      </c>
      <c r="O1597" s="2">
        <v>0.35</v>
      </c>
      <c r="P1597">
        <v>4</v>
      </c>
      <c r="Q1597">
        <v>14</v>
      </c>
      <c r="R1597">
        <v>6</v>
      </c>
      <c r="S1597">
        <v>9</v>
      </c>
      <c r="T1597">
        <v>12</v>
      </c>
      <c r="U1597">
        <v>5</v>
      </c>
      <c r="V1597">
        <v>1</v>
      </c>
      <c r="W1597">
        <v>2</v>
      </c>
      <c r="X1597">
        <v>0</v>
      </c>
      <c r="Y1597">
        <v>0</v>
      </c>
      <c r="Z1597">
        <v>0</v>
      </c>
    </row>
    <row r="1598" spans="1:26" x14ac:dyDescent="0.2">
      <c r="A1598" t="s">
        <v>1716</v>
      </c>
      <c r="B1598" t="s">
        <v>54</v>
      </c>
      <c r="C1598">
        <v>2013</v>
      </c>
      <c r="D1598" t="s">
        <v>46</v>
      </c>
      <c r="E1598" t="s">
        <v>69</v>
      </c>
      <c r="F1598" t="s">
        <v>20</v>
      </c>
      <c r="G1598">
        <v>60704</v>
      </c>
      <c r="H1598">
        <v>48563.200000000004</v>
      </c>
      <c r="I1598" s="13">
        <v>0</v>
      </c>
      <c r="J1598" t="s">
        <v>6206</v>
      </c>
      <c r="K1598">
        <v>4</v>
      </c>
      <c r="L1598">
        <v>1</v>
      </c>
      <c r="M1598" t="s">
        <v>0</v>
      </c>
      <c r="N1598" s="2">
        <v>0.56999999999999995</v>
      </c>
      <c r="O1598" s="2">
        <v>0.43</v>
      </c>
      <c r="P1598">
        <v>9</v>
      </c>
      <c r="Q1598">
        <v>7</v>
      </c>
      <c r="R1598">
        <v>10</v>
      </c>
      <c r="S1598">
        <v>1</v>
      </c>
      <c r="T1598">
        <v>8</v>
      </c>
      <c r="U1598">
        <v>7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x14ac:dyDescent="0.2">
      <c r="A1599" t="s">
        <v>1717</v>
      </c>
      <c r="B1599" t="s">
        <v>66</v>
      </c>
      <c r="C1599">
        <v>2013</v>
      </c>
      <c r="D1599" t="s">
        <v>23</v>
      </c>
      <c r="E1599" t="s">
        <v>40</v>
      </c>
      <c r="F1599" t="s">
        <v>20</v>
      </c>
      <c r="G1599">
        <v>62500</v>
      </c>
      <c r="H1599">
        <v>50000</v>
      </c>
      <c r="I1599" s="13">
        <v>0.66666666666666663</v>
      </c>
      <c r="J1599" t="s">
        <v>6207</v>
      </c>
      <c r="K1599">
        <v>1</v>
      </c>
      <c r="L1599">
        <v>3</v>
      </c>
      <c r="M1599" t="s">
        <v>1</v>
      </c>
      <c r="N1599" s="2">
        <v>0.37</v>
      </c>
      <c r="O1599" s="2">
        <v>0.63</v>
      </c>
      <c r="P1599">
        <v>12</v>
      </c>
      <c r="Q1599">
        <v>8</v>
      </c>
      <c r="R1599">
        <v>5</v>
      </c>
      <c r="S1599">
        <v>5</v>
      </c>
      <c r="T1599">
        <v>7</v>
      </c>
      <c r="U1599">
        <v>12</v>
      </c>
      <c r="V1599">
        <v>1</v>
      </c>
      <c r="W1599">
        <v>2</v>
      </c>
      <c r="X1599">
        <v>0</v>
      </c>
      <c r="Y1599">
        <v>0</v>
      </c>
      <c r="Z1599">
        <v>0</v>
      </c>
    </row>
    <row r="1600" spans="1:26" x14ac:dyDescent="0.2">
      <c r="A1600" t="s">
        <v>1718</v>
      </c>
      <c r="B1600" t="s">
        <v>52</v>
      </c>
      <c r="C1600">
        <v>2013</v>
      </c>
      <c r="D1600" t="s">
        <v>42</v>
      </c>
      <c r="E1600" t="s">
        <v>51</v>
      </c>
      <c r="F1600" t="s">
        <v>38</v>
      </c>
      <c r="G1600">
        <v>42918</v>
      </c>
      <c r="H1600">
        <v>34334.400000000001</v>
      </c>
      <c r="I1600" s="13">
        <v>0.14285714285714285</v>
      </c>
      <c r="J1600" t="s">
        <v>6207</v>
      </c>
      <c r="K1600">
        <v>0</v>
      </c>
      <c r="L1600">
        <v>2</v>
      </c>
      <c r="M1600" t="s">
        <v>1</v>
      </c>
      <c r="N1600" s="2">
        <v>0.37</v>
      </c>
      <c r="O1600" s="2">
        <v>0.63</v>
      </c>
      <c r="P1600">
        <v>11</v>
      </c>
      <c r="Q1600">
        <v>15</v>
      </c>
      <c r="R1600">
        <v>4</v>
      </c>
      <c r="S1600">
        <v>7</v>
      </c>
      <c r="T1600">
        <v>13</v>
      </c>
      <c r="U1600">
        <v>12</v>
      </c>
      <c r="V1600">
        <v>3</v>
      </c>
      <c r="W1600">
        <v>4</v>
      </c>
      <c r="X1600">
        <v>0</v>
      </c>
      <c r="Y1600">
        <v>0</v>
      </c>
      <c r="Z1600">
        <v>0</v>
      </c>
    </row>
    <row r="1601" spans="1:26" x14ac:dyDescent="0.2">
      <c r="A1601" t="s">
        <v>1719</v>
      </c>
      <c r="B1601" t="s">
        <v>50</v>
      </c>
      <c r="C1601">
        <v>2013</v>
      </c>
      <c r="D1601" t="s">
        <v>79</v>
      </c>
      <c r="E1601" t="s">
        <v>31</v>
      </c>
      <c r="F1601" t="s">
        <v>20</v>
      </c>
      <c r="G1601">
        <v>25486</v>
      </c>
      <c r="H1601">
        <v>20388.800000000003</v>
      </c>
      <c r="I1601" s="13">
        <v>0</v>
      </c>
      <c r="J1601" t="s">
        <v>6207</v>
      </c>
      <c r="K1601">
        <v>1</v>
      </c>
      <c r="L1601">
        <v>4</v>
      </c>
      <c r="M1601" t="s">
        <v>1</v>
      </c>
      <c r="N1601" s="2">
        <v>0.46</v>
      </c>
      <c r="O1601" s="2">
        <v>0.54</v>
      </c>
      <c r="P1601">
        <v>12</v>
      </c>
      <c r="Q1601">
        <v>11</v>
      </c>
      <c r="R1601">
        <v>5</v>
      </c>
      <c r="S1601">
        <v>7</v>
      </c>
      <c r="T1601">
        <v>10</v>
      </c>
      <c r="U1601">
        <v>13</v>
      </c>
      <c r="V1601">
        <v>0</v>
      </c>
      <c r="W1601">
        <v>1</v>
      </c>
      <c r="X1601">
        <v>0</v>
      </c>
      <c r="Y1601">
        <v>0</v>
      </c>
      <c r="Z1601">
        <v>0</v>
      </c>
    </row>
    <row r="1602" spans="1:26" x14ac:dyDescent="0.2">
      <c r="A1602" t="s">
        <v>1720</v>
      </c>
      <c r="B1602" t="s">
        <v>25</v>
      </c>
      <c r="C1602">
        <v>2013</v>
      </c>
      <c r="D1602" t="s">
        <v>79</v>
      </c>
      <c r="E1602" t="s">
        <v>46</v>
      </c>
      <c r="F1602" t="s">
        <v>20</v>
      </c>
      <c r="G1602">
        <v>25486</v>
      </c>
      <c r="H1602">
        <v>20388.800000000003</v>
      </c>
      <c r="I1602" s="13">
        <v>1</v>
      </c>
      <c r="J1602" t="s">
        <v>6207</v>
      </c>
      <c r="K1602">
        <v>0</v>
      </c>
      <c r="L1602">
        <v>2</v>
      </c>
      <c r="M1602" t="s">
        <v>1</v>
      </c>
      <c r="N1602" s="2">
        <v>0.37</v>
      </c>
      <c r="O1602" s="2">
        <v>0.63</v>
      </c>
      <c r="P1602">
        <v>10</v>
      </c>
      <c r="Q1602">
        <v>13</v>
      </c>
      <c r="R1602">
        <v>4</v>
      </c>
      <c r="S1602">
        <v>3</v>
      </c>
      <c r="T1602">
        <v>12</v>
      </c>
      <c r="U1602">
        <v>8</v>
      </c>
      <c r="V1602">
        <v>0</v>
      </c>
      <c r="W1602">
        <v>0</v>
      </c>
      <c r="X1602">
        <v>0</v>
      </c>
      <c r="Y1602">
        <v>1</v>
      </c>
      <c r="Z1602">
        <v>1</v>
      </c>
    </row>
    <row r="1603" spans="1:26" x14ac:dyDescent="0.2">
      <c r="A1603" t="s">
        <v>1721</v>
      </c>
      <c r="B1603" t="s">
        <v>53</v>
      </c>
      <c r="C1603">
        <v>2013</v>
      </c>
      <c r="D1603" t="s">
        <v>69</v>
      </c>
      <c r="E1603" t="s">
        <v>78</v>
      </c>
      <c r="F1603" t="s">
        <v>69</v>
      </c>
      <c r="G1603">
        <v>27359</v>
      </c>
      <c r="H1603">
        <v>21887.200000000001</v>
      </c>
      <c r="I1603" s="13">
        <v>1</v>
      </c>
      <c r="J1603" t="s">
        <v>6207</v>
      </c>
      <c r="K1603">
        <v>0</v>
      </c>
      <c r="L1603">
        <v>0</v>
      </c>
      <c r="M1603" t="s">
        <v>58</v>
      </c>
      <c r="N1603" s="2">
        <v>0.61</v>
      </c>
      <c r="O1603" s="2">
        <v>0.39</v>
      </c>
      <c r="P1603">
        <v>12</v>
      </c>
      <c r="Q1603">
        <v>9</v>
      </c>
      <c r="R1603">
        <v>13</v>
      </c>
      <c r="S1603">
        <v>2</v>
      </c>
      <c r="T1603">
        <v>8</v>
      </c>
      <c r="U1603">
        <v>10</v>
      </c>
      <c r="V1603">
        <v>1</v>
      </c>
      <c r="W1603">
        <v>1</v>
      </c>
      <c r="X1603">
        <v>0</v>
      </c>
      <c r="Y1603">
        <v>0</v>
      </c>
      <c r="Z1603">
        <v>0</v>
      </c>
    </row>
    <row r="1604" spans="1:26" x14ac:dyDescent="0.2">
      <c r="A1604" t="s">
        <v>1722</v>
      </c>
      <c r="B1604" t="s">
        <v>50</v>
      </c>
      <c r="C1604">
        <v>2013</v>
      </c>
      <c r="D1604" t="s">
        <v>48</v>
      </c>
      <c r="E1604" t="s">
        <v>27</v>
      </c>
      <c r="F1604" t="s">
        <v>49</v>
      </c>
      <c r="G1604">
        <v>74197</v>
      </c>
      <c r="H1604">
        <v>59357.600000000006</v>
      </c>
      <c r="I1604" s="13">
        <v>0.75</v>
      </c>
      <c r="J1604" t="s">
        <v>6207</v>
      </c>
      <c r="K1604">
        <v>3</v>
      </c>
      <c r="L1604">
        <v>2</v>
      </c>
      <c r="M1604" t="s">
        <v>0</v>
      </c>
      <c r="N1604" s="2">
        <v>0.66</v>
      </c>
      <c r="O1604" s="2">
        <v>0.34</v>
      </c>
      <c r="P1604">
        <v>17</v>
      </c>
      <c r="Q1604">
        <v>9</v>
      </c>
      <c r="R1604">
        <v>12</v>
      </c>
      <c r="S1604">
        <v>2</v>
      </c>
      <c r="T1604">
        <v>8</v>
      </c>
      <c r="U1604">
        <v>18</v>
      </c>
      <c r="V1604">
        <v>2</v>
      </c>
      <c r="W1604">
        <v>6</v>
      </c>
      <c r="X1604">
        <v>0</v>
      </c>
      <c r="Y1604">
        <v>0</v>
      </c>
      <c r="Z1604">
        <v>0</v>
      </c>
    </row>
    <row r="1605" spans="1:26" x14ac:dyDescent="0.2">
      <c r="A1605" t="s">
        <v>1723</v>
      </c>
      <c r="B1605" t="s">
        <v>68</v>
      </c>
      <c r="C1605">
        <v>2013</v>
      </c>
      <c r="D1605" t="s">
        <v>26</v>
      </c>
      <c r="E1605" t="s">
        <v>63</v>
      </c>
      <c r="F1605" t="s">
        <v>26</v>
      </c>
      <c r="G1605">
        <v>61276</v>
      </c>
      <c r="H1605">
        <v>49020.800000000003</v>
      </c>
      <c r="I1605" s="13">
        <v>1</v>
      </c>
      <c r="J1605" t="s">
        <v>6207</v>
      </c>
      <c r="K1605">
        <v>4</v>
      </c>
      <c r="L1605">
        <v>1</v>
      </c>
      <c r="M1605" t="s">
        <v>0</v>
      </c>
      <c r="N1605" s="2">
        <v>0.55000000000000004</v>
      </c>
      <c r="O1605" s="2">
        <v>0.45</v>
      </c>
      <c r="P1605">
        <v>6</v>
      </c>
      <c r="Q1605">
        <v>11</v>
      </c>
      <c r="R1605">
        <v>3</v>
      </c>
      <c r="S1605">
        <v>9</v>
      </c>
      <c r="T1605">
        <v>14</v>
      </c>
      <c r="U1605">
        <v>11</v>
      </c>
      <c r="V1605">
        <v>0</v>
      </c>
      <c r="W1605">
        <v>2</v>
      </c>
      <c r="X1605">
        <v>0</v>
      </c>
      <c r="Y1605">
        <v>0</v>
      </c>
      <c r="Z1605">
        <v>1</v>
      </c>
    </row>
    <row r="1606" spans="1:26" x14ac:dyDescent="0.2">
      <c r="A1606" t="s">
        <v>1724</v>
      </c>
      <c r="B1606" t="s">
        <v>61</v>
      </c>
      <c r="C1606">
        <v>2013</v>
      </c>
      <c r="D1606" t="s">
        <v>42</v>
      </c>
      <c r="E1606" t="s">
        <v>45</v>
      </c>
      <c r="F1606" t="s">
        <v>38</v>
      </c>
      <c r="G1606">
        <v>42918</v>
      </c>
      <c r="H1606">
        <v>34334.400000000001</v>
      </c>
      <c r="I1606" s="13">
        <v>1</v>
      </c>
      <c r="J1606" t="s">
        <v>6207</v>
      </c>
      <c r="K1606">
        <v>0</v>
      </c>
      <c r="L1606">
        <v>2</v>
      </c>
      <c r="M1606" t="s">
        <v>1</v>
      </c>
      <c r="N1606" s="2">
        <v>0.47</v>
      </c>
      <c r="O1606" s="2">
        <v>0.53</v>
      </c>
      <c r="P1606">
        <v>8</v>
      </c>
      <c r="Q1606">
        <v>13</v>
      </c>
      <c r="R1606">
        <v>8</v>
      </c>
      <c r="S1606">
        <v>6</v>
      </c>
      <c r="T1606">
        <v>14</v>
      </c>
      <c r="U1606">
        <v>8</v>
      </c>
      <c r="V1606">
        <v>0</v>
      </c>
      <c r="W1606">
        <v>2</v>
      </c>
      <c r="X1606">
        <v>0</v>
      </c>
      <c r="Y1606">
        <v>0</v>
      </c>
      <c r="Z1606">
        <v>1</v>
      </c>
    </row>
    <row r="1607" spans="1:26" x14ac:dyDescent="0.2">
      <c r="A1607" t="s">
        <v>1725</v>
      </c>
      <c r="B1607" t="s">
        <v>37</v>
      </c>
      <c r="C1607">
        <v>2013</v>
      </c>
      <c r="D1607" t="s">
        <v>73</v>
      </c>
      <c r="E1607" t="s">
        <v>31</v>
      </c>
      <c r="F1607" t="s">
        <v>73</v>
      </c>
      <c r="G1607">
        <v>32384</v>
      </c>
      <c r="H1607">
        <v>25907.200000000001</v>
      </c>
      <c r="I1607" s="13">
        <v>0</v>
      </c>
      <c r="J1607" t="s">
        <v>6206</v>
      </c>
      <c r="K1607">
        <v>2</v>
      </c>
      <c r="L1607">
        <v>0</v>
      </c>
      <c r="M1607" t="s">
        <v>0</v>
      </c>
      <c r="N1607" s="2">
        <v>0.67</v>
      </c>
      <c r="O1607" s="2">
        <v>0.33</v>
      </c>
      <c r="P1607">
        <v>4</v>
      </c>
      <c r="Q1607">
        <v>10</v>
      </c>
      <c r="R1607">
        <v>10</v>
      </c>
      <c r="S1607">
        <v>3</v>
      </c>
      <c r="T1607">
        <v>12</v>
      </c>
      <c r="U1607">
        <v>8</v>
      </c>
      <c r="V1607">
        <v>0</v>
      </c>
      <c r="W1607">
        <v>2</v>
      </c>
      <c r="X1607">
        <v>0</v>
      </c>
      <c r="Y1607">
        <v>0</v>
      </c>
      <c r="Z1607">
        <v>0</v>
      </c>
    </row>
    <row r="1608" spans="1:26" x14ac:dyDescent="0.2">
      <c r="A1608" t="s">
        <v>1726</v>
      </c>
      <c r="B1608" t="s">
        <v>54</v>
      </c>
      <c r="C1608">
        <v>2013</v>
      </c>
      <c r="D1608" t="s">
        <v>35</v>
      </c>
      <c r="E1608" t="s">
        <v>64</v>
      </c>
      <c r="F1608" t="s">
        <v>35</v>
      </c>
      <c r="G1608">
        <v>49000</v>
      </c>
      <c r="H1608">
        <v>39200</v>
      </c>
      <c r="I1608" s="13">
        <v>0.5</v>
      </c>
      <c r="J1608" t="s">
        <v>6206</v>
      </c>
      <c r="K1608">
        <v>2</v>
      </c>
      <c r="L1608">
        <v>1</v>
      </c>
      <c r="M1608" t="s">
        <v>0</v>
      </c>
      <c r="N1608" s="2">
        <v>0.48</v>
      </c>
      <c r="O1608" s="2">
        <v>0.52</v>
      </c>
      <c r="P1608">
        <v>15</v>
      </c>
      <c r="Q1608">
        <v>15</v>
      </c>
      <c r="R1608">
        <v>5</v>
      </c>
      <c r="S1608">
        <v>3</v>
      </c>
      <c r="T1608">
        <v>13</v>
      </c>
      <c r="U1608">
        <v>14</v>
      </c>
      <c r="V1608">
        <v>1</v>
      </c>
      <c r="W1608">
        <v>1</v>
      </c>
      <c r="X1608">
        <v>0</v>
      </c>
      <c r="Y1608">
        <v>0</v>
      </c>
      <c r="Z1608">
        <v>0</v>
      </c>
    </row>
    <row r="1609" spans="1:26" x14ac:dyDescent="0.2">
      <c r="A1609" t="s">
        <v>1727</v>
      </c>
      <c r="B1609" t="s">
        <v>66</v>
      </c>
      <c r="C1609">
        <v>2013</v>
      </c>
      <c r="D1609" t="s">
        <v>51</v>
      </c>
      <c r="E1609" t="s">
        <v>19</v>
      </c>
      <c r="F1609" t="s">
        <v>20</v>
      </c>
      <c r="G1609">
        <v>36284</v>
      </c>
      <c r="H1609">
        <v>29027.200000000001</v>
      </c>
      <c r="I1609" s="13">
        <v>0.66666666666666663</v>
      </c>
      <c r="J1609" t="s">
        <v>6207</v>
      </c>
      <c r="K1609">
        <v>1</v>
      </c>
      <c r="L1609">
        <v>0</v>
      </c>
      <c r="M1609" t="s">
        <v>0</v>
      </c>
      <c r="N1609" s="2">
        <v>0.66</v>
      </c>
      <c r="O1609" s="2">
        <v>0.34</v>
      </c>
      <c r="P1609">
        <v>9</v>
      </c>
      <c r="Q1609">
        <v>11</v>
      </c>
      <c r="R1609">
        <v>6</v>
      </c>
      <c r="S1609">
        <v>4</v>
      </c>
      <c r="T1609">
        <v>13</v>
      </c>
      <c r="U1609">
        <v>10</v>
      </c>
      <c r="V1609">
        <v>3</v>
      </c>
      <c r="W1609">
        <v>3</v>
      </c>
      <c r="X1609">
        <v>0</v>
      </c>
      <c r="Y1609">
        <v>0</v>
      </c>
      <c r="Z1609">
        <v>1</v>
      </c>
    </row>
    <row r="1610" spans="1:26" x14ac:dyDescent="0.2">
      <c r="A1610" t="s">
        <v>1728</v>
      </c>
      <c r="B1610" t="s">
        <v>52</v>
      </c>
      <c r="C1610">
        <v>2013</v>
      </c>
      <c r="D1610" t="s">
        <v>71</v>
      </c>
      <c r="E1610" t="s">
        <v>23</v>
      </c>
      <c r="F1610" t="s">
        <v>71</v>
      </c>
      <c r="G1610">
        <v>21088</v>
      </c>
      <c r="H1610">
        <v>16870.400000000001</v>
      </c>
      <c r="I1610" s="13">
        <v>0.75</v>
      </c>
      <c r="J1610" t="s">
        <v>6207</v>
      </c>
      <c r="K1610">
        <v>0</v>
      </c>
      <c r="L1610">
        <v>0</v>
      </c>
      <c r="M1610" t="s">
        <v>58</v>
      </c>
      <c r="N1610" s="2">
        <v>0.67</v>
      </c>
      <c r="O1610" s="2">
        <v>0.33</v>
      </c>
      <c r="P1610">
        <v>16</v>
      </c>
      <c r="Q1610">
        <v>14</v>
      </c>
      <c r="R1610">
        <v>9</v>
      </c>
      <c r="S1610">
        <v>6</v>
      </c>
      <c r="T1610">
        <v>12</v>
      </c>
      <c r="U1610">
        <v>14</v>
      </c>
      <c r="V1610">
        <v>1</v>
      </c>
      <c r="W1610">
        <v>3</v>
      </c>
      <c r="X1610">
        <v>0</v>
      </c>
      <c r="Y1610">
        <v>0</v>
      </c>
      <c r="Z1610">
        <v>0</v>
      </c>
    </row>
    <row r="1611" spans="1:26" x14ac:dyDescent="0.2">
      <c r="A1611" t="s">
        <v>1729</v>
      </c>
      <c r="B1611" t="s">
        <v>56</v>
      </c>
      <c r="C1611">
        <v>2013</v>
      </c>
      <c r="D1611" t="s">
        <v>18</v>
      </c>
      <c r="E1611" t="s">
        <v>40</v>
      </c>
      <c r="F1611" t="s">
        <v>20</v>
      </c>
      <c r="G1611">
        <v>40341</v>
      </c>
      <c r="H1611">
        <v>32272.800000000003</v>
      </c>
      <c r="I1611" s="13">
        <v>0.8</v>
      </c>
      <c r="J1611" t="s">
        <v>6207</v>
      </c>
      <c r="K1611">
        <v>2</v>
      </c>
      <c r="L1611">
        <v>1</v>
      </c>
      <c r="M1611" t="s">
        <v>0</v>
      </c>
      <c r="N1611" s="2">
        <v>0.46</v>
      </c>
      <c r="O1611" s="2">
        <v>0.54</v>
      </c>
      <c r="P1611">
        <v>16</v>
      </c>
      <c r="Q1611">
        <v>15</v>
      </c>
      <c r="R1611">
        <v>3</v>
      </c>
      <c r="S1611">
        <v>6</v>
      </c>
      <c r="T1611">
        <v>11</v>
      </c>
      <c r="U1611">
        <v>15</v>
      </c>
      <c r="V1611">
        <v>2</v>
      </c>
      <c r="W1611">
        <v>3</v>
      </c>
      <c r="X1611">
        <v>0</v>
      </c>
      <c r="Y1611">
        <v>0</v>
      </c>
      <c r="Z1611">
        <v>0</v>
      </c>
    </row>
    <row r="1612" spans="1:26" x14ac:dyDescent="0.2">
      <c r="A1612" t="s">
        <v>1730</v>
      </c>
      <c r="B1612" t="s">
        <v>50</v>
      </c>
      <c r="C1612">
        <v>2013</v>
      </c>
      <c r="D1612" t="s">
        <v>64</v>
      </c>
      <c r="E1612" t="s">
        <v>18</v>
      </c>
      <c r="F1612" t="s">
        <v>64</v>
      </c>
      <c r="G1612">
        <v>52264</v>
      </c>
      <c r="H1612">
        <v>41811.200000000004</v>
      </c>
      <c r="I1612" s="13">
        <v>1</v>
      </c>
      <c r="J1612" t="s">
        <v>6207</v>
      </c>
      <c r="K1612">
        <v>2</v>
      </c>
      <c r="L1612">
        <v>0</v>
      </c>
      <c r="M1612" t="s">
        <v>0</v>
      </c>
      <c r="N1612" s="2">
        <v>0.39</v>
      </c>
      <c r="O1612" s="2">
        <v>0.61</v>
      </c>
      <c r="P1612">
        <v>15</v>
      </c>
      <c r="Q1612">
        <v>13</v>
      </c>
      <c r="R1612">
        <v>3</v>
      </c>
      <c r="S1612">
        <v>8</v>
      </c>
      <c r="T1612">
        <v>13</v>
      </c>
      <c r="U1612">
        <v>11</v>
      </c>
      <c r="V1612">
        <v>2</v>
      </c>
      <c r="W1612">
        <v>2</v>
      </c>
      <c r="X1612">
        <v>0</v>
      </c>
      <c r="Y1612">
        <v>0</v>
      </c>
      <c r="Z1612">
        <v>0</v>
      </c>
    </row>
    <row r="1613" spans="1:26" x14ac:dyDescent="0.2">
      <c r="A1613" t="s">
        <v>1731</v>
      </c>
      <c r="B1613" t="s">
        <v>56</v>
      </c>
      <c r="C1613">
        <v>2013</v>
      </c>
      <c r="D1613" t="s">
        <v>23</v>
      </c>
      <c r="E1613" t="s">
        <v>42</v>
      </c>
      <c r="F1613" t="s">
        <v>20</v>
      </c>
      <c r="G1613">
        <v>62500</v>
      </c>
      <c r="H1613">
        <v>50000</v>
      </c>
      <c r="I1613" s="13">
        <v>0.5</v>
      </c>
      <c r="J1613" t="s">
        <v>6207</v>
      </c>
      <c r="K1613">
        <v>0</v>
      </c>
      <c r="L1613">
        <v>0</v>
      </c>
      <c r="M1613" t="s">
        <v>58</v>
      </c>
      <c r="N1613" s="2">
        <v>0.6</v>
      </c>
      <c r="O1613" s="2">
        <v>0.4</v>
      </c>
      <c r="P1613">
        <v>16</v>
      </c>
      <c r="Q1613">
        <v>8</v>
      </c>
      <c r="R1613">
        <v>5</v>
      </c>
      <c r="S1613">
        <v>1</v>
      </c>
      <c r="T1613">
        <v>8</v>
      </c>
      <c r="U1613">
        <v>15</v>
      </c>
      <c r="V1613">
        <v>0</v>
      </c>
      <c r="W1613">
        <v>2</v>
      </c>
      <c r="X1613">
        <v>0</v>
      </c>
      <c r="Y1613">
        <v>0</v>
      </c>
      <c r="Z1613">
        <v>0</v>
      </c>
    </row>
    <row r="1614" spans="1:26" x14ac:dyDescent="0.2">
      <c r="A1614" t="s">
        <v>1732</v>
      </c>
      <c r="B1614" t="s">
        <v>67</v>
      </c>
      <c r="C1614">
        <v>2013</v>
      </c>
      <c r="D1614" t="s">
        <v>63</v>
      </c>
      <c r="E1614" t="s">
        <v>79</v>
      </c>
      <c r="F1614" t="s">
        <v>65</v>
      </c>
      <c r="G1614">
        <v>26804</v>
      </c>
      <c r="H1614">
        <v>21443.200000000001</v>
      </c>
      <c r="I1614" s="13">
        <v>0</v>
      </c>
      <c r="J1614" t="s">
        <v>6207</v>
      </c>
      <c r="K1614">
        <v>2</v>
      </c>
      <c r="L1614">
        <v>0</v>
      </c>
      <c r="M1614" t="s">
        <v>0</v>
      </c>
      <c r="N1614" s="2">
        <v>0.49</v>
      </c>
      <c r="O1614" s="2">
        <v>0.51</v>
      </c>
      <c r="P1614">
        <v>7</v>
      </c>
      <c r="Q1614">
        <v>10</v>
      </c>
      <c r="R1614">
        <v>10</v>
      </c>
      <c r="S1614">
        <v>3</v>
      </c>
      <c r="T1614">
        <v>11</v>
      </c>
      <c r="U1614">
        <v>9</v>
      </c>
      <c r="V1614">
        <v>0</v>
      </c>
      <c r="W1614">
        <v>1</v>
      </c>
      <c r="X1614">
        <v>0</v>
      </c>
      <c r="Y1614">
        <v>0</v>
      </c>
      <c r="Z1614">
        <v>0</v>
      </c>
    </row>
    <row r="1615" spans="1:26" x14ac:dyDescent="0.2">
      <c r="A1615" t="s">
        <v>1733</v>
      </c>
      <c r="B1615" t="s">
        <v>25</v>
      </c>
      <c r="C1615">
        <v>2013</v>
      </c>
      <c r="D1615" t="s">
        <v>27</v>
      </c>
      <c r="E1615" t="s">
        <v>73</v>
      </c>
      <c r="F1615" t="s">
        <v>27</v>
      </c>
      <c r="G1615">
        <v>30089</v>
      </c>
      <c r="H1615">
        <v>24071.200000000001</v>
      </c>
      <c r="I1615" s="13">
        <v>1</v>
      </c>
      <c r="J1615" t="s">
        <v>6207</v>
      </c>
      <c r="K1615">
        <v>1</v>
      </c>
      <c r="L1615">
        <v>1</v>
      </c>
      <c r="M1615" t="s">
        <v>58</v>
      </c>
      <c r="N1615" s="2">
        <v>0.4</v>
      </c>
      <c r="O1615" s="2">
        <v>0.6</v>
      </c>
      <c r="P1615">
        <v>15</v>
      </c>
      <c r="Q1615">
        <v>11</v>
      </c>
      <c r="R1615">
        <v>5</v>
      </c>
      <c r="S1615">
        <v>5</v>
      </c>
      <c r="T1615">
        <v>13</v>
      </c>
      <c r="U1615">
        <v>13</v>
      </c>
      <c r="V1615">
        <v>3</v>
      </c>
      <c r="W1615">
        <v>1</v>
      </c>
      <c r="X1615">
        <v>0</v>
      </c>
      <c r="Y1615">
        <v>0</v>
      </c>
      <c r="Z1615">
        <v>0</v>
      </c>
    </row>
    <row r="1616" spans="1:26" x14ac:dyDescent="0.2">
      <c r="A1616" t="s">
        <v>1734</v>
      </c>
      <c r="B1616" t="s">
        <v>52</v>
      </c>
      <c r="C1616">
        <v>2013</v>
      </c>
      <c r="D1616" t="s">
        <v>40</v>
      </c>
      <c r="E1616" t="s">
        <v>69</v>
      </c>
      <c r="F1616" t="s">
        <v>49</v>
      </c>
      <c r="G1616">
        <v>53400</v>
      </c>
      <c r="H1616">
        <v>42720</v>
      </c>
      <c r="I1616" s="13">
        <v>1</v>
      </c>
      <c r="J1616" t="s">
        <v>6207</v>
      </c>
      <c r="K1616">
        <v>7</v>
      </c>
      <c r="L1616">
        <v>0</v>
      </c>
      <c r="M1616" t="s">
        <v>0</v>
      </c>
      <c r="N1616" s="2">
        <v>0.69</v>
      </c>
      <c r="O1616" s="2">
        <v>0.31</v>
      </c>
      <c r="P1616">
        <v>7</v>
      </c>
      <c r="Q1616">
        <v>7</v>
      </c>
      <c r="R1616">
        <v>10</v>
      </c>
      <c r="S1616">
        <v>3</v>
      </c>
      <c r="T1616">
        <v>6</v>
      </c>
      <c r="U1616">
        <v>9</v>
      </c>
      <c r="V1616">
        <v>1</v>
      </c>
      <c r="W1616">
        <v>1</v>
      </c>
      <c r="X1616">
        <v>0</v>
      </c>
      <c r="Y1616">
        <v>0</v>
      </c>
      <c r="Z1616">
        <v>0</v>
      </c>
    </row>
    <row r="1617" spans="1:26" x14ac:dyDescent="0.2">
      <c r="A1617" t="s">
        <v>1735</v>
      </c>
      <c r="B1617" t="s">
        <v>37</v>
      </c>
      <c r="C1617">
        <v>2013</v>
      </c>
      <c r="D1617" t="s">
        <v>19</v>
      </c>
      <c r="E1617" t="s">
        <v>35</v>
      </c>
      <c r="F1617" t="s">
        <v>19</v>
      </c>
      <c r="G1617">
        <v>25586</v>
      </c>
      <c r="H1617">
        <v>20468.800000000003</v>
      </c>
      <c r="I1617" s="13">
        <v>0.75</v>
      </c>
      <c r="J1617" t="s">
        <v>6206</v>
      </c>
      <c r="K1617">
        <v>1</v>
      </c>
      <c r="L1617">
        <v>0</v>
      </c>
      <c r="M1617" t="s">
        <v>0</v>
      </c>
      <c r="N1617" s="2">
        <v>0.7</v>
      </c>
      <c r="O1617" s="2">
        <v>0.3</v>
      </c>
      <c r="P1617">
        <v>10</v>
      </c>
      <c r="Q1617">
        <v>19</v>
      </c>
      <c r="R1617">
        <v>4</v>
      </c>
      <c r="S1617">
        <v>2</v>
      </c>
      <c r="T1617">
        <v>16</v>
      </c>
      <c r="U1617">
        <v>11</v>
      </c>
      <c r="V1617">
        <v>2</v>
      </c>
      <c r="W1617">
        <v>0</v>
      </c>
      <c r="X1617">
        <v>0</v>
      </c>
      <c r="Y1617">
        <v>2</v>
      </c>
      <c r="Z1617">
        <v>0</v>
      </c>
    </row>
    <row r="1618" spans="1:26" x14ac:dyDescent="0.2">
      <c r="A1618" t="s">
        <v>1736</v>
      </c>
      <c r="B1618" t="s">
        <v>54</v>
      </c>
      <c r="C1618">
        <v>2013</v>
      </c>
      <c r="D1618" t="s">
        <v>31</v>
      </c>
      <c r="E1618" t="s">
        <v>48</v>
      </c>
      <c r="F1618" t="s">
        <v>20</v>
      </c>
      <c r="G1618">
        <v>28500</v>
      </c>
      <c r="H1618">
        <v>22800</v>
      </c>
      <c r="I1618" s="13">
        <v>1</v>
      </c>
      <c r="J1618" t="s">
        <v>6206</v>
      </c>
      <c r="K1618">
        <v>1</v>
      </c>
      <c r="L1618">
        <v>3</v>
      </c>
      <c r="M1618" t="s">
        <v>1</v>
      </c>
      <c r="N1618" s="2">
        <v>0.47</v>
      </c>
      <c r="O1618" s="2">
        <v>0.53</v>
      </c>
      <c r="P1618">
        <v>13</v>
      </c>
      <c r="Q1618">
        <v>8</v>
      </c>
      <c r="R1618">
        <v>4</v>
      </c>
      <c r="S1618">
        <v>4</v>
      </c>
      <c r="T1618">
        <v>6</v>
      </c>
      <c r="U1618">
        <v>12</v>
      </c>
      <c r="V1618">
        <v>2</v>
      </c>
      <c r="W1618">
        <v>1</v>
      </c>
      <c r="X1618">
        <v>0</v>
      </c>
      <c r="Y1618">
        <v>0</v>
      </c>
      <c r="Z1618">
        <v>0</v>
      </c>
    </row>
    <row r="1619" spans="1:26" x14ac:dyDescent="0.2">
      <c r="A1619" t="s">
        <v>1737</v>
      </c>
      <c r="B1619" t="s">
        <v>32</v>
      </c>
      <c r="C1619">
        <v>2013</v>
      </c>
      <c r="D1619" t="s">
        <v>46</v>
      </c>
      <c r="E1619" t="s">
        <v>26</v>
      </c>
      <c r="F1619" t="s">
        <v>20</v>
      </c>
      <c r="G1619">
        <v>60704</v>
      </c>
      <c r="H1619">
        <v>48563.200000000004</v>
      </c>
      <c r="I1619" s="13">
        <v>0.66666666666666663</v>
      </c>
      <c r="J1619" t="s">
        <v>6207</v>
      </c>
      <c r="K1619">
        <v>2</v>
      </c>
      <c r="L1619">
        <v>0</v>
      </c>
      <c r="M1619" t="s">
        <v>0</v>
      </c>
      <c r="N1619" s="2">
        <v>0.54</v>
      </c>
      <c r="O1619" s="2">
        <v>0.46</v>
      </c>
      <c r="P1619">
        <v>11</v>
      </c>
      <c r="Q1619">
        <v>11</v>
      </c>
      <c r="R1619">
        <v>3</v>
      </c>
      <c r="S1619">
        <v>5</v>
      </c>
      <c r="T1619">
        <v>11</v>
      </c>
      <c r="U1619">
        <v>7</v>
      </c>
      <c r="V1619">
        <v>2</v>
      </c>
      <c r="W1619">
        <v>1</v>
      </c>
      <c r="X1619">
        <v>0</v>
      </c>
      <c r="Y1619">
        <v>0</v>
      </c>
      <c r="Z1619">
        <v>0</v>
      </c>
    </row>
    <row r="1620" spans="1:26" x14ac:dyDescent="0.2">
      <c r="A1620" t="s">
        <v>1738</v>
      </c>
      <c r="B1620" t="s">
        <v>60</v>
      </c>
      <c r="C1620">
        <v>2013</v>
      </c>
      <c r="D1620" t="s">
        <v>45</v>
      </c>
      <c r="E1620" t="s">
        <v>51</v>
      </c>
      <c r="F1620" t="s">
        <v>26</v>
      </c>
      <c r="G1620">
        <v>39572</v>
      </c>
      <c r="H1620">
        <v>31657.600000000002</v>
      </c>
      <c r="I1620" s="13">
        <v>1</v>
      </c>
      <c r="J1620" t="s">
        <v>6208</v>
      </c>
      <c r="K1620">
        <v>0</v>
      </c>
      <c r="L1620">
        <v>0</v>
      </c>
      <c r="M1620" t="s">
        <v>58</v>
      </c>
      <c r="N1620" s="2">
        <v>0.52</v>
      </c>
      <c r="O1620" s="2">
        <v>0.48</v>
      </c>
      <c r="P1620">
        <v>8</v>
      </c>
      <c r="Q1620">
        <v>12</v>
      </c>
      <c r="R1620">
        <v>7</v>
      </c>
      <c r="S1620">
        <v>4</v>
      </c>
      <c r="T1620">
        <v>11</v>
      </c>
      <c r="U1620">
        <v>9</v>
      </c>
      <c r="V1620">
        <v>4</v>
      </c>
      <c r="W1620">
        <v>1</v>
      </c>
      <c r="X1620">
        <v>0</v>
      </c>
      <c r="Y1620">
        <v>0</v>
      </c>
      <c r="Z1620">
        <v>0</v>
      </c>
    </row>
    <row r="1621" spans="1:26" x14ac:dyDescent="0.2">
      <c r="A1621" t="s">
        <v>1739</v>
      </c>
      <c r="B1621" t="s">
        <v>41</v>
      </c>
      <c r="C1621">
        <v>2013</v>
      </c>
      <c r="D1621" t="s">
        <v>78</v>
      </c>
      <c r="E1621" t="s">
        <v>71</v>
      </c>
      <c r="F1621" t="s">
        <v>78</v>
      </c>
      <c r="G1621">
        <v>33280</v>
      </c>
      <c r="H1621">
        <v>26624</v>
      </c>
      <c r="I1621" s="13">
        <v>0.33333333333333331</v>
      </c>
      <c r="J1621" t="s">
        <v>6207</v>
      </c>
      <c r="K1621">
        <v>1</v>
      </c>
      <c r="L1621">
        <v>0</v>
      </c>
      <c r="M1621" t="s">
        <v>0</v>
      </c>
      <c r="N1621" s="2">
        <v>0.45</v>
      </c>
      <c r="O1621" s="2">
        <v>0.55000000000000004</v>
      </c>
      <c r="P1621">
        <v>12</v>
      </c>
      <c r="Q1621">
        <v>14</v>
      </c>
      <c r="R1621">
        <v>6</v>
      </c>
      <c r="S1621">
        <v>3</v>
      </c>
      <c r="T1621">
        <v>11</v>
      </c>
      <c r="U1621">
        <v>7</v>
      </c>
      <c r="V1621">
        <v>1</v>
      </c>
      <c r="W1621">
        <v>1</v>
      </c>
      <c r="X1621">
        <v>0</v>
      </c>
      <c r="Y1621">
        <v>1</v>
      </c>
      <c r="Z1621">
        <v>0</v>
      </c>
    </row>
    <row r="1622" spans="1:26" x14ac:dyDescent="0.2">
      <c r="A1622" t="s">
        <v>1740</v>
      </c>
      <c r="B1622" t="s">
        <v>52</v>
      </c>
      <c r="C1622">
        <v>2013</v>
      </c>
      <c r="D1622" t="s">
        <v>73</v>
      </c>
      <c r="E1622" t="s">
        <v>19</v>
      </c>
      <c r="F1622" t="s">
        <v>73</v>
      </c>
      <c r="G1622">
        <v>32384</v>
      </c>
      <c r="H1622">
        <v>25907.200000000001</v>
      </c>
      <c r="I1622" s="13">
        <v>0.66666666666666663</v>
      </c>
      <c r="J1622" t="s">
        <v>6207</v>
      </c>
      <c r="K1622">
        <v>4</v>
      </c>
      <c r="L1622">
        <v>1</v>
      </c>
      <c r="M1622" t="s">
        <v>0</v>
      </c>
      <c r="N1622" s="2">
        <v>0.61</v>
      </c>
      <c r="O1622" s="2">
        <v>0.39</v>
      </c>
      <c r="P1622">
        <v>20</v>
      </c>
      <c r="Q1622">
        <v>13</v>
      </c>
      <c r="R1622">
        <v>6</v>
      </c>
      <c r="S1622">
        <v>5</v>
      </c>
      <c r="T1622">
        <v>10</v>
      </c>
      <c r="U1622">
        <v>15</v>
      </c>
      <c r="V1622">
        <v>1</v>
      </c>
      <c r="W1622">
        <v>2</v>
      </c>
      <c r="X1622">
        <v>0</v>
      </c>
      <c r="Y1622">
        <v>0</v>
      </c>
      <c r="Z1622">
        <v>1</v>
      </c>
    </row>
    <row r="1623" spans="1:26" x14ac:dyDescent="0.2">
      <c r="A1623" t="s">
        <v>1741</v>
      </c>
      <c r="B1623" t="s">
        <v>53</v>
      </c>
      <c r="C1623">
        <v>2013</v>
      </c>
      <c r="D1623" t="s">
        <v>26</v>
      </c>
      <c r="E1623" t="s">
        <v>31</v>
      </c>
      <c r="F1623" t="s">
        <v>26</v>
      </c>
      <c r="G1623">
        <v>61276</v>
      </c>
      <c r="H1623">
        <v>49020.800000000003</v>
      </c>
      <c r="I1623" s="13">
        <v>0</v>
      </c>
      <c r="J1623" t="s">
        <v>6207</v>
      </c>
      <c r="K1623">
        <v>4</v>
      </c>
      <c r="L1623">
        <v>0</v>
      </c>
      <c r="M1623" t="s">
        <v>0</v>
      </c>
      <c r="N1623" s="2">
        <v>0.68</v>
      </c>
      <c r="O1623" s="2">
        <v>0.32</v>
      </c>
      <c r="P1623">
        <v>11</v>
      </c>
      <c r="Q1623">
        <v>17</v>
      </c>
      <c r="R1623">
        <v>9</v>
      </c>
      <c r="S1623">
        <v>3</v>
      </c>
      <c r="T1623">
        <v>13</v>
      </c>
      <c r="U1623">
        <v>9</v>
      </c>
      <c r="V1623">
        <v>0</v>
      </c>
      <c r="W1623">
        <v>1</v>
      </c>
      <c r="X1623">
        <v>0</v>
      </c>
      <c r="Y1623">
        <v>0</v>
      </c>
      <c r="Z1623">
        <v>0</v>
      </c>
    </row>
    <row r="1624" spans="1:26" x14ac:dyDescent="0.2">
      <c r="A1624" t="s">
        <v>1742</v>
      </c>
      <c r="B1624" t="s">
        <v>76</v>
      </c>
      <c r="C1624">
        <v>2013</v>
      </c>
      <c r="D1624" t="s">
        <v>79</v>
      </c>
      <c r="E1624" t="s">
        <v>45</v>
      </c>
      <c r="F1624" t="s">
        <v>20</v>
      </c>
      <c r="G1624">
        <v>25486</v>
      </c>
      <c r="H1624">
        <v>20388.800000000003</v>
      </c>
      <c r="I1624" s="13">
        <v>1</v>
      </c>
      <c r="J1624" t="s">
        <v>6207</v>
      </c>
      <c r="K1624">
        <v>0</v>
      </c>
      <c r="L1624">
        <v>0</v>
      </c>
      <c r="M1624" t="s">
        <v>58</v>
      </c>
      <c r="N1624" s="2">
        <v>0.27</v>
      </c>
      <c r="O1624" s="2">
        <v>0.73</v>
      </c>
      <c r="P1624">
        <v>9</v>
      </c>
      <c r="Q1624">
        <v>20</v>
      </c>
      <c r="R1624">
        <v>4</v>
      </c>
      <c r="S1624">
        <v>7</v>
      </c>
      <c r="T1624">
        <v>16</v>
      </c>
      <c r="U1624">
        <v>8</v>
      </c>
      <c r="V1624">
        <v>1</v>
      </c>
      <c r="W1624">
        <v>0</v>
      </c>
      <c r="X1624">
        <v>0</v>
      </c>
      <c r="Y1624">
        <v>0</v>
      </c>
      <c r="Z1624">
        <v>0</v>
      </c>
    </row>
    <row r="1625" spans="1:26" x14ac:dyDescent="0.2">
      <c r="A1625" t="s">
        <v>1743</v>
      </c>
      <c r="B1625" t="s">
        <v>37</v>
      </c>
      <c r="C1625">
        <v>2013</v>
      </c>
      <c r="D1625" t="s">
        <v>18</v>
      </c>
      <c r="E1625" t="s">
        <v>63</v>
      </c>
      <c r="F1625" t="s">
        <v>20</v>
      </c>
      <c r="G1625">
        <v>40341</v>
      </c>
      <c r="H1625">
        <v>32272.800000000003</v>
      </c>
      <c r="I1625" s="13">
        <v>0.6</v>
      </c>
      <c r="J1625" t="s">
        <v>6206</v>
      </c>
      <c r="K1625">
        <v>2</v>
      </c>
      <c r="L1625">
        <v>2</v>
      </c>
      <c r="M1625" t="s">
        <v>58</v>
      </c>
      <c r="N1625" s="2">
        <v>0.69</v>
      </c>
      <c r="O1625" s="2">
        <v>0.31</v>
      </c>
      <c r="P1625">
        <v>13</v>
      </c>
      <c r="Q1625">
        <v>14</v>
      </c>
      <c r="R1625">
        <v>9</v>
      </c>
      <c r="S1625">
        <v>4</v>
      </c>
      <c r="T1625">
        <v>11</v>
      </c>
      <c r="U1625">
        <v>15</v>
      </c>
      <c r="V1625">
        <v>3</v>
      </c>
      <c r="W1625">
        <v>7</v>
      </c>
      <c r="X1625">
        <v>0</v>
      </c>
      <c r="Y1625">
        <v>0</v>
      </c>
      <c r="Z1625">
        <v>1</v>
      </c>
    </row>
    <row r="1626" spans="1:26" x14ac:dyDescent="0.2">
      <c r="A1626" t="s">
        <v>1744</v>
      </c>
      <c r="B1626" t="s">
        <v>32</v>
      </c>
      <c r="C1626">
        <v>2013</v>
      </c>
      <c r="D1626" t="s">
        <v>42</v>
      </c>
      <c r="E1626" t="s">
        <v>78</v>
      </c>
      <c r="F1626" t="s">
        <v>38</v>
      </c>
      <c r="G1626">
        <v>42918</v>
      </c>
      <c r="H1626">
        <v>34334.400000000001</v>
      </c>
      <c r="I1626" s="13">
        <v>1</v>
      </c>
      <c r="J1626" t="s">
        <v>6207</v>
      </c>
      <c r="K1626">
        <v>2</v>
      </c>
      <c r="L1626">
        <v>0</v>
      </c>
      <c r="M1626" t="s">
        <v>0</v>
      </c>
      <c r="N1626" s="2">
        <v>0.43</v>
      </c>
      <c r="O1626" s="2">
        <v>0.56999999999999995</v>
      </c>
      <c r="P1626">
        <v>10</v>
      </c>
      <c r="Q1626">
        <v>15</v>
      </c>
      <c r="R1626">
        <v>5</v>
      </c>
      <c r="S1626">
        <v>3</v>
      </c>
      <c r="T1626">
        <v>10</v>
      </c>
      <c r="U1626">
        <v>3</v>
      </c>
      <c r="V1626">
        <v>1</v>
      </c>
      <c r="W1626">
        <v>1</v>
      </c>
      <c r="X1626">
        <v>0</v>
      </c>
      <c r="Y1626">
        <v>0</v>
      </c>
      <c r="Z1626">
        <v>0</v>
      </c>
    </row>
    <row r="1627" spans="1:26" x14ac:dyDescent="0.2">
      <c r="A1627" t="s">
        <v>1745</v>
      </c>
      <c r="B1627" t="s">
        <v>68</v>
      </c>
      <c r="C1627">
        <v>2013</v>
      </c>
      <c r="D1627" t="s">
        <v>69</v>
      </c>
      <c r="E1627" t="s">
        <v>23</v>
      </c>
      <c r="F1627" t="s">
        <v>69</v>
      </c>
      <c r="G1627">
        <v>27359</v>
      </c>
      <c r="H1627">
        <v>21887.200000000001</v>
      </c>
      <c r="I1627" s="13">
        <v>0.5</v>
      </c>
      <c r="J1627" t="s">
        <v>6207</v>
      </c>
      <c r="K1627">
        <v>3</v>
      </c>
      <c r="L1627">
        <v>1</v>
      </c>
      <c r="M1627" t="s">
        <v>0</v>
      </c>
      <c r="N1627" s="2">
        <v>0.47</v>
      </c>
      <c r="O1627" s="2">
        <v>0.53</v>
      </c>
      <c r="P1627">
        <v>16</v>
      </c>
      <c r="Q1627">
        <v>12</v>
      </c>
      <c r="R1627">
        <v>4</v>
      </c>
      <c r="S1627">
        <v>2</v>
      </c>
      <c r="T1627">
        <v>12</v>
      </c>
      <c r="U1627">
        <v>11</v>
      </c>
      <c r="V1627">
        <v>1</v>
      </c>
      <c r="W1627">
        <v>1</v>
      </c>
      <c r="X1627">
        <v>0</v>
      </c>
      <c r="Y1627">
        <v>0</v>
      </c>
      <c r="Z1627">
        <v>1</v>
      </c>
    </row>
    <row r="1628" spans="1:26" x14ac:dyDescent="0.2">
      <c r="A1628" t="s">
        <v>1746</v>
      </c>
      <c r="B1628" t="s">
        <v>25</v>
      </c>
      <c r="C1628">
        <v>2013</v>
      </c>
      <c r="D1628" t="s">
        <v>51</v>
      </c>
      <c r="E1628" t="s">
        <v>64</v>
      </c>
      <c r="F1628" t="s">
        <v>20</v>
      </c>
      <c r="G1628">
        <v>36284</v>
      </c>
      <c r="H1628">
        <v>29027.200000000001</v>
      </c>
      <c r="I1628" s="13">
        <v>0.66666666666666663</v>
      </c>
      <c r="J1628" t="s">
        <v>6207</v>
      </c>
      <c r="K1628">
        <v>0</v>
      </c>
      <c r="L1628">
        <v>1</v>
      </c>
      <c r="M1628" t="s">
        <v>1</v>
      </c>
      <c r="N1628" s="2">
        <v>0.65</v>
      </c>
      <c r="O1628" s="2">
        <v>0.35</v>
      </c>
      <c r="P1628">
        <v>20</v>
      </c>
      <c r="Q1628">
        <v>5</v>
      </c>
      <c r="R1628">
        <v>11</v>
      </c>
      <c r="S1628">
        <v>4</v>
      </c>
      <c r="T1628">
        <v>5</v>
      </c>
      <c r="U1628">
        <v>15</v>
      </c>
      <c r="V1628">
        <v>1</v>
      </c>
      <c r="W1628">
        <v>2</v>
      </c>
      <c r="X1628">
        <v>0</v>
      </c>
      <c r="Y1628">
        <v>0</v>
      </c>
      <c r="Z1628">
        <v>0</v>
      </c>
    </row>
    <row r="1629" spans="1:26" x14ac:dyDescent="0.2">
      <c r="A1629" t="s">
        <v>1747</v>
      </c>
      <c r="B1629" t="s">
        <v>41</v>
      </c>
      <c r="C1629">
        <v>2013</v>
      </c>
      <c r="D1629" t="s">
        <v>35</v>
      </c>
      <c r="E1629" t="s">
        <v>40</v>
      </c>
      <c r="F1629" t="s">
        <v>35</v>
      </c>
      <c r="G1629">
        <v>49000</v>
      </c>
      <c r="H1629">
        <v>39200</v>
      </c>
      <c r="I1629" s="13">
        <v>1</v>
      </c>
      <c r="J1629" t="s">
        <v>6207</v>
      </c>
      <c r="K1629">
        <v>1</v>
      </c>
      <c r="L1629">
        <v>0</v>
      </c>
      <c r="M1629" t="s">
        <v>0</v>
      </c>
      <c r="N1629" s="2">
        <v>0.37</v>
      </c>
      <c r="O1629" s="2">
        <v>0.63</v>
      </c>
      <c r="P1629">
        <v>15</v>
      </c>
      <c r="Q1629">
        <v>6</v>
      </c>
      <c r="R1629">
        <v>0</v>
      </c>
      <c r="S1629">
        <v>14</v>
      </c>
      <c r="T1629">
        <v>6</v>
      </c>
      <c r="U1629">
        <v>13</v>
      </c>
      <c r="V1629">
        <v>0</v>
      </c>
      <c r="W1629">
        <v>1</v>
      </c>
      <c r="X1629">
        <v>0</v>
      </c>
      <c r="Y1629">
        <v>0</v>
      </c>
      <c r="Z1629">
        <v>0</v>
      </c>
    </row>
    <row r="1630" spans="1:26" x14ac:dyDescent="0.2">
      <c r="A1630" t="s">
        <v>1748</v>
      </c>
      <c r="B1630" t="s">
        <v>77</v>
      </c>
      <c r="C1630">
        <v>2013</v>
      </c>
      <c r="D1630" t="s">
        <v>71</v>
      </c>
      <c r="E1630" t="s">
        <v>27</v>
      </c>
      <c r="F1630" t="s">
        <v>71</v>
      </c>
      <c r="G1630">
        <v>21088</v>
      </c>
      <c r="H1630">
        <v>16870.400000000001</v>
      </c>
      <c r="I1630" s="13">
        <v>0.5</v>
      </c>
      <c r="J1630" t="s">
        <v>6207</v>
      </c>
      <c r="K1630">
        <v>3</v>
      </c>
      <c r="L1630">
        <v>3</v>
      </c>
      <c r="M1630" t="s">
        <v>58</v>
      </c>
      <c r="N1630" s="2">
        <v>0.65</v>
      </c>
      <c r="O1630" s="2">
        <v>0.35</v>
      </c>
      <c r="P1630">
        <v>15</v>
      </c>
      <c r="Q1630">
        <v>13</v>
      </c>
      <c r="R1630">
        <v>14</v>
      </c>
      <c r="S1630">
        <v>3</v>
      </c>
      <c r="T1630">
        <v>12</v>
      </c>
      <c r="U1630">
        <v>15</v>
      </c>
      <c r="V1630">
        <v>5</v>
      </c>
      <c r="W1630">
        <v>3</v>
      </c>
      <c r="X1630">
        <v>0</v>
      </c>
      <c r="Y1630">
        <v>0</v>
      </c>
      <c r="Z1630">
        <v>1</v>
      </c>
    </row>
    <row r="1631" spans="1:26" x14ac:dyDescent="0.2">
      <c r="A1631" t="s">
        <v>1749</v>
      </c>
      <c r="B1631" t="s">
        <v>66</v>
      </c>
      <c r="C1631">
        <v>2013</v>
      </c>
      <c r="D1631" t="s">
        <v>48</v>
      </c>
      <c r="E1631" t="s">
        <v>46</v>
      </c>
      <c r="F1631" t="s">
        <v>49</v>
      </c>
      <c r="G1631">
        <v>74197</v>
      </c>
      <c r="H1631">
        <v>59357.600000000006</v>
      </c>
      <c r="I1631" s="13">
        <v>0.4</v>
      </c>
      <c r="J1631" t="s">
        <v>6207</v>
      </c>
      <c r="K1631">
        <v>1</v>
      </c>
      <c r="L1631">
        <v>0</v>
      </c>
      <c r="M1631" t="s">
        <v>0</v>
      </c>
      <c r="N1631" s="2">
        <v>0.4</v>
      </c>
      <c r="O1631" s="2">
        <v>0.6</v>
      </c>
      <c r="P1631">
        <v>13</v>
      </c>
      <c r="Q1631">
        <v>14</v>
      </c>
      <c r="R1631">
        <v>5</v>
      </c>
      <c r="S1631">
        <v>6</v>
      </c>
      <c r="T1631">
        <v>12</v>
      </c>
      <c r="U1631">
        <v>11</v>
      </c>
      <c r="V1631">
        <v>2</v>
      </c>
      <c r="W1631">
        <v>3</v>
      </c>
      <c r="X1631">
        <v>0</v>
      </c>
      <c r="Y1631">
        <v>0</v>
      </c>
      <c r="Z1631">
        <v>0</v>
      </c>
    </row>
    <row r="1632" spans="1:26" x14ac:dyDescent="0.2">
      <c r="A1632" t="s">
        <v>1750</v>
      </c>
      <c r="B1632" t="s">
        <v>52</v>
      </c>
      <c r="C1632">
        <v>2013</v>
      </c>
      <c r="D1632" t="s">
        <v>45</v>
      </c>
      <c r="E1632" t="s">
        <v>26</v>
      </c>
      <c r="F1632" t="s">
        <v>26</v>
      </c>
      <c r="G1632">
        <v>39572</v>
      </c>
      <c r="H1632">
        <v>31657.600000000002</v>
      </c>
      <c r="I1632" s="13">
        <v>0.5714285714285714</v>
      </c>
      <c r="J1632" t="s">
        <v>6207</v>
      </c>
      <c r="K1632">
        <v>3</v>
      </c>
      <c r="L1632">
        <v>3</v>
      </c>
      <c r="M1632" t="s">
        <v>58</v>
      </c>
      <c r="N1632" s="2">
        <v>0.51</v>
      </c>
      <c r="O1632" s="2">
        <v>0.49</v>
      </c>
      <c r="P1632">
        <v>19</v>
      </c>
      <c r="Q1632">
        <v>17</v>
      </c>
      <c r="R1632">
        <v>6</v>
      </c>
      <c r="S1632">
        <v>7</v>
      </c>
      <c r="T1632">
        <v>16</v>
      </c>
      <c r="U1632">
        <v>15</v>
      </c>
      <c r="V1632">
        <v>4</v>
      </c>
      <c r="W1632">
        <v>3</v>
      </c>
      <c r="X1632">
        <v>0</v>
      </c>
      <c r="Y1632">
        <v>0</v>
      </c>
      <c r="Z1632">
        <v>0</v>
      </c>
    </row>
    <row r="1633" spans="1:26" x14ac:dyDescent="0.2">
      <c r="A1633" t="s">
        <v>1751</v>
      </c>
      <c r="B1633" t="s">
        <v>60</v>
      </c>
      <c r="C1633">
        <v>2013</v>
      </c>
      <c r="D1633" t="s">
        <v>27</v>
      </c>
      <c r="E1633" t="s">
        <v>35</v>
      </c>
      <c r="F1633" t="s">
        <v>27</v>
      </c>
      <c r="G1633">
        <v>30089</v>
      </c>
      <c r="H1633">
        <v>24071.200000000001</v>
      </c>
      <c r="I1633" s="13">
        <v>0.75</v>
      </c>
      <c r="J1633" t="s">
        <v>6208</v>
      </c>
      <c r="K1633">
        <v>2</v>
      </c>
      <c r="L1633">
        <v>0</v>
      </c>
      <c r="M1633" t="s">
        <v>0</v>
      </c>
      <c r="N1633" s="2">
        <v>0.5</v>
      </c>
      <c r="O1633" s="2">
        <v>0.5</v>
      </c>
      <c r="P1633">
        <v>8</v>
      </c>
      <c r="Q1633">
        <v>12</v>
      </c>
      <c r="R1633">
        <v>3</v>
      </c>
      <c r="S1633">
        <v>7</v>
      </c>
      <c r="T1633">
        <v>11</v>
      </c>
      <c r="U1633">
        <v>5</v>
      </c>
      <c r="V1633">
        <v>2</v>
      </c>
      <c r="W1633">
        <v>1</v>
      </c>
      <c r="X1633">
        <v>0</v>
      </c>
      <c r="Y1633">
        <v>1</v>
      </c>
      <c r="Z1633">
        <v>0</v>
      </c>
    </row>
    <row r="1634" spans="1:26" x14ac:dyDescent="0.2">
      <c r="A1634" t="s">
        <v>1752</v>
      </c>
      <c r="B1634" t="s">
        <v>41</v>
      </c>
      <c r="C1634">
        <v>2013</v>
      </c>
      <c r="D1634" t="s">
        <v>64</v>
      </c>
      <c r="E1634" t="s">
        <v>69</v>
      </c>
      <c r="F1634" t="s">
        <v>64</v>
      </c>
      <c r="G1634">
        <v>52264</v>
      </c>
      <c r="H1634">
        <v>41811.200000000004</v>
      </c>
      <c r="I1634" s="13">
        <v>0</v>
      </c>
      <c r="J1634" t="s">
        <v>6207</v>
      </c>
      <c r="K1634">
        <v>2</v>
      </c>
      <c r="L1634">
        <v>1</v>
      </c>
      <c r="M1634" t="s">
        <v>0</v>
      </c>
      <c r="N1634" s="2">
        <v>0.49</v>
      </c>
      <c r="O1634" s="2">
        <v>0.51</v>
      </c>
      <c r="P1634">
        <v>8</v>
      </c>
      <c r="Q1634">
        <v>10</v>
      </c>
      <c r="R1634">
        <v>6</v>
      </c>
      <c r="S1634">
        <v>5</v>
      </c>
      <c r="T1634">
        <v>8</v>
      </c>
      <c r="U1634">
        <v>7</v>
      </c>
      <c r="V1634">
        <v>0</v>
      </c>
      <c r="W1634">
        <v>1</v>
      </c>
      <c r="X1634">
        <v>0</v>
      </c>
      <c r="Y1634">
        <v>0</v>
      </c>
      <c r="Z1634">
        <v>0</v>
      </c>
    </row>
    <row r="1635" spans="1:26" x14ac:dyDescent="0.2">
      <c r="A1635" t="s">
        <v>1753</v>
      </c>
      <c r="B1635" t="s">
        <v>61</v>
      </c>
      <c r="C1635">
        <v>2013</v>
      </c>
      <c r="D1635" t="s">
        <v>19</v>
      </c>
      <c r="E1635" t="s">
        <v>79</v>
      </c>
      <c r="F1635" t="s">
        <v>19</v>
      </c>
      <c r="G1635">
        <v>25586</v>
      </c>
      <c r="H1635">
        <v>20468.800000000003</v>
      </c>
      <c r="I1635" s="13">
        <v>0.75</v>
      </c>
      <c r="J1635" t="s">
        <v>6207</v>
      </c>
      <c r="K1635">
        <v>0</v>
      </c>
      <c r="L1635">
        <v>1</v>
      </c>
      <c r="M1635" t="s">
        <v>1</v>
      </c>
      <c r="N1635" s="2">
        <v>0.62</v>
      </c>
      <c r="O1635" s="2">
        <v>0.38</v>
      </c>
      <c r="P1635">
        <v>13</v>
      </c>
      <c r="Q1635">
        <v>10</v>
      </c>
      <c r="R1635">
        <v>11</v>
      </c>
      <c r="S1635">
        <v>4</v>
      </c>
      <c r="T1635">
        <v>8</v>
      </c>
      <c r="U1635">
        <v>11</v>
      </c>
      <c r="V1635">
        <v>2</v>
      </c>
      <c r="W1635">
        <v>1</v>
      </c>
      <c r="X1635">
        <v>0</v>
      </c>
      <c r="Y1635">
        <v>1</v>
      </c>
      <c r="Z1635">
        <v>0</v>
      </c>
    </row>
    <row r="1636" spans="1:26" x14ac:dyDescent="0.2">
      <c r="A1636" t="s">
        <v>1754</v>
      </c>
      <c r="B1636" t="s">
        <v>37</v>
      </c>
      <c r="C1636">
        <v>2013</v>
      </c>
      <c r="D1636" t="s">
        <v>31</v>
      </c>
      <c r="E1636" t="s">
        <v>71</v>
      </c>
      <c r="F1636" t="s">
        <v>20</v>
      </c>
      <c r="G1636">
        <v>28500</v>
      </c>
      <c r="H1636">
        <v>22800</v>
      </c>
      <c r="I1636" s="13">
        <v>0.5</v>
      </c>
      <c r="J1636" t="s">
        <v>6206</v>
      </c>
      <c r="K1636">
        <v>1</v>
      </c>
      <c r="L1636">
        <v>2</v>
      </c>
      <c r="M1636" t="s">
        <v>1</v>
      </c>
      <c r="N1636" s="2">
        <v>0.37</v>
      </c>
      <c r="O1636" s="2">
        <v>0.63</v>
      </c>
      <c r="P1636">
        <v>9</v>
      </c>
      <c r="Q1636">
        <v>12</v>
      </c>
      <c r="R1636">
        <v>8</v>
      </c>
      <c r="S1636">
        <v>8</v>
      </c>
      <c r="T1636">
        <v>11</v>
      </c>
      <c r="U1636">
        <v>9</v>
      </c>
      <c r="V1636">
        <v>3</v>
      </c>
      <c r="W1636">
        <v>1</v>
      </c>
      <c r="X1636">
        <v>0</v>
      </c>
      <c r="Y1636">
        <v>0</v>
      </c>
      <c r="Z1636">
        <v>0</v>
      </c>
    </row>
    <row r="1637" spans="1:26" x14ac:dyDescent="0.2">
      <c r="A1637" t="s">
        <v>1755</v>
      </c>
      <c r="B1637" t="s">
        <v>44</v>
      </c>
      <c r="C1637">
        <v>2013</v>
      </c>
      <c r="D1637" t="s">
        <v>46</v>
      </c>
      <c r="E1637" t="s">
        <v>73</v>
      </c>
      <c r="F1637" t="s">
        <v>20</v>
      </c>
      <c r="G1637">
        <v>60704</v>
      </c>
      <c r="H1637">
        <v>48563.200000000004</v>
      </c>
      <c r="I1637" s="13">
        <v>1</v>
      </c>
      <c r="J1637" t="s">
        <v>6207</v>
      </c>
      <c r="K1637">
        <v>2</v>
      </c>
      <c r="L1637">
        <v>0</v>
      </c>
      <c r="M1637" t="s">
        <v>0</v>
      </c>
      <c r="N1637" s="2">
        <v>0.49</v>
      </c>
      <c r="O1637" s="2">
        <v>0.51</v>
      </c>
      <c r="P1637">
        <v>20</v>
      </c>
      <c r="Q1637">
        <v>21</v>
      </c>
      <c r="R1637">
        <v>5</v>
      </c>
      <c r="S1637">
        <v>6</v>
      </c>
      <c r="T1637">
        <v>10</v>
      </c>
      <c r="U1637">
        <v>14</v>
      </c>
      <c r="V1637">
        <v>0</v>
      </c>
      <c r="W1637">
        <v>3</v>
      </c>
      <c r="X1637">
        <v>0</v>
      </c>
      <c r="Y1637">
        <v>0</v>
      </c>
      <c r="Z1637">
        <v>1</v>
      </c>
    </row>
    <row r="1638" spans="1:26" x14ac:dyDescent="0.2">
      <c r="A1638" t="s">
        <v>1756</v>
      </c>
      <c r="B1638" t="s">
        <v>25</v>
      </c>
      <c r="C1638">
        <v>2013</v>
      </c>
      <c r="D1638" t="s">
        <v>23</v>
      </c>
      <c r="E1638" t="s">
        <v>18</v>
      </c>
      <c r="F1638" t="s">
        <v>20</v>
      </c>
      <c r="G1638">
        <v>62500</v>
      </c>
      <c r="H1638">
        <v>50000</v>
      </c>
      <c r="I1638" s="13">
        <v>0</v>
      </c>
      <c r="J1638" t="s">
        <v>6207</v>
      </c>
      <c r="K1638">
        <v>0</v>
      </c>
      <c r="L1638">
        <v>3</v>
      </c>
      <c r="M1638" t="s">
        <v>1</v>
      </c>
      <c r="N1638" s="2">
        <v>0.45</v>
      </c>
      <c r="O1638" s="2">
        <v>0.55000000000000004</v>
      </c>
      <c r="P1638">
        <v>12</v>
      </c>
      <c r="Q1638">
        <v>14</v>
      </c>
      <c r="R1638">
        <v>8</v>
      </c>
      <c r="S1638">
        <v>4</v>
      </c>
      <c r="T1638">
        <v>12</v>
      </c>
      <c r="U1638">
        <v>10</v>
      </c>
      <c r="V1638">
        <v>0</v>
      </c>
      <c r="W1638">
        <v>0</v>
      </c>
      <c r="X1638">
        <v>0</v>
      </c>
      <c r="Y1638">
        <v>0</v>
      </c>
      <c r="Z1638">
        <v>1</v>
      </c>
    </row>
    <row r="1639" spans="1:26" x14ac:dyDescent="0.2">
      <c r="A1639" t="s">
        <v>1757</v>
      </c>
      <c r="B1639" t="s">
        <v>56</v>
      </c>
      <c r="C1639">
        <v>2013</v>
      </c>
      <c r="D1639" t="s">
        <v>40</v>
      </c>
      <c r="E1639" t="s">
        <v>51</v>
      </c>
      <c r="F1639" t="s">
        <v>49</v>
      </c>
      <c r="G1639">
        <v>53400</v>
      </c>
      <c r="H1639">
        <v>42720</v>
      </c>
      <c r="I1639" s="13">
        <v>0.75</v>
      </c>
      <c r="J1639" t="s">
        <v>6207</v>
      </c>
      <c r="K1639">
        <v>6</v>
      </c>
      <c r="L1639">
        <v>0</v>
      </c>
      <c r="M1639" t="s">
        <v>0</v>
      </c>
      <c r="N1639" s="2">
        <v>0.47</v>
      </c>
      <c r="O1639" s="2">
        <v>0.53</v>
      </c>
      <c r="P1639">
        <v>15</v>
      </c>
      <c r="Q1639">
        <v>8</v>
      </c>
      <c r="R1639">
        <v>4</v>
      </c>
      <c r="S1639">
        <v>7</v>
      </c>
      <c r="T1639">
        <v>7</v>
      </c>
      <c r="U1639">
        <v>11</v>
      </c>
      <c r="V1639">
        <v>1</v>
      </c>
      <c r="W1639">
        <v>3</v>
      </c>
      <c r="X1639">
        <v>0</v>
      </c>
      <c r="Y1639">
        <v>0</v>
      </c>
      <c r="Z1639">
        <v>0</v>
      </c>
    </row>
    <row r="1640" spans="1:26" x14ac:dyDescent="0.2">
      <c r="A1640" t="s">
        <v>1758</v>
      </c>
      <c r="B1640" t="s">
        <v>67</v>
      </c>
      <c r="C1640">
        <v>2013</v>
      </c>
      <c r="D1640" t="s">
        <v>78</v>
      </c>
      <c r="E1640" t="s">
        <v>48</v>
      </c>
      <c r="F1640" t="s">
        <v>78</v>
      </c>
      <c r="G1640">
        <v>33280</v>
      </c>
      <c r="H1640">
        <v>26624</v>
      </c>
      <c r="I1640" s="13">
        <v>0.33333333333333331</v>
      </c>
      <c r="J1640" t="s">
        <v>6207</v>
      </c>
      <c r="K1640">
        <v>2</v>
      </c>
      <c r="L1640">
        <v>2</v>
      </c>
      <c r="M1640" t="s">
        <v>58</v>
      </c>
      <c r="N1640" s="2">
        <v>0.5</v>
      </c>
      <c r="O1640" s="2">
        <v>0.5</v>
      </c>
      <c r="P1640">
        <v>17</v>
      </c>
      <c r="Q1640">
        <v>15</v>
      </c>
      <c r="R1640">
        <v>2</v>
      </c>
      <c r="S1640">
        <v>8</v>
      </c>
      <c r="T1640">
        <v>15</v>
      </c>
      <c r="U1640">
        <v>14</v>
      </c>
      <c r="V1640">
        <v>4</v>
      </c>
      <c r="W1640">
        <v>2</v>
      </c>
      <c r="X1640">
        <v>0</v>
      </c>
      <c r="Y1640">
        <v>0</v>
      </c>
      <c r="Z1640">
        <v>0</v>
      </c>
    </row>
    <row r="1641" spans="1:26" x14ac:dyDescent="0.2">
      <c r="A1641" t="s">
        <v>1759</v>
      </c>
      <c r="B1641" t="s">
        <v>66</v>
      </c>
      <c r="C1641">
        <v>2013</v>
      </c>
      <c r="D1641" t="s">
        <v>63</v>
      </c>
      <c r="E1641" t="s">
        <v>42</v>
      </c>
      <c r="F1641" t="s">
        <v>65</v>
      </c>
      <c r="G1641">
        <v>26804</v>
      </c>
      <c r="H1641">
        <v>21443.200000000001</v>
      </c>
      <c r="I1641" s="13">
        <v>0.66666666666666663</v>
      </c>
      <c r="J1641" t="s">
        <v>6207</v>
      </c>
      <c r="K1641">
        <v>2</v>
      </c>
      <c r="L1641">
        <v>2</v>
      </c>
      <c r="M1641" t="s">
        <v>58</v>
      </c>
      <c r="N1641" s="2">
        <v>0.51</v>
      </c>
      <c r="O1641" s="2">
        <v>0.49</v>
      </c>
      <c r="P1641">
        <v>19</v>
      </c>
      <c r="Q1641">
        <v>15</v>
      </c>
      <c r="R1641">
        <v>4</v>
      </c>
      <c r="S1641">
        <v>2</v>
      </c>
      <c r="T1641">
        <v>9</v>
      </c>
      <c r="U1641">
        <v>14</v>
      </c>
      <c r="V1641">
        <v>1</v>
      </c>
      <c r="W1641">
        <v>2</v>
      </c>
      <c r="X1641">
        <v>0</v>
      </c>
      <c r="Y1641">
        <v>0</v>
      </c>
      <c r="Z1641">
        <v>0</v>
      </c>
    </row>
    <row r="1642" spans="1:26" x14ac:dyDescent="0.2">
      <c r="A1642" t="s">
        <v>1760</v>
      </c>
      <c r="B1642" t="s">
        <v>32</v>
      </c>
      <c r="C1642">
        <v>2013</v>
      </c>
      <c r="D1642" t="s">
        <v>23</v>
      </c>
      <c r="E1642" t="s">
        <v>31</v>
      </c>
      <c r="F1642" t="s">
        <v>20</v>
      </c>
      <c r="G1642">
        <v>62500</v>
      </c>
      <c r="H1642">
        <v>50000</v>
      </c>
      <c r="I1642" s="13">
        <v>0.2</v>
      </c>
      <c r="J1642" t="s">
        <v>6207</v>
      </c>
      <c r="K1642">
        <v>3</v>
      </c>
      <c r="L1642">
        <v>0</v>
      </c>
      <c r="M1642" t="s">
        <v>0</v>
      </c>
      <c r="N1642" s="2">
        <v>0.49</v>
      </c>
      <c r="O1642" s="2">
        <v>0.51</v>
      </c>
      <c r="P1642">
        <v>9</v>
      </c>
      <c r="Q1642">
        <v>12</v>
      </c>
      <c r="R1642">
        <v>6</v>
      </c>
      <c r="S1642">
        <v>3</v>
      </c>
      <c r="T1642">
        <v>11</v>
      </c>
      <c r="U1642">
        <v>8</v>
      </c>
      <c r="V1642">
        <v>3</v>
      </c>
      <c r="W1642">
        <v>2</v>
      </c>
      <c r="X1642">
        <v>0</v>
      </c>
      <c r="Y1642">
        <v>0</v>
      </c>
      <c r="Z1642">
        <v>0</v>
      </c>
    </row>
    <row r="1643" spans="1:26" x14ac:dyDescent="0.2">
      <c r="A1643" t="s">
        <v>1761</v>
      </c>
      <c r="B1643" t="s">
        <v>25</v>
      </c>
      <c r="C1643">
        <v>2013</v>
      </c>
      <c r="D1643" t="s">
        <v>69</v>
      </c>
      <c r="E1643" t="s">
        <v>79</v>
      </c>
      <c r="F1643" t="s">
        <v>69</v>
      </c>
      <c r="G1643">
        <v>27359</v>
      </c>
      <c r="H1643">
        <v>21887.200000000001</v>
      </c>
      <c r="I1643" s="13">
        <v>0.33333333333333331</v>
      </c>
      <c r="J1643" t="s">
        <v>6207</v>
      </c>
      <c r="K1643">
        <v>1</v>
      </c>
      <c r="L1643">
        <v>0</v>
      </c>
      <c r="M1643" t="s">
        <v>0</v>
      </c>
      <c r="N1643" s="2">
        <v>0.6</v>
      </c>
      <c r="O1643" s="2">
        <v>0.4</v>
      </c>
      <c r="P1643">
        <v>16</v>
      </c>
      <c r="Q1643">
        <v>12</v>
      </c>
      <c r="R1643">
        <v>5</v>
      </c>
      <c r="S1643">
        <v>4</v>
      </c>
      <c r="T1643">
        <v>12</v>
      </c>
      <c r="U1643">
        <v>14</v>
      </c>
      <c r="V1643">
        <v>1</v>
      </c>
      <c r="W1643">
        <v>2</v>
      </c>
      <c r="X1643">
        <v>0</v>
      </c>
      <c r="Y1643">
        <v>0</v>
      </c>
      <c r="Z1643">
        <v>0</v>
      </c>
    </row>
    <row r="1644" spans="1:26" x14ac:dyDescent="0.2">
      <c r="A1644" t="s">
        <v>1762</v>
      </c>
      <c r="B1644" t="s">
        <v>53</v>
      </c>
      <c r="C1644">
        <v>2013</v>
      </c>
      <c r="D1644" t="s">
        <v>45</v>
      </c>
      <c r="E1644" t="s">
        <v>27</v>
      </c>
      <c r="F1644" t="s">
        <v>26</v>
      </c>
      <c r="G1644">
        <v>39572</v>
      </c>
      <c r="H1644">
        <v>31657.600000000002</v>
      </c>
      <c r="I1644" s="13">
        <v>1</v>
      </c>
      <c r="J1644" t="s">
        <v>6207</v>
      </c>
      <c r="K1644">
        <v>4</v>
      </c>
      <c r="L1644">
        <v>0</v>
      </c>
      <c r="M1644" t="s">
        <v>0</v>
      </c>
      <c r="N1644" s="2">
        <v>0.54</v>
      </c>
      <c r="O1644" s="2">
        <v>0.46</v>
      </c>
      <c r="P1644">
        <v>18</v>
      </c>
      <c r="Q1644">
        <v>11</v>
      </c>
      <c r="R1644">
        <v>9</v>
      </c>
      <c r="S1644">
        <v>3</v>
      </c>
      <c r="T1644">
        <v>9</v>
      </c>
      <c r="U1644">
        <v>16</v>
      </c>
      <c r="V1644">
        <v>0</v>
      </c>
      <c r="W1644">
        <v>3</v>
      </c>
      <c r="X1644">
        <v>0</v>
      </c>
      <c r="Y1644">
        <v>0</v>
      </c>
      <c r="Z1644">
        <v>0</v>
      </c>
    </row>
    <row r="1645" spans="1:26" x14ac:dyDescent="0.2">
      <c r="A1645" t="s">
        <v>1763</v>
      </c>
      <c r="B1645" t="s">
        <v>50</v>
      </c>
      <c r="C1645">
        <v>2013</v>
      </c>
      <c r="D1645" t="s">
        <v>78</v>
      </c>
      <c r="E1645" t="s">
        <v>46</v>
      </c>
      <c r="F1645" t="s">
        <v>78</v>
      </c>
      <c r="G1645">
        <v>33280</v>
      </c>
      <c r="H1645">
        <v>26624</v>
      </c>
      <c r="I1645" s="13">
        <v>0.33333333333333331</v>
      </c>
      <c r="J1645" t="s">
        <v>6207</v>
      </c>
      <c r="K1645">
        <v>0</v>
      </c>
      <c r="L1645">
        <v>3</v>
      </c>
      <c r="M1645" t="s">
        <v>1</v>
      </c>
      <c r="N1645" s="2">
        <v>0.44</v>
      </c>
      <c r="O1645" s="2">
        <v>0.56000000000000005</v>
      </c>
      <c r="P1645">
        <v>8</v>
      </c>
      <c r="Q1645">
        <v>8</v>
      </c>
      <c r="R1645">
        <v>3</v>
      </c>
      <c r="S1645">
        <v>3</v>
      </c>
      <c r="T1645">
        <v>6</v>
      </c>
      <c r="U1645">
        <v>8</v>
      </c>
      <c r="V1645">
        <v>0</v>
      </c>
      <c r="W1645">
        <v>3</v>
      </c>
      <c r="X1645">
        <v>0</v>
      </c>
      <c r="Y1645">
        <v>0</v>
      </c>
      <c r="Z1645">
        <v>0</v>
      </c>
    </row>
    <row r="1646" spans="1:26" x14ac:dyDescent="0.2">
      <c r="A1646" t="s">
        <v>1764</v>
      </c>
      <c r="B1646" t="s">
        <v>67</v>
      </c>
      <c r="C1646">
        <v>2013</v>
      </c>
      <c r="D1646" t="s">
        <v>42</v>
      </c>
      <c r="E1646" t="s">
        <v>35</v>
      </c>
      <c r="F1646" t="s">
        <v>38</v>
      </c>
      <c r="G1646">
        <v>42918</v>
      </c>
      <c r="H1646">
        <v>34334.400000000001</v>
      </c>
      <c r="I1646" s="13">
        <v>0.33333333333333331</v>
      </c>
      <c r="J1646" t="s">
        <v>6207</v>
      </c>
      <c r="K1646">
        <v>0</v>
      </c>
      <c r="L1646">
        <v>0</v>
      </c>
      <c r="M1646" t="s">
        <v>58</v>
      </c>
      <c r="N1646" s="2">
        <v>0.51</v>
      </c>
      <c r="O1646" s="2">
        <v>0.49</v>
      </c>
      <c r="P1646">
        <v>17</v>
      </c>
      <c r="Q1646">
        <v>16</v>
      </c>
      <c r="R1646">
        <v>7</v>
      </c>
      <c r="S1646">
        <v>6</v>
      </c>
      <c r="T1646">
        <v>14</v>
      </c>
      <c r="U1646">
        <v>12</v>
      </c>
      <c r="V1646">
        <v>2</v>
      </c>
      <c r="W1646">
        <v>1</v>
      </c>
      <c r="X1646">
        <v>0</v>
      </c>
      <c r="Y1646">
        <v>0</v>
      </c>
      <c r="Z1646">
        <v>0</v>
      </c>
    </row>
    <row r="1647" spans="1:26" x14ac:dyDescent="0.2">
      <c r="A1647" t="s">
        <v>1765</v>
      </c>
      <c r="B1647" t="s">
        <v>52</v>
      </c>
      <c r="C1647">
        <v>2013</v>
      </c>
      <c r="D1647" t="s">
        <v>64</v>
      </c>
      <c r="E1647" t="s">
        <v>63</v>
      </c>
      <c r="F1647" t="s">
        <v>64</v>
      </c>
      <c r="G1647">
        <v>52264</v>
      </c>
      <c r="H1647">
        <v>41811.200000000004</v>
      </c>
      <c r="I1647" s="13">
        <v>0.66666666666666663</v>
      </c>
      <c r="J1647" t="s">
        <v>6207</v>
      </c>
      <c r="K1647">
        <v>2</v>
      </c>
      <c r="L1647">
        <v>1</v>
      </c>
      <c r="M1647" t="s">
        <v>0</v>
      </c>
      <c r="N1647" s="2">
        <v>0.54</v>
      </c>
      <c r="O1647" s="2">
        <v>0.46</v>
      </c>
      <c r="P1647">
        <v>15</v>
      </c>
      <c r="Q1647">
        <v>16</v>
      </c>
      <c r="R1647">
        <v>3</v>
      </c>
      <c r="S1647">
        <v>3</v>
      </c>
      <c r="T1647">
        <v>15</v>
      </c>
      <c r="U1647">
        <v>15</v>
      </c>
      <c r="V1647">
        <v>1</v>
      </c>
      <c r="W1647">
        <v>2</v>
      </c>
      <c r="X1647">
        <v>0</v>
      </c>
      <c r="Y1647">
        <v>0</v>
      </c>
      <c r="Z1647">
        <v>0</v>
      </c>
    </row>
    <row r="1648" spans="1:26" x14ac:dyDescent="0.2">
      <c r="A1648" t="s">
        <v>1766</v>
      </c>
      <c r="B1648" t="s">
        <v>41</v>
      </c>
      <c r="C1648">
        <v>2013</v>
      </c>
      <c r="D1648" t="s">
        <v>51</v>
      </c>
      <c r="E1648" t="s">
        <v>48</v>
      </c>
      <c r="F1648" t="s">
        <v>20</v>
      </c>
      <c r="G1648">
        <v>36284</v>
      </c>
      <c r="H1648">
        <v>29027.200000000001</v>
      </c>
      <c r="I1648" s="13">
        <v>0.75</v>
      </c>
      <c r="J1648" t="s">
        <v>6207</v>
      </c>
      <c r="K1648">
        <v>2</v>
      </c>
      <c r="L1648">
        <v>2</v>
      </c>
      <c r="M1648" t="s">
        <v>58</v>
      </c>
      <c r="N1648" s="2">
        <v>0.4</v>
      </c>
      <c r="O1648" s="2">
        <v>0.6</v>
      </c>
      <c r="P1648">
        <v>16</v>
      </c>
      <c r="Q1648">
        <v>10</v>
      </c>
      <c r="R1648">
        <v>7</v>
      </c>
      <c r="S1648">
        <v>7</v>
      </c>
      <c r="T1648">
        <v>9</v>
      </c>
      <c r="U1648">
        <v>15</v>
      </c>
      <c r="V1648">
        <v>1</v>
      </c>
      <c r="W1648">
        <v>3</v>
      </c>
      <c r="X1648">
        <v>0</v>
      </c>
      <c r="Y1648">
        <v>0</v>
      </c>
      <c r="Z1648">
        <v>1</v>
      </c>
    </row>
    <row r="1649" spans="1:26" x14ac:dyDescent="0.2">
      <c r="A1649" t="s">
        <v>1767</v>
      </c>
      <c r="B1649" t="s">
        <v>56</v>
      </c>
      <c r="C1649">
        <v>2013</v>
      </c>
      <c r="D1649" t="s">
        <v>19</v>
      </c>
      <c r="E1649" t="s">
        <v>26</v>
      </c>
      <c r="F1649" t="s">
        <v>19</v>
      </c>
      <c r="G1649">
        <v>25586</v>
      </c>
      <c r="H1649">
        <v>20468.800000000003</v>
      </c>
      <c r="I1649" s="13">
        <v>1</v>
      </c>
      <c r="J1649" t="s">
        <v>6207</v>
      </c>
      <c r="K1649">
        <v>3</v>
      </c>
      <c r="L1649">
        <v>1</v>
      </c>
      <c r="M1649" t="s">
        <v>0</v>
      </c>
      <c r="N1649" s="2">
        <v>0.38</v>
      </c>
      <c r="O1649" s="2">
        <v>0.62</v>
      </c>
      <c r="P1649">
        <v>16</v>
      </c>
      <c r="Q1649">
        <v>13</v>
      </c>
      <c r="R1649">
        <v>2</v>
      </c>
      <c r="S1649">
        <v>6</v>
      </c>
      <c r="T1649">
        <v>10</v>
      </c>
      <c r="U1649">
        <v>16</v>
      </c>
      <c r="V1649">
        <v>2</v>
      </c>
      <c r="W1649">
        <v>0</v>
      </c>
      <c r="X1649">
        <v>0</v>
      </c>
      <c r="Y1649">
        <v>0</v>
      </c>
      <c r="Z1649">
        <v>0</v>
      </c>
    </row>
    <row r="1650" spans="1:26" x14ac:dyDescent="0.2">
      <c r="A1650" t="s">
        <v>1768</v>
      </c>
      <c r="B1650" t="s">
        <v>44</v>
      </c>
      <c r="C1650">
        <v>2013</v>
      </c>
      <c r="D1650" t="s">
        <v>40</v>
      </c>
      <c r="E1650" t="s">
        <v>71</v>
      </c>
      <c r="F1650" t="s">
        <v>49</v>
      </c>
      <c r="G1650">
        <v>53400</v>
      </c>
      <c r="H1650">
        <v>42720</v>
      </c>
      <c r="I1650" s="13">
        <v>1</v>
      </c>
      <c r="J1650" t="s">
        <v>6207</v>
      </c>
      <c r="K1650">
        <v>3</v>
      </c>
      <c r="L1650">
        <v>0</v>
      </c>
      <c r="M1650" t="s">
        <v>0</v>
      </c>
      <c r="N1650" s="2">
        <v>0.45</v>
      </c>
      <c r="O1650" s="2">
        <v>0.55000000000000004</v>
      </c>
      <c r="P1650">
        <v>10</v>
      </c>
      <c r="Q1650">
        <v>10</v>
      </c>
      <c r="R1650">
        <v>5</v>
      </c>
      <c r="S1650">
        <v>4</v>
      </c>
      <c r="T1650">
        <v>6</v>
      </c>
      <c r="U1650">
        <v>8</v>
      </c>
      <c r="V1650">
        <v>1</v>
      </c>
      <c r="W1650">
        <v>0</v>
      </c>
      <c r="X1650">
        <v>0</v>
      </c>
      <c r="Y1650">
        <v>0</v>
      </c>
      <c r="Z1650">
        <v>0</v>
      </c>
    </row>
    <row r="1651" spans="1:26" x14ac:dyDescent="0.2">
      <c r="A1651" t="s">
        <v>1769</v>
      </c>
      <c r="B1651" t="s">
        <v>66</v>
      </c>
      <c r="C1651">
        <v>2013</v>
      </c>
      <c r="D1651" t="s">
        <v>18</v>
      </c>
      <c r="E1651" t="s">
        <v>73</v>
      </c>
      <c r="F1651" t="s">
        <v>20</v>
      </c>
      <c r="G1651">
        <v>40341</v>
      </c>
      <c r="H1651">
        <v>32272.800000000003</v>
      </c>
      <c r="I1651" s="13">
        <v>0.8</v>
      </c>
      <c r="J1651" t="s">
        <v>6207</v>
      </c>
      <c r="K1651">
        <v>3</v>
      </c>
      <c r="L1651">
        <v>1</v>
      </c>
      <c r="M1651" t="s">
        <v>0</v>
      </c>
      <c r="N1651" s="2">
        <v>0.51</v>
      </c>
      <c r="O1651" s="2">
        <v>0.49</v>
      </c>
      <c r="P1651">
        <v>15</v>
      </c>
      <c r="Q1651">
        <v>22</v>
      </c>
      <c r="R1651">
        <v>8</v>
      </c>
      <c r="S1651">
        <v>4</v>
      </c>
      <c r="T1651">
        <v>15</v>
      </c>
      <c r="U1651">
        <v>14</v>
      </c>
      <c r="V1651">
        <v>1</v>
      </c>
      <c r="W1651">
        <v>4</v>
      </c>
      <c r="X1651">
        <v>0</v>
      </c>
      <c r="Y1651">
        <v>0</v>
      </c>
      <c r="Z1651">
        <v>0</v>
      </c>
    </row>
    <row r="1652" spans="1:26" x14ac:dyDescent="0.2">
      <c r="A1652" t="s">
        <v>1770</v>
      </c>
      <c r="B1652" t="s">
        <v>50</v>
      </c>
      <c r="C1652">
        <v>2013</v>
      </c>
      <c r="D1652" t="s">
        <v>79</v>
      </c>
      <c r="E1652" t="s">
        <v>23</v>
      </c>
      <c r="F1652" t="s">
        <v>20</v>
      </c>
      <c r="G1652">
        <v>25486</v>
      </c>
      <c r="H1652">
        <v>20388.800000000003</v>
      </c>
      <c r="I1652" s="13">
        <v>0.66666666666666663</v>
      </c>
      <c r="J1652" t="s">
        <v>6207</v>
      </c>
      <c r="K1652">
        <v>1</v>
      </c>
      <c r="L1652">
        <v>0</v>
      </c>
      <c r="M1652" t="s">
        <v>0</v>
      </c>
      <c r="N1652" s="2">
        <v>0.37</v>
      </c>
      <c r="O1652" s="2">
        <v>0.63</v>
      </c>
      <c r="P1652">
        <v>12</v>
      </c>
      <c r="Q1652">
        <v>10</v>
      </c>
      <c r="R1652">
        <v>3</v>
      </c>
      <c r="S1652">
        <v>4</v>
      </c>
      <c r="T1652">
        <v>10</v>
      </c>
      <c r="U1652">
        <v>9</v>
      </c>
      <c r="V1652">
        <v>1</v>
      </c>
      <c r="W1652">
        <v>2</v>
      </c>
      <c r="X1652">
        <v>0</v>
      </c>
      <c r="Y1652">
        <v>0</v>
      </c>
      <c r="Z1652">
        <v>0</v>
      </c>
    </row>
    <row r="1653" spans="1:26" x14ac:dyDescent="0.2">
      <c r="A1653" t="s">
        <v>1771</v>
      </c>
      <c r="B1653" t="s">
        <v>56</v>
      </c>
      <c r="C1653">
        <v>2013</v>
      </c>
      <c r="D1653" t="s">
        <v>71</v>
      </c>
      <c r="E1653" t="s">
        <v>64</v>
      </c>
      <c r="F1653" t="s">
        <v>71</v>
      </c>
      <c r="G1653">
        <v>21088</v>
      </c>
      <c r="H1653">
        <v>16870.400000000001</v>
      </c>
      <c r="I1653" s="13">
        <v>1</v>
      </c>
      <c r="J1653" t="s">
        <v>6207</v>
      </c>
      <c r="K1653">
        <v>3</v>
      </c>
      <c r="L1653">
        <v>0</v>
      </c>
      <c r="M1653" t="s">
        <v>0</v>
      </c>
      <c r="N1653" s="2">
        <v>0.66</v>
      </c>
      <c r="O1653" s="2">
        <v>0.34</v>
      </c>
      <c r="P1653">
        <v>7</v>
      </c>
      <c r="Q1653">
        <v>4</v>
      </c>
      <c r="R1653">
        <v>5</v>
      </c>
      <c r="S1653">
        <v>1</v>
      </c>
      <c r="T1653">
        <v>4</v>
      </c>
      <c r="U1653">
        <v>8</v>
      </c>
      <c r="V1653">
        <v>0</v>
      </c>
      <c r="W1653">
        <v>2</v>
      </c>
      <c r="X1653">
        <v>0</v>
      </c>
      <c r="Y1653">
        <v>0</v>
      </c>
      <c r="Z1653">
        <v>0</v>
      </c>
    </row>
    <row r="1654" spans="1:26" x14ac:dyDescent="0.2">
      <c r="A1654" t="s">
        <v>1772</v>
      </c>
      <c r="B1654" t="s">
        <v>52</v>
      </c>
      <c r="C1654">
        <v>2013</v>
      </c>
      <c r="D1654" t="s">
        <v>35</v>
      </c>
      <c r="E1654" t="s">
        <v>18</v>
      </c>
      <c r="F1654" t="s">
        <v>35</v>
      </c>
      <c r="G1654">
        <v>49000</v>
      </c>
      <c r="H1654">
        <v>39200</v>
      </c>
      <c r="I1654" s="13">
        <v>0.7142857142857143</v>
      </c>
      <c r="J1654" t="s">
        <v>6207</v>
      </c>
      <c r="K1654">
        <v>3</v>
      </c>
      <c r="L1654">
        <v>4</v>
      </c>
      <c r="M1654" t="s">
        <v>1</v>
      </c>
      <c r="N1654" s="2">
        <v>0.45</v>
      </c>
      <c r="O1654" s="2">
        <v>0.55000000000000004</v>
      </c>
      <c r="P1654">
        <v>12</v>
      </c>
      <c r="Q1654">
        <v>15</v>
      </c>
      <c r="R1654">
        <v>6</v>
      </c>
      <c r="S1654">
        <v>5</v>
      </c>
      <c r="T1654">
        <v>15</v>
      </c>
      <c r="U1654">
        <v>14</v>
      </c>
      <c r="V1654">
        <v>4</v>
      </c>
      <c r="W1654">
        <v>3</v>
      </c>
      <c r="X1654">
        <v>0</v>
      </c>
      <c r="Y1654">
        <v>0</v>
      </c>
      <c r="Z1654">
        <v>0</v>
      </c>
    </row>
    <row r="1655" spans="1:26" x14ac:dyDescent="0.2">
      <c r="A1655" t="s">
        <v>1773</v>
      </c>
      <c r="B1655" t="s">
        <v>66</v>
      </c>
      <c r="C1655">
        <v>2013</v>
      </c>
      <c r="D1655" t="s">
        <v>27</v>
      </c>
      <c r="E1655" t="s">
        <v>78</v>
      </c>
      <c r="F1655" t="s">
        <v>27</v>
      </c>
      <c r="G1655">
        <v>30089</v>
      </c>
      <c r="H1655">
        <v>24071.200000000001</v>
      </c>
      <c r="I1655" s="13">
        <v>0</v>
      </c>
      <c r="J1655" t="s">
        <v>6207</v>
      </c>
      <c r="K1655">
        <v>0</v>
      </c>
      <c r="L1655">
        <v>0</v>
      </c>
      <c r="M1655" t="s">
        <v>58</v>
      </c>
      <c r="N1655" s="2">
        <v>0.59</v>
      </c>
      <c r="O1655" s="2">
        <v>0.41</v>
      </c>
      <c r="P1655">
        <v>14</v>
      </c>
      <c r="Q1655">
        <v>16</v>
      </c>
      <c r="R1655">
        <v>2</v>
      </c>
      <c r="S1655">
        <v>5</v>
      </c>
      <c r="T1655">
        <v>11</v>
      </c>
      <c r="U1655">
        <v>12</v>
      </c>
      <c r="V1655">
        <v>2</v>
      </c>
      <c r="W1655">
        <v>2</v>
      </c>
      <c r="X1655">
        <v>0</v>
      </c>
      <c r="Y1655">
        <v>0</v>
      </c>
      <c r="Z1655">
        <v>0</v>
      </c>
    </row>
    <row r="1656" spans="1:26" x14ac:dyDescent="0.2">
      <c r="A1656" t="s">
        <v>1774</v>
      </c>
      <c r="B1656" t="s">
        <v>68</v>
      </c>
      <c r="C1656">
        <v>2013</v>
      </c>
      <c r="D1656" t="s">
        <v>73</v>
      </c>
      <c r="E1656" t="s">
        <v>42</v>
      </c>
      <c r="F1656" t="s">
        <v>73</v>
      </c>
      <c r="G1656">
        <v>32384</v>
      </c>
      <c r="H1656">
        <v>25907.200000000001</v>
      </c>
      <c r="I1656" s="13">
        <v>0.8</v>
      </c>
      <c r="J1656" t="s">
        <v>6207</v>
      </c>
      <c r="K1656">
        <v>2</v>
      </c>
      <c r="L1656">
        <v>3</v>
      </c>
      <c r="M1656" t="s">
        <v>1</v>
      </c>
      <c r="N1656" s="2">
        <v>0.77</v>
      </c>
      <c r="O1656" s="2">
        <v>0.23</v>
      </c>
      <c r="P1656">
        <v>16</v>
      </c>
      <c r="Q1656">
        <v>11</v>
      </c>
      <c r="R1656">
        <v>8</v>
      </c>
      <c r="S1656">
        <v>2</v>
      </c>
      <c r="T1656">
        <v>9</v>
      </c>
      <c r="U1656">
        <v>13</v>
      </c>
      <c r="V1656">
        <v>3</v>
      </c>
      <c r="W1656">
        <v>2</v>
      </c>
      <c r="X1656">
        <v>0</v>
      </c>
      <c r="Y1656">
        <v>0</v>
      </c>
      <c r="Z1656">
        <v>0</v>
      </c>
    </row>
    <row r="1657" spans="1:26" x14ac:dyDescent="0.2">
      <c r="A1657" t="s">
        <v>1775</v>
      </c>
      <c r="B1657" t="s">
        <v>32</v>
      </c>
      <c r="C1657">
        <v>2013</v>
      </c>
      <c r="D1657" t="s">
        <v>48</v>
      </c>
      <c r="E1657" t="s">
        <v>45</v>
      </c>
      <c r="F1657" t="s">
        <v>49</v>
      </c>
      <c r="G1657">
        <v>74197</v>
      </c>
      <c r="H1657">
        <v>59357.600000000006</v>
      </c>
      <c r="I1657" s="13">
        <v>0</v>
      </c>
      <c r="J1657" t="s">
        <v>6207</v>
      </c>
      <c r="K1657">
        <v>0</v>
      </c>
      <c r="L1657">
        <v>1</v>
      </c>
      <c r="M1657" t="s">
        <v>1</v>
      </c>
      <c r="N1657" s="2">
        <v>0.52</v>
      </c>
      <c r="O1657" s="2">
        <v>0.48</v>
      </c>
      <c r="P1657">
        <v>14</v>
      </c>
      <c r="Q1657">
        <v>12</v>
      </c>
      <c r="R1657">
        <v>7</v>
      </c>
      <c r="S1657">
        <v>4</v>
      </c>
      <c r="T1657">
        <v>12</v>
      </c>
      <c r="U1657">
        <v>12</v>
      </c>
      <c r="V1657">
        <v>2</v>
      </c>
      <c r="W1657">
        <v>0</v>
      </c>
      <c r="X1657">
        <v>0</v>
      </c>
      <c r="Y1657">
        <v>0</v>
      </c>
      <c r="Z1657">
        <v>0</v>
      </c>
    </row>
    <row r="1658" spans="1:26" x14ac:dyDescent="0.2">
      <c r="A1658" t="s">
        <v>1776</v>
      </c>
      <c r="B1658" t="s">
        <v>61</v>
      </c>
      <c r="C1658">
        <v>2013</v>
      </c>
      <c r="D1658" t="s">
        <v>26</v>
      </c>
      <c r="E1658" t="s">
        <v>69</v>
      </c>
      <c r="F1658" t="s">
        <v>26</v>
      </c>
      <c r="G1658">
        <v>61276</v>
      </c>
      <c r="H1658">
        <v>49020.800000000003</v>
      </c>
      <c r="I1658" s="13">
        <v>0</v>
      </c>
      <c r="J1658" t="s">
        <v>6207</v>
      </c>
      <c r="K1658">
        <v>5</v>
      </c>
      <c r="L1658">
        <v>1</v>
      </c>
      <c r="M1658" t="s">
        <v>0</v>
      </c>
      <c r="N1658" s="2">
        <v>0.62</v>
      </c>
      <c r="O1658" s="2">
        <v>0.38</v>
      </c>
      <c r="P1658">
        <v>4</v>
      </c>
      <c r="Q1658">
        <v>11</v>
      </c>
      <c r="R1658">
        <v>4</v>
      </c>
      <c r="S1658">
        <v>0</v>
      </c>
      <c r="T1658">
        <v>10</v>
      </c>
      <c r="U1658">
        <v>6</v>
      </c>
      <c r="V1658">
        <v>3</v>
      </c>
      <c r="W1658">
        <v>1</v>
      </c>
      <c r="X1658">
        <v>0</v>
      </c>
      <c r="Y1658">
        <v>0</v>
      </c>
      <c r="Z1658">
        <v>0</v>
      </c>
    </row>
    <row r="1659" spans="1:26" x14ac:dyDescent="0.2">
      <c r="A1659" t="s">
        <v>1777</v>
      </c>
      <c r="B1659" t="s">
        <v>37</v>
      </c>
      <c r="C1659">
        <v>2013</v>
      </c>
      <c r="D1659" t="s">
        <v>46</v>
      </c>
      <c r="E1659" t="s">
        <v>19</v>
      </c>
      <c r="F1659" t="s">
        <v>20</v>
      </c>
      <c r="G1659">
        <v>60704</v>
      </c>
      <c r="H1659">
        <v>48563.200000000004</v>
      </c>
      <c r="I1659" s="13">
        <v>0</v>
      </c>
      <c r="J1659" t="s">
        <v>6206</v>
      </c>
      <c r="K1659">
        <v>2</v>
      </c>
      <c r="L1659">
        <v>0</v>
      </c>
      <c r="M1659" t="s">
        <v>0</v>
      </c>
      <c r="N1659" s="2">
        <v>0.67</v>
      </c>
      <c r="O1659" s="2">
        <v>0.33</v>
      </c>
      <c r="P1659">
        <v>8</v>
      </c>
      <c r="Q1659">
        <v>9</v>
      </c>
      <c r="R1659">
        <v>11</v>
      </c>
      <c r="S1659">
        <v>1</v>
      </c>
      <c r="T1659">
        <v>9</v>
      </c>
      <c r="U1659">
        <v>6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 x14ac:dyDescent="0.2">
      <c r="A1660" t="s">
        <v>1778</v>
      </c>
      <c r="B1660" t="s">
        <v>25</v>
      </c>
      <c r="C1660">
        <v>2013</v>
      </c>
      <c r="D1660" t="s">
        <v>63</v>
      </c>
      <c r="E1660" t="s">
        <v>40</v>
      </c>
      <c r="F1660" t="s">
        <v>65</v>
      </c>
      <c r="G1660">
        <v>26804</v>
      </c>
      <c r="H1660">
        <v>21443.200000000001</v>
      </c>
      <c r="I1660" s="13">
        <v>1</v>
      </c>
      <c r="J1660" t="s">
        <v>6207</v>
      </c>
      <c r="K1660">
        <v>2</v>
      </c>
      <c r="L1660">
        <v>3</v>
      </c>
      <c r="M1660" t="s">
        <v>1</v>
      </c>
      <c r="N1660" s="2">
        <v>0.41</v>
      </c>
      <c r="O1660" s="2">
        <v>0.59</v>
      </c>
      <c r="P1660">
        <v>10</v>
      </c>
      <c r="Q1660">
        <v>9</v>
      </c>
      <c r="R1660">
        <v>3</v>
      </c>
      <c r="S1660">
        <v>3</v>
      </c>
      <c r="T1660">
        <v>8</v>
      </c>
      <c r="U1660">
        <v>10</v>
      </c>
      <c r="V1660">
        <v>1</v>
      </c>
      <c r="W1660">
        <v>1</v>
      </c>
      <c r="X1660">
        <v>0</v>
      </c>
      <c r="Y1660">
        <v>0</v>
      </c>
      <c r="Z1660">
        <v>1</v>
      </c>
    </row>
    <row r="1661" spans="1:26" x14ac:dyDescent="0.2">
      <c r="A1661" t="s">
        <v>1779</v>
      </c>
      <c r="B1661" t="s">
        <v>44</v>
      </c>
      <c r="C1661">
        <v>2013</v>
      </c>
      <c r="D1661" t="s">
        <v>31</v>
      </c>
      <c r="E1661" t="s">
        <v>51</v>
      </c>
      <c r="F1661" t="s">
        <v>20</v>
      </c>
      <c r="G1661">
        <v>28500</v>
      </c>
      <c r="H1661">
        <v>22800</v>
      </c>
      <c r="I1661" s="13">
        <v>1</v>
      </c>
      <c r="J1661" t="s">
        <v>6207</v>
      </c>
      <c r="K1661">
        <v>1</v>
      </c>
      <c r="L1661">
        <v>2</v>
      </c>
      <c r="M1661" t="s">
        <v>1</v>
      </c>
      <c r="N1661" s="2">
        <v>0.4</v>
      </c>
      <c r="O1661" s="2">
        <v>0.6</v>
      </c>
      <c r="P1661">
        <v>16</v>
      </c>
      <c r="Q1661">
        <v>11</v>
      </c>
      <c r="R1661">
        <v>9</v>
      </c>
      <c r="S1661">
        <v>7</v>
      </c>
      <c r="T1661">
        <v>7</v>
      </c>
      <c r="U1661">
        <v>16</v>
      </c>
      <c r="V1661">
        <v>2</v>
      </c>
      <c r="W1661">
        <v>1</v>
      </c>
      <c r="X1661">
        <v>0</v>
      </c>
      <c r="Y1661">
        <v>0</v>
      </c>
      <c r="Z1661">
        <v>0</v>
      </c>
    </row>
    <row r="1662" spans="1:26" x14ac:dyDescent="0.2">
      <c r="A1662" t="s">
        <v>1780</v>
      </c>
      <c r="B1662" t="s">
        <v>37</v>
      </c>
      <c r="C1662">
        <v>2013</v>
      </c>
      <c r="D1662" t="s">
        <v>48</v>
      </c>
      <c r="E1662" t="s">
        <v>64</v>
      </c>
      <c r="F1662" t="s">
        <v>49</v>
      </c>
      <c r="G1662">
        <v>74197</v>
      </c>
      <c r="H1662">
        <v>59357.600000000006</v>
      </c>
      <c r="I1662" s="13">
        <v>1</v>
      </c>
      <c r="J1662" t="s">
        <v>6206</v>
      </c>
      <c r="K1662">
        <v>0</v>
      </c>
      <c r="L1662">
        <v>1</v>
      </c>
      <c r="M1662" t="s">
        <v>1</v>
      </c>
      <c r="N1662" s="2">
        <v>0.47</v>
      </c>
      <c r="O1662" s="2">
        <v>0.53</v>
      </c>
      <c r="P1662">
        <v>20</v>
      </c>
      <c r="Q1662">
        <v>13</v>
      </c>
      <c r="R1662">
        <v>4</v>
      </c>
      <c r="S1662">
        <v>4</v>
      </c>
      <c r="T1662">
        <v>11</v>
      </c>
      <c r="U1662">
        <v>18</v>
      </c>
      <c r="V1662">
        <v>0</v>
      </c>
      <c r="W1662">
        <v>2</v>
      </c>
      <c r="X1662">
        <v>0</v>
      </c>
      <c r="Y1662">
        <v>0</v>
      </c>
      <c r="Z1662">
        <v>0</v>
      </c>
    </row>
    <row r="1663" spans="1:26" x14ac:dyDescent="0.2">
      <c r="A1663" t="s">
        <v>1781</v>
      </c>
      <c r="B1663" t="s">
        <v>44</v>
      </c>
      <c r="C1663">
        <v>2013</v>
      </c>
      <c r="D1663" t="s">
        <v>63</v>
      </c>
      <c r="E1663" t="s">
        <v>69</v>
      </c>
      <c r="F1663" t="s">
        <v>65</v>
      </c>
      <c r="G1663">
        <v>26804</v>
      </c>
      <c r="H1663">
        <v>21443.200000000001</v>
      </c>
      <c r="I1663" s="13">
        <v>0.25</v>
      </c>
      <c r="J1663" t="s">
        <v>6207</v>
      </c>
      <c r="K1663">
        <v>0</v>
      </c>
      <c r="L1663">
        <v>2</v>
      </c>
      <c r="M1663" t="s">
        <v>1</v>
      </c>
      <c r="N1663" s="2">
        <v>0.64</v>
      </c>
      <c r="O1663" s="2">
        <v>0.36</v>
      </c>
      <c r="P1663">
        <v>6</v>
      </c>
      <c r="Q1663">
        <v>12</v>
      </c>
      <c r="R1663">
        <v>10</v>
      </c>
      <c r="S1663">
        <v>3</v>
      </c>
      <c r="T1663">
        <v>10</v>
      </c>
      <c r="U1663">
        <v>6</v>
      </c>
      <c r="V1663">
        <v>1</v>
      </c>
      <c r="W1663">
        <v>3</v>
      </c>
      <c r="X1663">
        <v>0</v>
      </c>
      <c r="Y1663">
        <v>0</v>
      </c>
      <c r="Z1663">
        <v>0</v>
      </c>
    </row>
    <row r="1664" spans="1:26" x14ac:dyDescent="0.2">
      <c r="A1664" t="s">
        <v>1782</v>
      </c>
      <c r="B1664" t="s">
        <v>68</v>
      </c>
      <c r="C1664">
        <v>2013</v>
      </c>
      <c r="D1664" t="s">
        <v>27</v>
      </c>
      <c r="E1664" t="s">
        <v>18</v>
      </c>
      <c r="F1664" t="s">
        <v>27</v>
      </c>
      <c r="G1664">
        <v>30089</v>
      </c>
      <c r="H1664">
        <v>24071.200000000001</v>
      </c>
      <c r="I1664" s="13">
        <v>0.6</v>
      </c>
      <c r="J1664" t="s">
        <v>6207</v>
      </c>
      <c r="K1664">
        <v>3</v>
      </c>
      <c r="L1664">
        <v>2</v>
      </c>
      <c r="M1664" t="s">
        <v>0</v>
      </c>
      <c r="N1664" s="2">
        <v>0.43</v>
      </c>
      <c r="O1664" s="2">
        <v>0.56999999999999995</v>
      </c>
      <c r="P1664">
        <v>8</v>
      </c>
      <c r="Q1664">
        <v>16</v>
      </c>
      <c r="R1664">
        <v>5</v>
      </c>
      <c r="S1664">
        <v>2</v>
      </c>
      <c r="T1664">
        <v>14</v>
      </c>
      <c r="U1664">
        <v>8</v>
      </c>
      <c r="V1664">
        <v>4</v>
      </c>
      <c r="W1664">
        <v>1</v>
      </c>
      <c r="X1664">
        <v>0</v>
      </c>
      <c r="Y1664">
        <v>0</v>
      </c>
      <c r="Z1664">
        <v>0</v>
      </c>
    </row>
    <row r="1665" spans="1:26" x14ac:dyDescent="0.2">
      <c r="A1665" t="s">
        <v>1783</v>
      </c>
      <c r="B1665" t="s">
        <v>61</v>
      </c>
      <c r="C1665">
        <v>2013</v>
      </c>
      <c r="D1665" t="s">
        <v>73</v>
      </c>
      <c r="E1665" t="s">
        <v>40</v>
      </c>
      <c r="F1665" t="s">
        <v>73</v>
      </c>
      <c r="G1665">
        <v>32384</v>
      </c>
      <c r="H1665">
        <v>25907.200000000001</v>
      </c>
      <c r="I1665" s="13">
        <v>1</v>
      </c>
      <c r="J1665" t="s">
        <v>6207</v>
      </c>
      <c r="K1665">
        <v>1</v>
      </c>
      <c r="L1665">
        <v>1</v>
      </c>
      <c r="M1665" t="s">
        <v>58</v>
      </c>
      <c r="N1665" s="2">
        <v>0.55000000000000004</v>
      </c>
      <c r="O1665" s="2">
        <v>0.45</v>
      </c>
      <c r="P1665">
        <v>11</v>
      </c>
      <c r="Q1665">
        <v>12</v>
      </c>
      <c r="R1665">
        <v>5</v>
      </c>
      <c r="S1665">
        <v>4</v>
      </c>
      <c r="T1665">
        <v>6</v>
      </c>
      <c r="U1665">
        <v>9</v>
      </c>
      <c r="V1665">
        <v>0</v>
      </c>
      <c r="W1665">
        <v>2</v>
      </c>
      <c r="X1665">
        <v>0</v>
      </c>
      <c r="Y1665">
        <v>0</v>
      </c>
      <c r="Z1665">
        <v>0</v>
      </c>
    </row>
    <row r="1666" spans="1:26" x14ac:dyDescent="0.2">
      <c r="A1666" t="s">
        <v>1784</v>
      </c>
      <c r="B1666" t="s">
        <v>66</v>
      </c>
      <c r="C1666">
        <v>2013</v>
      </c>
      <c r="D1666" t="s">
        <v>26</v>
      </c>
      <c r="E1666" t="s">
        <v>23</v>
      </c>
      <c r="F1666" t="s">
        <v>26</v>
      </c>
      <c r="G1666">
        <v>61276</v>
      </c>
      <c r="H1666">
        <v>49020.800000000003</v>
      </c>
      <c r="I1666" s="13">
        <v>0.25</v>
      </c>
      <c r="J1666" t="s">
        <v>6207</v>
      </c>
      <c r="K1666">
        <v>4</v>
      </c>
      <c r="L1666">
        <v>1</v>
      </c>
      <c r="M1666" t="s">
        <v>0</v>
      </c>
      <c r="N1666" s="2">
        <v>0.64</v>
      </c>
      <c r="O1666" s="2">
        <v>0.36</v>
      </c>
      <c r="P1666">
        <v>14</v>
      </c>
      <c r="Q1666">
        <v>9</v>
      </c>
      <c r="R1666">
        <v>8</v>
      </c>
      <c r="S1666">
        <v>4</v>
      </c>
      <c r="T1666">
        <v>9</v>
      </c>
      <c r="U1666">
        <v>12</v>
      </c>
      <c r="V1666">
        <v>0</v>
      </c>
      <c r="W1666">
        <v>3</v>
      </c>
      <c r="X1666">
        <v>0</v>
      </c>
      <c r="Y1666">
        <v>1</v>
      </c>
      <c r="Z1666">
        <v>0</v>
      </c>
    </row>
    <row r="1667" spans="1:26" x14ac:dyDescent="0.2">
      <c r="A1667" t="s">
        <v>1785</v>
      </c>
      <c r="B1667" t="s">
        <v>53</v>
      </c>
      <c r="C1667">
        <v>2013</v>
      </c>
      <c r="D1667" t="s">
        <v>79</v>
      </c>
      <c r="E1667" t="s">
        <v>78</v>
      </c>
      <c r="F1667" t="s">
        <v>20</v>
      </c>
      <c r="G1667">
        <v>25486</v>
      </c>
      <c r="H1667">
        <v>20388.800000000003</v>
      </c>
      <c r="I1667" s="13">
        <v>0</v>
      </c>
      <c r="J1667" t="s">
        <v>6207</v>
      </c>
      <c r="K1667">
        <v>2</v>
      </c>
      <c r="L1667">
        <v>0</v>
      </c>
      <c r="M1667" t="s">
        <v>0</v>
      </c>
      <c r="N1667" s="2">
        <v>0.43</v>
      </c>
      <c r="O1667" s="2">
        <v>0.56999999999999995</v>
      </c>
      <c r="P1667">
        <v>13</v>
      </c>
      <c r="Q1667">
        <v>11</v>
      </c>
      <c r="R1667">
        <v>8</v>
      </c>
      <c r="S1667">
        <v>3</v>
      </c>
      <c r="T1667">
        <v>9</v>
      </c>
      <c r="U1667">
        <v>12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1:26" x14ac:dyDescent="0.2">
      <c r="A1668" t="s">
        <v>1786</v>
      </c>
      <c r="B1668" t="s">
        <v>50</v>
      </c>
      <c r="C1668">
        <v>2013</v>
      </c>
      <c r="D1668" t="s">
        <v>35</v>
      </c>
      <c r="E1668" t="s">
        <v>51</v>
      </c>
      <c r="F1668" t="s">
        <v>35</v>
      </c>
      <c r="G1668">
        <v>49000</v>
      </c>
      <c r="H1668">
        <v>39200</v>
      </c>
      <c r="I1668" s="13">
        <v>1</v>
      </c>
      <c r="J1668" t="s">
        <v>6207</v>
      </c>
      <c r="K1668">
        <v>1</v>
      </c>
      <c r="L1668">
        <v>2</v>
      </c>
      <c r="M1668" t="s">
        <v>1</v>
      </c>
      <c r="N1668" s="2">
        <v>0.47</v>
      </c>
      <c r="O1668" s="2">
        <v>0.53</v>
      </c>
      <c r="P1668">
        <v>10</v>
      </c>
      <c r="Q1668">
        <v>16</v>
      </c>
      <c r="R1668">
        <v>4</v>
      </c>
      <c r="S1668">
        <v>10</v>
      </c>
      <c r="T1668">
        <v>14</v>
      </c>
      <c r="U1668">
        <v>9</v>
      </c>
      <c r="V1668">
        <v>2</v>
      </c>
      <c r="W1668">
        <v>0</v>
      </c>
      <c r="X1668">
        <v>0</v>
      </c>
      <c r="Y1668">
        <v>0</v>
      </c>
      <c r="Z1668">
        <v>0</v>
      </c>
    </row>
    <row r="1669" spans="1:26" x14ac:dyDescent="0.2">
      <c r="A1669" t="s">
        <v>1787</v>
      </c>
      <c r="B1669" t="s">
        <v>41</v>
      </c>
      <c r="C1669">
        <v>2013</v>
      </c>
      <c r="D1669" t="s">
        <v>31</v>
      </c>
      <c r="E1669" t="s">
        <v>42</v>
      </c>
      <c r="F1669" t="s">
        <v>20</v>
      </c>
      <c r="G1669">
        <v>28500</v>
      </c>
      <c r="H1669">
        <v>22800</v>
      </c>
      <c r="I1669" s="13">
        <v>0.5</v>
      </c>
      <c r="J1669" t="s">
        <v>6207</v>
      </c>
      <c r="K1669">
        <v>2</v>
      </c>
      <c r="L1669">
        <v>0</v>
      </c>
      <c r="M1669" t="s">
        <v>0</v>
      </c>
      <c r="N1669" s="2">
        <v>0.53</v>
      </c>
      <c r="O1669" s="2">
        <v>0.47</v>
      </c>
      <c r="P1669">
        <v>13</v>
      </c>
      <c r="Q1669">
        <v>14</v>
      </c>
      <c r="R1669">
        <v>4</v>
      </c>
      <c r="S1669">
        <v>7</v>
      </c>
      <c r="T1669">
        <v>12</v>
      </c>
      <c r="U1669">
        <v>13</v>
      </c>
      <c r="V1669">
        <v>0</v>
      </c>
      <c r="W1669">
        <v>2</v>
      </c>
      <c r="X1669">
        <v>0</v>
      </c>
      <c r="Y1669">
        <v>0</v>
      </c>
      <c r="Z1669">
        <v>1</v>
      </c>
    </row>
    <row r="1670" spans="1:26" x14ac:dyDescent="0.2">
      <c r="A1670" t="s">
        <v>1788</v>
      </c>
      <c r="B1670" t="s">
        <v>56</v>
      </c>
      <c r="C1670">
        <v>2013</v>
      </c>
      <c r="D1670" t="s">
        <v>46</v>
      </c>
      <c r="E1670" t="s">
        <v>45</v>
      </c>
      <c r="F1670" t="s">
        <v>20</v>
      </c>
      <c r="G1670">
        <v>60704</v>
      </c>
      <c r="H1670">
        <v>48563.200000000004</v>
      </c>
      <c r="I1670" s="13">
        <v>0.75</v>
      </c>
      <c r="J1670" t="s">
        <v>6207</v>
      </c>
      <c r="K1670">
        <v>1</v>
      </c>
      <c r="L1670">
        <v>1</v>
      </c>
      <c r="M1670" t="s">
        <v>58</v>
      </c>
      <c r="N1670" s="2">
        <v>0.44</v>
      </c>
      <c r="O1670" s="2">
        <v>0.56000000000000005</v>
      </c>
      <c r="P1670">
        <v>12</v>
      </c>
      <c r="Q1670">
        <v>15</v>
      </c>
      <c r="R1670">
        <v>3</v>
      </c>
      <c r="S1670">
        <v>2</v>
      </c>
      <c r="T1670">
        <v>13</v>
      </c>
      <c r="U1670">
        <v>11</v>
      </c>
      <c r="V1670">
        <v>0</v>
      </c>
      <c r="W1670">
        <v>4</v>
      </c>
      <c r="X1670">
        <v>0</v>
      </c>
      <c r="Y1670">
        <v>0</v>
      </c>
      <c r="Z1670">
        <v>0</v>
      </c>
    </row>
    <row r="1671" spans="1:26" x14ac:dyDescent="0.2">
      <c r="A1671" t="s">
        <v>1789</v>
      </c>
      <c r="B1671" t="s">
        <v>32</v>
      </c>
      <c r="C1671">
        <v>2013</v>
      </c>
      <c r="D1671" t="s">
        <v>71</v>
      </c>
      <c r="E1671" t="s">
        <v>19</v>
      </c>
      <c r="F1671" t="s">
        <v>71</v>
      </c>
      <c r="G1671">
        <v>21088</v>
      </c>
      <c r="H1671">
        <v>16870.400000000001</v>
      </c>
      <c r="I1671" s="13">
        <v>0.5</v>
      </c>
      <c r="J1671" t="s">
        <v>6207</v>
      </c>
      <c r="K1671">
        <v>1</v>
      </c>
      <c r="L1671">
        <v>1</v>
      </c>
      <c r="M1671" t="s">
        <v>58</v>
      </c>
      <c r="N1671" s="2">
        <v>0.66</v>
      </c>
      <c r="O1671" s="2">
        <v>0.34</v>
      </c>
      <c r="P1671">
        <v>9</v>
      </c>
      <c r="Q1671">
        <v>10</v>
      </c>
      <c r="R1671">
        <v>12</v>
      </c>
      <c r="S1671">
        <v>1</v>
      </c>
      <c r="T1671">
        <v>8</v>
      </c>
      <c r="U1671">
        <v>7</v>
      </c>
      <c r="V1671">
        <v>3</v>
      </c>
      <c r="W1671">
        <v>3</v>
      </c>
      <c r="X1671">
        <v>0</v>
      </c>
      <c r="Y1671">
        <v>0</v>
      </c>
      <c r="Z1671">
        <v>0</v>
      </c>
    </row>
    <row r="1672" spans="1:26" x14ac:dyDescent="0.2">
      <c r="A1672" t="s">
        <v>1790</v>
      </c>
      <c r="B1672" t="s">
        <v>32</v>
      </c>
      <c r="C1672">
        <v>2013</v>
      </c>
      <c r="D1672" t="s">
        <v>40</v>
      </c>
      <c r="E1672" t="s">
        <v>46</v>
      </c>
      <c r="F1672" t="s">
        <v>49</v>
      </c>
      <c r="G1672">
        <v>53400</v>
      </c>
      <c r="H1672">
        <v>42720</v>
      </c>
      <c r="I1672" s="13">
        <v>1</v>
      </c>
      <c r="J1672" t="s">
        <v>6207</v>
      </c>
      <c r="K1672">
        <v>6</v>
      </c>
      <c r="L1672">
        <v>3</v>
      </c>
      <c r="M1672" t="s">
        <v>0</v>
      </c>
      <c r="N1672" s="2">
        <v>0.53</v>
      </c>
      <c r="O1672" s="2">
        <v>0.47</v>
      </c>
      <c r="P1672">
        <v>9</v>
      </c>
      <c r="Q1672">
        <v>13</v>
      </c>
      <c r="R1672">
        <v>8</v>
      </c>
      <c r="S1672">
        <v>8</v>
      </c>
      <c r="T1672">
        <v>12</v>
      </c>
      <c r="U1672">
        <v>6</v>
      </c>
      <c r="V1672">
        <v>2</v>
      </c>
      <c r="W1672">
        <v>1</v>
      </c>
      <c r="X1672">
        <v>0</v>
      </c>
      <c r="Y1672">
        <v>0</v>
      </c>
      <c r="Z1672">
        <v>1</v>
      </c>
    </row>
    <row r="1673" spans="1:26" x14ac:dyDescent="0.2">
      <c r="A1673" t="s">
        <v>1791</v>
      </c>
      <c r="B1673" t="s">
        <v>37</v>
      </c>
      <c r="C1673">
        <v>2013</v>
      </c>
      <c r="D1673" t="s">
        <v>23</v>
      </c>
      <c r="E1673" t="s">
        <v>35</v>
      </c>
      <c r="F1673" t="s">
        <v>20</v>
      </c>
      <c r="G1673">
        <v>62500</v>
      </c>
      <c r="H1673">
        <v>50000</v>
      </c>
      <c r="I1673" s="13">
        <v>0</v>
      </c>
      <c r="J1673" t="s">
        <v>6206</v>
      </c>
      <c r="K1673">
        <v>0</v>
      </c>
      <c r="L1673">
        <v>0</v>
      </c>
      <c r="M1673" t="s">
        <v>58</v>
      </c>
      <c r="N1673" s="2">
        <v>0.41</v>
      </c>
      <c r="O1673" s="2">
        <v>0.59</v>
      </c>
      <c r="P1673">
        <v>6</v>
      </c>
      <c r="Q1673">
        <v>10</v>
      </c>
      <c r="R1673">
        <v>2</v>
      </c>
      <c r="S1673">
        <v>9</v>
      </c>
      <c r="T1673">
        <v>11</v>
      </c>
      <c r="U1673">
        <v>5</v>
      </c>
      <c r="V1673">
        <v>1</v>
      </c>
      <c r="W1673">
        <v>0</v>
      </c>
      <c r="X1673">
        <v>0</v>
      </c>
      <c r="Y1673">
        <v>0</v>
      </c>
      <c r="Z1673">
        <v>0</v>
      </c>
    </row>
    <row r="1674" spans="1:26" x14ac:dyDescent="0.2">
      <c r="A1674" t="s">
        <v>1792</v>
      </c>
      <c r="B1674" t="s">
        <v>53</v>
      </c>
      <c r="C1674">
        <v>2013</v>
      </c>
      <c r="D1674" t="s">
        <v>64</v>
      </c>
      <c r="E1674" t="s">
        <v>73</v>
      </c>
      <c r="F1674" t="s">
        <v>64</v>
      </c>
      <c r="G1674">
        <v>52264</v>
      </c>
      <c r="H1674">
        <v>41811.200000000004</v>
      </c>
      <c r="I1674" s="13">
        <v>0.66666666666666663</v>
      </c>
      <c r="J1674" t="s">
        <v>6207</v>
      </c>
      <c r="K1674">
        <v>1</v>
      </c>
      <c r="L1674">
        <v>1</v>
      </c>
      <c r="M1674" t="s">
        <v>58</v>
      </c>
      <c r="N1674" s="2">
        <v>0.4</v>
      </c>
      <c r="O1674" s="2">
        <v>0.6</v>
      </c>
      <c r="P1674">
        <v>23</v>
      </c>
      <c r="Q1674">
        <v>16</v>
      </c>
      <c r="R1674">
        <v>11</v>
      </c>
      <c r="S1674">
        <v>3</v>
      </c>
      <c r="T1674">
        <v>10</v>
      </c>
      <c r="U1674">
        <v>16</v>
      </c>
      <c r="V1674">
        <v>1</v>
      </c>
      <c r="W1674">
        <v>2</v>
      </c>
      <c r="X1674">
        <v>0</v>
      </c>
      <c r="Y1674">
        <v>0</v>
      </c>
      <c r="Z1674">
        <v>0</v>
      </c>
    </row>
    <row r="1675" spans="1:26" x14ac:dyDescent="0.2">
      <c r="A1675" t="s">
        <v>1793</v>
      </c>
      <c r="B1675" t="s">
        <v>61</v>
      </c>
      <c r="C1675">
        <v>2013</v>
      </c>
      <c r="D1675" t="s">
        <v>45</v>
      </c>
      <c r="E1675" t="s">
        <v>31</v>
      </c>
      <c r="F1675" t="s">
        <v>26</v>
      </c>
      <c r="G1675">
        <v>39572</v>
      </c>
      <c r="H1675">
        <v>31657.600000000002</v>
      </c>
      <c r="I1675" s="13">
        <v>1</v>
      </c>
      <c r="J1675" t="s">
        <v>6207</v>
      </c>
      <c r="K1675">
        <v>4</v>
      </c>
      <c r="L1675">
        <v>1</v>
      </c>
      <c r="M1675" t="s">
        <v>0</v>
      </c>
      <c r="N1675" s="2">
        <v>0.57999999999999996</v>
      </c>
      <c r="O1675" s="2">
        <v>0.42</v>
      </c>
      <c r="P1675">
        <v>10</v>
      </c>
      <c r="Q1675">
        <v>9</v>
      </c>
      <c r="R1675">
        <v>12</v>
      </c>
      <c r="S1675">
        <v>2</v>
      </c>
      <c r="T1675">
        <v>10</v>
      </c>
      <c r="U1675">
        <v>7</v>
      </c>
      <c r="V1675">
        <v>1</v>
      </c>
      <c r="W1675">
        <v>2</v>
      </c>
      <c r="X1675">
        <v>0</v>
      </c>
      <c r="Y1675">
        <v>0</v>
      </c>
      <c r="Z1675">
        <v>1</v>
      </c>
    </row>
    <row r="1676" spans="1:26" x14ac:dyDescent="0.2">
      <c r="A1676" t="s">
        <v>1794</v>
      </c>
      <c r="B1676" t="s">
        <v>44</v>
      </c>
      <c r="C1676">
        <v>2013</v>
      </c>
      <c r="D1676" t="s">
        <v>18</v>
      </c>
      <c r="E1676" t="s">
        <v>79</v>
      </c>
      <c r="F1676" t="s">
        <v>20</v>
      </c>
      <c r="G1676">
        <v>40341</v>
      </c>
      <c r="H1676">
        <v>32272.800000000003</v>
      </c>
      <c r="I1676" s="13">
        <v>1</v>
      </c>
      <c r="J1676" t="s">
        <v>6207</v>
      </c>
      <c r="K1676">
        <v>2</v>
      </c>
      <c r="L1676">
        <v>1</v>
      </c>
      <c r="M1676" t="s">
        <v>0</v>
      </c>
      <c r="N1676" s="2">
        <v>0.7</v>
      </c>
      <c r="O1676" s="2">
        <v>0.3</v>
      </c>
      <c r="P1676">
        <v>9</v>
      </c>
      <c r="Q1676">
        <v>15</v>
      </c>
      <c r="R1676">
        <v>3</v>
      </c>
      <c r="S1676">
        <v>1</v>
      </c>
      <c r="T1676">
        <v>13</v>
      </c>
      <c r="U1676">
        <v>7</v>
      </c>
      <c r="V1676">
        <v>2</v>
      </c>
      <c r="W1676">
        <v>1</v>
      </c>
      <c r="X1676">
        <v>0</v>
      </c>
      <c r="Y1676">
        <v>0</v>
      </c>
      <c r="Z1676">
        <v>0</v>
      </c>
    </row>
    <row r="1677" spans="1:26" x14ac:dyDescent="0.2">
      <c r="A1677" t="s">
        <v>1795</v>
      </c>
      <c r="B1677" t="s">
        <v>56</v>
      </c>
      <c r="C1677">
        <v>2013</v>
      </c>
      <c r="D1677" t="s">
        <v>78</v>
      </c>
      <c r="E1677" t="s">
        <v>63</v>
      </c>
      <c r="F1677" t="s">
        <v>78</v>
      </c>
      <c r="G1677">
        <v>33280</v>
      </c>
      <c r="H1677">
        <v>26624</v>
      </c>
      <c r="I1677" s="13">
        <v>0.66666666666666663</v>
      </c>
      <c r="J1677" t="s">
        <v>6207</v>
      </c>
      <c r="K1677">
        <v>1</v>
      </c>
      <c r="L1677">
        <v>0</v>
      </c>
      <c r="M1677" t="s">
        <v>0</v>
      </c>
      <c r="N1677" s="2">
        <v>0.48</v>
      </c>
      <c r="O1677" s="2">
        <v>0.52</v>
      </c>
      <c r="P1677">
        <v>22</v>
      </c>
      <c r="Q1677">
        <v>21</v>
      </c>
      <c r="R1677">
        <v>8</v>
      </c>
      <c r="S1677">
        <v>6</v>
      </c>
      <c r="T1677">
        <v>16</v>
      </c>
      <c r="U1677">
        <v>12</v>
      </c>
      <c r="V1677">
        <v>2</v>
      </c>
      <c r="W1677">
        <v>1</v>
      </c>
      <c r="X1677">
        <v>0</v>
      </c>
      <c r="Y1677">
        <v>0</v>
      </c>
      <c r="Z1677">
        <v>0</v>
      </c>
    </row>
    <row r="1678" spans="1:26" x14ac:dyDescent="0.2">
      <c r="A1678" t="s">
        <v>1796</v>
      </c>
      <c r="B1678" t="s">
        <v>41</v>
      </c>
      <c r="C1678">
        <v>2013</v>
      </c>
      <c r="D1678" t="s">
        <v>19</v>
      </c>
      <c r="E1678" t="s">
        <v>27</v>
      </c>
      <c r="F1678" t="s">
        <v>19</v>
      </c>
      <c r="G1678">
        <v>25586</v>
      </c>
      <c r="H1678">
        <v>20468.800000000003</v>
      </c>
      <c r="I1678" s="13">
        <v>1</v>
      </c>
      <c r="J1678" t="s">
        <v>6207</v>
      </c>
      <c r="K1678">
        <v>0</v>
      </c>
      <c r="L1678">
        <v>0</v>
      </c>
      <c r="M1678" t="s">
        <v>58</v>
      </c>
      <c r="N1678" s="2">
        <v>0.46</v>
      </c>
      <c r="O1678" s="2">
        <v>0.54</v>
      </c>
      <c r="P1678">
        <v>17</v>
      </c>
      <c r="Q1678">
        <v>13</v>
      </c>
      <c r="R1678">
        <v>7</v>
      </c>
      <c r="S1678">
        <v>5</v>
      </c>
      <c r="T1678">
        <v>11</v>
      </c>
      <c r="U1678">
        <v>13</v>
      </c>
      <c r="V1678">
        <v>1</v>
      </c>
      <c r="W1678">
        <v>0</v>
      </c>
      <c r="X1678">
        <v>0</v>
      </c>
      <c r="Y1678">
        <v>0</v>
      </c>
      <c r="Z1678">
        <v>0</v>
      </c>
    </row>
    <row r="1679" spans="1:26" x14ac:dyDescent="0.2">
      <c r="A1679" t="s">
        <v>1797</v>
      </c>
      <c r="B1679" t="s">
        <v>66</v>
      </c>
      <c r="C1679">
        <v>2013</v>
      </c>
      <c r="D1679" t="s">
        <v>69</v>
      </c>
      <c r="E1679" t="s">
        <v>71</v>
      </c>
      <c r="F1679" t="s">
        <v>69</v>
      </c>
      <c r="G1679">
        <v>27359</v>
      </c>
      <c r="H1679">
        <v>21887.200000000001</v>
      </c>
      <c r="I1679" s="13">
        <v>1</v>
      </c>
      <c r="J1679" t="s">
        <v>6207</v>
      </c>
      <c r="K1679">
        <v>1</v>
      </c>
      <c r="L1679">
        <v>1</v>
      </c>
      <c r="M1679" t="s">
        <v>58</v>
      </c>
      <c r="N1679" s="2">
        <v>0.37</v>
      </c>
      <c r="O1679" s="2">
        <v>0.63</v>
      </c>
      <c r="P1679">
        <v>11</v>
      </c>
      <c r="Q1679">
        <v>12</v>
      </c>
      <c r="R1679">
        <v>8</v>
      </c>
      <c r="S1679">
        <v>5</v>
      </c>
      <c r="T1679">
        <v>12</v>
      </c>
      <c r="U1679">
        <v>11</v>
      </c>
      <c r="V1679">
        <v>0</v>
      </c>
      <c r="W1679">
        <v>3</v>
      </c>
      <c r="X1679">
        <v>0</v>
      </c>
      <c r="Y1679">
        <v>0</v>
      </c>
      <c r="Z1679">
        <v>0</v>
      </c>
    </row>
    <row r="1680" spans="1:26" x14ac:dyDescent="0.2">
      <c r="A1680" t="s">
        <v>1798</v>
      </c>
      <c r="B1680" t="s">
        <v>50</v>
      </c>
      <c r="C1680">
        <v>2013</v>
      </c>
      <c r="D1680" t="s">
        <v>42</v>
      </c>
      <c r="E1680" t="s">
        <v>48</v>
      </c>
      <c r="F1680" t="s">
        <v>38</v>
      </c>
      <c r="G1680">
        <v>42918</v>
      </c>
      <c r="H1680">
        <v>34334.400000000001</v>
      </c>
      <c r="I1680" s="13">
        <v>0.33333333333333331</v>
      </c>
      <c r="J1680" t="s">
        <v>6207</v>
      </c>
      <c r="K1680">
        <v>0</v>
      </c>
      <c r="L1680">
        <v>3</v>
      </c>
      <c r="M1680" t="s">
        <v>1</v>
      </c>
      <c r="N1680" s="2">
        <v>0.44</v>
      </c>
      <c r="O1680" s="2">
        <v>0.56000000000000005</v>
      </c>
      <c r="P1680">
        <v>9</v>
      </c>
      <c r="Q1680">
        <v>17</v>
      </c>
      <c r="R1680">
        <v>3</v>
      </c>
      <c r="S1680">
        <v>4</v>
      </c>
      <c r="T1680">
        <v>15</v>
      </c>
      <c r="U1680">
        <v>8</v>
      </c>
      <c r="V1680">
        <v>4</v>
      </c>
      <c r="W1680">
        <v>2</v>
      </c>
      <c r="X1680">
        <v>0</v>
      </c>
      <c r="Y1680">
        <v>0</v>
      </c>
      <c r="Z1680">
        <v>0</v>
      </c>
    </row>
    <row r="1681" spans="1:26" x14ac:dyDescent="0.2">
      <c r="A1681" t="s">
        <v>1799</v>
      </c>
      <c r="B1681" t="s">
        <v>68</v>
      </c>
      <c r="C1681">
        <v>2013</v>
      </c>
      <c r="D1681" t="s">
        <v>51</v>
      </c>
      <c r="E1681" t="s">
        <v>26</v>
      </c>
      <c r="F1681" t="s">
        <v>20</v>
      </c>
      <c r="G1681">
        <v>36284</v>
      </c>
      <c r="H1681">
        <v>29027.200000000001</v>
      </c>
      <c r="I1681" s="13">
        <v>0.5</v>
      </c>
      <c r="J1681" t="s">
        <v>6207</v>
      </c>
      <c r="K1681">
        <v>0</v>
      </c>
      <c r="L1681">
        <v>5</v>
      </c>
      <c r="M1681" t="s">
        <v>1</v>
      </c>
      <c r="N1681" s="2">
        <v>0.43</v>
      </c>
      <c r="O1681" s="2">
        <v>0.56999999999999995</v>
      </c>
      <c r="P1681">
        <v>19</v>
      </c>
      <c r="Q1681">
        <v>17</v>
      </c>
      <c r="R1681">
        <v>2</v>
      </c>
      <c r="S1681">
        <v>9</v>
      </c>
      <c r="T1681">
        <v>17</v>
      </c>
      <c r="U1681">
        <v>15</v>
      </c>
      <c r="V1681">
        <v>3</v>
      </c>
      <c r="W1681">
        <v>0</v>
      </c>
      <c r="X1681">
        <v>1</v>
      </c>
      <c r="Y1681">
        <v>0</v>
      </c>
      <c r="Z1681">
        <v>0</v>
      </c>
    </row>
    <row r="1682" spans="1:26" x14ac:dyDescent="0.2">
      <c r="A1682" t="s">
        <v>1800</v>
      </c>
      <c r="B1682" t="s">
        <v>54</v>
      </c>
      <c r="C1682">
        <v>2013</v>
      </c>
      <c r="D1682" t="s">
        <v>26</v>
      </c>
      <c r="E1682" t="s">
        <v>78</v>
      </c>
      <c r="F1682" t="s">
        <v>26</v>
      </c>
      <c r="G1682">
        <v>61276</v>
      </c>
      <c r="H1682">
        <v>49020.800000000003</v>
      </c>
      <c r="I1682" s="13">
        <v>0.5</v>
      </c>
      <c r="J1682" t="s">
        <v>6206</v>
      </c>
      <c r="K1682">
        <v>3</v>
      </c>
      <c r="L1682">
        <v>1</v>
      </c>
      <c r="M1682" t="s">
        <v>0</v>
      </c>
      <c r="N1682" s="2">
        <v>0.69</v>
      </c>
      <c r="O1682" s="2">
        <v>0.31</v>
      </c>
      <c r="P1682">
        <v>14</v>
      </c>
      <c r="Q1682">
        <v>13</v>
      </c>
      <c r="R1682">
        <v>9</v>
      </c>
      <c r="S1682">
        <v>5</v>
      </c>
      <c r="T1682">
        <v>11</v>
      </c>
      <c r="U1682">
        <v>13</v>
      </c>
      <c r="V1682">
        <v>2</v>
      </c>
      <c r="W1682">
        <v>0</v>
      </c>
      <c r="X1682">
        <v>0</v>
      </c>
      <c r="Y1682">
        <v>0</v>
      </c>
      <c r="Z1682">
        <v>0</v>
      </c>
    </row>
    <row r="1683" spans="1:26" x14ac:dyDescent="0.2">
      <c r="A1683" t="s">
        <v>1801</v>
      </c>
      <c r="B1683" t="s">
        <v>68</v>
      </c>
      <c r="C1683">
        <v>2013</v>
      </c>
      <c r="D1683" t="s">
        <v>63</v>
      </c>
      <c r="E1683" t="s">
        <v>19</v>
      </c>
      <c r="F1683" t="s">
        <v>65</v>
      </c>
      <c r="G1683">
        <v>26804</v>
      </c>
      <c r="H1683">
        <v>21443.200000000001</v>
      </c>
      <c r="I1683" s="13">
        <v>1</v>
      </c>
      <c r="J1683" t="s">
        <v>6207</v>
      </c>
      <c r="K1683">
        <v>1</v>
      </c>
      <c r="L1683">
        <v>1</v>
      </c>
      <c r="M1683" t="s">
        <v>58</v>
      </c>
      <c r="N1683" s="2">
        <v>0.6</v>
      </c>
      <c r="O1683" s="2">
        <v>0.4</v>
      </c>
      <c r="P1683">
        <v>17</v>
      </c>
      <c r="Q1683">
        <v>8</v>
      </c>
      <c r="R1683">
        <v>9</v>
      </c>
      <c r="S1683">
        <v>2</v>
      </c>
      <c r="T1683">
        <v>8</v>
      </c>
      <c r="U1683">
        <v>15</v>
      </c>
      <c r="V1683">
        <v>2</v>
      </c>
      <c r="W1683">
        <v>1</v>
      </c>
      <c r="X1683">
        <v>0</v>
      </c>
      <c r="Y1683">
        <v>0</v>
      </c>
      <c r="Z1683">
        <v>0</v>
      </c>
    </row>
    <row r="1684" spans="1:26" x14ac:dyDescent="0.2">
      <c r="A1684" t="s">
        <v>1802</v>
      </c>
      <c r="B1684" t="s">
        <v>32</v>
      </c>
      <c r="C1684">
        <v>2013</v>
      </c>
      <c r="D1684" t="s">
        <v>35</v>
      </c>
      <c r="E1684" t="s">
        <v>69</v>
      </c>
      <c r="F1684" t="s">
        <v>35</v>
      </c>
      <c r="G1684">
        <v>49000</v>
      </c>
      <c r="H1684">
        <v>39200</v>
      </c>
      <c r="I1684" s="13">
        <v>0.5</v>
      </c>
      <c r="J1684" t="s">
        <v>6207</v>
      </c>
      <c r="K1684">
        <v>0</v>
      </c>
      <c r="L1684">
        <v>0</v>
      </c>
      <c r="M1684" t="s">
        <v>58</v>
      </c>
      <c r="N1684" s="2">
        <v>0.59</v>
      </c>
      <c r="O1684" s="2">
        <v>0.41</v>
      </c>
      <c r="P1684">
        <v>12</v>
      </c>
      <c r="Q1684">
        <v>14</v>
      </c>
      <c r="R1684">
        <v>6</v>
      </c>
      <c r="S1684">
        <v>7</v>
      </c>
      <c r="T1684">
        <v>13</v>
      </c>
      <c r="U1684">
        <v>10</v>
      </c>
      <c r="V1684">
        <v>2</v>
      </c>
      <c r="W1684">
        <v>1</v>
      </c>
      <c r="X1684">
        <v>1</v>
      </c>
      <c r="Y1684">
        <v>0</v>
      </c>
      <c r="Z1684">
        <v>0</v>
      </c>
    </row>
    <row r="1685" spans="1:26" x14ac:dyDescent="0.2">
      <c r="A1685" t="s">
        <v>1803</v>
      </c>
      <c r="B1685" t="s">
        <v>76</v>
      </c>
      <c r="C1685">
        <v>2013</v>
      </c>
      <c r="D1685" t="s">
        <v>27</v>
      </c>
      <c r="E1685" t="s">
        <v>42</v>
      </c>
      <c r="F1685" t="s">
        <v>27</v>
      </c>
      <c r="G1685">
        <v>30089</v>
      </c>
      <c r="H1685">
        <v>24071.200000000001</v>
      </c>
      <c r="I1685" s="13">
        <v>0.5</v>
      </c>
      <c r="J1685" t="s">
        <v>6207</v>
      </c>
      <c r="K1685">
        <v>2</v>
      </c>
      <c r="L1685">
        <v>1</v>
      </c>
      <c r="M1685" t="s">
        <v>0</v>
      </c>
      <c r="N1685" s="2">
        <v>0.53</v>
      </c>
      <c r="O1685" s="2">
        <v>0.47</v>
      </c>
      <c r="P1685">
        <v>20</v>
      </c>
      <c r="Q1685">
        <v>15</v>
      </c>
      <c r="R1685">
        <v>6</v>
      </c>
      <c r="S1685">
        <v>7</v>
      </c>
      <c r="T1685">
        <v>13</v>
      </c>
      <c r="U1685">
        <v>17</v>
      </c>
      <c r="V1685">
        <v>1</v>
      </c>
      <c r="W1685">
        <v>5</v>
      </c>
      <c r="X1685">
        <v>0</v>
      </c>
      <c r="Y1685">
        <v>0</v>
      </c>
      <c r="Z1685">
        <v>0</v>
      </c>
    </row>
    <row r="1686" spans="1:26" x14ac:dyDescent="0.2">
      <c r="A1686" t="s">
        <v>1804</v>
      </c>
      <c r="B1686" t="s">
        <v>53</v>
      </c>
      <c r="C1686">
        <v>2013</v>
      </c>
      <c r="D1686" t="s">
        <v>48</v>
      </c>
      <c r="E1686" t="s">
        <v>23</v>
      </c>
      <c r="F1686" t="s">
        <v>49</v>
      </c>
      <c r="G1686">
        <v>74197</v>
      </c>
      <c r="H1686">
        <v>59357.600000000006</v>
      </c>
      <c r="I1686" s="13">
        <v>0.4</v>
      </c>
      <c r="J1686" t="s">
        <v>6207</v>
      </c>
      <c r="K1686">
        <v>3</v>
      </c>
      <c r="L1686">
        <v>1</v>
      </c>
      <c r="M1686" t="s">
        <v>0</v>
      </c>
      <c r="N1686" s="2">
        <v>0.62</v>
      </c>
      <c r="O1686" s="2">
        <v>0.38</v>
      </c>
      <c r="P1686">
        <v>18</v>
      </c>
      <c r="Q1686">
        <v>10</v>
      </c>
      <c r="R1686">
        <v>8</v>
      </c>
      <c r="S1686">
        <v>2</v>
      </c>
      <c r="T1686">
        <v>7</v>
      </c>
      <c r="U1686">
        <v>16</v>
      </c>
      <c r="V1686">
        <v>1</v>
      </c>
      <c r="W1686">
        <v>4</v>
      </c>
      <c r="X1686">
        <v>0</v>
      </c>
      <c r="Y1686">
        <v>0</v>
      </c>
      <c r="Z1686">
        <v>0</v>
      </c>
    </row>
    <row r="1687" spans="1:26" x14ac:dyDescent="0.2">
      <c r="A1687" t="s">
        <v>1805</v>
      </c>
      <c r="B1687" t="s">
        <v>60</v>
      </c>
      <c r="C1687">
        <v>2013</v>
      </c>
      <c r="D1687" t="s">
        <v>31</v>
      </c>
      <c r="E1687" t="s">
        <v>40</v>
      </c>
      <c r="F1687" t="s">
        <v>20</v>
      </c>
      <c r="G1687">
        <v>28500</v>
      </c>
      <c r="H1687">
        <v>22800</v>
      </c>
      <c r="I1687" s="13">
        <v>1</v>
      </c>
      <c r="J1687" t="s">
        <v>6208</v>
      </c>
      <c r="K1687">
        <v>2</v>
      </c>
      <c r="L1687">
        <v>4</v>
      </c>
      <c r="M1687" t="s">
        <v>1</v>
      </c>
      <c r="N1687" s="2">
        <v>0.46</v>
      </c>
      <c r="O1687" s="2">
        <v>0.54</v>
      </c>
      <c r="P1687">
        <v>17</v>
      </c>
      <c r="Q1687">
        <v>11</v>
      </c>
      <c r="R1687">
        <v>4</v>
      </c>
      <c r="S1687">
        <v>4</v>
      </c>
      <c r="T1687">
        <v>7</v>
      </c>
      <c r="U1687">
        <v>15</v>
      </c>
      <c r="V1687">
        <v>1</v>
      </c>
      <c r="W1687">
        <v>1</v>
      </c>
      <c r="X1687">
        <v>0</v>
      </c>
      <c r="Y1687">
        <v>0</v>
      </c>
      <c r="Z1687">
        <v>0</v>
      </c>
    </row>
    <row r="1688" spans="1:26" x14ac:dyDescent="0.2">
      <c r="A1688" t="s">
        <v>1806</v>
      </c>
      <c r="B1688" t="s">
        <v>67</v>
      </c>
      <c r="C1688">
        <v>2013</v>
      </c>
      <c r="D1688" t="s">
        <v>79</v>
      </c>
      <c r="E1688" t="s">
        <v>64</v>
      </c>
      <c r="F1688" t="s">
        <v>20</v>
      </c>
      <c r="G1688">
        <v>25486</v>
      </c>
      <c r="H1688">
        <v>20388.800000000003</v>
      </c>
      <c r="I1688" s="13">
        <v>1</v>
      </c>
      <c r="J1688" t="s">
        <v>6207</v>
      </c>
      <c r="K1688">
        <v>0</v>
      </c>
      <c r="L1688">
        <v>3</v>
      </c>
      <c r="M1688" t="s">
        <v>1</v>
      </c>
      <c r="N1688" s="2">
        <v>0.33</v>
      </c>
      <c r="O1688" s="2">
        <v>0.67</v>
      </c>
      <c r="P1688">
        <v>18</v>
      </c>
      <c r="Q1688">
        <v>14</v>
      </c>
      <c r="R1688">
        <v>3</v>
      </c>
      <c r="S1688">
        <v>7</v>
      </c>
      <c r="T1688">
        <v>11</v>
      </c>
      <c r="U1688">
        <v>14</v>
      </c>
      <c r="V1688">
        <v>1</v>
      </c>
      <c r="W1688">
        <v>2</v>
      </c>
      <c r="X1688">
        <v>0</v>
      </c>
      <c r="Y1688">
        <v>0</v>
      </c>
      <c r="Z1688">
        <v>1</v>
      </c>
    </row>
    <row r="1689" spans="1:26" x14ac:dyDescent="0.2">
      <c r="A1689" t="s">
        <v>1807</v>
      </c>
      <c r="B1689" t="s">
        <v>25</v>
      </c>
      <c r="C1689">
        <v>2013</v>
      </c>
      <c r="D1689" t="s">
        <v>73</v>
      </c>
      <c r="E1689" t="s">
        <v>51</v>
      </c>
      <c r="F1689" t="s">
        <v>73</v>
      </c>
      <c r="G1689">
        <v>32384</v>
      </c>
      <c r="H1689">
        <v>25907.200000000001</v>
      </c>
      <c r="I1689" s="13">
        <v>0.5</v>
      </c>
      <c r="J1689" t="s">
        <v>6207</v>
      </c>
      <c r="K1689">
        <v>2</v>
      </c>
      <c r="L1689">
        <v>3</v>
      </c>
      <c r="M1689" t="s">
        <v>1</v>
      </c>
      <c r="N1689" s="2">
        <v>0.56999999999999995</v>
      </c>
      <c r="O1689" s="2">
        <v>0.43</v>
      </c>
      <c r="P1689">
        <v>19</v>
      </c>
      <c r="Q1689">
        <v>13</v>
      </c>
      <c r="R1689">
        <v>2</v>
      </c>
      <c r="S1689">
        <v>5</v>
      </c>
      <c r="T1689">
        <v>10</v>
      </c>
      <c r="U1689">
        <v>18</v>
      </c>
      <c r="V1689">
        <v>1</v>
      </c>
      <c r="W1689">
        <v>1</v>
      </c>
      <c r="X1689">
        <v>0</v>
      </c>
      <c r="Y1689">
        <v>0</v>
      </c>
      <c r="Z1689">
        <v>0</v>
      </c>
    </row>
    <row r="1690" spans="1:26" x14ac:dyDescent="0.2">
      <c r="A1690" t="s">
        <v>1808</v>
      </c>
      <c r="B1690" t="s">
        <v>50</v>
      </c>
      <c r="C1690">
        <v>2013</v>
      </c>
      <c r="D1690" t="s">
        <v>71</v>
      </c>
      <c r="E1690" t="s">
        <v>45</v>
      </c>
      <c r="F1690" t="s">
        <v>71</v>
      </c>
      <c r="G1690">
        <v>21088</v>
      </c>
      <c r="H1690">
        <v>16870.400000000001</v>
      </c>
      <c r="I1690" s="13">
        <v>0</v>
      </c>
      <c r="J1690" t="s">
        <v>6207</v>
      </c>
      <c r="K1690">
        <v>1</v>
      </c>
      <c r="L1690">
        <v>2</v>
      </c>
      <c r="M1690" t="s">
        <v>1</v>
      </c>
      <c r="N1690" s="2">
        <v>0.55000000000000004</v>
      </c>
      <c r="O1690" s="2">
        <v>0.45</v>
      </c>
      <c r="P1690">
        <v>11</v>
      </c>
      <c r="Q1690">
        <v>14</v>
      </c>
      <c r="R1690">
        <v>4</v>
      </c>
      <c r="S1690">
        <v>8</v>
      </c>
      <c r="T1690">
        <v>11</v>
      </c>
      <c r="U1690">
        <v>10</v>
      </c>
      <c r="V1690">
        <v>1</v>
      </c>
      <c r="W1690">
        <v>0</v>
      </c>
      <c r="X1690">
        <v>0</v>
      </c>
      <c r="Y1690">
        <v>0</v>
      </c>
      <c r="Z1690">
        <v>0</v>
      </c>
    </row>
    <row r="1691" spans="1:26" x14ac:dyDescent="0.2">
      <c r="A1691" t="s">
        <v>1809</v>
      </c>
      <c r="B1691" t="s">
        <v>41</v>
      </c>
      <c r="C1691">
        <v>2013</v>
      </c>
      <c r="D1691" t="s">
        <v>46</v>
      </c>
      <c r="E1691" t="s">
        <v>18</v>
      </c>
      <c r="F1691" t="s">
        <v>20</v>
      </c>
      <c r="G1691">
        <v>60704</v>
      </c>
      <c r="H1691">
        <v>48563.200000000004</v>
      </c>
      <c r="I1691" s="13">
        <v>0.66666666666666663</v>
      </c>
      <c r="J1691" t="s">
        <v>6207</v>
      </c>
      <c r="K1691">
        <v>0</v>
      </c>
      <c r="L1691">
        <v>0</v>
      </c>
      <c r="M1691" t="s">
        <v>58</v>
      </c>
      <c r="N1691" s="2">
        <v>0.61</v>
      </c>
      <c r="O1691" s="2">
        <v>0.39</v>
      </c>
      <c r="P1691">
        <v>14</v>
      </c>
      <c r="Q1691">
        <v>9</v>
      </c>
      <c r="R1691">
        <v>8</v>
      </c>
      <c r="S1691">
        <v>6</v>
      </c>
      <c r="T1691">
        <v>7</v>
      </c>
      <c r="U1691">
        <v>12</v>
      </c>
      <c r="V1691">
        <v>2</v>
      </c>
      <c r="W1691">
        <v>1</v>
      </c>
      <c r="X1691">
        <v>0</v>
      </c>
      <c r="Y1691">
        <v>0</v>
      </c>
      <c r="Z1691">
        <v>0</v>
      </c>
    </row>
    <row r="1692" spans="1:26" x14ac:dyDescent="0.2">
      <c r="A1692" t="s">
        <v>1810</v>
      </c>
      <c r="B1692" t="s">
        <v>66</v>
      </c>
      <c r="C1692">
        <v>2013</v>
      </c>
      <c r="D1692" t="s">
        <v>19</v>
      </c>
      <c r="E1692" t="s">
        <v>48</v>
      </c>
      <c r="F1692" t="s">
        <v>19</v>
      </c>
      <c r="G1692">
        <v>25586</v>
      </c>
      <c r="H1692">
        <v>20468.800000000003</v>
      </c>
      <c r="I1692" s="13">
        <v>0.5</v>
      </c>
      <c r="J1692" t="s">
        <v>6207</v>
      </c>
      <c r="K1692">
        <v>2</v>
      </c>
      <c r="L1692">
        <v>3</v>
      </c>
      <c r="M1692" t="s">
        <v>1</v>
      </c>
      <c r="N1692" s="2">
        <v>0.39</v>
      </c>
      <c r="O1692" s="2">
        <v>0.61</v>
      </c>
      <c r="P1692">
        <v>14</v>
      </c>
      <c r="Q1692">
        <v>11</v>
      </c>
      <c r="R1692">
        <v>6</v>
      </c>
      <c r="S1692">
        <v>5</v>
      </c>
      <c r="T1692">
        <v>12</v>
      </c>
      <c r="U1692">
        <v>14</v>
      </c>
      <c r="V1692">
        <v>2</v>
      </c>
      <c r="W1692">
        <v>3</v>
      </c>
      <c r="X1692">
        <v>0</v>
      </c>
      <c r="Y1692">
        <v>1</v>
      </c>
      <c r="Z1692">
        <v>0</v>
      </c>
    </row>
    <row r="1693" spans="1:26" x14ac:dyDescent="0.2">
      <c r="A1693" t="s">
        <v>1811</v>
      </c>
      <c r="B1693" t="s">
        <v>52</v>
      </c>
      <c r="C1693">
        <v>2013</v>
      </c>
      <c r="D1693" t="s">
        <v>23</v>
      </c>
      <c r="E1693" t="s">
        <v>46</v>
      </c>
      <c r="F1693" t="s">
        <v>20</v>
      </c>
      <c r="G1693">
        <v>62500</v>
      </c>
      <c r="H1693">
        <v>50000</v>
      </c>
      <c r="I1693" s="13">
        <v>1</v>
      </c>
      <c r="J1693" t="s">
        <v>6207</v>
      </c>
      <c r="K1693">
        <v>1</v>
      </c>
      <c r="L1693">
        <v>3</v>
      </c>
      <c r="M1693" t="s">
        <v>1</v>
      </c>
      <c r="N1693" s="2">
        <v>0.34</v>
      </c>
      <c r="O1693" s="2">
        <v>0.66</v>
      </c>
      <c r="P1693">
        <v>8</v>
      </c>
      <c r="Q1693">
        <v>14</v>
      </c>
      <c r="R1693">
        <v>0</v>
      </c>
      <c r="S1693">
        <v>10</v>
      </c>
      <c r="T1693">
        <v>11</v>
      </c>
      <c r="U1693">
        <v>6</v>
      </c>
      <c r="V1693">
        <v>1</v>
      </c>
      <c r="W1693">
        <v>1</v>
      </c>
      <c r="X1693">
        <v>0</v>
      </c>
      <c r="Y1693">
        <v>0</v>
      </c>
      <c r="Z1693">
        <v>0</v>
      </c>
    </row>
    <row r="1694" spans="1:26" x14ac:dyDescent="0.2">
      <c r="A1694" t="s">
        <v>1812</v>
      </c>
      <c r="B1694" t="s">
        <v>61</v>
      </c>
      <c r="C1694">
        <v>2013</v>
      </c>
      <c r="D1694" t="s">
        <v>51</v>
      </c>
      <c r="E1694" t="s">
        <v>63</v>
      </c>
      <c r="F1694" t="s">
        <v>20</v>
      </c>
      <c r="G1694">
        <v>36284</v>
      </c>
      <c r="H1694">
        <v>29027.200000000001</v>
      </c>
      <c r="I1694" s="13">
        <v>0.8</v>
      </c>
      <c r="J1694" t="s">
        <v>6207</v>
      </c>
      <c r="K1694">
        <v>1</v>
      </c>
      <c r="L1694">
        <v>1</v>
      </c>
      <c r="M1694" t="s">
        <v>58</v>
      </c>
      <c r="N1694" s="2">
        <v>0.64</v>
      </c>
      <c r="O1694" s="2">
        <v>0.36</v>
      </c>
      <c r="P1694">
        <v>15</v>
      </c>
      <c r="Q1694">
        <v>12</v>
      </c>
      <c r="R1694">
        <v>12</v>
      </c>
      <c r="S1694">
        <v>2</v>
      </c>
      <c r="T1694">
        <v>8</v>
      </c>
      <c r="U1694">
        <v>12</v>
      </c>
      <c r="V1694">
        <v>3</v>
      </c>
      <c r="W1694">
        <v>2</v>
      </c>
      <c r="X1694">
        <v>0</v>
      </c>
      <c r="Y1694">
        <v>0</v>
      </c>
      <c r="Z1694">
        <v>0</v>
      </c>
    </row>
    <row r="1695" spans="1:26" x14ac:dyDescent="0.2">
      <c r="A1695" t="s">
        <v>1813</v>
      </c>
      <c r="B1695" t="s">
        <v>68</v>
      </c>
      <c r="C1695">
        <v>2013</v>
      </c>
      <c r="D1695" t="s">
        <v>69</v>
      </c>
      <c r="E1695" t="s">
        <v>31</v>
      </c>
      <c r="F1695" t="s">
        <v>69</v>
      </c>
      <c r="G1695">
        <v>27359</v>
      </c>
      <c r="H1695">
        <v>21887.200000000001</v>
      </c>
      <c r="I1695" s="13">
        <v>0.66666666666666663</v>
      </c>
      <c r="J1695" t="s">
        <v>6207</v>
      </c>
      <c r="K1695">
        <v>1</v>
      </c>
      <c r="L1695">
        <v>2</v>
      </c>
      <c r="M1695" t="s">
        <v>1</v>
      </c>
      <c r="N1695" s="2">
        <v>0.5</v>
      </c>
      <c r="O1695" s="2">
        <v>0.5</v>
      </c>
      <c r="P1695">
        <v>12</v>
      </c>
      <c r="Q1695">
        <v>16</v>
      </c>
      <c r="R1695">
        <v>5</v>
      </c>
      <c r="S1695">
        <v>4</v>
      </c>
      <c r="T1695">
        <v>13</v>
      </c>
      <c r="U1695">
        <v>10</v>
      </c>
      <c r="V1695">
        <v>3</v>
      </c>
      <c r="W1695">
        <v>0</v>
      </c>
      <c r="X1695">
        <v>0</v>
      </c>
      <c r="Y1695">
        <v>0</v>
      </c>
      <c r="Z1695">
        <v>0</v>
      </c>
    </row>
    <row r="1696" spans="1:26" x14ac:dyDescent="0.2">
      <c r="A1696" t="s">
        <v>1814</v>
      </c>
      <c r="B1696" t="s">
        <v>32</v>
      </c>
      <c r="C1696">
        <v>2013</v>
      </c>
      <c r="D1696" t="s">
        <v>64</v>
      </c>
      <c r="E1696" t="s">
        <v>27</v>
      </c>
      <c r="F1696" t="s">
        <v>64</v>
      </c>
      <c r="G1696">
        <v>52264</v>
      </c>
      <c r="H1696">
        <v>41811.200000000004</v>
      </c>
      <c r="I1696" s="13">
        <v>0.8</v>
      </c>
      <c r="J1696" t="s">
        <v>6207</v>
      </c>
      <c r="K1696">
        <v>5</v>
      </c>
      <c r="L1696">
        <v>1</v>
      </c>
      <c r="M1696" t="s">
        <v>0</v>
      </c>
      <c r="N1696" s="2">
        <v>0.57999999999999996</v>
      </c>
      <c r="O1696" s="2">
        <v>0.42</v>
      </c>
      <c r="P1696">
        <v>5</v>
      </c>
      <c r="Q1696">
        <v>10</v>
      </c>
      <c r="R1696">
        <v>8</v>
      </c>
      <c r="S1696">
        <v>2</v>
      </c>
      <c r="T1696">
        <v>10</v>
      </c>
      <c r="U1696">
        <v>8</v>
      </c>
      <c r="V1696">
        <v>1</v>
      </c>
      <c r="W1696">
        <v>2</v>
      </c>
      <c r="X1696">
        <v>0</v>
      </c>
      <c r="Y1696">
        <v>2</v>
      </c>
      <c r="Z1696">
        <v>2</v>
      </c>
    </row>
    <row r="1697" spans="1:26" x14ac:dyDescent="0.2">
      <c r="A1697" t="s">
        <v>1815</v>
      </c>
      <c r="B1697" t="s">
        <v>54</v>
      </c>
      <c r="C1697">
        <v>2013</v>
      </c>
      <c r="D1697" t="s">
        <v>45</v>
      </c>
      <c r="E1697" t="s">
        <v>35</v>
      </c>
      <c r="F1697" t="s">
        <v>26</v>
      </c>
      <c r="G1697">
        <v>39572</v>
      </c>
      <c r="H1697">
        <v>31657.600000000002</v>
      </c>
      <c r="I1697" s="13">
        <v>0.5</v>
      </c>
      <c r="J1697" t="s">
        <v>6206</v>
      </c>
      <c r="K1697">
        <v>0</v>
      </c>
      <c r="L1697">
        <v>1</v>
      </c>
      <c r="M1697" t="s">
        <v>1</v>
      </c>
      <c r="N1697" s="2">
        <v>0.55000000000000004</v>
      </c>
      <c r="O1697" s="2">
        <v>0.45</v>
      </c>
      <c r="P1697">
        <v>8</v>
      </c>
      <c r="Q1697">
        <v>12</v>
      </c>
      <c r="R1697">
        <v>11</v>
      </c>
      <c r="S1697">
        <v>2</v>
      </c>
      <c r="T1697">
        <v>11</v>
      </c>
      <c r="U1697">
        <v>7</v>
      </c>
      <c r="V1697">
        <v>1</v>
      </c>
      <c r="W1697">
        <v>0</v>
      </c>
      <c r="X1697">
        <v>1</v>
      </c>
      <c r="Y1697">
        <v>0</v>
      </c>
      <c r="Z1697">
        <v>1</v>
      </c>
    </row>
    <row r="1698" spans="1:26" x14ac:dyDescent="0.2">
      <c r="A1698" t="s">
        <v>1816</v>
      </c>
      <c r="B1698" t="s">
        <v>53</v>
      </c>
      <c r="C1698">
        <v>2013</v>
      </c>
      <c r="D1698" t="s">
        <v>18</v>
      </c>
      <c r="E1698" t="s">
        <v>71</v>
      </c>
      <c r="F1698" t="s">
        <v>20</v>
      </c>
      <c r="G1698">
        <v>40341</v>
      </c>
      <c r="H1698">
        <v>32272.800000000003</v>
      </c>
      <c r="I1698" s="13">
        <v>1</v>
      </c>
      <c r="J1698" t="s">
        <v>6207</v>
      </c>
      <c r="K1698">
        <v>1</v>
      </c>
      <c r="L1698">
        <v>0</v>
      </c>
      <c r="M1698" t="s">
        <v>0</v>
      </c>
      <c r="N1698" s="2">
        <v>0.45</v>
      </c>
      <c r="O1698" s="2">
        <v>0.55000000000000004</v>
      </c>
      <c r="P1698">
        <v>12</v>
      </c>
      <c r="Q1698">
        <v>15</v>
      </c>
      <c r="R1698">
        <v>13</v>
      </c>
      <c r="S1698">
        <v>7</v>
      </c>
      <c r="T1698">
        <v>14</v>
      </c>
      <c r="U1698">
        <v>9</v>
      </c>
      <c r="V1698">
        <v>1</v>
      </c>
      <c r="W1698">
        <v>1</v>
      </c>
      <c r="X1698">
        <v>0</v>
      </c>
      <c r="Y1698">
        <v>0</v>
      </c>
      <c r="Z1698">
        <v>0</v>
      </c>
    </row>
    <row r="1699" spans="1:26" x14ac:dyDescent="0.2">
      <c r="A1699" t="s">
        <v>1817</v>
      </c>
      <c r="B1699" t="s">
        <v>37</v>
      </c>
      <c r="C1699">
        <v>2013</v>
      </c>
      <c r="D1699" t="s">
        <v>78</v>
      </c>
      <c r="E1699" t="s">
        <v>73</v>
      </c>
      <c r="F1699" t="s">
        <v>78</v>
      </c>
      <c r="G1699">
        <v>33280</v>
      </c>
      <c r="H1699">
        <v>26624</v>
      </c>
      <c r="I1699" s="13">
        <v>0.33333333333333331</v>
      </c>
      <c r="J1699" t="s">
        <v>6206</v>
      </c>
      <c r="K1699">
        <v>0</v>
      </c>
      <c r="L1699">
        <v>3</v>
      </c>
      <c r="M1699" t="s">
        <v>1</v>
      </c>
      <c r="N1699" s="2">
        <v>0.4</v>
      </c>
      <c r="O1699" s="2">
        <v>0.6</v>
      </c>
      <c r="P1699">
        <v>15</v>
      </c>
      <c r="Q1699">
        <v>13</v>
      </c>
      <c r="R1699">
        <v>6</v>
      </c>
      <c r="S1699">
        <v>3</v>
      </c>
      <c r="T1699">
        <v>11</v>
      </c>
      <c r="U1699">
        <v>13</v>
      </c>
      <c r="V1699">
        <v>1</v>
      </c>
      <c r="W1699">
        <v>2</v>
      </c>
      <c r="X1699">
        <v>0</v>
      </c>
      <c r="Y1699">
        <v>0</v>
      </c>
      <c r="Z1699">
        <v>0</v>
      </c>
    </row>
    <row r="1700" spans="1:26" x14ac:dyDescent="0.2">
      <c r="A1700" t="s">
        <v>1818</v>
      </c>
      <c r="B1700" t="s">
        <v>56</v>
      </c>
      <c r="C1700">
        <v>2013</v>
      </c>
      <c r="D1700" t="s">
        <v>42</v>
      </c>
      <c r="E1700" t="s">
        <v>79</v>
      </c>
      <c r="F1700" t="s">
        <v>38</v>
      </c>
      <c r="G1700">
        <v>42918</v>
      </c>
      <c r="H1700">
        <v>34334.400000000001</v>
      </c>
      <c r="I1700" s="13">
        <v>0.25</v>
      </c>
      <c r="J1700" t="s">
        <v>6207</v>
      </c>
      <c r="K1700">
        <v>0</v>
      </c>
      <c r="L1700">
        <v>1</v>
      </c>
      <c r="M1700" t="s">
        <v>1</v>
      </c>
      <c r="N1700" s="2">
        <v>0.65</v>
      </c>
      <c r="O1700" s="2">
        <v>0.35</v>
      </c>
      <c r="P1700">
        <v>15</v>
      </c>
      <c r="Q1700">
        <v>11</v>
      </c>
      <c r="R1700">
        <v>7</v>
      </c>
      <c r="S1700">
        <v>5</v>
      </c>
      <c r="T1700">
        <v>11</v>
      </c>
      <c r="U1700">
        <v>8</v>
      </c>
      <c r="V1700">
        <v>2</v>
      </c>
      <c r="W1700">
        <v>2</v>
      </c>
      <c r="X1700">
        <v>0</v>
      </c>
      <c r="Y1700">
        <v>0</v>
      </c>
      <c r="Z1700">
        <v>0</v>
      </c>
    </row>
    <row r="1701" spans="1:26" x14ac:dyDescent="0.2">
      <c r="A1701" t="s">
        <v>1819</v>
      </c>
      <c r="B1701" t="s">
        <v>50</v>
      </c>
      <c r="C1701">
        <v>2013</v>
      </c>
      <c r="D1701" t="s">
        <v>40</v>
      </c>
      <c r="E1701" t="s">
        <v>26</v>
      </c>
      <c r="F1701" t="s">
        <v>49</v>
      </c>
      <c r="G1701">
        <v>53400</v>
      </c>
      <c r="H1701">
        <v>42720</v>
      </c>
      <c r="I1701" s="13">
        <v>0.75</v>
      </c>
      <c r="J1701" t="s">
        <v>6207</v>
      </c>
      <c r="K1701">
        <v>2</v>
      </c>
      <c r="L1701">
        <v>1</v>
      </c>
      <c r="M1701" t="s">
        <v>0</v>
      </c>
      <c r="N1701" s="2">
        <v>0.52</v>
      </c>
      <c r="O1701" s="2">
        <v>0.48</v>
      </c>
      <c r="P1701">
        <v>12</v>
      </c>
      <c r="Q1701">
        <v>12</v>
      </c>
      <c r="R1701">
        <v>7</v>
      </c>
      <c r="S1701">
        <v>6</v>
      </c>
      <c r="T1701">
        <v>10</v>
      </c>
      <c r="U1701">
        <v>9</v>
      </c>
      <c r="V1701">
        <v>1</v>
      </c>
      <c r="W1701">
        <v>3</v>
      </c>
      <c r="X1701">
        <v>0</v>
      </c>
      <c r="Y1701">
        <v>0</v>
      </c>
      <c r="Z1701">
        <v>0</v>
      </c>
    </row>
    <row r="1702" spans="1:26" x14ac:dyDescent="0.2">
      <c r="A1702" t="s">
        <v>1820</v>
      </c>
      <c r="B1702" t="s">
        <v>41</v>
      </c>
      <c r="C1702">
        <v>2013</v>
      </c>
      <c r="D1702" t="s">
        <v>23</v>
      </c>
      <c r="E1702" t="s">
        <v>63</v>
      </c>
      <c r="F1702" t="s">
        <v>20</v>
      </c>
      <c r="G1702">
        <v>62500</v>
      </c>
      <c r="H1702">
        <v>50000</v>
      </c>
      <c r="I1702" s="13">
        <v>0.4</v>
      </c>
      <c r="J1702" t="s">
        <v>6207</v>
      </c>
      <c r="K1702">
        <v>3</v>
      </c>
      <c r="L1702">
        <v>3</v>
      </c>
      <c r="M1702" t="s">
        <v>58</v>
      </c>
      <c r="N1702" s="2">
        <v>0.46</v>
      </c>
      <c r="O1702" s="2">
        <v>0.54</v>
      </c>
      <c r="P1702">
        <v>16</v>
      </c>
      <c r="Q1702">
        <v>14</v>
      </c>
      <c r="R1702">
        <v>6</v>
      </c>
      <c r="S1702">
        <v>5</v>
      </c>
      <c r="T1702">
        <v>10</v>
      </c>
      <c r="U1702">
        <v>13</v>
      </c>
      <c r="V1702">
        <v>3</v>
      </c>
      <c r="W1702">
        <v>2</v>
      </c>
      <c r="X1702">
        <v>0</v>
      </c>
      <c r="Y1702">
        <v>0</v>
      </c>
      <c r="Z1702">
        <v>0</v>
      </c>
    </row>
    <row r="1703" spans="1:26" x14ac:dyDescent="0.2">
      <c r="A1703" t="s">
        <v>1821</v>
      </c>
      <c r="B1703" t="s">
        <v>52</v>
      </c>
      <c r="C1703">
        <v>2013</v>
      </c>
      <c r="D1703" t="s">
        <v>69</v>
      </c>
      <c r="E1703" t="s">
        <v>48</v>
      </c>
      <c r="F1703" t="s">
        <v>69</v>
      </c>
      <c r="G1703">
        <v>27359</v>
      </c>
      <c r="H1703">
        <v>21887.200000000001</v>
      </c>
      <c r="I1703" s="13">
        <v>0.2857142857142857</v>
      </c>
      <c r="J1703" t="s">
        <v>6207</v>
      </c>
      <c r="K1703">
        <v>0</v>
      </c>
      <c r="L1703">
        <v>1</v>
      </c>
      <c r="M1703" t="s">
        <v>1</v>
      </c>
      <c r="N1703" s="2">
        <v>0.45</v>
      </c>
      <c r="O1703" s="2">
        <v>0.55000000000000004</v>
      </c>
      <c r="P1703">
        <v>12</v>
      </c>
      <c r="Q1703">
        <v>11</v>
      </c>
      <c r="R1703">
        <v>8</v>
      </c>
      <c r="S1703">
        <v>3</v>
      </c>
      <c r="T1703">
        <v>11</v>
      </c>
      <c r="U1703">
        <v>10</v>
      </c>
      <c r="V1703">
        <v>4</v>
      </c>
      <c r="W1703">
        <v>3</v>
      </c>
      <c r="X1703">
        <v>0</v>
      </c>
      <c r="Y1703">
        <v>0</v>
      </c>
      <c r="Z1703">
        <v>0</v>
      </c>
    </row>
    <row r="1704" spans="1:26" x14ac:dyDescent="0.2">
      <c r="A1704" t="s">
        <v>1822</v>
      </c>
      <c r="B1704" t="s">
        <v>37</v>
      </c>
      <c r="C1704">
        <v>2013</v>
      </c>
      <c r="D1704" t="s">
        <v>40</v>
      </c>
      <c r="E1704" t="s">
        <v>79</v>
      </c>
      <c r="F1704" t="s">
        <v>49</v>
      </c>
      <c r="G1704">
        <v>53400</v>
      </c>
      <c r="H1704">
        <v>42720</v>
      </c>
      <c r="I1704" s="13">
        <v>1</v>
      </c>
      <c r="J1704" t="s">
        <v>6206</v>
      </c>
      <c r="K1704">
        <v>1</v>
      </c>
      <c r="L1704">
        <v>0</v>
      </c>
      <c r="M1704" t="s">
        <v>0</v>
      </c>
      <c r="N1704" s="2">
        <v>0.77</v>
      </c>
      <c r="O1704" s="2">
        <v>0.23</v>
      </c>
      <c r="P1704">
        <v>7</v>
      </c>
      <c r="Q1704">
        <v>12</v>
      </c>
      <c r="R1704">
        <v>12</v>
      </c>
      <c r="S1704">
        <v>5</v>
      </c>
      <c r="T1704">
        <v>12</v>
      </c>
      <c r="U1704">
        <v>7</v>
      </c>
      <c r="V1704">
        <v>1</v>
      </c>
      <c r="W1704">
        <v>1</v>
      </c>
      <c r="X1704">
        <v>0</v>
      </c>
      <c r="Y1704">
        <v>0</v>
      </c>
      <c r="Z1704">
        <v>0</v>
      </c>
    </row>
    <row r="1705" spans="1:26" x14ac:dyDescent="0.2">
      <c r="A1705" t="s">
        <v>1823</v>
      </c>
      <c r="B1705" t="s">
        <v>77</v>
      </c>
      <c r="C1705">
        <v>2013</v>
      </c>
      <c r="D1705" t="s">
        <v>19</v>
      </c>
      <c r="E1705" t="s">
        <v>31</v>
      </c>
      <c r="F1705" t="s">
        <v>19</v>
      </c>
      <c r="G1705">
        <v>25586</v>
      </c>
      <c r="H1705">
        <v>20468.800000000003</v>
      </c>
      <c r="I1705" s="13">
        <v>0</v>
      </c>
      <c r="J1705" t="s">
        <v>6207</v>
      </c>
      <c r="K1705">
        <v>6</v>
      </c>
      <c r="L1705">
        <v>0</v>
      </c>
      <c r="M1705" t="s">
        <v>0</v>
      </c>
      <c r="N1705" s="2">
        <v>0.53</v>
      </c>
      <c r="O1705" s="2">
        <v>0.47</v>
      </c>
      <c r="P1705">
        <v>9</v>
      </c>
      <c r="Q1705">
        <v>11</v>
      </c>
      <c r="R1705">
        <v>6</v>
      </c>
      <c r="S1705">
        <v>1</v>
      </c>
      <c r="T1705">
        <v>11</v>
      </c>
      <c r="U1705">
        <v>9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x14ac:dyDescent="0.2">
      <c r="A1706" t="s">
        <v>1824</v>
      </c>
      <c r="B1706" t="s">
        <v>74</v>
      </c>
      <c r="C1706">
        <v>2013</v>
      </c>
      <c r="D1706" t="s">
        <v>42</v>
      </c>
      <c r="E1706" t="s">
        <v>71</v>
      </c>
      <c r="F1706" t="s">
        <v>38</v>
      </c>
      <c r="G1706">
        <v>42918</v>
      </c>
      <c r="H1706">
        <v>34334.400000000001</v>
      </c>
      <c r="I1706" s="13">
        <v>1</v>
      </c>
      <c r="J1706" t="s">
        <v>6208</v>
      </c>
      <c r="K1706">
        <v>1</v>
      </c>
      <c r="L1706">
        <v>1</v>
      </c>
      <c r="M1706" t="s">
        <v>58</v>
      </c>
      <c r="N1706" s="2">
        <v>0.27</v>
      </c>
      <c r="O1706" s="2">
        <v>0.73</v>
      </c>
      <c r="P1706">
        <v>12</v>
      </c>
      <c r="Q1706">
        <v>13</v>
      </c>
      <c r="R1706">
        <v>2</v>
      </c>
      <c r="S1706">
        <v>8</v>
      </c>
      <c r="T1706">
        <v>13</v>
      </c>
      <c r="U1706">
        <v>9</v>
      </c>
      <c r="V1706">
        <v>3</v>
      </c>
      <c r="W1706">
        <v>2</v>
      </c>
      <c r="X1706">
        <v>0</v>
      </c>
      <c r="Y1706">
        <v>0</v>
      </c>
      <c r="Z1706">
        <v>0</v>
      </c>
    </row>
    <row r="1707" spans="1:26" x14ac:dyDescent="0.2">
      <c r="A1707" t="s">
        <v>1825</v>
      </c>
      <c r="B1707" t="s">
        <v>25</v>
      </c>
      <c r="C1707">
        <v>2013</v>
      </c>
      <c r="D1707" t="s">
        <v>78</v>
      </c>
      <c r="E1707" t="s">
        <v>35</v>
      </c>
      <c r="F1707" t="s">
        <v>78</v>
      </c>
      <c r="G1707">
        <v>33280</v>
      </c>
      <c r="H1707">
        <v>26624</v>
      </c>
      <c r="I1707" s="13">
        <v>0</v>
      </c>
      <c r="J1707" t="s">
        <v>6207</v>
      </c>
      <c r="K1707">
        <v>2</v>
      </c>
      <c r="L1707">
        <v>2</v>
      </c>
      <c r="M1707" t="s">
        <v>58</v>
      </c>
      <c r="N1707" s="2">
        <v>0.44</v>
      </c>
      <c r="O1707" s="2">
        <v>0.56000000000000005</v>
      </c>
      <c r="P1707">
        <v>12</v>
      </c>
      <c r="Q1707">
        <v>14</v>
      </c>
      <c r="R1707">
        <v>7</v>
      </c>
      <c r="S1707">
        <v>6</v>
      </c>
      <c r="T1707">
        <v>14</v>
      </c>
      <c r="U1707">
        <v>10</v>
      </c>
      <c r="V1707">
        <v>3</v>
      </c>
      <c r="W1707">
        <v>2</v>
      </c>
      <c r="X1707">
        <v>0</v>
      </c>
      <c r="Y1707">
        <v>0</v>
      </c>
      <c r="Z1707">
        <v>0</v>
      </c>
    </row>
    <row r="1708" spans="1:26" x14ac:dyDescent="0.2">
      <c r="A1708" t="s">
        <v>1826</v>
      </c>
      <c r="B1708" t="s">
        <v>54</v>
      </c>
      <c r="C1708">
        <v>2013</v>
      </c>
      <c r="D1708" t="s">
        <v>64</v>
      </c>
      <c r="E1708" t="s">
        <v>46</v>
      </c>
      <c r="F1708" t="s">
        <v>64</v>
      </c>
      <c r="G1708">
        <v>52264</v>
      </c>
      <c r="H1708">
        <v>41811.200000000004</v>
      </c>
      <c r="I1708" s="13">
        <v>1</v>
      </c>
      <c r="J1708" t="s">
        <v>6206</v>
      </c>
      <c r="K1708">
        <v>0</v>
      </c>
      <c r="L1708">
        <v>1</v>
      </c>
      <c r="M1708" t="s">
        <v>1</v>
      </c>
      <c r="N1708" s="2">
        <v>0.47</v>
      </c>
      <c r="O1708" s="2">
        <v>0.53</v>
      </c>
      <c r="P1708">
        <v>10</v>
      </c>
      <c r="Q1708">
        <v>10</v>
      </c>
      <c r="R1708">
        <v>4</v>
      </c>
      <c r="S1708">
        <v>1</v>
      </c>
      <c r="T1708">
        <v>10</v>
      </c>
      <c r="U1708">
        <v>8</v>
      </c>
      <c r="V1708">
        <v>0</v>
      </c>
      <c r="W1708">
        <v>3</v>
      </c>
      <c r="X1708">
        <v>0</v>
      </c>
      <c r="Y1708">
        <v>0</v>
      </c>
      <c r="Z1708">
        <v>0</v>
      </c>
    </row>
    <row r="1709" spans="1:26" x14ac:dyDescent="0.2">
      <c r="A1709" t="s">
        <v>1827</v>
      </c>
      <c r="B1709" t="s">
        <v>44</v>
      </c>
      <c r="C1709">
        <v>2013</v>
      </c>
      <c r="D1709" t="s">
        <v>45</v>
      </c>
      <c r="E1709" t="s">
        <v>73</v>
      </c>
      <c r="F1709" t="s">
        <v>26</v>
      </c>
      <c r="G1709">
        <v>39572</v>
      </c>
      <c r="H1709">
        <v>31657.600000000002</v>
      </c>
      <c r="I1709" s="13">
        <v>0.5</v>
      </c>
      <c r="J1709" t="s">
        <v>6207</v>
      </c>
      <c r="K1709">
        <v>2</v>
      </c>
      <c r="L1709">
        <v>1</v>
      </c>
      <c r="M1709" t="s">
        <v>0</v>
      </c>
      <c r="N1709" s="2">
        <v>0.45</v>
      </c>
      <c r="O1709" s="2">
        <v>0.55000000000000004</v>
      </c>
      <c r="P1709">
        <v>17</v>
      </c>
      <c r="Q1709">
        <v>13</v>
      </c>
      <c r="R1709">
        <v>2</v>
      </c>
      <c r="S1709">
        <v>3</v>
      </c>
      <c r="T1709">
        <v>9</v>
      </c>
      <c r="U1709">
        <v>14</v>
      </c>
      <c r="V1709">
        <v>2</v>
      </c>
      <c r="W1709">
        <v>4</v>
      </c>
      <c r="X1709">
        <v>0</v>
      </c>
      <c r="Y1709">
        <v>0</v>
      </c>
      <c r="Z1709">
        <v>0</v>
      </c>
    </row>
    <row r="1710" spans="1:26" x14ac:dyDescent="0.2">
      <c r="A1710" t="s">
        <v>1828</v>
      </c>
      <c r="B1710" t="s">
        <v>60</v>
      </c>
      <c r="C1710">
        <v>2013</v>
      </c>
      <c r="D1710" t="s">
        <v>51</v>
      </c>
      <c r="E1710" t="s">
        <v>27</v>
      </c>
      <c r="F1710" t="s">
        <v>20</v>
      </c>
      <c r="G1710">
        <v>36284</v>
      </c>
      <c r="H1710">
        <v>29027.200000000001</v>
      </c>
      <c r="I1710" s="13">
        <v>0.75</v>
      </c>
      <c r="J1710" t="s">
        <v>6208</v>
      </c>
      <c r="K1710">
        <v>3</v>
      </c>
      <c r="L1710">
        <v>0</v>
      </c>
      <c r="M1710" t="s">
        <v>0</v>
      </c>
      <c r="N1710" s="2">
        <v>0.68</v>
      </c>
      <c r="O1710" s="2">
        <v>0.32</v>
      </c>
      <c r="P1710">
        <v>17</v>
      </c>
      <c r="Q1710">
        <v>5</v>
      </c>
      <c r="R1710">
        <v>6</v>
      </c>
      <c r="S1710">
        <v>1</v>
      </c>
      <c r="T1710">
        <v>6</v>
      </c>
      <c r="U1710">
        <v>14</v>
      </c>
      <c r="V1710">
        <v>2</v>
      </c>
      <c r="W1710">
        <v>2</v>
      </c>
      <c r="X1710">
        <v>0</v>
      </c>
      <c r="Y1710">
        <v>0</v>
      </c>
      <c r="Z1710">
        <v>1</v>
      </c>
    </row>
    <row r="1711" spans="1:26" x14ac:dyDescent="0.2">
      <c r="A1711" t="s">
        <v>1829</v>
      </c>
      <c r="B1711" t="s">
        <v>56</v>
      </c>
      <c r="C1711">
        <v>2013</v>
      </c>
      <c r="D1711" t="s">
        <v>18</v>
      </c>
      <c r="E1711" t="s">
        <v>26</v>
      </c>
      <c r="F1711" t="s">
        <v>20</v>
      </c>
      <c r="G1711">
        <v>40341</v>
      </c>
      <c r="H1711">
        <v>32272.800000000003</v>
      </c>
      <c r="I1711" s="13">
        <v>0.4</v>
      </c>
      <c r="J1711" t="s">
        <v>6207</v>
      </c>
      <c r="K1711">
        <v>2</v>
      </c>
      <c r="L1711">
        <v>1</v>
      </c>
      <c r="M1711" t="s">
        <v>0</v>
      </c>
      <c r="N1711" s="2">
        <v>0.52</v>
      </c>
      <c r="O1711" s="2">
        <v>0.48</v>
      </c>
      <c r="P1711">
        <v>18</v>
      </c>
      <c r="Q1711">
        <v>18</v>
      </c>
      <c r="R1711">
        <v>4</v>
      </c>
      <c r="S1711">
        <v>2</v>
      </c>
      <c r="T1711">
        <v>17</v>
      </c>
      <c r="U1711">
        <v>17</v>
      </c>
      <c r="V1711">
        <v>4</v>
      </c>
      <c r="W1711">
        <v>1</v>
      </c>
      <c r="X1711">
        <v>0</v>
      </c>
      <c r="Y1711">
        <v>0</v>
      </c>
      <c r="Z1711">
        <v>0</v>
      </c>
    </row>
    <row r="1712" spans="1:26" x14ac:dyDescent="0.2">
      <c r="A1712" t="s">
        <v>1830</v>
      </c>
      <c r="B1712" t="s">
        <v>52</v>
      </c>
      <c r="C1712">
        <v>2013</v>
      </c>
      <c r="D1712" t="s">
        <v>71</v>
      </c>
      <c r="E1712" t="s">
        <v>40</v>
      </c>
      <c r="F1712" t="s">
        <v>71</v>
      </c>
      <c r="G1712">
        <v>21088</v>
      </c>
      <c r="H1712">
        <v>16870.400000000001</v>
      </c>
      <c r="I1712" s="13">
        <v>0.7142857142857143</v>
      </c>
      <c r="J1712" t="s">
        <v>6207</v>
      </c>
      <c r="K1712">
        <v>2</v>
      </c>
      <c r="L1712">
        <v>3</v>
      </c>
      <c r="M1712" t="s">
        <v>1</v>
      </c>
      <c r="N1712" s="2">
        <v>0.52</v>
      </c>
      <c r="O1712" s="2">
        <v>0.48</v>
      </c>
      <c r="P1712">
        <v>13</v>
      </c>
      <c r="Q1712">
        <v>9</v>
      </c>
      <c r="R1712">
        <v>8</v>
      </c>
      <c r="S1712">
        <v>6</v>
      </c>
      <c r="T1712">
        <v>5</v>
      </c>
      <c r="U1712">
        <v>10</v>
      </c>
      <c r="V1712">
        <v>2</v>
      </c>
      <c r="W1712">
        <v>5</v>
      </c>
      <c r="X1712">
        <v>0</v>
      </c>
      <c r="Y1712">
        <v>0</v>
      </c>
      <c r="Z1712">
        <v>0</v>
      </c>
    </row>
    <row r="1713" spans="1:26" x14ac:dyDescent="0.2">
      <c r="A1713" t="s">
        <v>1831</v>
      </c>
      <c r="B1713" t="s">
        <v>50</v>
      </c>
      <c r="C1713">
        <v>2013</v>
      </c>
      <c r="D1713" t="s">
        <v>63</v>
      </c>
      <c r="E1713" t="s">
        <v>64</v>
      </c>
      <c r="F1713" t="s">
        <v>65</v>
      </c>
      <c r="G1713">
        <v>26804</v>
      </c>
      <c r="H1713">
        <v>21443.200000000001</v>
      </c>
      <c r="I1713" s="13">
        <v>1</v>
      </c>
      <c r="J1713" t="s">
        <v>6207</v>
      </c>
      <c r="K1713">
        <v>1</v>
      </c>
      <c r="L1713">
        <v>0</v>
      </c>
      <c r="M1713" t="s">
        <v>0</v>
      </c>
      <c r="N1713" s="2">
        <v>0.46</v>
      </c>
      <c r="O1713" s="2">
        <v>0.54</v>
      </c>
      <c r="P1713">
        <v>16</v>
      </c>
      <c r="Q1713">
        <v>12</v>
      </c>
      <c r="R1713">
        <v>3</v>
      </c>
      <c r="S1713">
        <v>4</v>
      </c>
      <c r="T1713">
        <v>7</v>
      </c>
      <c r="U1713">
        <v>15</v>
      </c>
      <c r="V1713">
        <v>0</v>
      </c>
      <c r="W1713">
        <v>0</v>
      </c>
      <c r="X1713">
        <v>0</v>
      </c>
      <c r="Y1713">
        <v>1</v>
      </c>
      <c r="Z1713">
        <v>1</v>
      </c>
    </row>
    <row r="1714" spans="1:26" x14ac:dyDescent="0.2">
      <c r="A1714" t="s">
        <v>1832</v>
      </c>
      <c r="B1714" t="s">
        <v>53</v>
      </c>
      <c r="C1714">
        <v>2013</v>
      </c>
      <c r="D1714" t="s">
        <v>35</v>
      </c>
      <c r="E1714" t="s">
        <v>42</v>
      </c>
      <c r="F1714" t="s">
        <v>35</v>
      </c>
      <c r="G1714">
        <v>49000</v>
      </c>
      <c r="H1714">
        <v>39200</v>
      </c>
      <c r="I1714" s="13">
        <v>0.42857142857142855</v>
      </c>
      <c r="J1714" t="s">
        <v>6207</v>
      </c>
      <c r="K1714">
        <v>0</v>
      </c>
      <c r="L1714">
        <v>1</v>
      </c>
      <c r="M1714" t="s">
        <v>1</v>
      </c>
      <c r="N1714" s="2">
        <v>0.65</v>
      </c>
      <c r="O1714" s="2">
        <v>0.35</v>
      </c>
      <c r="P1714">
        <v>12</v>
      </c>
      <c r="Q1714">
        <v>11</v>
      </c>
      <c r="R1714">
        <v>10</v>
      </c>
      <c r="S1714">
        <v>2</v>
      </c>
      <c r="T1714">
        <v>8</v>
      </c>
      <c r="U1714">
        <v>11</v>
      </c>
      <c r="V1714">
        <v>4</v>
      </c>
      <c r="W1714">
        <v>3</v>
      </c>
      <c r="X1714">
        <v>0</v>
      </c>
      <c r="Y1714">
        <v>0</v>
      </c>
      <c r="Z1714">
        <v>0</v>
      </c>
    </row>
    <row r="1715" spans="1:26" x14ac:dyDescent="0.2">
      <c r="A1715" t="s">
        <v>1833</v>
      </c>
      <c r="B1715" t="s">
        <v>37</v>
      </c>
      <c r="C1715">
        <v>2013</v>
      </c>
      <c r="D1715" t="s">
        <v>27</v>
      </c>
      <c r="E1715" t="s">
        <v>45</v>
      </c>
      <c r="F1715" t="s">
        <v>27</v>
      </c>
      <c r="G1715">
        <v>30089</v>
      </c>
      <c r="H1715">
        <v>24071.200000000001</v>
      </c>
      <c r="I1715" s="13">
        <v>0.6</v>
      </c>
      <c r="J1715" t="s">
        <v>6206</v>
      </c>
      <c r="K1715">
        <v>1</v>
      </c>
      <c r="L1715">
        <v>1</v>
      </c>
      <c r="M1715" t="s">
        <v>58</v>
      </c>
      <c r="N1715" s="2">
        <v>0.4</v>
      </c>
      <c r="O1715" s="2">
        <v>0.6</v>
      </c>
      <c r="P1715">
        <v>11</v>
      </c>
      <c r="Q1715">
        <v>16</v>
      </c>
      <c r="R1715">
        <v>2</v>
      </c>
      <c r="S1715">
        <v>5</v>
      </c>
      <c r="T1715">
        <v>16</v>
      </c>
      <c r="U1715">
        <v>11</v>
      </c>
      <c r="V1715">
        <v>4</v>
      </c>
      <c r="W1715">
        <v>1</v>
      </c>
      <c r="X1715">
        <v>0</v>
      </c>
      <c r="Y1715">
        <v>0</v>
      </c>
      <c r="Z1715">
        <v>1</v>
      </c>
    </row>
    <row r="1716" spans="1:26" x14ac:dyDescent="0.2">
      <c r="A1716" t="s">
        <v>1834</v>
      </c>
      <c r="B1716" t="s">
        <v>32</v>
      </c>
      <c r="C1716">
        <v>2013</v>
      </c>
      <c r="D1716" t="s">
        <v>73</v>
      </c>
      <c r="E1716" t="s">
        <v>18</v>
      </c>
      <c r="F1716" t="s">
        <v>73</v>
      </c>
      <c r="G1716">
        <v>32384</v>
      </c>
      <c r="H1716">
        <v>25907.200000000001</v>
      </c>
      <c r="I1716" s="13">
        <v>0.6</v>
      </c>
      <c r="J1716" t="s">
        <v>6207</v>
      </c>
      <c r="K1716">
        <v>0</v>
      </c>
      <c r="L1716">
        <v>3</v>
      </c>
      <c r="M1716" t="s">
        <v>1</v>
      </c>
      <c r="N1716" s="2">
        <v>0.54</v>
      </c>
      <c r="O1716" s="2">
        <v>0.46</v>
      </c>
      <c r="P1716">
        <v>17</v>
      </c>
      <c r="Q1716">
        <v>12</v>
      </c>
      <c r="R1716">
        <v>6</v>
      </c>
      <c r="S1716">
        <v>8</v>
      </c>
      <c r="T1716">
        <v>13</v>
      </c>
      <c r="U1716">
        <v>10</v>
      </c>
      <c r="V1716">
        <v>4</v>
      </c>
      <c r="W1716">
        <v>1</v>
      </c>
      <c r="X1716">
        <v>0</v>
      </c>
      <c r="Y1716">
        <v>0</v>
      </c>
      <c r="Z1716">
        <v>0</v>
      </c>
    </row>
    <row r="1717" spans="1:26" x14ac:dyDescent="0.2">
      <c r="A1717" t="s">
        <v>1835</v>
      </c>
      <c r="B1717" t="s">
        <v>76</v>
      </c>
      <c r="C1717">
        <v>2013</v>
      </c>
      <c r="D1717" t="s">
        <v>26</v>
      </c>
      <c r="E1717" t="s">
        <v>19</v>
      </c>
      <c r="F1717" t="s">
        <v>26</v>
      </c>
      <c r="G1717">
        <v>61276</v>
      </c>
      <c r="H1717">
        <v>49020.800000000003</v>
      </c>
      <c r="I1717" s="13">
        <v>0.66666666666666663</v>
      </c>
      <c r="J1717" t="s">
        <v>6207</v>
      </c>
      <c r="K1717">
        <v>2</v>
      </c>
      <c r="L1717">
        <v>0</v>
      </c>
      <c r="M1717" t="s">
        <v>0</v>
      </c>
      <c r="N1717" s="2">
        <v>0.59</v>
      </c>
      <c r="O1717" s="2">
        <v>0.41</v>
      </c>
      <c r="P1717">
        <v>17</v>
      </c>
      <c r="Q1717">
        <v>16</v>
      </c>
      <c r="R1717">
        <v>3</v>
      </c>
      <c r="S1717">
        <v>4</v>
      </c>
      <c r="T1717">
        <v>15</v>
      </c>
      <c r="U1717">
        <v>15</v>
      </c>
      <c r="V1717">
        <v>1</v>
      </c>
      <c r="W1717">
        <v>2</v>
      </c>
      <c r="X1717">
        <v>0</v>
      </c>
      <c r="Y1717">
        <v>0</v>
      </c>
      <c r="Z1717">
        <v>0</v>
      </c>
    </row>
    <row r="1718" spans="1:26" x14ac:dyDescent="0.2">
      <c r="A1718" t="s">
        <v>1836</v>
      </c>
      <c r="B1718" t="s">
        <v>44</v>
      </c>
      <c r="C1718">
        <v>2013</v>
      </c>
      <c r="D1718" t="s">
        <v>31</v>
      </c>
      <c r="E1718" t="s">
        <v>23</v>
      </c>
      <c r="F1718" t="s">
        <v>20</v>
      </c>
      <c r="G1718">
        <v>28500</v>
      </c>
      <c r="H1718">
        <v>22800</v>
      </c>
      <c r="I1718" s="13">
        <v>0.75</v>
      </c>
      <c r="J1718" t="s">
        <v>6207</v>
      </c>
      <c r="K1718">
        <v>2</v>
      </c>
      <c r="L1718">
        <v>1</v>
      </c>
      <c r="M1718" t="s">
        <v>0</v>
      </c>
      <c r="N1718" s="2">
        <v>0.68</v>
      </c>
      <c r="O1718" s="2">
        <v>0.32</v>
      </c>
      <c r="P1718">
        <v>9</v>
      </c>
      <c r="Q1718">
        <v>11</v>
      </c>
      <c r="R1718">
        <v>12</v>
      </c>
      <c r="S1718">
        <v>4</v>
      </c>
      <c r="T1718">
        <v>6</v>
      </c>
      <c r="U1718">
        <v>5</v>
      </c>
      <c r="V1718">
        <v>2</v>
      </c>
      <c r="W1718">
        <v>1</v>
      </c>
      <c r="X1718">
        <v>0</v>
      </c>
      <c r="Y1718">
        <v>1</v>
      </c>
      <c r="Z1718">
        <v>0</v>
      </c>
    </row>
    <row r="1719" spans="1:26" x14ac:dyDescent="0.2">
      <c r="A1719" t="s">
        <v>1837</v>
      </c>
      <c r="B1719" t="s">
        <v>41</v>
      </c>
      <c r="C1719">
        <v>2013</v>
      </c>
      <c r="D1719" t="s">
        <v>79</v>
      </c>
      <c r="E1719" t="s">
        <v>69</v>
      </c>
      <c r="F1719" t="s">
        <v>20</v>
      </c>
      <c r="G1719">
        <v>25486</v>
      </c>
      <c r="H1719">
        <v>20388.800000000003</v>
      </c>
      <c r="I1719" s="13">
        <v>0.8</v>
      </c>
      <c r="J1719" t="s">
        <v>6207</v>
      </c>
      <c r="K1719">
        <v>1</v>
      </c>
      <c r="L1719">
        <v>1</v>
      </c>
      <c r="M1719" t="s">
        <v>58</v>
      </c>
      <c r="N1719" s="2">
        <v>0.45</v>
      </c>
      <c r="O1719" s="2">
        <v>0.55000000000000004</v>
      </c>
      <c r="P1719">
        <v>10</v>
      </c>
      <c r="Q1719">
        <v>10</v>
      </c>
      <c r="R1719">
        <v>9</v>
      </c>
      <c r="S1719">
        <v>4</v>
      </c>
      <c r="T1719">
        <v>12</v>
      </c>
      <c r="U1719">
        <v>10</v>
      </c>
      <c r="V1719">
        <v>2</v>
      </c>
      <c r="W1719">
        <v>2</v>
      </c>
      <c r="X1719">
        <v>0</v>
      </c>
      <c r="Y1719">
        <v>1</v>
      </c>
      <c r="Z1719">
        <v>1</v>
      </c>
    </row>
    <row r="1720" spans="1:26" x14ac:dyDescent="0.2">
      <c r="A1720" t="s">
        <v>1838</v>
      </c>
      <c r="B1720" t="s">
        <v>68</v>
      </c>
      <c r="C1720">
        <v>2013</v>
      </c>
      <c r="D1720" t="s">
        <v>46</v>
      </c>
      <c r="E1720" t="s">
        <v>78</v>
      </c>
      <c r="F1720" t="s">
        <v>20</v>
      </c>
      <c r="G1720">
        <v>60704</v>
      </c>
      <c r="H1720">
        <v>48563.200000000004</v>
      </c>
      <c r="I1720" s="13">
        <v>0.33333333333333331</v>
      </c>
      <c r="J1720" t="s">
        <v>6207</v>
      </c>
      <c r="K1720">
        <v>2</v>
      </c>
      <c r="L1720">
        <v>0</v>
      </c>
      <c r="M1720" t="s">
        <v>0</v>
      </c>
      <c r="N1720" s="2">
        <v>0.68</v>
      </c>
      <c r="O1720" s="2">
        <v>0.32</v>
      </c>
      <c r="P1720">
        <v>13</v>
      </c>
      <c r="Q1720">
        <v>9</v>
      </c>
      <c r="R1720">
        <v>12</v>
      </c>
      <c r="S1720">
        <v>2</v>
      </c>
      <c r="T1720">
        <v>6</v>
      </c>
      <c r="U1720">
        <v>11</v>
      </c>
      <c r="V1720">
        <v>1</v>
      </c>
      <c r="W1720">
        <v>2</v>
      </c>
      <c r="X1720">
        <v>0</v>
      </c>
      <c r="Y1720">
        <v>0</v>
      </c>
      <c r="Z1720">
        <v>0</v>
      </c>
    </row>
    <row r="1721" spans="1:26" x14ac:dyDescent="0.2">
      <c r="A1721" t="s">
        <v>1839</v>
      </c>
      <c r="B1721" t="s">
        <v>56</v>
      </c>
      <c r="C1721">
        <v>2013</v>
      </c>
      <c r="D1721" t="s">
        <v>48</v>
      </c>
      <c r="E1721" t="s">
        <v>51</v>
      </c>
      <c r="F1721" t="s">
        <v>49</v>
      </c>
      <c r="G1721">
        <v>74197</v>
      </c>
      <c r="H1721">
        <v>59357.600000000006</v>
      </c>
      <c r="I1721" s="13">
        <v>0.66666666666666663</v>
      </c>
      <c r="J1721" t="s">
        <v>6207</v>
      </c>
      <c r="K1721">
        <v>1</v>
      </c>
      <c r="L1721">
        <v>2</v>
      </c>
      <c r="M1721" t="s">
        <v>1</v>
      </c>
      <c r="N1721" s="2">
        <v>0.61</v>
      </c>
      <c r="O1721" s="2">
        <v>0.39</v>
      </c>
      <c r="P1721">
        <v>9</v>
      </c>
      <c r="Q1721">
        <v>9</v>
      </c>
      <c r="R1721">
        <v>13</v>
      </c>
      <c r="S1721">
        <v>2</v>
      </c>
      <c r="T1721">
        <v>7</v>
      </c>
      <c r="U1721">
        <v>7</v>
      </c>
      <c r="V1721">
        <v>2</v>
      </c>
      <c r="W1721">
        <v>1</v>
      </c>
      <c r="X1721">
        <v>0</v>
      </c>
      <c r="Y1721">
        <v>0</v>
      </c>
      <c r="Z1721">
        <v>0</v>
      </c>
    </row>
    <row r="1722" spans="1:26" x14ac:dyDescent="0.2">
      <c r="A1722" t="s">
        <v>1840</v>
      </c>
      <c r="B1722" t="s">
        <v>44</v>
      </c>
      <c r="C1722">
        <v>2013</v>
      </c>
      <c r="D1722" t="s">
        <v>19</v>
      </c>
      <c r="E1722" t="s">
        <v>18</v>
      </c>
      <c r="F1722" t="s">
        <v>19</v>
      </c>
      <c r="G1722">
        <v>25586</v>
      </c>
      <c r="H1722">
        <v>20468.800000000003</v>
      </c>
      <c r="I1722" s="13">
        <v>0.33333333333333331</v>
      </c>
      <c r="J1722" t="s">
        <v>6207</v>
      </c>
      <c r="K1722">
        <v>0</v>
      </c>
      <c r="L1722">
        <v>2</v>
      </c>
      <c r="M1722" t="s">
        <v>1</v>
      </c>
      <c r="N1722" s="2">
        <v>0.44</v>
      </c>
      <c r="O1722" s="2">
        <v>0.56000000000000005</v>
      </c>
      <c r="P1722">
        <v>8</v>
      </c>
      <c r="Q1722">
        <v>14</v>
      </c>
      <c r="R1722">
        <v>1</v>
      </c>
      <c r="S1722">
        <v>7</v>
      </c>
      <c r="T1722">
        <v>12</v>
      </c>
      <c r="U1722">
        <v>7</v>
      </c>
      <c r="V1722">
        <v>2</v>
      </c>
      <c r="W1722">
        <v>1</v>
      </c>
      <c r="X1722">
        <v>0</v>
      </c>
      <c r="Y1722">
        <v>0</v>
      </c>
      <c r="Z1722">
        <v>0</v>
      </c>
    </row>
    <row r="1723" spans="1:26" x14ac:dyDescent="0.2">
      <c r="A1723" t="s">
        <v>1841</v>
      </c>
      <c r="B1723" t="s">
        <v>66</v>
      </c>
      <c r="C1723">
        <v>2013</v>
      </c>
      <c r="D1723" t="s">
        <v>51</v>
      </c>
      <c r="E1723" t="s">
        <v>79</v>
      </c>
      <c r="F1723" t="s">
        <v>20</v>
      </c>
      <c r="G1723">
        <v>36284</v>
      </c>
      <c r="H1723">
        <v>29027.200000000001</v>
      </c>
      <c r="I1723" s="13">
        <v>0.66666666666666663</v>
      </c>
      <c r="J1723" t="s">
        <v>6207</v>
      </c>
      <c r="K1723">
        <v>2</v>
      </c>
      <c r="L1723">
        <v>0</v>
      </c>
      <c r="M1723" t="s">
        <v>0</v>
      </c>
      <c r="N1723" s="2">
        <v>0.68</v>
      </c>
      <c r="O1723" s="2">
        <v>0.32</v>
      </c>
      <c r="P1723">
        <v>13</v>
      </c>
      <c r="Q1723">
        <v>12</v>
      </c>
      <c r="R1723">
        <v>5</v>
      </c>
      <c r="S1723">
        <v>11</v>
      </c>
      <c r="T1723">
        <v>12</v>
      </c>
      <c r="U1723">
        <v>12</v>
      </c>
      <c r="V1723">
        <v>1</v>
      </c>
      <c r="W1723">
        <v>2</v>
      </c>
      <c r="X1723">
        <v>0</v>
      </c>
      <c r="Y1723">
        <v>0</v>
      </c>
      <c r="Z1723">
        <v>1</v>
      </c>
    </row>
    <row r="1724" spans="1:26" x14ac:dyDescent="0.2">
      <c r="A1724" t="s">
        <v>1842</v>
      </c>
      <c r="B1724" t="s">
        <v>56</v>
      </c>
      <c r="C1724">
        <v>2013</v>
      </c>
      <c r="D1724" t="s">
        <v>73</v>
      </c>
      <c r="E1724" t="s">
        <v>63</v>
      </c>
      <c r="F1724" t="s">
        <v>73</v>
      </c>
      <c r="G1724">
        <v>32384</v>
      </c>
      <c r="H1724">
        <v>25907.200000000001</v>
      </c>
      <c r="I1724" s="13">
        <v>1</v>
      </c>
      <c r="J1724" t="s">
        <v>6207</v>
      </c>
      <c r="K1724">
        <v>1</v>
      </c>
      <c r="L1724">
        <v>0</v>
      </c>
      <c r="M1724" t="s">
        <v>0</v>
      </c>
      <c r="N1724" s="2">
        <v>0.62</v>
      </c>
      <c r="O1724" s="2">
        <v>0.38</v>
      </c>
      <c r="P1724">
        <v>24</v>
      </c>
      <c r="Q1724">
        <v>14</v>
      </c>
      <c r="R1724">
        <v>4</v>
      </c>
      <c r="S1724">
        <v>4</v>
      </c>
      <c r="T1724">
        <v>11</v>
      </c>
      <c r="U1724">
        <v>17</v>
      </c>
      <c r="V1724">
        <v>1</v>
      </c>
      <c r="W1724">
        <v>2</v>
      </c>
      <c r="X1724">
        <v>0</v>
      </c>
      <c r="Y1724">
        <v>0</v>
      </c>
      <c r="Z1724">
        <v>0</v>
      </c>
    </row>
    <row r="1725" spans="1:26" x14ac:dyDescent="0.2">
      <c r="A1725" t="s">
        <v>1843</v>
      </c>
      <c r="B1725" t="s">
        <v>41</v>
      </c>
      <c r="C1725">
        <v>2013</v>
      </c>
      <c r="D1725" t="s">
        <v>31</v>
      </c>
      <c r="E1725" t="s">
        <v>35</v>
      </c>
      <c r="F1725" t="s">
        <v>20</v>
      </c>
      <c r="G1725">
        <v>28500</v>
      </c>
      <c r="H1725">
        <v>22800</v>
      </c>
      <c r="I1725" s="13">
        <v>0</v>
      </c>
      <c r="J1725" t="s">
        <v>6207</v>
      </c>
      <c r="K1725">
        <v>1</v>
      </c>
      <c r="L1725">
        <v>4</v>
      </c>
      <c r="M1725" t="s">
        <v>1</v>
      </c>
      <c r="N1725" s="2">
        <v>0.59</v>
      </c>
      <c r="O1725" s="2">
        <v>0.41</v>
      </c>
      <c r="P1725">
        <v>12</v>
      </c>
      <c r="Q1725">
        <v>18</v>
      </c>
      <c r="R1725">
        <v>10</v>
      </c>
      <c r="S1725">
        <v>6</v>
      </c>
      <c r="T1725">
        <v>15</v>
      </c>
      <c r="U1725">
        <v>13</v>
      </c>
      <c r="V1725">
        <v>3</v>
      </c>
      <c r="W1725">
        <v>3</v>
      </c>
      <c r="X1725">
        <v>0</v>
      </c>
      <c r="Y1725">
        <v>0</v>
      </c>
      <c r="Z1725">
        <v>1</v>
      </c>
    </row>
    <row r="1726" spans="1:26" x14ac:dyDescent="0.2">
      <c r="A1726" t="s">
        <v>1844</v>
      </c>
      <c r="B1726" t="s">
        <v>60</v>
      </c>
      <c r="C1726">
        <v>2013</v>
      </c>
      <c r="D1726" t="s">
        <v>45</v>
      </c>
      <c r="E1726" t="s">
        <v>69</v>
      </c>
      <c r="F1726" t="s">
        <v>26</v>
      </c>
      <c r="G1726">
        <v>39572</v>
      </c>
      <c r="H1726">
        <v>31657.600000000002</v>
      </c>
      <c r="I1726" s="13">
        <v>0.33333333333333331</v>
      </c>
      <c r="J1726" t="s">
        <v>6208</v>
      </c>
      <c r="K1726">
        <v>2</v>
      </c>
      <c r="L1726">
        <v>0</v>
      </c>
      <c r="M1726" t="s">
        <v>0</v>
      </c>
      <c r="N1726" s="2">
        <v>0.63</v>
      </c>
      <c r="O1726" s="2">
        <v>0.37</v>
      </c>
      <c r="P1726">
        <v>17</v>
      </c>
      <c r="Q1726">
        <v>8</v>
      </c>
      <c r="R1726">
        <v>10</v>
      </c>
      <c r="S1726">
        <v>5</v>
      </c>
      <c r="T1726">
        <v>7</v>
      </c>
      <c r="U1726">
        <v>14</v>
      </c>
      <c r="V1726">
        <v>1</v>
      </c>
      <c r="W1726">
        <v>2</v>
      </c>
      <c r="X1726">
        <v>0</v>
      </c>
      <c r="Y1726">
        <v>0</v>
      </c>
      <c r="Z1726">
        <v>0</v>
      </c>
    </row>
    <row r="1727" spans="1:26" x14ac:dyDescent="0.2">
      <c r="A1727" t="s">
        <v>1845</v>
      </c>
      <c r="B1727" t="s">
        <v>50</v>
      </c>
      <c r="C1727">
        <v>2013</v>
      </c>
      <c r="D1727" t="s">
        <v>78</v>
      </c>
      <c r="E1727" t="s">
        <v>23</v>
      </c>
      <c r="F1727" t="s">
        <v>78</v>
      </c>
      <c r="G1727">
        <v>33280</v>
      </c>
      <c r="H1727">
        <v>26624</v>
      </c>
      <c r="I1727" s="13">
        <v>0.5</v>
      </c>
      <c r="J1727" t="s">
        <v>6207</v>
      </c>
      <c r="K1727">
        <v>0</v>
      </c>
      <c r="L1727">
        <v>2</v>
      </c>
      <c r="M1727" t="s">
        <v>1</v>
      </c>
      <c r="N1727" s="2">
        <v>0.63</v>
      </c>
      <c r="O1727" s="2">
        <v>0.37</v>
      </c>
      <c r="P1727">
        <v>17</v>
      </c>
      <c r="Q1727">
        <v>8</v>
      </c>
      <c r="R1727">
        <v>8</v>
      </c>
      <c r="S1727">
        <v>7</v>
      </c>
      <c r="T1727">
        <v>7</v>
      </c>
      <c r="U1727">
        <v>16</v>
      </c>
      <c r="V1727">
        <v>1</v>
      </c>
      <c r="W1727">
        <v>4</v>
      </c>
      <c r="X1727">
        <v>0</v>
      </c>
      <c r="Y1727">
        <v>1</v>
      </c>
      <c r="Z1727">
        <v>0</v>
      </c>
    </row>
    <row r="1728" spans="1:26" x14ac:dyDescent="0.2">
      <c r="A1728" t="s">
        <v>1846</v>
      </c>
      <c r="B1728" t="s">
        <v>25</v>
      </c>
      <c r="C1728">
        <v>2013</v>
      </c>
      <c r="D1728" t="s">
        <v>48</v>
      </c>
      <c r="E1728" t="s">
        <v>71</v>
      </c>
      <c r="F1728" t="s">
        <v>49</v>
      </c>
      <c r="G1728">
        <v>74197</v>
      </c>
      <c r="H1728">
        <v>59357.600000000006</v>
      </c>
      <c r="I1728" s="13">
        <v>1</v>
      </c>
      <c r="J1728" t="s">
        <v>6207</v>
      </c>
      <c r="K1728">
        <v>2</v>
      </c>
      <c r="L1728">
        <v>0</v>
      </c>
      <c r="M1728" t="s">
        <v>0</v>
      </c>
      <c r="N1728" s="2">
        <v>0.39</v>
      </c>
      <c r="O1728" s="2">
        <v>0.61</v>
      </c>
      <c r="P1728">
        <v>10</v>
      </c>
      <c r="Q1728">
        <v>10</v>
      </c>
      <c r="R1728">
        <v>3</v>
      </c>
      <c r="S1728">
        <v>5</v>
      </c>
      <c r="T1728">
        <v>9</v>
      </c>
      <c r="U1728">
        <v>10</v>
      </c>
      <c r="V1728">
        <v>0</v>
      </c>
      <c r="W1728">
        <v>2</v>
      </c>
      <c r="X1728">
        <v>0</v>
      </c>
      <c r="Y1728">
        <v>0</v>
      </c>
      <c r="Z1728">
        <v>0</v>
      </c>
    </row>
    <row r="1729" spans="1:26" x14ac:dyDescent="0.2">
      <c r="A1729" t="s">
        <v>1847</v>
      </c>
      <c r="B1729" t="s">
        <v>53</v>
      </c>
      <c r="C1729">
        <v>2013</v>
      </c>
      <c r="D1729" t="s">
        <v>64</v>
      </c>
      <c r="E1729" t="s">
        <v>40</v>
      </c>
      <c r="F1729" t="s">
        <v>64</v>
      </c>
      <c r="G1729">
        <v>52264</v>
      </c>
      <c r="H1729">
        <v>41811.200000000004</v>
      </c>
      <c r="I1729" s="13">
        <v>1</v>
      </c>
      <c r="J1729" t="s">
        <v>6207</v>
      </c>
      <c r="K1729">
        <v>0</v>
      </c>
      <c r="L1729">
        <v>2</v>
      </c>
      <c r="M1729" t="s">
        <v>1</v>
      </c>
      <c r="N1729" s="2">
        <v>0.54</v>
      </c>
      <c r="O1729" s="2">
        <v>0.46</v>
      </c>
      <c r="P1729">
        <v>19</v>
      </c>
      <c r="Q1729">
        <v>21</v>
      </c>
      <c r="R1729">
        <v>5</v>
      </c>
      <c r="S1729">
        <v>6</v>
      </c>
      <c r="T1729">
        <v>18</v>
      </c>
      <c r="U1729">
        <v>15</v>
      </c>
      <c r="V1729">
        <v>4</v>
      </c>
      <c r="W1729">
        <v>2</v>
      </c>
      <c r="X1729">
        <v>0</v>
      </c>
      <c r="Y1729">
        <v>0</v>
      </c>
      <c r="Z1729">
        <v>0</v>
      </c>
    </row>
    <row r="1730" spans="1:26" x14ac:dyDescent="0.2">
      <c r="A1730" t="s">
        <v>1848</v>
      </c>
      <c r="B1730" t="s">
        <v>61</v>
      </c>
      <c r="C1730">
        <v>2013</v>
      </c>
      <c r="D1730" t="s">
        <v>27</v>
      </c>
      <c r="E1730" t="s">
        <v>26</v>
      </c>
      <c r="F1730" t="s">
        <v>27</v>
      </c>
      <c r="G1730">
        <v>30089</v>
      </c>
      <c r="H1730">
        <v>24071.200000000001</v>
      </c>
      <c r="I1730" s="13">
        <v>0.5</v>
      </c>
      <c r="J1730" t="s">
        <v>6207</v>
      </c>
      <c r="K1730">
        <v>3</v>
      </c>
      <c r="L1730">
        <v>5</v>
      </c>
      <c r="M1730" t="s">
        <v>1</v>
      </c>
      <c r="N1730" s="2">
        <v>0.51</v>
      </c>
      <c r="O1730" s="2">
        <v>0.49</v>
      </c>
      <c r="P1730">
        <v>8</v>
      </c>
      <c r="Q1730">
        <v>11</v>
      </c>
      <c r="R1730">
        <v>11</v>
      </c>
      <c r="S1730">
        <v>2</v>
      </c>
      <c r="T1730">
        <v>10</v>
      </c>
      <c r="U1730">
        <v>8</v>
      </c>
      <c r="V1730">
        <v>1</v>
      </c>
      <c r="W1730">
        <v>1</v>
      </c>
      <c r="X1730">
        <v>0</v>
      </c>
      <c r="Y1730">
        <v>0</v>
      </c>
      <c r="Z1730">
        <v>1</v>
      </c>
    </row>
    <row r="1731" spans="1:26" x14ac:dyDescent="0.2">
      <c r="A1731" t="s">
        <v>1849</v>
      </c>
      <c r="B1731" t="s">
        <v>67</v>
      </c>
      <c r="C1731">
        <v>2013</v>
      </c>
      <c r="D1731" t="s">
        <v>42</v>
      </c>
      <c r="E1731" t="s">
        <v>46</v>
      </c>
      <c r="F1731" t="s">
        <v>38</v>
      </c>
      <c r="G1731">
        <v>42918</v>
      </c>
      <c r="H1731">
        <v>34334.400000000001</v>
      </c>
      <c r="I1731" s="13">
        <v>0.5</v>
      </c>
      <c r="J1731" t="s">
        <v>6207</v>
      </c>
      <c r="K1731">
        <v>1</v>
      </c>
      <c r="L1731">
        <v>2</v>
      </c>
      <c r="M1731" t="s">
        <v>1</v>
      </c>
      <c r="N1731" s="2">
        <v>0.36</v>
      </c>
      <c r="O1731" s="2">
        <v>0.64</v>
      </c>
      <c r="P1731">
        <v>14</v>
      </c>
      <c r="Q1731">
        <v>17</v>
      </c>
      <c r="R1731">
        <v>3</v>
      </c>
      <c r="S1731">
        <v>5</v>
      </c>
      <c r="T1731">
        <v>12</v>
      </c>
      <c r="U1731">
        <v>9</v>
      </c>
      <c r="V1731">
        <v>2</v>
      </c>
      <c r="W1731">
        <v>2</v>
      </c>
      <c r="X1731">
        <v>0</v>
      </c>
      <c r="Y1731">
        <v>0</v>
      </c>
      <c r="Z1731">
        <v>0</v>
      </c>
    </row>
    <row r="1732" spans="1:26" x14ac:dyDescent="0.2">
      <c r="A1732" t="s">
        <v>1850</v>
      </c>
      <c r="B1732" t="s">
        <v>25</v>
      </c>
      <c r="C1732">
        <v>2013</v>
      </c>
      <c r="D1732" t="s">
        <v>35</v>
      </c>
      <c r="E1732" t="s">
        <v>73</v>
      </c>
      <c r="F1732" t="s">
        <v>35</v>
      </c>
      <c r="G1732">
        <v>49000</v>
      </c>
      <c r="H1732">
        <v>39200</v>
      </c>
      <c r="I1732" s="13">
        <v>0</v>
      </c>
      <c r="J1732" t="s">
        <v>6207</v>
      </c>
      <c r="K1732">
        <v>2</v>
      </c>
      <c r="L1732">
        <v>2</v>
      </c>
      <c r="M1732" t="s">
        <v>58</v>
      </c>
      <c r="N1732" s="2">
        <v>0.36</v>
      </c>
      <c r="O1732" s="2">
        <v>0.64</v>
      </c>
      <c r="P1732">
        <v>10</v>
      </c>
      <c r="Q1732">
        <v>13</v>
      </c>
      <c r="R1732">
        <v>4</v>
      </c>
      <c r="S1732">
        <v>7</v>
      </c>
      <c r="T1732">
        <v>8</v>
      </c>
      <c r="U1732">
        <v>8</v>
      </c>
      <c r="V1732">
        <v>2</v>
      </c>
      <c r="W1732">
        <v>0</v>
      </c>
      <c r="X1732">
        <v>0</v>
      </c>
      <c r="Y1732">
        <v>0</v>
      </c>
      <c r="Z1732">
        <v>0</v>
      </c>
    </row>
    <row r="1733" spans="1:26" x14ac:dyDescent="0.2">
      <c r="A1733" t="s">
        <v>1851</v>
      </c>
      <c r="B1733" t="s">
        <v>37</v>
      </c>
      <c r="C1733">
        <v>2013</v>
      </c>
      <c r="D1733" t="s">
        <v>23</v>
      </c>
      <c r="E1733" t="s">
        <v>64</v>
      </c>
      <c r="F1733" t="s">
        <v>20</v>
      </c>
      <c r="G1733">
        <v>62500</v>
      </c>
      <c r="H1733">
        <v>50000</v>
      </c>
      <c r="I1733" s="13">
        <v>0</v>
      </c>
      <c r="J1733" t="s">
        <v>6206</v>
      </c>
      <c r="K1733">
        <v>1</v>
      </c>
      <c r="L1733">
        <v>3</v>
      </c>
      <c r="M1733" t="s">
        <v>1</v>
      </c>
      <c r="N1733" s="2">
        <v>0.48</v>
      </c>
      <c r="O1733" s="2">
        <v>0.52</v>
      </c>
      <c r="P1733">
        <v>10</v>
      </c>
      <c r="Q1733">
        <v>13</v>
      </c>
      <c r="R1733">
        <v>4</v>
      </c>
      <c r="S1733">
        <v>3</v>
      </c>
      <c r="T1733">
        <v>9</v>
      </c>
      <c r="U1733">
        <v>6</v>
      </c>
      <c r="V1733">
        <v>0</v>
      </c>
      <c r="W1733">
        <v>0</v>
      </c>
      <c r="X1733">
        <v>0</v>
      </c>
      <c r="Y1733">
        <v>0</v>
      </c>
      <c r="Z1733">
        <v>0</v>
      </c>
    </row>
    <row r="1734" spans="1:26" x14ac:dyDescent="0.2">
      <c r="A1734" t="s">
        <v>1852</v>
      </c>
      <c r="B1734" t="s">
        <v>56</v>
      </c>
      <c r="C1734">
        <v>2013</v>
      </c>
      <c r="D1734" t="s">
        <v>69</v>
      </c>
      <c r="E1734" t="s">
        <v>19</v>
      </c>
      <c r="F1734" t="s">
        <v>69</v>
      </c>
      <c r="G1734">
        <v>27359</v>
      </c>
      <c r="H1734">
        <v>21887.200000000001</v>
      </c>
      <c r="I1734" s="13">
        <v>0.2</v>
      </c>
      <c r="J1734" t="s">
        <v>6207</v>
      </c>
      <c r="K1734">
        <v>1</v>
      </c>
      <c r="L1734">
        <v>0</v>
      </c>
      <c r="M1734" t="s">
        <v>0</v>
      </c>
      <c r="N1734" s="2">
        <v>0.56000000000000005</v>
      </c>
      <c r="O1734" s="2">
        <v>0.44</v>
      </c>
      <c r="P1734">
        <v>17</v>
      </c>
      <c r="Q1734">
        <v>9</v>
      </c>
      <c r="R1734">
        <v>10</v>
      </c>
      <c r="S1734">
        <v>8</v>
      </c>
      <c r="T1734">
        <v>8</v>
      </c>
      <c r="U1734">
        <v>16</v>
      </c>
      <c r="V1734">
        <v>1</v>
      </c>
      <c r="W1734">
        <v>3</v>
      </c>
      <c r="X1734">
        <v>0</v>
      </c>
      <c r="Y1734">
        <v>1</v>
      </c>
      <c r="Z1734">
        <v>0</v>
      </c>
    </row>
    <row r="1735" spans="1:26" x14ac:dyDescent="0.2">
      <c r="A1735" t="s">
        <v>1853</v>
      </c>
      <c r="B1735" t="s">
        <v>67</v>
      </c>
      <c r="C1735">
        <v>2013</v>
      </c>
      <c r="D1735" t="s">
        <v>40</v>
      </c>
      <c r="E1735" t="s">
        <v>78</v>
      </c>
      <c r="F1735" t="s">
        <v>49</v>
      </c>
      <c r="G1735">
        <v>53400</v>
      </c>
      <c r="H1735">
        <v>42720</v>
      </c>
      <c r="I1735" s="13">
        <v>1</v>
      </c>
      <c r="J1735" t="s">
        <v>6207</v>
      </c>
      <c r="K1735">
        <v>4</v>
      </c>
      <c r="L1735">
        <v>2</v>
      </c>
      <c r="M1735" t="s">
        <v>0</v>
      </c>
      <c r="N1735" s="2">
        <v>0.62</v>
      </c>
      <c r="O1735" s="2">
        <v>0.38</v>
      </c>
      <c r="P1735">
        <v>8</v>
      </c>
      <c r="Q1735">
        <v>9</v>
      </c>
      <c r="R1735">
        <v>10</v>
      </c>
      <c r="S1735">
        <v>7</v>
      </c>
      <c r="T1735">
        <v>6</v>
      </c>
      <c r="U1735">
        <v>5</v>
      </c>
      <c r="V1735">
        <v>2</v>
      </c>
      <c r="W1735">
        <v>0</v>
      </c>
      <c r="X1735">
        <v>0</v>
      </c>
      <c r="Y1735">
        <v>0</v>
      </c>
      <c r="Z1735">
        <v>0</v>
      </c>
    </row>
    <row r="1736" spans="1:26" x14ac:dyDescent="0.2">
      <c r="A1736" t="s">
        <v>1854</v>
      </c>
      <c r="B1736" t="s">
        <v>50</v>
      </c>
      <c r="C1736">
        <v>2013</v>
      </c>
      <c r="D1736" t="s">
        <v>79</v>
      </c>
      <c r="E1736" t="s">
        <v>27</v>
      </c>
      <c r="F1736" t="s">
        <v>20</v>
      </c>
      <c r="G1736">
        <v>25486</v>
      </c>
      <c r="H1736">
        <v>20388.800000000003</v>
      </c>
      <c r="I1736" s="13">
        <v>1</v>
      </c>
      <c r="J1736" t="s">
        <v>6207</v>
      </c>
      <c r="K1736">
        <v>1</v>
      </c>
      <c r="L1736">
        <v>0</v>
      </c>
      <c r="M1736" t="s">
        <v>0</v>
      </c>
      <c r="N1736" s="2">
        <v>0.43</v>
      </c>
      <c r="O1736" s="2">
        <v>0.56999999999999995</v>
      </c>
      <c r="P1736">
        <v>15</v>
      </c>
      <c r="Q1736">
        <v>11</v>
      </c>
      <c r="R1736">
        <v>4</v>
      </c>
      <c r="S1736">
        <v>3</v>
      </c>
      <c r="T1736">
        <v>9</v>
      </c>
      <c r="U1736">
        <v>13</v>
      </c>
      <c r="V1736">
        <v>0</v>
      </c>
      <c r="W1736">
        <v>2</v>
      </c>
      <c r="X1736">
        <v>0</v>
      </c>
      <c r="Y1736">
        <v>0</v>
      </c>
      <c r="Z1736">
        <v>0</v>
      </c>
    </row>
    <row r="1737" spans="1:26" x14ac:dyDescent="0.2">
      <c r="A1737" t="s">
        <v>1855</v>
      </c>
      <c r="B1737" t="s">
        <v>54</v>
      </c>
      <c r="C1737">
        <v>2013</v>
      </c>
      <c r="D1737" t="s">
        <v>46</v>
      </c>
      <c r="E1737" t="s">
        <v>31</v>
      </c>
      <c r="F1737" t="s">
        <v>20</v>
      </c>
      <c r="G1737">
        <v>60704</v>
      </c>
      <c r="H1737">
        <v>48563.200000000004</v>
      </c>
      <c r="I1737" s="13">
        <v>0</v>
      </c>
      <c r="J1737" t="s">
        <v>6206</v>
      </c>
      <c r="K1737">
        <v>2</v>
      </c>
      <c r="L1737">
        <v>0</v>
      </c>
      <c r="M1737" t="s">
        <v>0</v>
      </c>
      <c r="N1737" s="2">
        <v>0.59</v>
      </c>
      <c r="O1737" s="2">
        <v>0.41</v>
      </c>
      <c r="P1737">
        <v>8</v>
      </c>
      <c r="Q1737">
        <v>6</v>
      </c>
      <c r="R1737">
        <v>4</v>
      </c>
      <c r="S1737">
        <v>4</v>
      </c>
      <c r="T1737">
        <v>5</v>
      </c>
      <c r="U1737">
        <v>7</v>
      </c>
      <c r="V1737">
        <v>0</v>
      </c>
      <c r="W1737">
        <v>0</v>
      </c>
      <c r="X1737">
        <v>0</v>
      </c>
      <c r="Y1737">
        <v>0</v>
      </c>
      <c r="Z1737">
        <v>0</v>
      </c>
    </row>
    <row r="1738" spans="1:26" x14ac:dyDescent="0.2">
      <c r="A1738" t="s">
        <v>1856</v>
      </c>
      <c r="B1738" t="s">
        <v>68</v>
      </c>
      <c r="C1738">
        <v>2013</v>
      </c>
      <c r="D1738" t="s">
        <v>26</v>
      </c>
      <c r="E1738" t="s">
        <v>42</v>
      </c>
      <c r="F1738" t="s">
        <v>26</v>
      </c>
      <c r="G1738">
        <v>61276</v>
      </c>
      <c r="H1738">
        <v>49020.800000000003</v>
      </c>
      <c r="I1738" s="13">
        <v>0.6</v>
      </c>
      <c r="J1738" t="s">
        <v>6207</v>
      </c>
      <c r="K1738">
        <v>2</v>
      </c>
      <c r="L1738">
        <v>2</v>
      </c>
      <c r="M1738" t="s">
        <v>58</v>
      </c>
      <c r="N1738" s="2">
        <v>0.56000000000000005</v>
      </c>
      <c r="O1738" s="2">
        <v>0.44</v>
      </c>
      <c r="P1738">
        <v>18</v>
      </c>
      <c r="Q1738">
        <v>17</v>
      </c>
      <c r="R1738">
        <v>2</v>
      </c>
      <c r="S1738">
        <v>3</v>
      </c>
      <c r="T1738">
        <v>14</v>
      </c>
      <c r="U1738">
        <v>18</v>
      </c>
      <c r="V1738">
        <v>1</v>
      </c>
      <c r="W1738">
        <v>4</v>
      </c>
      <c r="X1738">
        <v>0</v>
      </c>
      <c r="Y1738">
        <v>0</v>
      </c>
      <c r="Z1738">
        <v>1</v>
      </c>
    </row>
    <row r="1739" spans="1:26" x14ac:dyDescent="0.2">
      <c r="A1739" t="s">
        <v>1857</v>
      </c>
      <c r="B1739" t="s">
        <v>32</v>
      </c>
      <c r="C1739">
        <v>2013</v>
      </c>
      <c r="D1739" t="s">
        <v>71</v>
      </c>
      <c r="E1739" t="s">
        <v>51</v>
      </c>
      <c r="F1739" t="s">
        <v>71</v>
      </c>
      <c r="G1739">
        <v>21088</v>
      </c>
      <c r="H1739">
        <v>16870.400000000001</v>
      </c>
      <c r="I1739" s="13">
        <v>0.66666666666666663</v>
      </c>
      <c r="J1739" t="s">
        <v>6207</v>
      </c>
      <c r="K1739">
        <v>1</v>
      </c>
      <c r="L1739">
        <v>3</v>
      </c>
      <c r="M1739" t="s">
        <v>1</v>
      </c>
      <c r="N1739" s="2">
        <v>0.56000000000000005</v>
      </c>
      <c r="O1739" s="2">
        <v>0.44</v>
      </c>
      <c r="P1739">
        <v>11</v>
      </c>
      <c r="Q1739">
        <v>8</v>
      </c>
      <c r="R1739">
        <v>8</v>
      </c>
      <c r="S1739">
        <v>2</v>
      </c>
      <c r="T1739">
        <v>6</v>
      </c>
      <c r="U1739">
        <v>9</v>
      </c>
      <c r="V1739">
        <v>2</v>
      </c>
      <c r="W1739">
        <v>1</v>
      </c>
      <c r="X1739">
        <v>0</v>
      </c>
      <c r="Y1739">
        <v>0</v>
      </c>
      <c r="Z1739">
        <v>0</v>
      </c>
    </row>
    <row r="1740" spans="1:26" x14ac:dyDescent="0.2">
      <c r="A1740" t="s">
        <v>1858</v>
      </c>
      <c r="B1740" t="s">
        <v>52</v>
      </c>
      <c r="C1740">
        <v>2013</v>
      </c>
      <c r="D1740" t="s">
        <v>18</v>
      </c>
      <c r="E1740" t="s">
        <v>48</v>
      </c>
      <c r="F1740" t="s">
        <v>20</v>
      </c>
      <c r="G1740">
        <v>40341</v>
      </c>
      <c r="H1740">
        <v>32272.800000000003</v>
      </c>
      <c r="I1740" s="13">
        <v>0.8</v>
      </c>
      <c r="J1740" t="s">
        <v>6207</v>
      </c>
      <c r="K1740">
        <v>3</v>
      </c>
      <c r="L1740">
        <v>1</v>
      </c>
      <c r="M1740" t="s">
        <v>0</v>
      </c>
      <c r="N1740" s="2">
        <v>0.44</v>
      </c>
      <c r="O1740" s="2">
        <v>0.56000000000000005</v>
      </c>
      <c r="P1740">
        <v>22</v>
      </c>
      <c r="Q1740">
        <v>17</v>
      </c>
      <c r="R1740">
        <v>5</v>
      </c>
      <c r="S1740">
        <v>4</v>
      </c>
      <c r="T1740">
        <v>15</v>
      </c>
      <c r="U1740">
        <v>21</v>
      </c>
      <c r="V1740">
        <v>1</v>
      </c>
      <c r="W1740">
        <v>3</v>
      </c>
      <c r="X1740">
        <v>0</v>
      </c>
      <c r="Y1740">
        <v>1</v>
      </c>
      <c r="Z1740">
        <v>0</v>
      </c>
    </row>
    <row r="1741" spans="1:26" x14ac:dyDescent="0.2">
      <c r="A1741" t="s">
        <v>1859</v>
      </c>
      <c r="B1741" t="s">
        <v>66</v>
      </c>
      <c r="C1741">
        <v>2013</v>
      </c>
      <c r="D1741" t="s">
        <v>63</v>
      </c>
      <c r="E1741" t="s">
        <v>45</v>
      </c>
      <c r="F1741" t="s">
        <v>65</v>
      </c>
      <c r="G1741">
        <v>26804</v>
      </c>
      <c r="H1741">
        <v>21443.200000000001</v>
      </c>
      <c r="I1741" s="13">
        <v>0.4</v>
      </c>
      <c r="J1741" t="s">
        <v>6207</v>
      </c>
      <c r="K1741">
        <v>1</v>
      </c>
      <c r="L1741">
        <v>1</v>
      </c>
      <c r="M1741" t="s">
        <v>58</v>
      </c>
      <c r="N1741" s="2">
        <v>0.51</v>
      </c>
      <c r="O1741" s="2">
        <v>0.49</v>
      </c>
      <c r="P1741">
        <v>12</v>
      </c>
      <c r="Q1741">
        <v>17</v>
      </c>
      <c r="R1741">
        <v>4</v>
      </c>
      <c r="S1741">
        <v>2</v>
      </c>
      <c r="T1741">
        <v>16</v>
      </c>
      <c r="U1741">
        <v>12</v>
      </c>
      <c r="V1741">
        <v>3</v>
      </c>
      <c r="W1741">
        <v>2</v>
      </c>
      <c r="X1741">
        <v>0</v>
      </c>
      <c r="Y1741">
        <v>0</v>
      </c>
      <c r="Z1741">
        <v>0</v>
      </c>
    </row>
    <row r="1742" spans="1:26" x14ac:dyDescent="0.2">
      <c r="A1742" t="s">
        <v>1860</v>
      </c>
      <c r="B1742" t="s">
        <v>66</v>
      </c>
      <c r="C1742">
        <v>2013</v>
      </c>
      <c r="D1742" t="s">
        <v>71</v>
      </c>
      <c r="E1742" t="s">
        <v>31</v>
      </c>
      <c r="F1742" t="s">
        <v>71</v>
      </c>
      <c r="G1742">
        <v>21088</v>
      </c>
      <c r="H1742">
        <v>16870.400000000001</v>
      </c>
      <c r="I1742" s="13">
        <v>0.5</v>
      </c>
      <c r="J1742" t="s">
        <v>6207</v>
      </c>
      <c r="K1742">
        <v>2</v>
      </c>
      <c r="L1742">
        <v>0</v>
      </c>
      <c r="M1742" t="s">
        <v>0</v>
      </c>
      <c r="N1742" s="2">
        <v>0.62</v>
      </c>
      <c r="O1742" s="2">
        <v>0.38</v>
      </c>
      <c r="P1742">
        <v>12</v>
      </c>
      <c r="Q1742">
        <v>13</v>
      </c>
      <c r="R1742">
        <v>5</v>
      </c>
      <c r="S1742">
        <v>8</v>
      </c>
      <c r="T1742">
        <v>14</v>
      </c>
      <c r="U1742">
        <v>9</v>
      </c>
      <c r="V1742">
        <v>1</v>
      </c>
      <c r="W1742">
        <v>1</v>
      </c>
      <c r="X1742">
        <v>0</v>
      </c>
      <c r="Y1742">
        <v>0</v>
      </c>
      <c r="Z1742">
        <v>0</v>
      </c>
    </row>
    <row r="1743" spans="1:26" x14ac:dyDescent="0.2">
      <c r="A1743" t="s">
        <v>1861</v>
      </c>
      <c r="B1743" t="s">
        <v>50</v>
      </c>
      <c r="C1743">
        <v>2013</v>
      </c>
      <c r="D1743" t="s">
        <v>73</v>
      </c>
      <c r="E1743" t="s">
        <v>46</v>
      </c>
      <c r="F1743" t="s">
        <v>73</v>
      </c>
      <c r="G1743">
        <v>32384</v>
      </c>
      <c r="H1743">
        <v>25907.200000000001</v>
      </c>
      <c r="I1743" s="13">
        <v>0.75</v>
      </c>
      <c r="J1743" t="s">
        <v>6207</v>
      </c>
      <c r="K1743">
        <v>2</v>
      </c>
      <c r="L1743">
        <v>2</v>
      </c>
      <c r="M1743" t="s">
        <v>58</v>
      </c>
      <c r="N1743" s="2">
        <v>0.53</v>
      </c>
      <c r="O1743" s="2">
        <v>0.47</v>
      </c>
      <c r="P1743">
        <v>6</v>
      </c>
      <c r="Q1743">
        <v>13</v>
      </c>
      <c r="R1743">
        <v>7</v>
      </c>
      <c r="S1743">
        <v>5</v>
      </c>
      <c r="T1743">
        <v>11</v>
      </c>
      <c r="U1743">
        <v>4</v>
      </c>
      <c r="V1743">
        <v>2</v>
      </c>
      <c r="W1743">
        <v>1</v>
      </c>
      <c r="X1743">
        <v>0</v>
      </c>
      <c r="Y1743">
        <v>1</v>
      </c>
      <c r="Z1743">
        <v>0</v>
      </c>
    </row>
    <row r="1744" spans="1:26" x14ac:dyDescent="0.2">
      <c r="A1744" t="s">
        <v>1862</v>
      </c>
      <c r="B1744" t="s">
        <v>25</v>
      </c>
      <c r="C1744">
        <v>2013</v>
      </c>
      <c r="D1744" t="s">
        <v>69</v>
      </c>
      <c r="E1744" t="s">
        <v>64</v>
      </c>
      <c r="F1744" t="s">
        <v>69</v>
      </c>
      <c r="G1744">
        <v>27359</v>
      </c>
      <c r="H1744">
        <v>21887.200000000001</v>
      </c>
      <c r="I1744" s="13">
        <v>0.75</v>
      </c>
      <c r="J1744" t="s">
        <v>6207</v>
      </c>
      <c r="K1744">
        <v>0</v>
      </c>
      <c r="L1744">
        <v>0</v>
      </c>
      <c r="M1744" t="s">
        <v>58</v>
      </c>
      <c r="N1744" s="2">
        <v>0.46</v>
      </c>
      <c r="O1744" s="2">
        <v>0.54</v>
      </c>
      <c r="P1744">
        <v>10</v>
      </c>
      <c r="Q1744">
        <v>11</v>
      </c>
      <c r="R1744">
        <v>7</v>
      </c>
      <c r="S1744">
        <v>7</v>
      </c>
      <c r="T1744">
        <v>13</v>
      </c>
      <c r="U1744">
        <v>7</v>
      </c>
      <c r="V1744">
        <v>1</v>
      </c>
      <c r="W1744">
        <v>1</v>
      </c>
      <c r="X1744">
        <v>1</v>
      </c>
      <c r="Y1744">
        <v>1</v>
      </c>
      <c r="Z1744">
        <v>0</v>
      </c>
    </row>
    <row r="1745" spans="1:26" x14ac:dyDescent="0.2">
      <c r="A1745" t="s">
        <v>1863</v>
      </c>
      <c r="B1745" t="s">
        <v>76</v>
      </c>
      <c r="C1745">
        <v>2013</v>
      </c>
      <c r="D1745" t="s">
        <v>48</v>
      </c>
      <c r="E1745" t="s">
        <v>78</v>
      </c>
      <c r="F1745" t="s">
        <v>49</v>
      </c>
      <c r="G1745">
        <v>74197</v>
      </c>
      <c r="H1745">
        <v>59357.600000000006</v>
      </c>
      <c r="I1745" s="13">
        <v>0</v>
      </c>
      <c r="J1745" t="s">
        <v>6207</v>
      </c>
      <c r="K1745">
        <v>2</v>
      </c>
      <c r="L1745">
        <v>0</v>
      </c>
      <c r="M1745" t="s">
        <v>0</v>
      </c>
      <c r="N1745" s="2">
        <v>0.46</v>
      </c>
      <c r="O1745" s="2">
        <v>0.54</v>
      </c>
      <c r="P1745">
        <v>11</v>
      </c>
      <c r="Q1745">
        <v>13</v>
      </c>
      <c r="R1745">
        <v>5</v>
      </c>
      <c r="S1745">
        <v>5</v>
      </c>
      <c r="T1745">
        <v>9</v>
      </c>
      <c r="U1745">
        <v>9</v>
      </c>
      <c r="V1745">
        <v>0</v>
      </c>
      <c r="W1745">
        <v>1</v>
      </c>
      <c r="X1745">
        <v>0</v>
      </c>
      <c r="Y1745">
        <v>0</v>
      </c>
      <c r="Z1745">
        <v>0</v>
      </c>
    </row>
    <row r="1746" spans="1:26" x14ac:dyDescent="0.2">
      <c r="A1746" t="s">
        <v>1864</v>
      </c>
      <c r="B1746" t="s">
        <v>32</v>
      </c>
      <c r="C1746">
        <v>2013</v>
      </c>
      <c r="D1746" t="s">
        <v>26</v>
      </c>
      <c r="E1746" t="s">
        <v>45</v>
      </c>
      <c r="F1746" t="s">
        <v>26</v>
      </c>
      <c r="G1746">
        <v>61276</v>
      </c>
      <c r="H1746">
        <v>49020.800000000003</v>
      </c>
      <c r="I1746" s="13">
        <v>0.66666666666666663</v>
      </c>
      <c r="J1746" t="s">
        <v>6207</v>
      </c>
      <c r="K1746">
        <v>4</v>
      </c>
      <c r="L1746">
        <v>0</v>
      </c>
      <c r="M1746" t="s">
        <v>0</v>
      </c>
      <c r="N1746" s="2">
        <v>0.39</v>
      </c>
      <c r="O1746" s="2">
        <v>0.61</v>
      </c>
      <c r="P1746">
        <v>12</v>
      </c>
      <c r="Q1746">
        <v>11</v>
      </c>
      <c r="R1746">
        <v>5</v>
      </c>
      <c r="S1746">
        <v>8</v>
      </c>
      <c r="T1746">
        <v>11</v>
      </c>
      <c r="U1746">
        <v>13</v>
      </c>
      <c r="V1746">
        <v>0</v>
      </c>
      <c r="W1746">
        <v>3</v>
      </c>
      <c r="X1746">
        <v>0</v>
      </c>
      <c r="Y1746">
        <v>0</v>
      </c>
      <c r="Z1746">
        <v>1</v>
      </c>
    </row>
    <row r="1747" spans="1:26" x14ac:dyDescent="0.2">
      <c r="A1747" t="s">
        <v>1865</v>
      </c>
      <c r="B1747" t="s">
        <v>74</v>
      </c>
      <c r="C1747">
        <v>2013</v>
      </c>
      <c r="D1747" t="s">
        <v>79</v>
      </c>
      <c r="E1747" t="s">
        <v>19</v>
      </c>
      <c r="F1747" t="s">
        <v>20</v>
      </c>
      <c r="G1747">
        <v>25486</v>
      </c>
      <c r="H1747">
        <v>20388.800000000003</v>
      </c>
      <c r="I1747" s="13">
        <v>0.4</v>
      </c>
      <c r="J1747" t="s">
        <v>6208</v>
      </c>
      <c r="K1747">
        <v>1</v>
      </c>
      <c r="L1747">
        <v>0</v>
      </c>
      <c r="M1747" t="s">
        <v>0</v>
      </c>
      <c r="N1747" s="2">
        <v>0.38</v>
      </c>
      <c r="O1747" s="2">
        <v>0.62</v>
      </c>
      <c r="P1747">
        <v>9</v>
      </c>
      <c r="Q1747">
        <v>14</v>
      </c>
      <c r="R1747">
        <v>8</v>
      </c>
      <c r="S1747">
        <v>3</v>
      </c>
      <c r="T1747">
        <v>14</v>
      </c>
      <c r="U1747">
        <v>8</v>
      </c>
      <c r="V1747">
        <v>4</v>
      </c>
      <c r="W1747">
        <v>0</v>
      </c>
      <c r="X1747">
        <v>0</v>
      </c>
      <c r="Y1747">
        <v>1</v>
      </c>
      <c r="Z1747">
        <v>0</v>
      </c>
    </row>
    <row r="1748" spans="1:26" x14ac:dyDescent="0.2">
      <c r="A1748" t="s">
        <v>1866</v>
      </c>
      <c r="B1748" t="s">
        <v>37</v>
      </c>
      <c r="C1748">
        <v>2013</v>
      </c>
      <c r="D1748" t="s">
        <v>51</v>
      </c>
      <c r="E1748" t="s">
        <v>40</v>
      </c>
      <c r="F1748" t="s">
        <v>20</v>
      </c>
      <c r="G1748">
        <v>36284</v>
      </c>
      <c r="H1748">
        <v>29027.200000000001</v>
      </c>
      <c r="I1748" s="13">
        <v>0.66666666666666663</v>
      </c>
      <c r="J1748" t="s">
        <v>6206</v>
      </c>
      <c r="K1748">
        <v>1</v>
      </c>
      <c r="L1748">
        <v>5</v>
      </c>
      <c r="M1748" t="s">
        <v>1</v>
      </c>
      <c r="N1748" s="2">
        <v>0.34</v>
      </c>
      <c r="O1748" s="2">
        <v>0.66</v>
      </c>
      <c r="P1748">
        <v>10</v>
      </c>
      <c r="Q1748">
        <v>12</v>
      </c>
      <c r="R1748">
        <v>3</v>
      </c>
      <c r="S1748">
        <v>5</v>
      </c>
      <c r="T1748">
        <v>11</v>
      </c>
      <c r="U1748">
        <v>10</v>
      </c>
      <c r="V1748">
        <v>1</v>
      </c>
      <c r="W1748">
        <v>4</v>
      </c>
      <c r="X1748">
        <v>1</v>
      </c>
      <c r="Y1748">
        <v>0</v>
      </c>
      <c r="Z1748">
        <v>1</v>
      </c>
    </row>
    <row r="1749" spans="1:26" x14ac:dyDescent="0.2">
      <c r="A1749" t="s">
        <v>1867</v>
      </c>
      <c r="B1749" t="s">
        <v>77</v>
      </c>
      <c r="C1749">
        <v>2013</v>
      </c>
      <c r="D1749" t="s">
        <v>35</v>
      </c>
      <c r="E1749" t="s">
        <v>27</v>
      </c>
      <c r="F1749" t="s">
        <v>35</v>
      </c>
      <c r="G1749">
        <v>49000</v>
      </c>
      <c r="H1749">
        <v>39200</v>
      </c>
      <c r="I1749" s="13">
        <v>0.5</v>
      </c>
      <c r="J1749" t="s">
        <v>6207</v>
      </c>
      <c r="K1749">
        <v>1</v>
      </c>
      <c r="L1749">
        <v>0</v>
      </c>
      <c r="M1749" t="s">
        <v>0</v>
      </c>
      <c r="N1749" s="2">
        <v>0.48</v>
      </c>
      <c r="O1749" s="2">
        <v>0.52</v>
      </c>
      <c r="P1749">
        <v>14</v>
      </c>
      <c r="Q1749">
        <v>16</v>
      </c>
      <c r="R1749">
        <v>2</v>
      </c>
      <c r="S1749">
        <v>3</v>
      </c>
      <c r="T1749">
        <v>16</v>
      </c>
      <c r="U1749">
        <v>15</v>
      </c>
      <c r="V1749">
        <v>2</v>
      </c>
      <c r="W1749">
        <v>3</v>
      </c>
      <c r="X1749">
        <v>0</v>
      </c>
      <c r="Y1749">
        <v>1</v>
      </c>
      <c r="Z1749">
        <v>0</v>
      </c>
    </row>
    <row r="1750" spans="1:26" x14ac:dyDescent="0.2">
      <c r="A1750" t="s">
        <v>1868</v>
      </c>
      <c r="B1750" t="s">
        <v>67</v>
      </c>
      <c r="C1750">
        <v>2013</v>
      </c>
      <c r="D1750" t="s">
        <v>18</v>
      </c>
      <c r="E1750" t="s">
        <v>23</v>
      </c>
      <c r="F1750" t="s">
        <v>20</v>
      </c>
      <c r="G1750">
        <v>40341</v>
      </c>
      <c r="H1750">
        <v>32272.800000000003</v>
      </c>
      <c r="I1750" s="13">
        <v>0.5</v>
      </c>
      <c r="J1750" t="s">
        <v>6207</v>
      </c>
      <c r="K1750">
        <v>0</v>
      </c>
      <c r="L1750">
        <v>0</v>
      </c>
      <c r="M1750" t="s">
        <v>58</v>
      </c>
      <c r="N1750" s="2">
        <v>0.72</v>
      </c>
      <c r="O1750" s="2">
        <v>0.28000000000000003</v>
      </c>
      <c r="P1750">
        <v>12</v>
      </c>
      <c r="Q1750">
        <v>14</v>
      </c>
      <c r="R1750">
        <v>13</v>
      </c>
      <c r="S1750">
        <v>3</v>
      </c>
      <c r="T1750">
        <v>12</v>
      </c>
      <c r="U1750">
        <v>11</v>
      </c>
      <c r="V1750">
        <v>1</v>
      </c>
      <c r="W1750">
        <v>3</v>
      </c>
      <c r="X1750">
        <v>0</v>
      </c>
      <c r="Y1750">
        <v>0</v>
      </c>
      <c r="Z1750">
        <v>0</v>
      </c>
    </row>
    <row r="1751" spans="1:26" x14ac:dyDescent="0.2">
      <c r="A1751" t="s">
        <v>1869</v>
      </c>
      <c r="B1751" t="s">
        <v>44</v>
      </c>
      <c r="C1751">
        <v>2013</v>
      </c>
      <c r="D1751" t="s">
        <v>42</v>
      </c>
      <c r="E1751" t="s">
        <v>63</v>
      </c>
      <c r="F1751" t="s">
        <v>38</v>
      </c>
      <c r="G1751">
        <v>42918</v>
      </c>
      <c r="H1751">
        <v>34334.400000000001</v>
      </c>
      <c r="I1751" s="13">
        <v>0.5</v>
      </c>
      <c r="J1751" t="s">
        <v>6207</v>
      </c>
      <c r="K1751">
        <v>4</v>
      </c>
      <c r="L1751">
        <v>3</v>
      </c>
      <c r="M1751" t="s">
        <v>0</v>
      </c>
      <c r="N1751" s="2">
        <v>0.45</v>
      </c>
      <c r="O1751" s="2">
        <v>0.55000000000000004</v>
      </c>
      <c r="P1751">
        <v>14</v>
      </c>
      <c r="Q1751">
        <v>20</v>
      </c>
      <c r="R1751">
        <v>3</v>
      </c>
      <c r="S1751">
        <v>3</v>
      </c>
      <c r="T1751">
        <v>15</v>
      </c>
      <c r="U1751">
        <v>10</v>
      </c>
      <c r="V1751">
        <v>1</v>
      </c>
      <c r="W1751">
        <v>3</v>
      </c>
      <c r="X1751">
        <v>0</v>
      </c>
      <c r="Y1751">
        <v>0</v>
      </c>
      <c r="Z1751">
        <v>1</v>
      </c>
    </row>
    <row r="1752" spans="1:26" x14ac:dyDescent="0.2">
      <c r="A1752" t="s">
        <v>1870</v>
      </c>
      <c r="B1752" t="s">
        <v>56</v>
      </c>
      <c r="C1752">
        <v>2013</v>
      </c>
      <c r="D1752" t="s">
        <v>23</v>
      </c>
      <c r="E1752" t="s">
        <v>71</v>
      </c>
      <c r="F1752" t="s">
        <v>20</v>
      </c>
      <c r="G1752">
        <v>62500</v>
      </c>
      <c r="H1752">
        <v>50000</v>
      </c>
      <c r="I1752" s="13">
        <v>0</v>
      </c>
      <c r="J1752" t="s">
        <v>6207</v>
      </c>
      <c r="K1752">
        <v>2</v>
      </c>
      <c r="L1752">
        <v>0</v>
      </c>
      <c r="M1752" t="s">
        <v>0</v>
      </c>
      <c r="N1752" s="2">
        <v>0.35</v>
      </c>
      <c r="O1752" s="2">
        <v>0.65</v>
      </c>
      <c r="P1752">
        <v>10</v>
      </c>
      <c r="Q1752">
        <v>6</v>
      </c>
      <c r="R1752">
        <v>8</v>
      </c>
      <c r="S1752">
        <v>11</v>
      </c>
      <c r="T1752">
        <v>7</v>
      </c>
      <c r="U1752">
        <v>7</v>
      </c>
      <c r="V1752">
        <v>1</v>
      </c>
      <c r="W1752">
        <v>0</v>
      </c>
      <c r="X1752">
        <v>1</v>
      </c>
      <c r="Y1752">
        <v>0</v>
      </c>
      <c r="Z1752">
        <v>0</v>
      </c>
    </row>
    <row r="1753" spans="1:26" x14ac:dyDescent="0.2">
      <c r="A1753" t="s">
        <v>1871</v>
      </c>
      <c r="B1753" t="s">
        <v>52</v>
      </c>
      <c r="C1753">
        <v>2013</v>
      </c>
      <c r="D1753" t="s">
        <v>64</v>
      </c>
      <c r="E1753" t="s">
        <v>35</v>
      </c>
      <c r="F1753" t="s">
        <v>64</v>
      </c>
      <c r="G1753">
        <v>52264</v>
      </c>
      <c r="H1753">
        <v>41811.200000000004</v>
      </c>
      <c r="I1753" s="13">
        <v>0.75</v>
      </c>
      <c r="J1753" t="s">
        <v>6207</v>
      </c>
      <c r="K1753">
        <v>0</v>
      </c>
      <c r="L1753">
        <v>3</v>
      </c>
      <c r="M1753" t="s">
        <v>1</v>
      </c>
      <c r="N1753" s="2">
        <v>0.51</v>
      </c>
      <c r="O1753" s="2">
        <v>0.49</v>
      </c>
      <c r="P1753">
        <v>13</v>
      </c>
      <c r="Q1753">
        <v>19</v>
      </c>
      <c r="R1753">
        <v>7</v>
      </c>
      <c r="S1753">
        <v>3</v>
      </c>
      <c r="T1753">
        <v>18</v>
      </c>
      <c r="U1753">
        <v>13</v>
      </c>
      <c r="V1753">
        <v>2</v>
      </c>
      <c r="W1753">
        <v>2</v>
      </c>
      <c r="X1753">
        <v>0</v>
      </c>
      <c r="Y1753">
        <v>0</v>
      </c>
      <c r="Z1753">
        <v>1</v>
      </c>
    </row>
    <row r="1754" spans="1:26" x14ac:dyDescent="0.2">
      <c r="A1754" t="s">
        <v>1872</v>
      </c>
      <c r="B1754" t="s">
        <v>67</v>
      </c>
      <c r="C1754">
        <v>2013</v>
      </c>
      <c r="D1754" t="s">
        <v>27</v>
      </c>
      <c r="E1754" t="s">
        <v>48</v>
      </c>
      <c r="F1754" t="s">
        <v>27</v>
      </c>
      <c r="G1754">
        <v>30089</v>
      </c>
      <c r="H1754">
        <v>24071.200000000001</v>
      </c>
      <c r="I1754" s="13">
        <v>0.5</v>
      </c>
      <c r="J1754" t="s">
        <v>6207</v>
      </c>
      <c r="K1754">
        <v>2</v>
      </c>
      <c r="L1754">
        <v>1</v>
      </c>
      <c r="M1754" t="s">
        <v>0</v>
      </c>
      <c r="N1754" s="2">
        <v>0.38</v>
      </c>
      <c r="O1754" s="2">
        <v>0.62</v>
      </c>
      <c r="P1754">
        <v>10</v>
      </c>
      <c r="Q1754">
        <v>18</v>
      </c>
      <c r="R1754">
        <v>7</v>
      </c>
      <c r="S1754">
        <v>10</v>
      </c>
      <c r="T1754">
        <v>18</v>
      </c>
      <c r="U1754">
        <v>7</v>
      </c>
      <c r="V1754">
        <v>2</v>
      </c>
      <c r="W1754">
        <v>2</v>
      </c>
      <c r="X1754">
        <v>0</v>
      </c>
      <c r="Y1754">
        <v>0</v>
      </c>
      <c r="Z1754">
        <v>0</v>
      </c>
    </row>
    <row r="1755" spans="1:26" x14ac:dyDescent="0.2">
      <c r="A1755" t="s">
        <v>1873</v>
      </c>
      <c r="B1755" t="s">
        <v>61</v>
      </c>
      <c r="C1755">
        <v>2013</v>
      </c>
      <c r="D1755" t="s">
        <v>19</v>
      </c>
      <c r="E1755" t="s">
        <v>51</v>
      </c>
      <c r="F1755" t="s">
        <v>19</v>
      </c>
      <c r="G1755">
        <v>25586</v>
      </c>
      <c r="H1755">
        <v>20468.800000000003</v>
      </c>
      <c r="I1755" s="13">
        <v>1</v>
      </c>
      <c r="J1755" t="s">
        <v>6207</v>
      </c>
      <c r="K1755">
        <v>1</v>
      </c>
      <c r="L1755">
        <v>1</v>
      </c>
      <c r="M1755" t="s">
        <v>58</v>
      </c>
      <c r="N1755" s="2">
        <v>0.38</v>
      </c>
      <c r="O1755" s="2">
        <v>0.62</v>
      </c>
      <c r="P1755">
        <v>14</v>
      </c>
      <c r="Q1755">
        <v>17</v>
      </c>
      <c r="R1755">
        <v>4</v>
      </c>
      <c r="S1755">
        <v>10</v>
      </c>
      <c r="T1755">
        <v>13</v>
      </c>
      <c r="U1755">
        <v>9</v>
      </c>
      <c r="V1755">
        <v>1</v>
      </c>
      <c r="W1755">
        <v>1</v>
      </c>
      <c r="X1755">
        <v>0</v>
      </c>
      <c r="Y1755">
        <v>0</v>
      </c>
      <c r="Z1755">
        <v>0</v>
      </c>
    </row>
    <row r="1756" spans="1:26" x14ac:dyDescent="0.2">
      <c r="A1756" t="s">
        <v>1874</v>
      </c>
      <c r="B1756" t="s">
        <v>53</v>
      </c>
      <c r="C1756">
        <v>2013</v>
      </c>
      <c r="D1756" t="s">
        <v>31</v>
      </c>
      <c r="E1756" t="s">
        <v>73</v>
      </c>
      <c r="F1756" t="s">
        <v>20</v>
      </c>
      <c r="G1756">
        <v>28500</v>
      </c>
      <c r="H1756">
        <v>22800</v>
      </c>
      <c r="I1756" s="13">
        <v>1</v>
      </c>
      <c r="J1756" t="s">
        <v>6207</v>
      </c>
      <c r="K1756">
        <v>0</v>
      </c>
      <c r="L1756">
        <v>3</v>
      </c>
      <c r="M1756" t="s">
        <v>1</v>
      </c>
      <c r="N1756" s="2">
        <v>0.39</v>
      </c>
      <c r="O1756" s="2">
        <v>0.61</v>
      </c>
      <c r="P1756">
        <v>9</v>
      </c>
      <c r="Q1756">
        <v>15</v>
      </c>
      <c r="R1756">
        <v>4</v>
      </c>
      <c r="S1756">
        <v>5</v>
      </c>
      <c r="T1756">
        <v>10</v>
      </c>
      <c r="U1756">
        <v>9</v>
      </c>
      <c r="V1756">
        <v>0</v>
      </c>
      <c r="W1756">
        <v>3</v>
      </c>
      <c r="X1756">
        <v>0</v>
      </c>
      <c r="Y1756">
        <v>0</v>
      </c>
      <c r="Z1756">
        <v>0</v>
      </c>
    </row>
    <row r="1757" spans="1:26" x14ac:dyDescent="0.2">
      <c r="A1757" t="s">
        <v>1875</v>
      </c>
      <c r="B1757" t="s">
        <v>77</v>
      </c>
      <c r="C1757">
        <v>2013</v>
      </c>
      <c r="D1757" t="s">
        <v>45</v>
      </c>
      <c r="E1757" t="s">
        <v>42</v>
      </c>
      <c r="F1757" t="s">
        <v>26</v>
      </c>
      <c r="G1757">
        <v>39572</v>
      </c>
      <c r="H1757">
        <v>31657.600000000002</v>
      </c>
      <c r="I1757" s="13">
        <v>0</v>
      </c>
      <c r="J1757" t="s">
        <v>6207</v>
      </c>
      <c r="K1757">
        <v>2</v>
      </c>
      <c r="L1757">
        <v>1</v>
      </c>
      <c r="M1757" t="s">
        <v>0</v>
      </c>
      <c r="N1757" s="2">
        <v>0.71</v>
      </c>
      <c r="O1757" s="2">
        <v>0.28999999999999998</v>
      </c>
      <c r="P1757">
        <v>21</v>
      </c>
      <c r="Q1757">
        <v>13</v>
      </c>
      <c r="R1757">
        <v>13</v>
      </c>
      <c r="S1757">
        <v>1</v>
      </c>
      <c r="T1757">
        <v>4</v>
      </c>
      <c r="U1757">
        <v>18</v>
      </c>
      <c r="V1757">
        <v>1</v>
      </c>
      <c r="W1757">
        <v>0</v>
      </c>
      <c r="X1757">
        <v>0</v>
      </c>
      <c r="Y1757">
        <v>0</v>
      </c>
      <c r="Z1757">
        <v>0</v>
      </c>
    </row>
    <row r="1758" spans="1:26" x14ac:dyDescent="0.2">
      <c r="A1758" t="s">
        <v>1876</v>
      </c>
      <c r="B1758" t="s">
        <v>44</v>
      </c>
      <c r="C1758">
        <v>2013</v>
      </c>
      <c r="D1758" t="s">
        <v>78</v>
      </c>
      <c r="E1758" t="s">
        <v>69</v>
      </c>
      <c r="F1758" t="s">
        <v>78</v>
      </c>
      <c r="G1758">
        <v>33280</v>
      </c>
      <c r="H1758">
        <v>26624</v>
      </c>
      <c r="I1758" s="13">
        <v>0.4</v>
      </c>
      <c r="J1758" t="s">
        <v>6207</v>
      </c>
      <c r="K1758">
        <v>2</v>
      </c>
      <c r="L1758">
        <v>1</v>
      </c>
      <c r="M1758" t="s">
        <v>0</v>
      </c>
      <c r="N1758" s="2">
        <v>0.49</v>
      </c>
      <c r="O1758" s="2">
        <v>0.51</v>
      </c>
      <c r="P1758">
        <v>11</v>
      </c>
      <c r="Q1758">
        <v>10</v>
      </c>
      <c r="R1758">
        <v>7</v>
      </c>
      <c r="S1758">
        <v>14</v>
      </c>
      <c r="T1758">
        <v>8</v>
      </c>
      <c r="U1758">
        <v>9</v>
      </c>
      <c r="V1758">
        <v>1</v>
      </c>
      <c r="W1758">
        <v>4</v>
      </c>
      <c r="X1758">
        <v>0</v>
      </c>
      <c r="Y1758">
        <v>0</v>
      </c>
      <c r="Z1758">
        <v>0</v>
      </c>
    </row>
    <row r="1759" spans="1:26" x14ac:dyDescent="0.2">
      <c r="A1759" t="s">
        <v>1877</v>
      </c>
      <c r="B1759" t="s">
        <v>60</v>
      </c>
      <c r="C1759">
        <v>2013</v>
      </c>
      <c r="D1759" t="s">
        <v>63</v>
      </c>
      <c r="E1759" t="s">
        <v>26</v>
      </c>
      <c r="F1759" t="s">
        <v>65</v>
      </c>
      <c r="G1759">
        <v>26804</v>
      </c>
      <c r="H1759">
        <v>21443.200000000001</v>
      </c>
      <c r="I1759" s="13">
        <v>0.66666666666666663</v>
      </c>
      <c r="J1759" t="s">
        <v>6208</v>
      </c>
      <c r="K1759">
        <v>1</v>
      </c>
      <c r="L1759">
        <v>1</v>
      </c>
      <c r="M1759" t="s">
        <v>58</v>
      </c>
      <c r="N1759" s="2">
        <v>0.5</v>
      </c>
      <c r="O1759" s="2">
        <v>0.5</v>
      </c>
      <c r="P1759">
        <v>17</v>
      </c>
      <c r="Q1759">
        <v>13</v>
      </c>
      <c r="R1759">
        <v>3</v>
      </c>
      <c r="S1759">
        <v>4</v>
      </c>
      <c r="T1759">
        <v>13</v>
      </c>
      <c r="U1759">
        <v>15</v>
      </c>
      <c r="V1759">
        <v>4</v>
      </c>
      <c r="W1759">
        <v>2</v>
      </c>
      <c r="X1759">
        <v>0</v>
      </c>
      <c r="Y1759">
        <v>0</v>
      </c>
      <c r="Z1759">
        <v>0</v>
      </c>
    </row>
    <row r="1760" spans="1:26" x14ac:dyDescent="0.2">
      <c r="A1760" t="s">
        <v>1878</v>
      </c>
      <c r="B1760" t="s">
        <v>68</v>
      </c>
      <c r="C1760">
        <v>2013</v>
      </c>
      <c r="D1760" t="s">
        <v>46</v>
      </c>
      <c r="E1760" t="s">
        <v>79</v>
      </c>
      <c r="F1760" t="s">
        <v>20</v>
      </c>
      <c r="G1760">
        <v>60704</v>
      </c>
      <c r="H1760">
        <v>48563.200000000004</v>
      </c>
      <c r="I1760" s="13">
        <v>1</v>
      </c>
      <c r="J1760" t="s">
        <v>6207</v>
      </c>
      <c r="K1760">
        <v>2</v>
      </c>
      <c r="L1760">
        <v>0</v>
      </c>
      <c r="M1760" t="s">
        <v>0</v>
      </c>
      <c r="N1760" s="2">
        <v>0.73</v>
      </c>
      <c r="O1760" s="2">
        <v>0.27</v>
      </c>
      <c r="P1760">
        <v>16</v>
      </c>
      <c r="Q1760">
        <v>9</v>
      </c>
      <c r="R1760">
        <v>6</v>
      </c>
      <c r="S1760">
        <v>5</v>
      </c>
      <c r="T1760">
        <v>9</v>
      </c>
      <c r="U1760">
        <v>14</v>
      </c>
      <c r="V1760">
        <v>1</v>
      </c>
      <c r="W1760">
        <v>2</v>
      </c>
      <c r="X1760">
        <v>0</v>
      </c>
      <c r="Y1760">
        <v>0</v>
      </c>
      <c r="Z1760">
        <v>0</v>
      </c>
    </row>
    <row r="1761" spans="1:26" x14ac:dyDescent="0.2">
      <c r="A1761" t="s">
        <v>1879</v>
      </c>
      <c r="B1761" t="s">
        <v>41</v>
      </c>
      <c r="C1761">
        <v>2013</v>
      </c>
      <c r="D1761" t="s">
        <v>40</v>
      </c>
      <c r="E1761" t="s">
        <v>18</v>
      </c>
      <c r="F1761" t="s">
        <v>49</v>
      </c>
      <c r="G1761">
        <v>53400</v>
      </c>
      <c r="H1761">
        <v>42720</v>
      </c>
      <c r="I1761" s="13">
        <v>1</v>
      </c>
      <c r="J1761" t="s">
        <v>6207</v>
      </c>
      <c r="K1761">
        <v>0</v>
      </c>
      <c r="L1761">
        <v>1</v>
      </c>
      <c r="M1761" t="s">
        <v>1</v>
      </c>
      <c r="N1761" s="2">
        <v>0.65</v>
      </c>
      <c r="O1761" s="2">
        <v>0.35</v>
      </c>
      <c r="P1761">
        <v>17</v>
      </c>
      <c r="Q1761">
        <v>11</v>
      </c>
      <c r="R1761">
        <v>12</v>
      </c>
      <c r="S1761">
        <v>6</v>
      </c>
      <c r="T1761">
        <v>11</v>
      </c>
      <c r="U1761">
        <v>13</v>
      </c>
      <c r="V1761">
        <v>3</v>
      </c>
      <c r="W1761">
        <v>3</v>
      </c>
      <c r="X1761">
        <v>0</v>
      </c>
      <c r="Y1761">
        <v>0</v>
      </c>
      <c r="Z1761">
        <v>0</v>
      </c>
    </row>
    <row r="1762" spans="1:26" x14ac:dyDescent="0.2">
      <c r="A1762" t="s">
        <v>1880</v>
      </c>
      <c r="B1762" t="s">
        <v>66</v>
      </c>
      <c r="C1762">
        <v>2013</v>
      </c>
      <c r="D1762" t="s">
        <v>26</v>
      </c>
      <c r="E1762" t="s">
        <v>46</v>
      </c>
      <c r="F1762" t="s">
        <v>26</v>
      </c>
      <c r="G1762">
        <v>61276</v>
      </c>
      <c r="H1762">
        <v>49020.800000000003</v>
      </c>
      <c r="I1762" s="13">
        <v>0.33333333333333331</v>
      </c>
      <c r="J1762" t="s">
        <v>6207</v>
      </c>
      <c r="K1762">
        <v>5</v>
      </c>
      <c r="L1762">
        <v>1</v>
      </c>
      <c r="M1762" t="s">
        <v>0</v>
      </c>
      <c r="N1762" s="2">
        <v>0.42</v>
      </c>
      <c r="O1762" s="2">
        <v>0.57999999999999996</v>
      </c>
      <c r="P1762">
        <v>14</v>
      </c>
      <c r="Q1762">
        <v>17</v>
      </c>
      <c r="R1762">
        <v>6</v>
      </c>
      <c r="S1762">
        <v>6</v>
      </c>
      <c r="T1762">
        <v>14</v>
      </c>
      <c r="U1762">
        <v>14</v>
      </c>
      <c r="V1762">
        <v>1</v>
      </c>
      <c r="W1762">
        <v>2</v>
      </c>
      <c r="X1762">
        <v>0</v>
      </c>
      <c r="Y1762">
        <v>0</v>
      </c>
      <c r="Z1762">
        <v>1</v>
      </c>
    </row>
    <row r="1763" spans="1:26" x14ac:dyDescent="0.2">
      <c r="A1763" t="s">
        <v>1881</v>
      </c>
      <c r="B1763" t="s">
        <v>53</v>
      </c>
      <c r="C1763">
        <v>2013</v>
      </c>
      <c r="D1763" t="s">
        <v>35</v>
      </c>
      <c r="E1763" t="s">
        <v>19</v>
      </c>
      <c r="F1763" t="s">
        <v>35</v>
      </c>
      <c r="G1763">
        <v>49000</v>
      </c>
      <c r="H1763">
        <v>39200</v>
      </c>
      <c r="I1763" s="13">
        <v>0.2</v>
      </c>
      <c r="J1763" t="s">
        <v>6207</v>
      </c>
      <c r="K1763">
        <v>0</v>
      </c>
      <c r="L1763">
        <v>2</v>
      </c>
      <c r="M1763" t="s">
        <v>1</v>
      </c>
      <c r="N1763" s="2">
        <v>0.44</v>
      </c>
      <c r="O1763" s="2">
        <v>0.56000000000000005</v>
      </c>
      <c r="P1763">
        <v>19</v>
      </c>
      <c r="Q1763">
        <v>13</v>
      </c>
      <c r="R1763">
        <v>2</v>
      </c>
      <c r="S1763">
        <v>6</v>
      </c>
      <c r="T1763">
        <v>12</v>
      </c>
      <c r="U1763">
        <v>16</v>
      </c>
      <c r="V1763">
        <v>1</v>
      </c>
      <c r="W1763">
        <v>3</v>
      </c>
      <c r="X1763">
        <v>1</v>
      </c>
      <c r="Y1763">
        <v>0</v>
      </c>
      <c r="Z1763">
        <v>0</v>
      </c>
    </row>
    <row r="1764" spans="1:26" x14ac:dyDescent="0.2">
      <c r="A1764" t="s">
        <v>1882</v>
      </c>
      <c r="B1764" t="s">
        <v>76</v>
      </c>
      <c r="C1764">
        <v>2013</v>
      </c>
      <c r="D1764" t="s">
        <v>73</v>
      </c>
      <c r="E1764" t="s">
        <v>27</v>
      </c>
      <c r="F1764" t="s">
        <v>73</v>
      </c>
      <c r="G1764">
        <v>32384</v>
      </c>
      <c r="H1764">
        <v>25907.200000000001</v>
      </c>
      <c r="I1764" s="13">
        <v>0.5</v>
      </c>
      <c r="J1764" t="s">
        <v>6207</v>
      </c>
      <c r="K1764">
        <v>2</v>
      </c>
      <c r="L1764">
        <v>2</v>
      </c>
      <c r="M1764" t="s">
        <v>58</v>
      </c>
      <c r="N1764" s="2">
        <v>0.6</v>
      </c>
      <c r="O1764" s="2">
        <v>0.4</v>
      </c>
      <c r="P1764">
        <v>18</v>
      </c>
      <c r="Q1764">
        <v>7</v>
      </c>
      <c r="R1764">
        <v>7</v>
      </c>
      <c r="S1764">
        <v>4</v>
      </c>
      <c r="T1764">
        <v>7</v>
      </c>
      <c r="U1764">
        <v>14</v>
      </c>
      <c r="V1764">
        <v>0</v>
      </c>
      <c r="W1764">
        <v>4</v>
      </c>
      <c r="X1764">
        <v>0</v>
      </c>
      <c r="Y1764">
        <v>0</v>
      </c>
      <c r="Z1764">
        <v>0</v>
      </c>
    </row>
    <row r="1765" spans="1:26" x14ac:dyDescent="0.2">
      <c r="A1765" t="s">
        <v>1883</v>
      </c>
      <c r="B1765" t="s">
        <v>68</v>
      </c>
      <c r="C1765">
        <v>2013</v>
      </c>
      <c r="D1765" t="s">
        <v>69</v>
      </c>
      <c r="E1765" t="s">
        <v>40</v>
      </c>
      <c r="F1765" t="s">
        <v>69</v>
      </c>
      <c r="G1765">
        <v>27359</v>
      </c>
      <c r="H1765">
        <v>21887.200000000001</v>
      </c>
      <c r="I1765" s="13">
        <v>0.66666666666666663</v>
      </c>
      <c r="J1765" t="s">
        <v>6207</v>
      </c>
      <c r="K1765">
        <v>0</v>
      </c>
      <c r="L1765">
        <v>0</v>
      </c>
      <c r="M1765" t="s">
        <v>58</v>
      </c>
      <c r="N1765" s="2">
        <v>0.32</v>
      </c>
      <c r="O1765" s="2">
        <v>0.68</v>
      </c>
      <c r="P1765">
        <v>7</v>
      </c>
      <c r="Q1765">
        <v>9</v>
      </c>
      <c r="R1765">
        <v>4</v>
      </c>
      <c r="S1765">
        <v>14</v>
      </c>
      <c r="T1765">
        <v>7</v>
      </c>
      <c r="U1765">
        <v>6</v>
      </c>
      <c r="V1765">
        <v>2</v>
      </c>
      <c r="W1765">
        <v>1</v>
      </c>
      <c r="X1765">
        <v>0</v>
      </c>
      <c r="Y1765">
        <v>0</v>
      </c>
      <c r="Z1765">
        <v>0</v>
      </c>
    </row>
    <row r="1766" spans="1:26" x14ac:dyDescent="0.2">
      <c r="A1766" t="s">
        <v>1884</v>
      </c>
      <c r="B1766" t="s">
        <v>25</v>
      </c>
      <c r="C1766">
        <v>2013</v>
      </c>
      <c r="D1766" t="s">
        <v>79</v>
      </c>
      <c r="E1766" t="s">
        <v>63</v>
      </c>
      <c r="F1766" t="s">
        <v>20</v>
      </c>
      <c r="G1766">
        <v>25486</v>
      </c>
      <c r="H1766">
        <v>20388.800000000003</v>
      </c>
      <c r="I1766" s="13">
        <v>0.66666666666666663</v>
      </c>
      <c r="J1766" t="s">
        <v>6207</v>
      </c>
      <c r="K1766">
        <v>3</v>
      </c>
      <c r="L1766">
        <v>1</v>
      </c>
      <c r="M1766" t="s">
        <v>0</v>
      </c>
      <c r="N1766" s="2">
        <v>0.34</v>
      </c>
      <c r="O1766" s="2">
        <v>0.66</v>
      </c>
      <c r="P1766">
        <v>15</v>
      </c>
      <c r="Q1766">
        <v>14</v>
      </c>
      <c r="R1766">
        <v>4</v>
      </c>
      <c r="S1766">
        <v>7</v>
      </c>
      <c r="T1766">
        <v>13</v>
      </c>
      <c r="U1766">
        <v>13</v>
      </c>
      <c r="V1766">
        <v>0</v>
      </c>
      <c r="W1766">
        <v>3</v>
      </c>
      <c r="X1766">
        <v>0</v>
      </c>
      <c r="Y1766">
        <v>0</v>
      </c>
      <c r="Z1766">
        <v>1</v>
      </c>
    </row>
    <row r="1767" spans="1:26" x14ac:dyDescent="0.2">
      <c r="A1767" t="s">
        <v>1885</v>
      </c>
      <c r="B1767" t="s">
        <v>56</v>
      </c>
      <c r="C1767">
        <v>2013</v>
      </c>
      <c r="D1767" t="s">
        <v>18</v>
      </c>
      <c r="E1767" t="s">
        <v>64</v>
      </c>
      <c r="F1767" t="s">
        <v>20</v>
      </c>
      <c r="G1767">
        <v>40341</v>
      </c>
      <c r="H1767">
        <v>32272.800000000003</v>
      </c>
      <c r="I1767" s="13">
        <v>1</v>
      </c>
      <c r="J1767" t="s">
        <v>6207</v>
      </c>
      <c r="K1767">
        <v>3</v>
      </c>
      <c r="L1767">
        <v>0</v>
      </c>
      <c r="M1767" t="s">
        <v>0</v>
      </c>
      <c r="N1767" s="2">
        <v>0.59</v>
      </c>
      <c r="O1767" s="2">
        <v>0.41</v>
      </c>
      <c r="P1767">
        <v>9</v>
      </c>
      <c r="Q1767">
        <v>9</v>
      </c>
      <c r="R1767">
        <v>6</v>
      </c>
      <c r="S1767">
        <v>5</v>
      </c>
      <c r="T1767">
        <v>7</v>
      </c>
      <c r="U1767">
        <v>10</v>
      </c>
      <c r="V1767">
        <v>0</v>
      </c>
      <c r="W1767">
        <v>3</v>
      </c>
      <c r="X1767">
        <v>0</v>
      </c>
      <c r="Y1767">
        <v>0</v>
      </c>
      <c r="Z1767">
        <v>1</v>
      </c>
    </row>
    <row r="1768" spans="1:26" x14ac:dyDescent="0.2">
      <c r="A1768" t="s">
        <v>1886</v>
      </c>
      <c r="B1768" t="s">
        <v>41</v>
      </c>
      <c r="C1768">
        <v>2013</v>
      </c>
      <c r="D1768" t="s">
        <v>42</v>
      </c>
      <c r="E1768" t="s">
        <v>23</v>
      </c>
      <c r="F1768" t="s">
        <v>38</v>
      </c>
      <c r="G1768">
        <v>42918</v>
      </c>
      <c r="H1768">
        <v>34334.400000000001</v>
      </c>
      <c r="I1768" s="13">
        <v>0</v>
      </c>
      <c r="J1768" t="s">
        <v>6207</v>
      </c>
      <c r="K1768">
        <v>0</v>
      </c>
      <c r="L1768">
        <v>2</v>
      </c>
      <c r="M1768" t="s">
        <v>1</v>
      </c>
      <c r="N1768" s="2">
        <v>0.68</v>
      </c>
      <c r="O1768" s="2">
        <v>0.32</v>
      </c>
      <c r="P1768">
        <v>11</v>
      </c>
      <c r="Q1768">
        <v>12</v>
      </c>
      <c r="R1768">
        <v>8</v>
      </c>
      <c r="S1768">
        <v>10</v>
      </c>
      <c r="T1768">
        <v>9</v>
      </c>
      <c r="U1768">
        <v>8</v>
      </c>
      <c r="V1768">
        <v>0</v>
      </c>
      <c r="W1768">
        <v>2</v>
      </c>
      <c r="X1768">
        <v>0</v>
      </c>
      <c r="Y1768">
        <v>0</v>
      </c>
      <c r="Z1768">
        <v>0</v>
      </c>
    </row>
    <row r="1769" spans="1:26" x14ac:dyDescent="0.2">
      <c r="A1769" t="s">
        <v>1887</v>
      </c>
      <c r="B1769" t="s">
        <v>37</v>
      </c>
      <c r="C1769">
        <v>2013</v>
      </c>
      <c r="D1769" t="s">
        <v>71</v>
      </c>
      <c r="E1769" t="s">
        <v>78</v>
      </c>
      <c r="F1769" t="s">
        <v>71</v>
      </c>
      <c r="G1769">
        <v>21088</v>
      </c>
      <c r="H1769">
        <v>16870.400000000001</v>
      </c>
      <c r="I1769" s="13">
        <v>0.5</v>
      </c>
      <c r="J1769" t="s">
        <v>6206</v>
      </c>
      <c r="K1769">
        <v>3</v>
      </c>
      <c r="L1769">
        <v>0</v>
      </c>
      <c r="M1769" t="s">
        <v>0</v>
      </c>
      <c r="N1769" s="2">
        <v>0.62</v>
      </c>
      <c r="O1769" s="2">
        <v>0.38</v>
      </c>
      <c r="P1769">
        <v>9</v>
      </c>
      <c r="Q1769">
        <v>8</v>
      </c>
      <c r="R1769">
        <v>5</v>
      </c>
      <c r="S1769">
        <v>1</v>
      </c>
      <c r="T1769">
        <v>7</v>
      </c>
      <c r="U1769">
        <v>8</v>
      </c>
      <c r="V1769">
        <v>1</v>
      </c>
      <c r="W1769">
        <v>1</v>
      </c>
      <c r="X1769">
        <v>0</v>
      </c>
      <c r="Y1769">
        <v>0</v>
      </c>
      <c r="Z1769">
        <v>0</v>
      </c>
    </row>
    <row r="1770" spans="1:26" x14ac:dyDescent="0.2">
      <c r="A1770" t="s">
        <v>1888</v>
      </c>
      <c r="B1770" t="s">
        <v>44</v>
      </c>
      <c r="C1770">
        <v>2013</v>
      </c>
      <c r="D1770" t="s">
        <v>51</v>
      </c>
      <c r="E1770" t="s">
        <v>45</v>
      </c>
      <c r="F1770" t="s">
        <v>20</v>
      </c>
      <c r="G1770">
        <v>36284</v>
      </c>
      <c r="H1770">
        <v>29027.200000000001</v>
      </c>
      <c r="I1770" s="13">
        <v>1</v>
      </c>
      <c r="J1770" t="s">
        <v>6207</v>
      </c>
      <c r="K1770">
        <v>1</v>
      </c>
      <c r="L1770">
        <v>0</v>
      </c>
      <c r="M1770" t="s">
        <v>0</v>
      </c>
      <c r="N1770" s="2">
        <v>0.46</v>
      </c>
      <c r="O1770" s="2">
        <v>0.54</v>
      </c>
      <c r="P1770">
        <v>16</v>
      </c>
      <c r="Q1770">
        <v>9</v>
      </c>
      <c r="R1770">
        <v>9</v>
      </c>
      <c r="S1770">
        <v>7</v>
      </c>
      <c r="T1770">
        <v>9</v>
      </c>
      <c r="U1770">
        <v>13</v>
      </c>
      <c r="V1770">
        <v>1</v>
      </c>
      <c r="W1770">
        <v>0</v>
      </c>
      <c r="X1770">
        <v>0</v>
      </c>
      <c r="Y1770">
        <v>0</v>
      </c>
      <c r="Z1770">
        <v>0</v>
      </c>
    </row>
    <row r="1771" spans="1:26" x14ac:dyDescent="0.2">
      <c r="A1771" t="s">
        <v>1889</v>
      </c>
      <c r="B1771" t="s">
        <v>60</v>
      </c>
      <c r="C1771">
        <v>2013</v>
      </c>
      <c r="D1771" t="s">
        <v>48</v>
      </c>
      <c r="E1771" t="s">
        <v>31</v>
      </c>
      <c r="F1771" t="s">
        <v>49</v>
      </c>
      <c r="G1771">
        <v>74197</v>
      </c>
      <c r="H1771">
        <v>59357.600000000006</v>
      </c>
      <c r="I1771" s="13">
        <v>0</v>
      </c>
      <c r="J1771" t="s">
        <v>6208</v>
      </c>
      <c r="K1771">
        <v>2</v>
      </c>
      <c r="L1771">
        <v>2</v>
      </c>
      <c r="M1771" t="s">
        <v>58</v>
      </c>
      <c r="N1771" s="2">
        <v>0.75</v>
      </c>
      <c r="O1771" s="2">
        <v>0.25</v>
      </c>
      <c r="P1771">
        <v>6</v>
      </c>
      <c r="Q1771">
        <v>8</v>
      </c>
      <c r="R1771">
        <v>10</v>
      </c>
      <c r="S1771">
        <v>1</v>
      </c>
      <c r="T1771">
        <v>3</v>
      </c>
      <c r="U1771">
        <v>6</v>
      </c>
      <c r="V1771">
        <v>0</v>
      </c>
      <c r="W1771">
        <v>0</v>
      </c>
      <c r="X1771">
        <v>0</v>
      </c>
      <c r="Y1771">
        <v>0</v>
      </c>
      <c r="Z1771">
        <v>0</v>
      </c>
    </row>
    <row r="1772" spans="1:26" x14ac:dyDescent="0.2">
      <c r="A1772" t="s">
        <v>1890</v>
      </c>
      <c r="B1772" t="s">
        <v>66</v>
      </c>
      <c r="C1772">
        <v>2013</v>
      </c>
      <c r="D1772" t="s">
        <v>23</v>
      </c>
      <c r="E1772" t="s">
        <v>69</v>
      </c>
      <c r="F1772" t="s">
        <v>20</v>
      </c>
      <c r="G1772">
        <v>62500</v>
      </c>
      <c r="H1772">
        <v>50000</v>
      </c>
      <c r="I1772" s="13">
        <v>0.75</v>
      </c>
      <c r="J1772" t="s">
        <v>6207</v>
      </c>
      <c r="K1772">
        <v>2</v>
      </c>
      <c r="L1772">
        <v>0</v>
      </c>
      <c r="M1772" t="s">
        <v>0</v>
      </c>
      <c r="N1772" s="2">
        <v>0.48</v>
      </c>
      <c r="O1772" s="2">
        <v>0.52</v>
      </c>
      <c r="P1772">
        <v>16</v>
      </c>
      <c r="Q1772">
        <v>14</v>
      </c>
      <c r="R1772">
        <v>5</v>
      </c>
      <c r="S1772">
        <v>5</v>
      </c>
      <c r="T1772">
        <v>12</v>
      </c>
      <c r="U1772">
        <v>16</v>
      </c>
      <c r="V1772">
        <v>1</v>
      </c>
      <c r="W1772">
        <v>3</v>
      </c>
      <c r="X1772">
        <v>0</v>
      </c>
      <c r="Y1772">
        <v>0</v>
      </c>
      <c r="Z1772">
        <v>0</v>
      </c>
    </row>
    <row r="1773" spans="1:26" x14ac:dyDescent="0.2">
      <c r="A1773" t="s">
        <v>1891</v>
      </c>
      <c r="B1773" t="s">
        <v>32</v>
      </c>
      <c r="C1773">
        <v>2013</v>
      </c>
      <c r="D1773" t="s">
        <v>19</v>
      </c>
      <c r="E1773" t="s">
        <v>73</v>
      </c>
      <c r="F1773" t="s">
        <v>19</v>
      </c>
      <c r="G1773">
        <v>25586</v>
      </c>
      <c r="H1773">
        <v>20468.800000000003</v>
      </c>
      <c r="I1773" s="13">
        <v>0.66666666666666663</v>
      </c>
      <c r="J1773" t="s">
        <v>6207</v>
      </c>
      <c r="K1773">
        <v>0</v>
      </c>
      <c r="L1773">
        <v>1</v>
      </c>
      <c r="M1773" t="s">
        <v>1</v>
      </c>
      <c r="N1773" s="2">
        <v>0.37</v>
      </c>
      <c r="O1773" s="2">
        <v>0.63</v>
      </c>
      <c r="P1773">
        <v>9</v>
      </c>
      <c r="Q1773">
        <v>9</v>
      </c>
      <c r="R1773">
        <v>2</v>
      </c>
      <c r="S1773">
        <v>2</v>
      </c>
      <c r="T1773">
        <v>6</v>
      </c>
      <c r="U1773">
        <v>8</v>
      </c>
      <c r="V1773">
        <v>0</v>
      </c>
      <c r="W1773">
        <v>3</v>
      </c>
      <c r="X1773">
        <v>0</v>
      </c>
      <c r="Y1773">
        <v>0</v>
      </c>
      <c r="Z1773">
        <v>0</v>
      </c>
    </row>
    <row r="1774" spans="1:26" x14ac:dyDescent="0.2">
      <c r="A1774" t="s">
        <v>1892</v>
      </c>
      <c r="B1774" t="s">
        <v>25</v>
      </c>
      <c r="C1774">
        <v>2013</v>
      </c>
      <c r="D1774" t="s">
        <v>78</v>
      </c>
      <c r="E1774" t="s">
        <v>42</v>
      </c>
      <c r="F1774" t="s">
        <v>78</v>
      </c>
      <c r="G1774">
        <v>33280</v>
      </c>
      <c r="H1774">
        <v>26624</v>
      </c>
      <c r="I1774" s="13">
        <v>0</v>
      </c>
      <c r="J1774" t="s">
        <v>6207</v>
      </c>
      <c r="K1774">
        <v>0</v>
      </c>
      <c r="L1774">
        <v>0</v>
      </c>
      <c r="M1774" t="s">
        <v>58</v>
      </c>
      <c r="N1774" s="2">
        <v>0.45</v>
      </c>
      <c r="O1774" s="2">
        <v>0.55000000000000004</v>
      </c>
      <c r="P1774">
        <v>12</v>
      </c>
      <c r="Q1774">
        <v>9</v>
      </c>
      <c r="R1774">
        <v>7</v>
      </c>
      <c r="S1774">
        <v>9</v>
      </c>
      <c r="T1774">
        <v>5</v>
      </c>
      <c r="U1774">
        <v>9</v>
      </c>
      <c r="V1774">
        <v>0</v>
      </c>
      <c r="W1774">
        <v>0</v>
      </c>
      <c r="X1774">
        <v>0</v>
      </c>
      <c r="Y1774">
        <v>0</v>
      </c>
      <c r="Z1774">
        <v>0</v>
      </c>
    </row>
    <row r="1775" spans="1:26" x14ac:dyDescent="0.2">
      <c r="A1775" t="s">
        <v>1893</v>
      </c>
      <c r="B1775" t="s">
        <v>61</v>
      </c>
      <c r="C1775">
        <v>2013</v>
      </c>
      <c r="D1775" t="s">
        <v>63</v>
      </c>
      <c r="E1775" t="s">
        <v>18</v>
      </c>
      <c r="F1775" t="s">
        <v>65</v>
      </c>
      <c r="G1775">
        <v>26804</v>
      </c>
      <c r="H1775">
        <v>21443.200000000001</v>
      </c>
      <c r="I1775" s="13">
        <v>1</v>
      </c>
      <c r="J1775" t="s">
        <v>6207</v>
      </c>
      <c r="K1775">
        <v>1</v>
      </c>
      <c r="L1775">
        <v>1</v>
      </c>
      <c r="M1775" t="s">
        <v>58</v>
      </c>
      <c r="N1775" s="2">
        <v>0.4</v>
      </c>
      <c r="O1775" s="2">
        <v>0.6</v>
      </c>
      <c r="P1775">
        <v>13</v>
      </c>
      <c r="Q1775">
        <v>9</v>
      </c>
      <c r="R1775">
        <v>5</v>
      </c>
      <c r="S1775">
        <v>8</v>
      </c>
      <c r="T1775">
        <v>9</v>
      </c>
      <c r="U1775">
        <v>13</v>
      </c>
      <c r="V1775">
        <v>3</v>
      </c>
      <c r="W1775">
        <v>4</v>
      </c>
      <c r="X1775">
        <v>0</v>
      </c>
      <c r="Y1775">
        <v>0</v>
      </c>
      <c r="Z1775">
        <v>0</v>
      </c>
    </row>
    <row r="1776" spans="1:26" x14ac:dyDescent="0.2">
      <c r="A1776" t="s">
        <v>1894</v>
      </c>
      <c r="B1776" t="s">
        <v>67</v>
      </c>
      <c r="C1776">
        <v>2013</v>
      </c>
      <c r="D1776" t="s">
        <v>64</v>
      </c>
      <c r="E1776" t="s">
        <v>51</v>
      </c>
      <c r="F1776" t="s">
        <v>64</v>
      </c>
      <c r="G1776">
        <v>52264</v>
      </c>
      <c r="H1776">
        <v>41811.200000000004</v>
      </c>
      <c r="I1776" s="13">
        <v>0</v>
      </c>
      <c r="J1776" t="s">
        <v>6207</v>
      </c>
      <c r="K1776">
        <v>0</v>
      </c>
      <c r="L1776">
        <v>4</v>
      </c>
      <c r="M1776" t="s">
        <v>1</v>
      </c>
      <c r="N1776" s="2">
        <v>0.49</v>
      </c>
      <c r="O1776" s="2">
        <v>0.51</v>
      </c>
      <c r="P1776">
        <v>11</v>
      </c>
      <c r="Q1776">
        <v>9</v>
      </c>
      <c r="R1776">
        <v>8</v>
      </c>
      <c r="S1776">
        <v>6</v>
      </c>
      <c r="T1776">
        <v>6</v>
      </c>
      <c r="U1776">
        <v>11</v>
      </c>
      <c r="V1776">
        <v>0</v>
      </c>
      <c r="W1776">
        <v>0</v>
      </c>
      <c r="X1776">
        <v>0</v>
      </c>
      <c r="Y1776">
        <v>0</v>
      </c>
      <c r="Z1776">
        <v>0</v>
      </c>
    </row>
    <row r="1777" spans="1:26" x14ac:dyDescent="0.2">
      <c r="A1777" t="s">
        <v>1895</v>
      </c>
      <c r="B1777" t="s">
        <v>44</v>
      </c>
      <c r="C1777">
        <v>2013</v>
      </c>
      <c r="D1777" t="s">
        <v>46</v>
      </c>
      <c r="E1777" t="s">
        <v>48</v>
      </c>
      <c r="F1777" t="s">
        <v>20</v>
      </c>
      <c r="G1777">
        <v>60704</v>
      </c>
      <c r="H1777">
        <v>48563.200000000004</v>
      </c>
      <c r="I1777" s="13">
        <v>0.66666666666666663</v>
      </c>
      <c r="J1777" t="s">
        <v>6207</v>
      </c>
      <c r="K1777">
        <v>0</v>
      </c>
      <c r="L1777">
        <v>0</v>
      </c>
      <c r="M1777" t="s">
        <v>58</v>
      </c>
      <c r="N1777" s="2">
        <v>0.56999999999999995</v>
      </c>
      <c r="O1777" s="2">
        <v>0.43</v>
      </c>
      <c r="P1777">
        <v>17</v>
      </c>
      <c r="Q1777">
        <v>11</v>
      </c>
      <c r="R1777">
        <v>5</v>
      </c>
      <c r="S1777">
        <v>5</v>
      </c>
      <c r="T1777">
        <v>10</v>
      </c>
      <c r="U1777">
        <v>14</v>
      </c>
      <c r="V1777">
        <v>1</v>
      </c>
      <c r="W1777">
        <v>2</v>
      </c>
      <c r="X1777">
        <v>0</v>
      </c>
      <c r="Y1777">
        <v>0</v>
      </c>
      <c r="Z1777">
        <v>0</v>
      </c>
    </row>
    <row r="1778" spans="1:26" x14ac:dyDescent="0.2">
      <c r="A1778" t="s">
        <v>1896</v>
      </c>
      <c r="B1778" t="s">
        <v>68</v>
      </c>
      <c r="C1778">
        <v>2013</v>
      </c>
      <c r="D1778" t="s">
        <v>27</v>
      </c>
      <c r="E1778" t="s">
        <v>71</v>
      </c>
      <c r="F1778" t="s">
        <v>27</v>
      </c>
      <c r="G1778">
        <v>30089</v>
      </c>
      <c r="H1778">
        <v>24071.200000000001</v>
      </c>
      <c r="I1778" s="13">
        <v>0</v>
      </c>
      <c r="J1778" t="s">
        <v>6207</v>
      </c>
      <c r="K1778">
        <v>1</v>
      </c>
      <c r="L1778">
        <v>1</v>
      </c>
      <c r="M1778" t="s">
        <v>58</v>
      </c>
      <c r="N1778" s="2">
        <v>0.36</v>
      </c>
      <c r="O1778" s="2">
        <v>0.64</v>
      </c>
      <c r="P1778">
        <v>12</v>
      </c>
      <c r="Q1778">
        <v>10</v>
      </c>
      <c r="R1778">
        <v>2</v>
      </c>
      <c r="S1778">
        <v>5</v>
      </c>
      <c r="T1778">
        <v>11</v>
      </c>
      <c r="U1778">
        <v>12</v>
      </c>
      <c r="V1778">
        <v>2</v>
      </c>
      <c r="W1778">
        <v>2</v>
      </c>
      <c r="X1778">
        <v>0</v>
      </c>
      <c r="Y1778">
        <v>0</v>
      </c>
      <c r="Z1778">
        <v>0</v>
      </c>
    </row>
    <row r="1779" spans="1:26" x14ac:dyDescent="0.2">
      <c r="A1779" t="s">
        <v>1897</v>
      </c>
      <c r="B1779" t="s">
        <v>52</v>
      </c>
      <c r="C1779">
        <v>2013</v>
      </c>
      <c r="D1779" t="s">
        <v>31</v>
      </c>
      <c r="E1779" t="s">
        <v>26</v>
      </c>
      <c r="F1779" t="s">
        <v>20</v>
      </c>
      <c r="G1779">
        <v>28500</v>
      </c>
      <c r="H1779">
        <v>22800</v>
      </c>
      <c r="I1779" s="13">
        <v>0.5714285714285714</v>
      </c>
      <c r="J1779" t="s">
        <v>6207</v>
      </c>
      <c r="K1779">
        <v>2</v>
      </c>
      <c r="L1779">
        <v>3</v>
      </c>
      <c r="M1779" t="s">
        <v>1</v>
      </c>
      <c r="N1779" s="2">
        <v>0.31</v>
      </c>
      <c r="O1779" s="2">
        <v>0.69</v>
      </c>
      <c r="P1779">
        <v>9</v>
      </c>
      <c r="Q1779">
        <v>5</v>
      </c>
      <c r="R1779">
        <v>7</v>
      </c>
      <c r="S1779">
        <v>5</v>
      </c>
      <c r="T1779">
        <v>7</v>
      </c>
      <c r="U1779">
        <v>9</v>
      </c>
      <c r="V1779">
        <v>4</v>
      </c>
      <c r="W1779">
        <v>3</v>
      </c>
      <c r="X1779">
        <v>0</v>
      </c>
      <c r="Y1779">
        <v>0</v>
      </c>
      <c r="Z1779">
        <v>1</v>
      </c>
    </row>
    <row r="1780" spans="1:26" x14ac:dyDescent="0.2">
      <c r="A1780" t="s">
        <v>1898</v>
      </c>
      <c r="B1780" t="s">
        <v>54</v>
      </c>
      <c r="C1780">
        <v>2013</v>
      </c>
      <c r="D1780" t="s">
        <v>18</v>
      </c>
      <c r="E1780" t="s">
        <v>45</v>
      </c>
      <c r="F1780" t="s">
        <v>20</v>
      </c>
      <c r="G1780">
        <v>40341</v>
      </c>
      <c r="H1780">
        <v>32272.800000000003</v>
      </c>
      <c r="I1780" s="13">
        <v>0.33333333333333331</v>
      </c>
      <c r="J1780" t="s">
        <v>6206</v>
      </c>
      <c r="K1780">
        <v>1</v>
      </c>
      <c r="L1780">
        <v>0</v>
      </c>
      <c r="M1780" t="s">
        <v>0</v>
      </c>
      <c r="N1780" s="2">
        <v>0.47</v>
      </c>
      <c r="O1780" s="2">
        <v>0.53</v>
      </c>
      <c r="P1780">
        <v>14</v>
      </c>
      <c r="Q1780">
        <v>17</v>
      </c>
      <c r="R1780">
        <v>8</v>
      </c>
      <c r="S1780">
        <v>8</v>
      </c>
      <c r="T1780">
        <v>15</v>
      </c>
      <c r="U1780">
        <v>12</v>
      </c>
      <c r="V1780">
        <v>1</v>
      </c>
      <c r="W1780">
        <v>2</v>
      </c>
      <c r="X1780">
        <v>0</v>
      </c>
      <c r="Y1780">
        <v>0</v>
      </c>
      <c r="Z1780">
        <v>0</v>
      </c>
    </row>
    <row r="1781" spans="1:26" x14ac:dyDescent="0.2">
      <c r="A1781" t="s">
        <v>1899</v>
      </c>
      <c r="B1781" t="s">
        <v>44</v>
      </c>
      <c r="C1781">
        <v>2013</v>
      </c>
      <c r="D1781" t="s">
        <v>23</v>
      </c>
      <c r="E1781" t="s">
        <v>73</v>
      </c>
      <c r="F1781" t="s">
        <v>20</v>
      </c>
      <c r="G1781">
        <v>62500</v>
      </c>
      <c r="H1781">
        <v>50000</v>
      </c>
      <c r="I1781" s="13">
        <v>0</v>
      </c>
      <c r="J1781" t="s">
        <v>6207</v>
      </c>
      <c r="K1781">
        <v>3</v>
      </c>
      <c r="L1781">
        <v>1</v>
      </c>
      <c r="M1781" t="s">
        <v>0</v>
      </c>
      <c r="N1781" s="2">
        <v>0.31</v>
      </c>
      <c r="O1781" s="2">
        <v>0.69</v>
      </c>
      <c r="P1781">
        <v>9</v>
      </c>
      <c r="Q1781">
        <v>11</v>
      </c>
      <c r="R1781">
        <v>5</v>
      </c>
      <c r="S1781">
        <v>11</v>
      </c>
      <c r="T1781">
        <v>10</v>
      </c>
      <c r="U1781">
        <v>8</v>
      </c>
      <c r="V1781">
        <v>0</v>
      </c>
      <c r="W1781">
        <v>1</v>
      </c>
      <c r="X1781">
        <v>0</v>
      </c>
      <c r="Y1781">
        <v>0</v>
      </c>
      <c r="Z1781">
        <v>0</v>
      </c>
    </row>
    <row r="1782" spans="1:26" x14ac:dyDescent="0.2">
      <c r="A1782" t="s">
        <v>1900</v>
      </c>
      <c r="B1782" t="s">
        <v>41</v>
      </c>
      <c r="C1782">
        <v>2013</v>
      </c>
      <c r="D1782" t="s">
        <v>63</v>
      </c>
      <c r="E1782" t="s">
        <v>31</v>
      </c>
      <c r="F1782" t="s">
        <v>65</v>
      </c>
      <c r="G1782">
        <v>26804</v>
      </c>
      <c r="H1782">
        <v>21443.200000000001</v>
      </c>
      <c r="I1782" s="13">
        <v>0.5</v>
      </c>
      <c r="J1782" t="s">
        <v>6207</v>
      </c>
      <c r="K1782">
        <v>1</v>
      </c>
      <c r="L1782">
        <v>1</v>
      </c>
      <c r="M1782" t="s">
        <v>58</v>
      </c>
      <c r="N1782" s="2">
        <v>0.64</v>
      </c>
      <c r="O1782" s="2">
        <v>0.36</v>
      </c>
      <c r="P1782">
        <v>18</v>
      </c>
      <c r="Q1782">
        <v>14</v>
      </c>
      <c r="R1782">
        <v>8</v>
      </c>
      <c r="S1782">
        <v>2</v>
      </c>
      <c r="T1782">
        <v>13</v>
      </c>
      <c r="U1782">
        <v>15</v>
      </c>
      <c r="V1782">
        <v>3</v>
      </c>
      <c r="W1782">
        <v>3</v>
      </c>
      <c r="X1782">
        <v>0</v>
      </c>
      <c r="Y1782">
        <v>0</v>
      </c>
      <c r="Z1782">
        <v>0</v>
      </c>
    </row>
    <row r="1783" spans="1:26" x14ac:dyDescent="0.2">
      <c r="A1783" t="s">
        <v>1901</v>
      </c>
      <c r="B1783" t="s">
        <v>25</v>
      </c>
      <c r="C1783">
        <v>2013</v>
      </c>
      <c r="D1783" t="s">
        <v>40</v>
      </c>
      <c r="E1783" t="s">
        <v>27</v>
      </c>
      <c r="F1783" t="s">
        <v>49</v>
      </c>
      <c r="G1783">
        <v>53400</v>
      </c>
      <c r="H1783">
        <v>42720</v>
      </c>
      <c r="I1783" s="13">
        <v>0.75</v>
      </c>
      <c r="J1783" t="s">
        <v>6207</v>
      </c>
      <c r="K1783">
        <v>1</v>
      </c>
      <c r="L1783">
        <v>0</v>
      </c>
      <c r="M1783" t="s">
        <v>0</v>
      </c>
      <c r="N1783" s="2">
        <v>0.74</v>
      </c>
      <c r="O1783" s="2">
        <v>0.26</v>
      </c>
      <c r="P1783">
        <v>17</v>
      </c>
      <c r="Q1783">
        <v>16</v>
      </c>
      <c r="R1783">
        <v>8</v>
      </c>
      <c r="S1783">
        <v>3</v>
      </c>
      <c r="T1783">
        <v>16</v>
      </c>
      <c r="U1783">
        <v>13</v>
      </c>
      <c r="V1783">
        <v>3</v>
      </c>
      <c r="W1783">
        <v>1</v>
      </c>
      <c r="X1783">
        <v>0</v>
      </c>
      <c r="Y1783">
        <v>0</v>
      </c>
      <c r="Z1783">
        <v>0</v>
      </c>
    </row>
    <row r="1784" spans="1:26" x14ac:dyDescent="0.2">
      <c r="A1784" t="s">
        <v>1902</v>
      </c>
      <c r="B1784" t="s">
        <v>56</v>
      </c>
      <c r="C1784">
        <v>2013</v>
      </c>
      <c r="D1784" t="s">
        <v>78</v>
      </c>
      <c r="E1784" t="s">
        <v>19</v>
      </c>
      <c r="F1784" t="s">
        <v>78</v>
      </c>
      <c r="G1784">
        <v>33280</v>
      </c>
      <c r="H1784">
        <v>26624</v>
      </c>
      <c r="I1784" s="13">
        <v>0.5</v>
      </c>
      <c r="J1784" t="s">
        <v>6207</v>
      </c>
      <c r="K1784">
        <v>0</v>
      </c>
      <c r="L1784">
        <v>4</v>
      </c>
      <c r="M1784" t="s">
        <v>1</v>
      </c>
      <c r="N1784" s="2">
        <v>0.56000000000000005</v>
      </c>
      <c r="O1784" s="2">
        <v>0.44</v>
      </c>
      <c r="P1784">
        <v>14</v>
      </c>
      <c r="Q1784">
        <v>6</v>
      </c>
      <c r="R1784">
        <v>9</v>
      </c>
      <c r="S1784">
        <v>2</v>
      </c>
      <c r="T1784">
        <v>4</v>
      </c>
      <c r="U1784">
        <v>11</v>
      </c>
      <c r="V1784">
        <v>1</v>
      </c>
      <c r="W1784">
        <v>1</v>
      </c>
      <c r="X1784">
        <v>0</v>
      </c>
      <c r="Y1784">
        <v>0</v>
      </c>
      <c r="Z1784">
        <v>0</v>
      </c>
    </row>
    <row r="1785" spans="1:26" x14ac:dyDescent="0.2">
      <c r="A1785" t="s">
        <v>1903</v>
      </c>
      <c r="B1785" t="s">
        <v>37</v>
      </c>
      <c r="C1785">
        <v>2013</v>
      </c>
      <c r="D1785" t="s">
        <v>46</v>
      </c>
      <c r="E1785" t="s">
        <v>35</v>
      </c>
      <c r="F1785" t="s">
        <v>20</v>
      </c>
      <c r="G1785">
        <v>60704</v>
      </c>
      <c r="H1785">
        <v>48563.200000000004</v>
      </c>
      <c r="I1785" s="13">
        <v>1</v>
      </c>
      <c r="J1785" t="s">
        <v>6206</v>
      </c>
      <c r="K1785">
        <v>4</v>
      </c>
      <c r="L1785">
        <v>1</v>
      </c>
      <c r="M1785" t="s">
        <v>0</v>
      </c>
      <c r="N1785" s="2">
        <v>0.65</v>
      </c>
      <c r="O1785" s="2">
        <v>0.35</v>
      </c>
      <c r="P1785">
        <v>14</v>
      </c>
      <c r="Q1785">
        <v>9</v>
      </c>
      <c r="R1785">
        <v>7</v>
      </c>
      <c r="S1785">
        <v>3</v>
      </c>
      <c r="T1785">
        <v>10</v>
      </c>
      <c r="U1785">
        <v>11</v>
      </c>
      <c r="V1785">
        <v>0</v>
      </c>
      <c r="W1785">
        <v>1</v>
      </c>
      <c r="X1785">
        <v>0</v>
      </c>
      <c r="Y1785">
        <v>0</v>
      </c>
      <c r="Z1785">
        <v>0</v>
      </c>
    </row>
    <row r="1786" spans="1:26" x14ac:dyDescent="0.2">
      <c r="A1786" t="s">
        <v>1904</v>
      </c>
      <c r="B1786" t="s">
        <v>66</v>
      </c>
      <c r="C1786">
        <v>2013</v>
      </c>
      <c r="D1786" t="s">
        <v>79</v>
      </c>
      <c r="E1786" t="s">
        <v>48</v>
      </c>
      <c r="F1786" t="s">
        <v>20</v>
      </c>
      <c r="G1786">
        <v>25486</v>
      </c>
      <c r="H1786">
        <v>20388.800000000003</v>
      </c>
      <c r="I1786" s="13">
        <v>0.5</v>
      </c>
      <c r="J1786" t="s">
        <v>6207</v>
      </c>
      <c r="K1786">
        <v>0</v>
      </c>
      <c r="L1786">
        <v>2</v>
      </c>
      <c r="M1786" t="s">
        <v>1</v>
      </c>
      <c r="N1786" s="2">
        <v>0.34</v>
      </c>
      <c r="O1786" s="2">
        <v>0.66</v>
      </c>
      <c r="P1786">
        <v>13</v>
      </c>
      <c r="Q1786">
        <v>13</v>
      </c>
      <c r="R1786">
        <v>6</v>
      </c>
      <c r="S1786">
        <v>4</v>
      </c>
      <c r="T1786">
        <v>12</v>
      </c>
      <c r="U1786">
        <v>10</v>
      </c>
      <c r="V1786">
        <v>0</v>
      </c>
      <c r="W1786">
        <v>2</v>
      </c>
      <c r="X1786">
        <v>0</v>
      </c>
      <c r="Y1786">
        <v>0</v>
      </c>
      <c r="Z1786">
        <v>1</v>
      </c>
    </row>
    <row r="1787" spans="1:26" x14ac:dyDescent="0.2">
      <c r="A1787" t="s">
        <v>1905</v>
      </c>
      <c r="B1787" t="s">
        <v>32</v>
      </c>
      <c r="C1787">
        <v>2013</v>
      </c>
      <c r="D1787" t="s">
        <v>64</v>
      </c>
      <c r="E1787" t="s">
        <v>42</v>
      </c>
      <c r="F1787" t="s">
        <v>64</v>
      </c>
      <c r="G1787">
        <v>52264</v>
      </c>
      <c r="H1787">
        <v>41811.200000000004</v>
      </c>
      <c r="I1787" s="13">
        <v>1</v>
      </c>
      <c r="J1787" t="s">
        <v>6207</v>
      </c>
      <c r="K1787">
        <v>1</v>
      </c>
      <c r="L1787">
        <v>0</v>
      </c>
      <c r="M1787" t="s">
        <v>0</v>
      </c>
      <c r="N1787" s="2">
        <v>0.55000000000000004</v>
      </c>
      <c r="O1787" s="2">
        <v>0.45</v>
      </c>
      <c r="P1787">
        <v>13</v>
      </c>
      <c r="Q1787">
        <v>14</v>
      </c>
      <c r="R1787">
        <v>10</v>
      </c>
      <c r="S1787">
        <v>1</v>
      </c>
      <c r="T1787">
        <v>12</v>
      </c>
      <c r="U1787">
        <v>10</v>
      </c>
      <c r="V1787">
        <v>2</v>
      </c>
      <c r="W1787">
        <v>2</v>
      </c>
      <c r="X1787">
        <v>0</v>
      </c>
      <c r="Y1787">
        <v>0</v>
      </c>
      <c r="Z1787">
        <v>0</v>
      </c>
    </row>
    <row r="1788" spans="1:26" x14ac:dyDescent="0.2">
      <c r="A1788" t="s">
        <v>1906</v>
      </c>
      <c r="B1788" t="s">
        <v>53</v>
      </c>
      <c r="C1788">
        <v>2013</v>
      </c>
      <c r="D1788" t="s">
        <v>26</v>
      </c>
      <c r="E1788" t="s">
        <v>71</v>
      </c>
      <c r="F1788" t="s">
        <v>26</v>
      </c>
      <c r="G1788">
        <v>61276</v>
      </c>
      <c r="H1788">
        <v>49020.800000000003</v>
      </c>
      <c r="I1788" s="13">
        <v>1</v>
      </c>
      <c r="J1788" t="s">
        <v>6207</v>
      </c>
      <c r="K1788">
        <v>4</v>
      </c>
      <c r="L1788">
        <v>3</v>
      </c>
      <c r="M1788" t="s">
        <v>0</v>
      </c>
      <c r="N1788" s="2">
        <v>0.54</v>
      </c>
      <c r="O1788" s="2">
        <v>0.46</v>
      </c>
      <c r="P1788">
        <v>11</v>
      </c>
      <c r="Q1788">
        <v>9</v>
      </c>
      <c r="R1788">
        <v>3</v>
      </c>
      <c r="S1788">
        <v>5</v>
      </c>
      <c r="T1788">
        <v>9</v>
      </c>
      <c r="U1788">
        <v>11</v>
      </c>
      <c r="V1788">
        <v>1</v>
      </c>
      <c r="W1788">
        <v>0</v>
      </c>
      <c r="X1788">
        <v>0</v>
      </c>
      <c r="Y1788">
        <v>0</v>
      </c>
      <c r="Z1788">
        <v>1</v>
      </c>
    </row>
    <row r="1789" spans="1:26" x14ac:dyDescent="0.2">
      <c r="A1789" t="s">
        <v>1907</v>
      </c>
      <c r="B1789" t="s">
        <v>76</v>
      </c>
      <c r="C1789">
        <v>2013</v>
      </c>
      <c r="D1789" t="s">
        <v>69</v>
      </c>
      <c r="E1789" t="s">
        <v>51</v>
      </c>
      <c r="F1789" t="s">
        <v>69</v>
      </c>
      <c r="G1789">
        <v>27359</v>
      </c>
      <c r="H1789">
        <v>21887.200000000001</v>
      </c>
      <c r="I1789" s="13">
        <v>0.5</v>
      </c>
      <c r="J1789" t="s">
        <v>6207</v>
      </c>
      <c r="K1789">
        <v>1</v>
      </c>
      <c r="L1789">
        <v>0</v>
      </c>
      <c r="M1789" t="s">
        <v>0</v>
      </c>
      <c r="N1789" s="2">
        <v>0.4</v>
      </c>
      <c r="O1789" s="2">
        <v>0.6</v>
      </c>
      <c r="P1789">
        <v>15</v>
      </c>
      <c r="Q1789">
        <v>10</v>
      </c>
      <c r="R1789">
        <v>5</v>
      </c>
      <c r="S1789">
        <v>3</v>
      </c>
      <c r="T1789">
        <v>8</v>
      </c>
      <c r="U1789">
        <v>15</v>
      </c>
      <c r="V1789">
        <v>1</v>
      </c>
      <c r="W1789">
        <v>3</v>
      </c>
      <c r="X1789">
        <v>0</v>
      </c>
      <c r="Y1789">
        <v>0</v>
      </c>
      <c r="Z1789">
        <v>0</v>
      </c>
    </row>
    <row r="1790" spans="1:26" x14ac:dyDescent="0.2">
      <c r="A1790" t="s">
        <v>1908</v>
      </c>
      <c r="B1790" t="s">
        <v>53</v>
      </c>
      <c r="C1790">
        <v>2013</v>
      </c>
      <c r="D1790" t="s">
        <v>27</v>
      </c>
      <c r="E1790" t="s">
        <v>46</v>
      </c>
      <c r="F1790" t="s">
        <v>27</v>
      </c>
      <c r="G1790">
        <v>30089</v>
      </c>
      <c r="H1790">
        <v>24071.200000000001</v>
      </c>
      <c r="I1790" s="13">
        <v>0.75</v>
      </c>
      <c r="J1790" t="s">
        <v>6207</v>
      </c>
      <c r="K1790">
        <v>1</v>
      </c>
      <c r="L1790">
        <v>0</v>
      </c>
      <c r="M1790" t="s">
        <v>0</v>
      </c>
      <c r="N1790" s="2">
        <v>0.43</v>
      </c>
      <c r="O1790" s="2">
        <v>0.56999999999999995</v>
      </c>
      <c r="P1790">
        <v>10</v>
      </c>
      <c r="Q1790">
        <v>15</v>
      </c>
      <c r="R1790">
        <v>3</v>
      </c>
      <c r="S1790">
        <v>4</v>
      </c>
      <c r="T1790">
        <v>13</v>
      </c>
      <c r="U1790">
        <v>11</v>
      </c>
      <c r="V1790">
        <v>3</v>
      </c>
      <c r="W1790">
        <v>1</v>
      </c>
      <c r="X1790">
        <v>0</v>
      </c>
      <c r="Y1790">
        <v>0</v>
      </c>
      <c r="Z1790">
        <v>1</v>
      </c>
    </row>
    <row r="1791" spans="1:26" x14ac:dyDescent="0.2">
      <c r="A1791" t="s">
        <v>1909</v>
      </c>
      <c r="B1791" t="s">
        <v>60</v>
      </c>
      <c r="C1791">
        <v>2013</v>
      </c>
      <c r="D1791" t="s">
        <v>19</v>
      </c>
      <c r="E1791" t="s">
        <v>64</v>
      </c>
      <c r="F1791" t="s">
        <v>19</v>
      </c>
      <c r="G1791">
        <v>25586</v>
      </c>
      <c r="H1791">
        <v>20468.800000000003</v>
      </c>
      <c r="I1791" s="13">
        <v>0.8</v>
      </c>
      <c r="J1791" t="s">
        <v>6208</v>
      </c>
      <c r="K1791">
        <v>1</v>
      </c>
      <c r="L1791">
        <v>4</v>
      </c>
      <c r="M1791" t="s">
        <v>1</v>
      </c>
      <c r="N1791" s="2">
        <v>0.47</v>
      </c>
      <c r="O1791" s="2">
        <v>0.53</v>
      </c>
      <c r="P1791">
        <v>13</v>
      </c>
      <c r="Q1791">
        <v>14</v>
      </c>
      <c r="R1791">
        <v>6</v>
      </c>
      <c r="S1791">
        <v>3</v>
      </c>
      <c r="T1791">
        <v>13</v>
      </c>
      <c r="U1791">
        <v>10</v>
      </c>
      <c r="V1791">
        <v>3</v>
      </c>
      <c r="W1791">
        <v>2</v>
      </c>
      <c r="X1791">
        <v>0</v>
      </c>
      <c r="Y1791">
        <v>0</v>
      </c>
      <c r="Z1791">
        <v>0</v>
      </c>
    </row>
    <row r="1792" spans="1:26" x14ac:dyDescent="0.2">
      <c r="A1792" t="s">
        <v>1910</v>
      </c>
      <c r="B1792" t="s">
        <v>44</v>
      </c>
      <c r="C1792">
        <v>2013</v>
      </c>
      <c r="D1792" t="s">
        <v>31</v>
      </c>
      <c r="E1792" t="s">
        <v>18</v>
      </c>
      <c r="F1792" t="s">
        <v>20</v>
      </c>
      <c r="G1792">
        <v>28500</v>
      </c>
      <c r="H1792">
        <v>22800</v>
      </c>
      <c r="I1792" s="13">
        <v>1</v>
      </c>
      <c r="J1792" t="s">
        <v>6207</v>
      </c>
      <c r="K1792">
        <v>1</v>
      </c>
      <c r="L1792">
        <v>3</v>
      </c>
      <c r="M1792" t="s">
        <v>1</v>
      </c>
      <c r="N1792" s="2">
        <v>0.42</v>
      </c>
      <c r="O1792" s="2">
        <v>0.57999999999999996</v>
      </c>
      <c r="P1792">
        <v>17</v>
      </c>
      <c r="Q1792">
        <v>15</v>
      </c>
      <c r="R1792">
        <v>5</v>
      </c>
      <c r="S1792">
        <v>4</v>
      </c>
      <c r="T1792">
        <v>14</v>
      </c>
      <c r="U1792">
        <v>13</v>
      </c>
      <c r="V1792">
        <v>2</v>
      </c>
      <c r="W1792">
        <v>1</v>
      </c>
      <c r="X1792">
        <v>0</v>
      </c>
      <c r="Y1792">
        <v>0</v>
      </c>
      <c r="Z1792">
        <v>0</v>
      </c>
    </row>
    <row r="1793" spans="1:26" x14ac:dyDescent="0.2">
      <c r="A1793" t="s">
        <v>1911</v>
      </c>
      <c r="B1793" t="s">
        <v>68</v>
      </c>
      <c r="C1793">
        <v>2013</v>
      </c>
      <c r="D1793" t="s">
        <v>45</v>
      </c>
      <c r="E1793" t="s">
        <v>23</v>
      </c>
      <c r="F1793" t="s">
        <v>26</v>
      </c>
      <c r="G1793">
        <v>39572</v>
      </c>
      <c r="H1793">
        <v>31657.600000000002</v>
      </c>
      <c r="I1793" s="13">
        <v>0</v>
      </c>
      <c r="J1793" t="s">
        <v>6207</v>
      </c>
      <c r="K1793">
        <v>1</v>
      </c>
      <c r="L1793">
        <v>0</v>
      </c>
      <c r="M1793" t="s">
        <v>0</v>
      </c>
      <c r="N1793" s="2">
        <v>0.69</v>
      </c>
      <c r="O1793" s="2">
        <v>0.31</v>
      </c>
      <c r="P1793">
        <v>9</v>
      </c>
      <c r="Q1793">
        <v>10</v>
      </c>
      <c r="R1793">
        <v>11</v>
      </c>
      <c r="S1793">
        <v>5</v>
      </c>
      <c r="T1793">
        <v>9</v>
      </c>
      <c r="U1793">
        <v>8</v>
      </c>
      <c r="V1793">
        <v>1</v>
      </c>
      <c r="W1793">
        <v>1</v>
      </c>
      <c r="X1793">
        <v>0</v>
      </c>
      <c r="Y1793">
        <v>0</v>
      </c>
      <c r="Z1793">
        <v>0</v>
      </c>
    </row>
    <row r="1794" spans="1:26" x14ac:dyDescent="0.2">
      <c r="A1794" t="s">
        <v>1912</v>
      </c>
      <c r="B1794" t="s">
        <v>54</v>
      </c>
      <c r="C1794">
        <v>2013</v>
      </c>
      <c r="D1794" t="s">
        <v>73</v>
      </c>
      <c r="E1794" t="s">
        <v>26</v>
      </c>
      <c r="F1794" t="s">
        <v>73</v>
      </c>
      <c r="G1794">
        <v>32384</v>
      </c>
      <c r="H1794">
        <v>25907.200000000001</v>
      </c>
      <c r="I1794" s="13">
        <v>0.33333333333333331</v>
      </c>
      <c r="J1794" t="s">
        <v>6206</v>
      </c>
      <c r="K1794">
        <v>0</v>
      </c>
      <c r="L1794">
        <v>3</v>
      </c>
      <c r="M1794" t="s">
        <v>1</v>
      </c>
      <c r="N1794" s="2">
        <v>0.56999999999999995</v>
      </c>
      <c r="O1794" s="2">
        <v>0.43</v>
      </c>
      <c r="P1794">
        <v>7</v>
      </c>
      <c r="Q1794">
        <v>11</v>
      </c>
      <c r="R1794">
        <v>3</v>
      </c>
      <c r="S1794">
        <v>6</v>
      </c>
      <c r="T1794">
        <v>10</v>
      </c>
      <c r="U1794">
        <v>6</v>
      </c>
      <c r="V1794">
        <v>1</v>
      </c>
      <c r="W1794">
        <v>2</v>
      </c>
      <c r="X1794">
        <v>0</v>
      </c>
      <c r="Y1794">
        <v>0</v>
      </c>
      <c r="Z1794">
        <v>1</v>
      </c>
    </row>
    <row r="1795" spans="1:26" x14ac:dyDescent="0.2">
      <c r="A1795" t="s">
        <v>1913</v>
      </c>
      <c r="B1795" t="s">
        <v>52</v>
      </c>
      <c r="C1795">
        <v>2013</v>
      </c>
      <c r="D1795" t="s">
        <v>51</v>
      </c>
      <c r="E1795" t="s">
        <v>78</v>
      </c>
      <c r="F1795" t="s">
        <v>20</v>
      </c>
      <c r="G1795">
        <v>36284</v>
      </c>
      <c r="H1795">
        <v>29027.200000000001</v>
      </c>
      <c r="I1795" s="13">
        <v>0.25</v>
      </c>
      <c r="J1795" t="s">
        <v>6207</v>
      </c>
      <c r="K1795">
        <v>1</v>
      </c>
      <c r="L1795">
        <v>0</v>
      </c>
      <c r="M1795" t="s">
        <v>0</v>
      </c>
      <c r="N1795" s="2">
        <v>0.61</v>
      </c>
      <c r="O1795" s="2">
        <v>0.39</v>
      </c>
      <c r="P1795">
        <v>15</v>
      </c>
      <c r="Q1795">
        <v>11</v>
      </c>
      <c r="R1795">
        <v>4</v>
      </c>
      <c r="S1795">
        <v>7</v>
      </c>
      <c r="T1795">
        <v>11</v>
      </c>
      <c r="U1795">
        <v>12</v>
      </c>
      <c r="V1795">
        <v>1</v>
      </c>
      <c r="W1795">
        <v>3</v>
      </c>
      <c r="X1795">
        <v>0</v>
      </c>
      <c r="Y1795">
        <v>0</v>
      </c>
      <c r="Z1795">
        <v>0</v>
      </c>
    </row>
    <row r="1796" spans="1:26" x14ac:dyDescent="0.2">
      <c r="A1796" t="s">
        <v>1914</v>
      </c>
      <c r="B1796" t="s">
        <v>41</v>
      </c>
      <c r="C1796">
        <v>2013</v>
      </c>
      <c r="D1796" t="s">
        <v>71</v>
      </c>
      <c r="E1796" t="s">
        <v>79</v>
      </c>
      <c r="F1796" t="s">
        <v>71</v>
      </c>
      <c r="G1796">
        <v>21088</v>
      </c>
      <c r="H1796">
        <v>16870.400000000001</v>
      </c>
      <c r="I1796" s="13">
        <v>0.33333333333333331</v>
      </c>
      <c r="J1796" t="s">
        <v>6207</v>
      </c>
      <c r="K1796">
        <v>1</v>
      </c>
      <c r="L1796">
        <v>1</v>
      </c>
      <c r="M1796" t="s">
        <v>58</v>
      </c>
      <c r="N1796" s="2">
        <v>0.69</v>
      </c>
      <c r="O1796" s="2">
        <v>0.31</v>
      </c>
      <c r="P1796">
        <v>11</v>
      </c>
      <c r="Q1796">
        <v>10</v>
      </c>
      <c r="R1796">
        <v>1</v>
      </c>
      <c r="S1796">
        <v>4</v>
      </c>
      <c r="T1796">
        <v>8</v>
      </c>
      <c r="U1796">
        <v>11</v>
      </c>
      <c r="V1796">
        <v>1</v>
      </c>
      <c r="W1796">
        <v>4</v>
      </c>
      <c r="X1796">
        <v>1</v>
      </c>
      <c r="Y1796">
        <v>0</v>
      </c>
      <c r="Z1796">
        <v>1</v>
      </c>
    </row>
    <row r="1797" spans="1:26" x14ac:dyDescent="0.2">
      <c r="A1797" t="s">
        <v>1915</v>
      </c>
      <c r="B1797" t="s">
        <v>61</v>
      </c>
      <c r="C1797">
        <v>2013</v>
      </c>
      <c r="D1797" t="s">
        <v>42</v>
      </c>
      <c r="E1797" t="s">
        <v>69</v>
      </c>
      <c r="F1797" t="s">
        <v>38</v>
      </c>
      <c r="G1797">
        <v>42918</v>
      </c>
      <c r="H1797">
        <v>34334.400000000001</v>
      </c>
      <c r="I1797" s="13">
        <v>0.66666666666666663</v>
      </c>
      <c r="J1797" t="s">
        <v>6207</v>
      </c>
      <c r="K1797">
        <v>4</v>
      </c>
      <c r="L1797">
        <v>1</v>
      </c>
      <c r="M1797" t="s">
        <v>0</v>
      </c>
      <c r="N1797" s="2">
        <v>0.56000000000000005</v>
      </c>
      <c r="O1797" s="2">
        <v>0.44</v>
      </c>
      <c r="P1797">
        <v>12</v>
      </c>
      <c r="Q1797">
        <v>13</v>
      </c>
      <c r="R1797">
        <v>6</v>
      </c>
      <c r="S1797">
        <v>2</v>
      </c>
      <c r="T1797">
        <v>12</v>
      </c>
      <c r="U1797">
        <v>10</v>
      </c>
      <c r="V1797">
        <v>0</v>
      </c>
      <c r="W1797">
        <v>3</v>
      </c>
      <c r="X1797">
        <v>0</v>
      </c>
      <c r="Y1797">
        <v>0</v>
      </c>
      <c r="Z1797">
        <v>0</v>
      </c>
    </row>
    <row r="1798" spans="1:26" x14ac:dyDescent="0.2">
      <c r="A1798" t="s">
        <v>1916</v>
      </c>
      <c r="B1798" t="s">
        <v>68</v>
      </c>
      <c r="C1798">
        <v>2013</v>
      </c>
      <c r="D1798" t="s">
        <v>63</v>
      </c>
      <c r="E1798" t="s">
        <v>48</v>
      </c>
      <c r="F1798" t="s">
        <v>65</v>
      </c>
      <c r="G1798">
        <v>26804</v>
      </c>
      <c r="H1798">
        <v>21443.200000000001</v>
      </c>
      <c r="I1798" s="13">
        <v>0.66666666666666663</v>
      </c>
      <c r="J1798" t="s">
        <v>6207</v>
      </c>
      <c r="K1798">
        <v>0</v>
      </c>
      <c r="L1798">
        <v>3</v>
      </c>
      <c r="M1798" t="s">
        <v>1</v>
      </c>
      <c r="N1798" s="2">
        <v>0.45</v>
      </c>
      <c r="O1798" s="2">
        <v>0.55000000000000004</v>
      </c>
      <c r="P1798">
        <v>11</v>
      </c>
      <c r="Q1798">
        <v>12</v>
      </c>
      <c r="R1798">
        <v>3</v>
      </c>
      <c r="S1798">
        <v>5</v>
      </c>
      <c r="T1798">
        <v>11</v>
      </c>
      <c r="U1798">
        <v>10</v>
      </c>
      <c r="V1798">
        <v>1</v>
      </c>
      <c r="W1798">
        <v>2</v>
      </c>
      <c r="X1798">
        <v>0</v>
      </c>
      <c r="Y1798">
        <v>0</v>
      </c>
      <c r="Z1798">
        <v>0</v>
      </c>
    </row>
    <row r="1799" spans="1:26" x14ac:dyDescent="0.2">
      <c r="A1799" t="s">
        <v>1917</v>
      </c>
      <c r="B1799" t="s">
        <v>37</v>
      </c>
      <c r="C1799">
        <v>2013</v>
      </c>
      <c r="D1799" t="s">
        <v>69</v>
      </c>
      <c r="E1799" t="s">
        <v>27</v>
      </c>
      <c r="F1799" t="s">
        <v>69</v>
      </c>
      <c r="G1799">
        <v>27359</v>
      </c>
      <c r="H1799">
        <v>21887.200000000001</v>
      </c>
      <c r="I1799" s="13">
        <v>1</v>
      </c>
      <c r="J1799" t="s">
        <v>6206</v>
      </c>
      <c r="K1799">
        <v>1</v>
      </c>
      <c r="L1799">
        <v>1</v>
      </c>
      <c r="M1799" t="s">
        <v>58</v>
      </c>
      <c r="N1799" s="2">
        <v>0.52</v>
      </c>
      <c r="O1799" s="2">
        <v>0.48</v>
      </c>
      <c r="P1799">
        <v>13</v>
      </c>
      <c r="Q1799">
        <v>8</v>
      </c>
      <c r="R1799">
        <v>3</v>
      </c>
      <c r="S1799">
        <v>1</v>
      </c>
      <c r="T1799">
        <v>9</v>
      </c>
      <c r="U1799">
        <v>12</v>
      </c>
      <c r="V1799">
        <v>0</v>
      </c>
      <c r="W1799">
        <v>2</v>
      </c>
      <c r="X1799">
        <v>0</v>
      </c>
      <c r="Y1799">
        <v>1</v>
      </c>
      <c r="Z1799">
        <v>1</v>
      </c>
    </row>
    <row r="1800" spans="1:26" x14ac:dyDescent="0.2">
      <c r="A1800" t="s">
        <v>1918</v>
      </c>
      <c r="B1800" t="s">
        <v>56</v>
      </c>
      <c r="C1800">
        <v>2013</v>
      </c>
      <c r="D1800" t="s">
        <v>79</v>
      </c>
      <c r="E1800" t="s">
        <v>73</v>
      </c>
      <c r="F1800" t="s">
        <v>20</v>
      </c>
      <c r="G1800">
        <v>25486</v>
      </c>
      <c r="H1800">
        <v>20388.800000000003</v>
      </c>
      <c r="I1800" s="13">
        <v>0.66666666666666663</v>
      </c>
      <c r="J1800" t="s">
        <v>6207</v>
      </c>
      <c r="K1800">
        <v>0</v>
      </c>
      <c r="L1800">
        <v>1</v>
      </c>
      <c r="M1800" t="s">
        <v>1</v>
      </c>
      <c r="N1800" s="2">
        <v>0.36</v>
      </c>
      <c r="O1800" s="2">
        <v>0.64</v>
      </c>
      <c r="P1800">
        <v>20</v>
      </c>
      <c r="Q1800">
        <v>18</v>
      </c>
      <c r="R1800">
        <v>8</v>
      </c>
      <c r="S1800">
        <v>3</v>
      </c>
      <c r="T1800">
        <v>14</v>
      </c>
      <c r="U1800">
        <v>18</v>
      </c>
      <c r="V1800">
        <v>1</v>
      </c>
      <c r="W1800">
        <v>5</v>
      </c>
      <c r="X1800">
        <v>0</v>
      </c>
      <c r="Y1800">
        <v>0</v>
      </c>
      <c r="Z1800">
        <v>0</v>
      </c>
    </row>
    <row r="1801" spans="1:26" x14ac:dyDescent="0.2">
      <c r="A1801" t="s">
        <v>1919</v>
      </c>
      <c r="B1801" t="s">
        <v>32</v>
      </c>
      <c r="C1801">
        <v>2013</v>
      </c>
      <c r="D1801" t="s">
        <v>78</v>
      </c>
      <c r="E1801" t="s">
        <v>31</v>
      </c>
      <c r="F1801" t="s">
        <v>78</v>
      </c>
      <c r="G1801">
        <v>33280</v>
      </c>
      <c r="H1801">
        <v>26624</v>
      </c>
      <c r="I1801" s="13">
        <v>0</v>
      </c>
      <c r="J1801" t="s">
        <v>6207</v>
      </c>
      <c r="K1801">
        <v>3</v>
      </c>
      <c r="L1801">
        <v>1</v>
      </c>
      <c r="M1801" t="s">
        <v>0</v>
      </c>
      <c r="N1801" s="2">
        <v>0.46</v>
      </c>
      <c r="O1801" s="2">
        <v>0.54</v>
      </c>
      <c r="P1801">
        <v>13</v>
      </c>
      <c r="Q1801">
        <v>9</v>
      </c>
      <c r="R1801">
        <v>7</v>
      </c>
      <c r="S1801">
        <v>6</v>
      </c>
      <c r="T1801">
        <v>9</v>
      </c>
      <c r="U1801">
        <v>12</v>
      </c>
      <c r="V1801">
        <v>1</v>
      </c>
      <c r="W1801">
        <v>0</v>
      </c>
      <c r="X1801">
        <v>0</v>
      </c>
      <c r="Y1801">
        <v>0</v>
      </c>
      <c r="Z1801">
        <v>0</v>
      </c>
    </row>
    <row r="1802" spans="1:26" x14ac:dyDescent="0.2">
      <c r="A1802" t="s">
        <v>1920</v>
      </c>
      <c r="B1802" t="s">
        <v>66</v>
      </c>
      <c r="C1802">
        <v>2013</v>
      </c>
      <c r="D1802" t="s">
        <v>18</v>
      </c>
      <c r="E1802" t="s">
        <v>51</v>
      </c>
      <c r="F1802" t="s">
        <v>20</v>
      </c>
      <c r="G1802">
        <v>40341</v>
      </c>
      <c r="H1802">
        <v>32272.800000000003</v>
      </c>
      <c r="I1802" s="13">
        <v>0.66666666666666663</v>
      </c>
      <c r="J1802" t="s">
        <v>6207</v>
      </c>
      <c r="K1802">
        <v>4</v>
      </c>
      <c r="L1802">
        <v>0</v>
      </c>
      <c r="M1802" t="s">
        <v>0</v>
      </c>
      <c r="N1802" s="2">
        <v>0.54</v>
      </c>
      <c r="O1802" s="2">
        <v>0.46</v>
      </c>
      <c r="P1802">
        <v>19</v>
      </c>
      <c r="Q1802">
        <v>17</v>
      </c>
      <c r="R1802">
        <v>5</v>
      </c>
      <c r="S1802">
        <v>4</v>
      </c>
      <c r="T1802">
        <v>11</v>
      </c>
      <c r="U1802">
        <v>18</v>
      </c>
      <c r="V1802">
        <v>2</v>
      </c>
      <c r="W1802">
        <v>3</v>
      </c>
      <c r="X1802">
        <v>0</v>
      </c>
      <c r="Y1802">
        <v>1</v>
      </c>
      <c r="Z1802">
        <v>1</v>
      </c>
    </row>
    <row r="1803" spans="1:26" x14ac:dyDescent="0.2">
      <c r="A1803" t="s">
        <v>1921</v>
      </c>
      <c r="B1803" t="s">
        <v>50</v>
      </c>
      <c r="C1803">
        <v>2013</v>
      </c>
      <c r="D1803" t="s">
        <v>19</v>
      </c>
      <c r="E1803" t="s">
        <v>40</v>
      </c>
      <c r="F1803" t="s">
        <v>19</v>
      </c>
      <c r="G1803">
        <v>25586</v>
      </c>
      <c r="H1803">
        <v>20468.800000000003</v>
      </c>
      <c r="I1803" s="13">
        <v>0.6</v>
      </c>
      <c r="J1803" t="s">
        <v>6207</v>
      </c>
      <c r="K1803">
        <v>0</v>
      </c>
      <c r="L1803">
        <v>2</v>
      </c>
      <c r="M1803" t="s">
        <v>1</v>
      </c>
      <c r="N1803" s="2">
        <v>0.54</v>
      </c>
      <c r="O1803" s="2">
        <v>0.46</v>
      </c>
      <c r="P1803">
        <v>14</v>
      </c>
      <c r="Q1803">
        <v>14</v>
      </c>
      <c r="R1803">
        <v>3</v>
      </c>
      <c r="S1803">
        <v>4</v>
      </c>
      <c r="T1803">
        <v>9</v>
      </c>
      <c r="U1803">
        <v>14</v>
      </c>
      <c r="V1803">
        <v>2</v>
      </c>
      <c r="W1803">
        <v>2</v>
      </c>
      <c r="X1803">
        <v>0</v>
      </c>
      <c r="Y1803">
        <v>1</v>
      </c>
      <c r="Z1803">
        <v>0</v>
      </c>
    </row>
    <row r="1804" spans="1:26" x14ac:dyDescent="0.2">
      <c r="A1804" t="s">
        <v>1922</v>
      </c>
      <c r="B1804" t="s">
        <v>32</v>
      </c>
      <c r="C1804">
        <v>2013</v>
      </c>
      <c r="D1804" t="s">
        <v>71</v>
      </c>
      <c r="E1804" t="s">
        <v>63</v>
      </c>
      <c r="F1804" t="s">
        <v>71</v>
      </c>
      <c r="G1804">
        <v>21088</v>
      </c>
      <c r="H1804">
        <v>16870.400000000001</v>
      </c>
      <c r="I1804" s="13">
        <v>0.75</v>
      </c>
      <c r="J1804" t="s">
        <v>6207</v>
      </c>
      <c r="K1804">
        <v>1</v>
      </c>
      <c r="L1804">
        <v>2</v>
      </c>
      <c r="M1804" t="s">
        <v>1</v>
      </c>
      <c r="N1804" s="2">
        <v>0.63</v>
      </c>
      <c r="O1804" s="2">
        <v>0.37</v>
      </c>
      <c r="P1804">
        <v>13</v>
      </c>
      <c r="Q1804">
        <v>11</v>
      </c>
      <c r="R1804">
        <v>4</v>
      </c>
      <c r="S1804">
        <v>1</v>
      </c>
      <c r="T1804">
        <v>7</v>
      </c>
      <c r="U1804">
        <v>13</v>
      </c>
      <c r="V1804">
        <v>1</v>
      </c>
      <c r="W1804">
        <v>3</v>
      </c>
      <c r="X1804">
        <v>0</v>
      </c>
      <c r="Y1804">
        <v>0</v>
      </c>
      <c r="Z1804">
        <v>0</v>
      </c>
    </row>
    <row r="1805" spans="1:26" x14ac:dyDescent="0.2">
      <c r="A1805" t="s">
        <v>1923</v>
      </c>
      <c r="B1805" t="s">
        <v>67</v>
      </c>
      <c r="C1805">
        <v>2013</v>
      </c>
      <c r="D1805" t="s">
        <v>35</v>
      </c>
      <c r="E1805" t="s">
        <v>79</v>
      </c>
      <c r="F1805" t="s">
        <v>35</v>
      </c>
      <c r="G1805">
        <v>49000</v>
      </c>
      <c r="H1805">
        <v>39200</v>
      </c>
      <c r="I1805" s="13">
        <v>0.5</v>
      </c>
      <c r="J1805" t="s">
        <v>6207</v>
      </c>
      <c r="K1805">
        <v>0</v>
      </c>
      <c r="L1805">
        <v>0</v>
      </c>
      <c r="M1805" t="s">
        <v>58</v>
      </c>
      <c r="N1805" s="2">
        <v>0.65</v>
      </c>
      <c r="O1805" s="2">
        <v>0.35</v>
      </c>
      <c r="P1805">
        <v>14</v>
      </c>
      <c r="Q1805">
        <v>19</v>
      </c>
      <c r="R1805">
        <v>6</v>
      </c>
      <c r="S1805">
        <v>2</v>
      </c>
      <c r="T1805">
        <v>16</v>
      </c>
      <c r="U1805">
        <v>14</v>
      </c>
      <c r="V1805">
        <v>4</v>
      </c>
      <c r="W1805">
        <v>4</v>
      </c>
      <c r="X1805">
        <v>0</v>
      </c>
      <c r="Y1805">
        <v>0</v>
      </c>
      <c r="Z1805">
        <v>0</v>
      </c>
    </row>
    <row r="1806" spans="1:26" x14ac:dyDescent="0.2">
      <c r="A1806" t="s">
        <v>1924</v>
      </c>
      <c r="B1806" t="s">
        <v>76</v>
      </c>
      <c r="C1806">
        <v>2013</v>
      </c>
      <c r="D1806" t="s">
        <v>27</v>
      </c>
      <c r="E1806" t="s">
        <v>23</v>
      </c>
      <c r="F1806" t="s">
        <v>27</v>
      </c>
      <c r="G1806">
        <v>30089</v>
      </c>
      <c r="H1806">
        <v>24071.200000000001</v>
      </c>
      <c r="I1806" s="13">
        <v>0.5</v>
      </c>
      <c r="J1806" t="s">
        <v>6207</v>
      </c>
      <c r="K1806">
        <v>3</v>
      </c>
      <c r="L1806">
        <v>1</v>
      </c>
      <c r="M1806" t="s">
        <v>0</v>
      </c>
      <c r="N1806" s="2">
        <v>0.55000000000000004</v>
      </c>
      <c r="O1806" s="2">
        <v>0.45</v>
      </c>
      <c r="P1806">
        <v>13</v>
      </c>
      <c r="Q1806">
        <v>13</v>
      </c>
      <c r="R1806">
        <v>6</v>
      </c>
      <c r="S1806">
        <v>4</v>
      </c>
      <c r="T1806">
        <v>13</v>
      </c>
      <c r="U1806">
        <v>13</v>
      </c>
      <c r="V1806">
        <v>1</v>
      </c>
      <c r="W1806">
        <v>1</v>
      </c>
      <c r="X1806">
        <v>0</v>
      </c>
      <c r="Y1806">
        <v>0</v>
      </c>
      <c r="Z1806">
        <v>0</v>
      </c>
    </row>
    <row r="1807" spans="1:26" x14ac:dyDescent="0.2">
      <c r="A1807" t="s">
        <v>1925</v>
      </c>
      <c r="B1807" t="s">
        <v>60</v>
      </c>
      <c r="C1807">
        <v>2013</v>
      </c>
      <c r="D1807" t="s">
        <v>73</v>
      </c>
      <c r="E1807" t="s">
        <v>69</v>
      </c>
      <c r="F1807" t="s">
        <v>73</v>
      </c>
      <c r="G1807">
        <v>32384</v>
      </c>
      <c r="H1807">
        <v>25907.200000000001</v>
      </c>
      <c r="I1807" s="13">
        <v>0.33333333333333331</v>
      </c>
      <c r="J1807" t="s">
        <v>6208</v>
      </c>
      <c r="K1807">
        <v>4</v>
      </c>
      <c r="L1807">
        <v>2</v>
      </c>
      <c r="M1807" t="s">
        <v>0</v>
      </c>
      <c r="N1807" s="2">
        <v>0.64</v>
      </c>
      <c r="O1807" s="2">
        <v>0.36</v>
      </c>
      <c r="P1807">
        <v>18</v>
      </c>
      <c r="Q1807">
        <v>15</v>
      </c>
      <c r="R1807">
        <v>6</v>
      </c>
      <c r="S1807">
        <v>1</v>
      </c>
      <c r="T1807">
        <v>11</v>
      </c>
      <c r="U1807">
        <v>17</v>
      </c>
      <c r="V1807">
        <v>1</v>
      </c>
      <c r="W1807">
        <v>2</v>
      </c>
      <c r="X1807">
        <v>0</v>
      </c>
      <c r="Y1807">
        <v>0</v>
      </c>
      <c r="Z1807">
        <v>0</v>
      </c>
    </row>
    <row r="1808" spans="1:26" x14ac:dyDescent="0.2">
      <c r="A1808" t="s">
        <v>1926</v>
      </c>
      <c r="B1808" t="s">
        <v>56</v>
      </c>
      <c r="C1808">
        <v>2013</v>
      </c>
      <c r="D1808" t="s">
        <v>31</v>
      </c>
      <c r="E1808" t="s">
        <v>64</v>
      </c>
      <c r="F1808" t="s">
        <v>20</v>
      </c>
      <c r="G1808">
        <v>28500</v>
      </c>
      <c r="H1808">
        <v>22800</v>
      </c>
      <c r="I1808" s="13">
        <v>1</v>
      </c>
      <c r="J1808" t="s">
        <v>6207</v>
      </c>
      <c r="K1808">
        <v>1</v>
      </c>
      <c r="L1808">
        <v>0</v>
      </c>
      <c r="M1808" t="s">
        <v>0</v>
      </c>
      <c r="N1808" s="2">
        <v>0.39</v>
      </c>
      <c r="O1808" s="2">
        <v>0.61</v>
      </c>
      <c r="P1808">
        <v>7</v>
      </c>
      <c r="Q1808">
        <v>16</v>
      </c>
      <c r="R1808">
        <v>9</v>
      </c>
      <c r="S1808">
        <v>7</v>
      </c>
      <c r="T1808">
        <v>11</v>
      </c>
      <c r="U1808">
        <v>6</v>
      </c>
      <c r="V1808">
        <v>1</v>
      </c>
      <c r="W1808">
        <v>0</v>
      </c>
      <c r="X1808">
        <v>0</v>
      </c>
      <c r="Y1808">
        <v>0</v>
      </c>
      <c r="Z1808">
        <v>0</v>
      </c>
    </row>
    <row r="1809" spans="1:26" x14ac:dyDescent="0.2">
      <c r="A1809" t="s">
        <v>1927</v>
      </c>
      <c r="B1809" t="s">
        <v>74</v>
      </c>
      <c r="C1809">
        <v>2013</v>
      </c>
      <c r="D1809" t="s">
        <v>45</v>
      </c>
      <c r="E1809" t="s">
        <v>78</v>
      </c>
      <c r="F1809" t="s">
        <v>26</v>
      </c>
      <c r="G1809">
        <v>39572</v>
      </c>
      <c r="H1809">
        <v>31657.600000000002</v>
      </c>
      <c r="I1809" s="13">
        <v>0.5</v>
      </c>
      <c r="J1809" t="s">
        <v>6208</v>
      </c>
      <c r="K1809">
        <v>2</v>
      </c>
      <c r="L1809">
        <v>1</v>
      </c>
      <c r="M1809" t="s">
        <v>0</v>
      </c>
      <c r="N1809" s="2">
        <v>0.68</v>
      </c>
      <c r="O1809" s="2">
        <v>0.32</v>
      </c>
      <c r="P1809">
        <v>13</v>
      </c>
      <c r="Q1809">
        <v>11</v>
      </c>
      <c r="R1809">
        <v>10</v>
      </c>
      <c r="S1809">
        <v>5</v>
      </c>
      <c r="T1809">
        <v>10</v>
      </c>
      <c r="U1809">
        <v>10</v>
      </c>
      <c r="V1809">
        <v>1</v>
      </c>
      <c r="W1809">
        <v>3</v>
      </c>
      <c r="X1809">
        <v>0</v>
      </c>
      <c r="Y1809">
        <v>0</v>
      </c>
      <c r="Z1809">
        <v>0</v>
      </c>
    </row>
    <row r="1810" spans="1:26" x14ac:dyDescent="0.2">
      <c r="A1810" t="s">
        <v>1928</v>
      </c>
      <c r="B1810" t="s">
        <v>25</v>
      </c>
      <c r="C1810">
        <v>2013</v>
      </c>
      <c r="D1810" t="s">
        <v>42</v>
      </c>
      <c r="E1810" t="s">
        <v>18</v>
      </c>
      <c r="F1810" t="s">
        <v>38</v>
      </c>
      <c r="G1810">
        <v>42918</v>
      </c>
      <c r="H1810">
        <v>34334.400000000001</v>
      </c>
      <c r="I1810" s="13">
        <v>0.5</v>
      </c>
      <c r="J1810" t="s">
        <v>6207</v>
      </c>
      <c r="K1810">
        <v>1</v>
      </c>
      <c r="L1810">
        <v>0</v>
      </c>
      <c r="M1810" t="s">
        <v>0</v>
      </c>
      <c r="N1810" s="2">
        <v>0.38</v>
      </c>
      <c r="O1810" s="2">
        <v>0.62</v>
      </c>
      <c r="P1810">
        <v>17</v>
      </c>
      <c r="Q1810">
        <v>16</v>
      </c>
      <c r="R1810">
        <v>4</v>
      </c>
      <c r="S1810">
        <v>5</v>
      </c>
      <c r="T1810">
        <v>14</v>
      </c>
      <c r="U1810">
        <v>8</v>
      </c>
      <c r="V1810">
        <v>4</v>
      </c>
      <c r="W1810">
        <v>2</v>
      </c>
      <c r="X1810">
        <v>0</v>
      </c>
      <c r="Y1810">
        <v>2</v>
      </c>
      <c r="Z1810">
        <v>0</v>
      </c>
    </row>
    <row r="1811" spans="1:26" x14ac:dyDescent="0.2">
      <c r="A1811" t="s">
        <v>1929</v>
      </c>
      <c r="B1811" t="s">
        <v>44</v>
      </c>
      <c r="C1811">
        <v>2013</v>
      </c>
      <c r="D1811" t="s">
        <v>48</v>
      </c>
      <c r="E1811" t="s">
        <v>26</v>
      </c>
      <c r="F1811" t="s">
        <v>49</v>
      </c>
      <c r="G1811">
        <v>74197</v>
      </c>
      <c r="H1811">
        <v>59357.600000000006</v>
      </c>
      <c r="I1811" s="13">
        <v>0.42857142857142855</v>
      </c>
      <c r="J1811" t="s">
        <v>6207</v>
      </c>
      <c r="K1811">
        <v>0</v>
      </c>
      <c r="L1811">
        <v>3</v>
      </c>
      <c r="M1811" t="s">
        <v>1</v>
      </c>
      <c r="N1811" s="2">
        <v>0.48</v>
      </c>
      <c r="O1811" s="2">
        <v>0.52</v>
      </c>
      <c r="P1811">
        <v>13</v>
      </c>
      <c r="Q1811">
        <v>13</v>
      </c>
      <c r="R1811">
        <v>3</v>
      </c>
      <c r="S1811">
        <v>4</v>
      </c>
      <c r="T1811">
        <v>13</v>
      </c>
      <c r="U1811">
        <v>12</v>
      </c>
      <c r="V1811">
        <v>2</v>
      </c>
      <c r="W1811">
        <v>4</v>
      </c>
      <c r="X1811">
        <v>1</v>
      </c>
      <c r="Y1811">
        <v>0</v>
      </c>
      <c r="Z1811">
        <v>3</v>
      </c>
    </row>
    <row r="1812" spans="1:26" x14ac:dyDescent="0.2">
      <c r="A1812" t="s">
        <v>1930</v>
      </c>
      <c r="B1812" t="s">
        <v>41</v>
      </c>
      <c r="C1812">
        <v>2013</v>
      </c>
      <c r="D1812" t="s">
        <v>51</v>
      </c>
      <c r="E1812" t="s">
        <v>46</v>
      </c>
      <c r="F1812" t="s">
        <v>20</v>
      </c>
      <c r="G1812">
        <v>36284</v>
      </c>
      <c r="H1812">
        <v>29027.200000000001</v>
      </c>
      <c r="I1812" s="13">
        <v>0.75</v>
      </c>
      <c r="J1812" t="s">
        <v>6207</v>
      </c>
      <c r="K1812">
        <v>0</v>
      </c>
      <c r="L1812">
        <v>1</v>
      </c>
      <c r="M1812" t="s">
        <v>1</v>
      </c>
      <c r="N1812" s="2">
        <v>0.59</v>
      </c>
      <c r="O1812" s="2">
        <v>0.41</v>
      </c>
      <c r="P1812">
        <v>17</v>
      </c>
      <c r="Q1812">
        <v>21</v>
      </c>
      <c r="R1812">
        <v>5</v>
      </c>
      <c r="S1812">
        <v>2</v>
      </c>
      <c r="T1812">
        <v>18</v>
      </c>
      <c r="U1812">
        <v>11</v>
      </c>
      <c r="V1812">
        <v>5</v>
      </c>
      <c r="W1812">
        <v>3</v>
      </c>
      <c r="X1812">
        <v>0</v>
      </c>
      <c r="Y1812">
        <v>0</v>
      </c>
      <c r="Z1812">
        <v>0</v>
      </c>
    </row>
    <row r="1813" spans="1:26" x14ac:dyDescent="0.2">
      <c r="A1813" t="s">
        <v>1931</v>
      </c>
      <c r="B1813" t="s">
        <v>37</v>
      </c>
      <c r="C1813">
        <v>2013</v>
      </c>
      <c r="D1813" t="s">
        <v>18</v>
      </c>
      <c r="E1813" t="s">
        <v>46</v>
      </c>
      <c r="F1813" t="s">
        <v>20</v>
      </c>
      <c r="G1813">
        <v>40341</v>
      </c>
      <c r="H1813">
        <v>32272.800000000003</v>
      </c>
      <c r="I1813" s="13">
        <v>0.5</v>
      </c>
      <c r="J1813" t="s">
        <v>6206</v>
      </c>
      <c r="K1813">
        <v>6</v>
      </c>
      <c r="L1813">
        <v>0</v>
      </c>
      <c r="M1813" t="s">
        <v>0</v>
      </c>
      <c r="N1813" s="2">
        <v>0.53</v>
      </c>
      <c r="O1813" s="2">
        <v>0.47</v>
      </c>
      <c r="P1813">
        <v>9</v>
      </c>
      <c r="Q1813">
        <v>21</v>
      </c>
      <c r="R1813">
        <v>7</v>
      </c>
      <c r="S1813">
        <v>1</v>
      </c>
      <c r="T1813">
        <v>14</v>
      </c>
      <c r="U1813">
        <v>8</v>
      </c>
      <c r="V1813">
        <v>0</v>
      </c>
      <c r="W1813">
        <v>1</v>
      </c>
      <c r="X1813">
        <v>0</v>
      </c>
      <c r="Y1813">
        <v>1</v>
      </c>
      <c r="Z1813">
        <v>1</v>
      </c>
    </row>
    <row r="1814" spans="1:26" x14ac:dyDescent="0.2">
      <c r="A1814" t="s">
        <v>1932</v>
      </c>
      <c r="B1814" t="s">
        <v>52</v>
      </c>
      <c r="C1814">
        <v>2013</v>
      </c>
      <c r="D1814" t="s">
        <v>69</v>
      </c>
      <c r="E1814" t="s">
        <v>35</v>
      </c>
      <c r="F1814" t="s">
        <v>69</v>
      </c>
      <c r="G1814">
        <v>27359</v>
      </c>
      <c r="H1814">
        <v>21887.200000000001</v>
      </c>
      <c r="I1814" s="13">
        <v>0.125</v>
      </c>
      <c r="J1814" t="s">
        <v>6207</v>
      </c>
      <c r="K1814">
        <v>2</v>
      </c>
      <c r="L1814">
        <v>0</v>
      </c>
      <c r="M1814" t="s">
        <v>0</v>
      </c>
      <c r="N1814" s="2">
        <v>0.54</v>
      </c>
      <c r="O1814" s="2">
        <v>0.46</v>
      </c>
      <c r="P1814">
        <v>19</v>
      </c>
      <c r="Q1814">
        <v>16</v>
      </c>
      <c r="R1814">
        <v>8</v>
      </c>
      <c r="S1814">
        <v>5</v>
      </c>
      <c r="T1814">
        <v>16</v>
      </c>
      <c r="U1814">
        <v>20</v>
      </c>
      <c r="V1814">
        <v>2</v>
      </c>
      <c r="W1814">
        <v>5</v>
      </c>
      <c r="X1814">
        <v>0</v>
      </c>
      <c r="Y1814">
        <v>1</v>
      </c>
      <c r="Z1814">
        <v>0</v>
      </c>
    </row>
    <row r="1815" spans="1:26" x14ac:dyDescent="0.2">
      <c r="A1815" t="s">
        <v>1933</v>
      </c>
      <c r="B1815" t="s">
        <v>54</v>
      </c>
      <c r="C1815">
        <v>2013</v>
      </c>
      <c r="D1815" t="s">
        <v>64</v>
      </c>
      <c r="E1815" t="s">
        <v>79</v>
      </c>
      <c r="F1815" t="s">
        <v>64</v>
      </c>
      <c r="G1815">
        <v>52264</v>
      </c>
      <c r="H1815">
        <v>41811.200000000004</v>
      </c>
      <c r="I1815" s="13">
        <v>1</v>
      </c>
      <c r="J1815" t="s">
        <v>6206</v>
      </c>
      <c r="K1815">
        <v>1</v>
      </c>
      <c r="L1815">
        <v>0</v>
      </c>
      <c r="M1815" t="s">
        <v>0</v>
      </c>
      <c r="N1815" s="2">
        <v>0.73</v>
      </c>
      <c r="O1815" s="2">
        <v>0.27</v>
      </c>
      <c r="P1815">
        <v>7</v>
      </c>
      <c r="Q1815">
        <v>5</v>
      </c>
      <c r="R1815">
        <v>9</v>
      </c>
      <c r="S1815">
        <v>5</v>
      </c>
      <c r="T1815">
        <v>4</v>
      </c>
      <c r="U1815">
        <v>8</v>
      </c>
      <c r="V1815">
        <v>0</v>
      </c>
      <c r="W1815">
        <v>1</v>
      </c>
      <c r="X1815">
        <v>0</v>
      </c>
      <c r="Y1815">
        <v>0</v>
      </c>
      <c r="Z1815">
        <v>0</v>
      </c>
    </row>
    <row r="1816" spans="1:26" x14ac:dyDescent="0.2">
      <c r="A1816" t="s">
        <v>1934</v>
      </c>
      <c r="B1816" t="s">
        <v>68</v>
      </c>
      <c r="C1816">
        <v>2013</v>
      </c>
      <c r="D1816" t="s">
        <v>40</v>
      </c>
      <c r="E1816" t="s">
        <v>31</v>
      </c>
      <c r="F1816" t="s">
        <v>49</v>
      </c>
      <c r="G1816">
        <v>53400</v>
      </c>
      <c r="H1816">
        <v>42720</v>
      </c>
      <c r="I1816" s="13">
        <v>0.4</v>
      </c>
      <c r="J1816" t="s">
        <v>6207</v>
      </c>
      <c r="K1816">
        <v>5</v>
      </c>
      <c r="L1816">
        <v>0</v>
      </c>
      <c r="M1816" t="s">
        <v>0</v>
      </c>
      <c r="N1816" s="2">
        <v>0.68</v>
      </c>
      <c r="O1816" s="2">
        <v>0.32</v>
      </c>
      <c r="P1816">
        <v>15</v>
      </c>
      <c r="Q1816">
        <v>9</v>
      </c>
      <c r="R1816">
        <v>13</v>
      </c>
      <c r="S1816">
        <v>2</v>
      </c>
      <c r="T1816">
        <v>8</v>
      </c>
      <c r="U1816">
        <v>15</v>
      </c>
      <c r="V1816">
        <v>0</v>
      </c>
      <c r="W1816">
        <v>4</v>
      </c>
      <c r="X1816">
        <v>0</v>
      </c>
      <c r="Y1816">
        <v>1</v>
      </c>
      <c r="Z1816">
        <v>2</v>
      </c>
    </row>
    <row r="1817" spans="1:26" x14ac:dyDescent="0.2">
      <c r="A1817" t="s">
        <v>1935</v>
      </c>
      <c r="B1817" t="s">
        <v>25</v>
      </c>
      <c r="C1817">
        <v>2013</v>
      </c>
      <c r="D1817" t="s">
        <v>19</v>
      </c>
      <c r="E1817" t="s">
        <v>63</v>
      </c>
      <c r="F1817" t="s">
        <v>19</v>
      </c>
      <c r="G1817">
        <v>25586</v>
      </c>
      <c r="H1817">
        <v>20468.800000000003</v>
      </c>
      <c r="I1817" s="13">
        <v>1</v>
      </c>
      <c r="J1817" t="s">
        <v>6207</v>
      </c>
      <c r="K1817">
        <v>2</v>
      </c>
      <c r="L1817">
        <v>0</v>
      </c>
      <c r="M1817" t="s">
        <v>0</v>
      </c>
      <c r="N1817" s="2">
        <v>0.43</v>
      </c>
      <c r="O1817" s="2">
        <v>0.56999999999999995</v>
      </c>
      <c r="P1817">
        <v>13</v>
      </c>
      <c r="Q1817">
        <v>22</v>
      </c>
      <c r="R1817">
        <v>4</v>
      </c>
      <c r="S1817">
        <v>5</v>
      </c>
      <c r="T1817">
        <v>18</v>
      </c>
      <c r="U1817">
        <v>13</v>
      </c>
      <c r="V1817">
        <v>2</v>
      </c>
      <c r="W1817">
        <v>0</v>
      </c>
      <c r="X1817">
        <v>0</v>
      </c>
      <c r="Y1817">
        <v>0</v>
      </c>
      <c r="Z1817">
        <v>1</v>
      </c>
    </row>
    <row r="1818" spans="1:26" x14ac:dyDescent="0.2">
      <c r="A1818" t="s">
        <v>1936</v>
      </c>
      <c r="B1818" t="s">
        <v>66</v>
      </c>
      <c r="C1818">
        <v>2013</v>
      </c>
      <c r="D1818" t="s">
        <v>45</v>
      </c>
      <c r="E1818" t="s">
        <v>71</v>
      </c>
      <c r="F1818" t="s">
        <v>26</v>
      </c>
      <c r="G1818">
        <v>39572</v>
      </c>
      <c r="H1818">
        <v>31657.600000000002</v>
      </c>
      <c r="I1818" s="13">
        <v>0</v>
      </c>
      <c r="J1818" t="s">
        <v>6207</v>
      </c>
      <c r="K1818">
        <v>3</v>
      </c>
      <c r="L1818">
        <v>2</v>
      </c>
      <c r="M1818" t="s">
        <v>0</v>
      </c>
      <c r="N1818" s="2">
        <v>0.41</v>
      </c>
      <c r="O1818" s="2">
        <v>0.59</v>
      </c>
      <c r="P1818">
        <v>6</v>
      </c>
      <c r="Q1818">
        <v>9</v>
      </c>
      <c r="R1818">
        <v>5</v>
      </c>
      <c r="S1818">
        <v>12</v>
      </c>
      <c r="T1818">
        <v>9</v>
      </c>
      <c r="U1818">
        <v>6</v>
      </c>
      <c r="V1818">
        <v>0</v>
      </c>
      <c r="W1818">
        <v>0</v>
      </c>
      <c r="X1818">
        <v>0</v>
      </c>
      <c r="Y1818">
        <v>0</v>
      </c>
      <c r="Z1818">
        <v>1</v>
      </c>
    </row>
    <row r="1819" spans="1:26" x14ac:dyDescent="0.2">
      <c r="A1819" t="s">
        <v>1937</v>
      </c>
      <c r="B1819" t="s">
        <v>67</v>
      </c>
      <c r="C1819">
        <v>2013</v>
      </c>
      <c r="D1819" t="s">
        <v>78</v>
      </c>
      <c r="E1819" t="s">
        <v>26</v>
      </c>
      <c r="F1819" t="s">
        <v>78</v>
      </c>
      <c r="G1819">
        <v>33280</v>
      </c>
      <c r="H1819">
        <v>26624</v>
      </c>
      <c r="I1819" s="13">
        <v>0.4</v>
      </c>
      <c r="J1819" t="s">
        <v>6207</v>
      </c>
      <c r="K1819">
        <v>3</v>
      </c>
      <c r="L1819">
        <v>6</v>
      </c>
      <c r="M1819" t="s">
        <v>1</v>
      </c>
      <c r="N1819" s="2">
        <v>0.33</v>
      </c>
      <c r="O1819" s="2">
        <v>0.67</v>
      </c>
      <c r="P1819">
        <v>13</v>
      </c>
      <c r="Q1819">
        <v>13</v>
      </c>
      <c r="R1819">
        <v>4</v>
      </c>
      <c r="S1819">
        <v>6</v>
      </c>
      <c r="T1819">
        <v>14</v>
      </c>
      <c r="U1819">
        <v>11</v>
      </c>
      <c r="V1819">
        <v>2</v>
      </c>
      <c r="W1819">
        <v>3</v>
      </c>
      <c r="X1819">
        <v>0</v>
      </c>
      <c r="Y1819">
        <v>0</v>
      </c>
      <c r="Z1819">
        <v>0</v>
      </c>
    </row>
    <row r="1820" spans="1:26" x14ac:dyDescent="0.2">
      <c r="A1820" t="s">
        <v>1938</v>
      </c>
      <c r="B1820" t="s">
        <v>50</v>
      </c>
      <c r="C1820">
        <v>2013</v>
      </c>
      <c r="D1820" t="s">
        <v>23</v>
      </c>
      <c r="E1820" t="s">
        <v>48</v>
      </c>
      <c r="F1820" t="s">
        <v>20</v>
      </c>
      <c r="G1820">
        <v>62500</v>
      </c>
      <c r="H1820">
        <v>50000</v>
      </c>
      <c r="I1820" s="13">
        <v>0.33333333333333331</v>
      </c>
      <c r="J1820" t="s">
        <v>6207</v>
      </c>
      <c r="K1820">
        <v>0</v>
      </c>
      <c r="L1820">
        <v>2</v>
      </c>
      <c r="M1820" t="s">
        <v>1</v>
      </c>
      <c r="N1820" s="2">
        <v>0.45</v>
      </c>
      <c r="O1820" s="2">
        <v>0.55000000000000004</v>
      </c>
      <c r="P1820">
        <v>10</v>
      </c>
      <c r="Q1820">
        <v>8</v>
      </c>
      <c r="R1820">
        <v>12</v>
      </c>
      <c r="S1820">
        <v>7</v>
      </c>
      <c r="T1820">
        <v>8</v>
      </c>
      <c r="U1820">
        <v>8</v>
      </c>
      <c r="V1820">
        <v>2</v>
      </c>
      <c r="W1820">
        <v>1</v>
      </c>
      <c r="X1820">
        <v>0</v>
      </c>
      <c r="Y1820">
        <v>0</v>
      </c>
      <c r="Z1820">
        <v>0</v>
      </c>
    </row>
    <row r="1821" spans="1:26" x14ac:dyDescent="0.2">
      <c r="A1821" t="s">
        <v>1939</v>
      </c>
      <c r="B1821" t="s">
        <v>61</v>
      </c>
      <c r="C1821">
        <v>2013</v>
      </c>
      <c r="D1821" t="s">
        <v>51</v>
      </c>
      <c r="E1821" t="s">
        <v>73</v>
      </c>
      <c r="F1821" t="s">
        <v>20</v>
      </c>
      <c r="G1821">
        <v>36284</v>
      </c>
      <c r="H1821">
        <v>29027.200000000001</v>
      </c>
      <c r="I1821" s="13">
        <v>0.66666666666666663</v>
      </c>
      <c r="J1821" t="s">
        <v>6207</v>
      </c>
      <c r="K1821">
        <v>3</v>
      </c>
      <c r="L1821">
        <v>2</v>
      </c>
      <c r="M1821" t="s">
        <v>0</v>
      </c>
      <c r="N1821" s="2">
        <v>0.51</v>
      </c>
      <c r="O1821" s="2">
        <v>0.49</v>
      </c>
      <c r="P1821">
        <v>17</v>
      </c>
      <c r="Q1821">
        <v>9</v>
      </c>
      <c r="R1821">
        <v>7</v>
      </c>
      <c r="S1821">
        <v>3</v>
      </c>
      <c r="T1821">
        <v>9</v>
      </c>
      <c r="U1821">
        <v>9</v>
      </c>
      <c r="V1821">
        <v>1</v>
      </c>
      <c r="W1821">
        <v>2</v>
      </c>
      <c r="X1821">
        <v>0</v>
      </c>
      <c r="Y1821">
        <v>0</v>
      </c>
      <c r="Z1821">
        <v>0</v>
      </c>
    </row>
    <row r="1822" spans="1:26" x14ac:dyDescent="0.2">
      <c r="A1822" t="s">
        <v>1940</v>
      </c>
      <c r="B1822" t="s">
        <v>44</v>
      </c>
      <c r="C1822">
        <v>2013</v>
      </c>
      <c r="D1822" t="s">
        <v>42</v>
      </c>
      <c r="E1822" t="s">
        <v>27</v>
      </c>
      <c r="F1822" t="s">
        <v>38</v>
      </c>
      <c r="G1822">
        <v>42918</v>
      </c>
      <c r="H1822">
        <v>34334.400000000001</v>
      </c>
      <c r="I1822" s="13">
        <v>0.66666666666666663</v>
      </c>
      <c r="J1822" t="s">
        <v>6207</v>
      </c>
      <c r="K1822">
        <v>1</v>
      </c>
      <c r="L1822">
        <v>4</v>
      </c>
      <c r="M1822" t="s">
        <v>1</v>
      </c>
      <c r="N1822" s="2">
        <v>0.5</v>
      </c>
      <c r="O1822" s="2">
        <v>0.5</v>
      </c>
      <c r="P1822">
        <v>14</v>
      </c>
      <c r="Q1822">
        <v>18</v>
      </c>
      <c r="R1822">
        <v>5</v>
      </c>
      <c r="S1822">
        <v>3</v>
      </c>
      <c r="T1822">
        <v>16</v>
      </c>
      <c r="U1822">
        <v>10</v>
      </c>
      <c r="V1822">
        <v>5</v>
      </c>
      <c r="W1822">
        <v>1</v>
      </c>
      <c r="X1822">
        <v>0</v>
      </c>
      <c r="Y1822">
        <v>0</v>
      </c>
      <c r="Z1822">
        <v>0</v>
      </c>
    </row>
    <row r="1823" spans="1:26" x14ac:dyDescent="0.2">
      <c r="A1823" t="s">
        <v>1941</v>
      </c>
      <c r="B1823" t="s">
        <v>50</v>
      </c>
      <c r="C1823">
        <v>2013</v>
      </c>
      <c r="D1823" t="s">
        <v>64</v>
      </c>
      <c r="E1823" t="s">
        <v>45</v>
      </c>
      <c r="F1823" t="s">
        <v>64</v>
      </c>
      <c r="G1823">
        <v>52264</v>
      </c>
      <c r="H1823">
        <v>41811.200000000004</v>
      </c>
      <c r="I1823" s="13">
        <v>0</v>
      </c>
      <c r="J1823" t="s">
        <v>6207</v>
      </c>
      <c r="K1823">
        <v>0</v>
      </c>
      <c r="L1823">
        <v>3</v>
      </c>
      <c r="M1823" t="s">
        <v>1</v>
      </c>
      <c r="N1823" s="2">
        <v>0.55000000000000004</v>
      </c>
      <c r="O1823" s="2">
        <v>0.45</v>
      </c>
      <c r="P1823">
        <v>10</v>
      </c>
      <c r="Q1823">
        <v>10</v>
      </c>
      <c r="R1823">
        <v>9</v>
      </c>
      <c r="S1823">
        <v>8</v>
      </c>
      <c r="T1823">
        <v>8</v>
      </c>
      <c r="U1823">
        <v>10</v>
      </c>
      <c r="V1823">
        <v>0</v>
      </c>
      <c r="W1823">
        <v>1</v>
      </c>
      <c r="X1823">
        <v>0</v>
      </c>
      <c r="Y1823">
        <v>0</v>
      </c>
      <c r="Z1823">
        <v>0</v>
      </c>
    </row>
    <row r="1824" spans="1:26" x14ac:dyDescent="0.2">
      <c r="A1824" t="s">
        <v>1942</v>
      </c>
      <c r="B1824" t="s">
        <v>66</v>
      </c>
      <c r="C1824">
        <v>2013</v>
      </c>
      <c r="D1824" t="s">
        <v>48</v>
      </c>
      <c r="E1824" t="s">
        <v>40</v>
      </c>
      <c r="F1824" t="s">
        <v>49</v>
      </c>
      <c r="G1824">
        <v>74197</v>
      </c>
      <c r="H1824">
        <v>59357.600000000006</v>
      </c>
      <c r="I1824" s="13">
        <v>0.75</v>
      </c>
      <c r="J1824" t="s">
        <v>6207</v>
      </c>
      <c r="K1824">
        <v>0</v>
      </c>
      <c r="L1824">
        <v>3</v>
      </c>
      <c r="M1824" t="s">
        <v>1</v>
      </c>
      <c r="N1824" s="2">
        <v>0.53</v>
      </c>
      <c r="O1824" s="2">
        <v>0.47</v>
      </c>
      <c r="P1824">
        <v>10</v>
      </c>
      <c r="Q1824">
        <v>13</v>
      </c>
      <c r="R1824">
        <v>5</v>
      </c>
      <c r="S1824">
        <v>8</v>
      </c>
      <c r="T1824">
        <v>12</v>
      </c>
      <c r="U1824">
        <v>8</v>
      </c>
      <c r="V1824">
        <v>2</v>
      </c>
      <c r="W1824">
        <v>2</v>
      </c>
      <c r="X1824">
        <v>0</v>
      </c>
      <c r="Y1824">
        <v>0</v>
      </c>
      <c r="Z1824">
        <v>0</v>
      </c>
    </row>
    <row r="1825" spans="1:26" x14ac:dyDescent="0.2">
      <c r="A1825" t="s">
        <v>1943</v>
      </c>
      <c r="B1825" t="s">
        <v>54</v>
      </c>
      <c r="C1825">
        <v>2013</v>
      </c>
      <c r="D1825" t="s">
        <v>46</v>
      </c>
      <c r="E1825" t="s">
        <v>71</v>
      </c>
      <c r="F1825" t="s">
        <v>20</v>
      </c>
      <c r="G1825">
        <v>60704</v>
      </c>
      <c r="H1825">
        <v>48563.200000000004</v>
      </c>
      <c r="I1825" s="13">
        <v>1</v>
      </c>
      <c r="J1825" t="s">
        <v>6206</v>
      </c>
      <c r="K1825">
        <v>2</v>
      </c>
      <c r="L1825">
        <v>2</v>
      </c>
      <c r="M1825" t="s">
        <v>58</v>
      </c>
      <c r="N1825" s="2">
        <v>0.61</v>
      </c>
      <c r="O1825" s="2">
        <v>0.39</v>
      </c>
      <c r="P1825">
        <v>15</v>
      </c>
      <c r="Q1825">
        <v>11</v>
      </c>
      <c r="R1825">
        <v>7</v>
      </c>
      <c r="S1825">
        <v>0</v>
      </c>
      <c r="T1825">
        <v>11</v>
      </c>
      <c r="U1825">
        <v>12</v>
      </c>
      <c r="V1825">
        <v>0</v>
      </c>
      <c r="W1825">
        <v>1</v>
      </c>
      <c r="X1825">
        <v>0</v>
      </c>
      <c r="Y1825">
        <v>0</v>
      </c>
      <c r="Z1825">
        <v>0</v>
      </c>
    </row>
    <row r="1826" spans="1:26" x14ac:dyDescent="0.2">
      <c r="A1826" t="s">
        <v>1944</v>
      </c>
      <c r="B1826" t="s">
        <v>41</v>
      </c>
      <c r="C1826">
        <v>2013</v>
      </c>
      <c r="D1826" t="s">
        <v>23</v>
      </c>
      <c r="E1826" t="s">
        <v>19</v>
      </c>
      <c r="F1826" t="s">
        <v>20</v>
      </c>
      <c r="G1826">
        <v>62500</v>
      </c>
      <c r="H1826">
        <v>50000</v>
      </c>
      <c r="I1826" s="13">
        <v>0</v>
      </c>
      <c r="J1826" t="s">
        <v>6207</v>
      </c>
      <c r="K1826">
        <v>2</v>
      </c>
      <c r="L1826">
        <v>1</v>
      </c>
      <c r="M1826" t="s">
        <v>0</v>
      </c>
      <c r="N1826" s="2">
        <v>0.44</v>
      </c>
      <c r="O1826" s="2">
        <v>0.56000000000000005</v>
      </c>
      <c r="P1826">
        <v>12</v>
      </c>
      <c r="Q1826">
        <v>13</v>
      </c>
      <c r="R1826">
        <v>4</v>
      </c>
      <c r="S1826">
        <v>5</v>
      </c>
      <c r="T1826">
        <v>12</v>
      </c>
      <c r="U1826">
        <v>9</v>
      </c>
      <c r="V1826">
        <v>0</v>
      </c>
      <c r="W1826">
        <v>1</v>
      </c>
      <c r="X1826">
        <v>0</v>
      </c>
      <c r="Y1826">
        <v>1</v>
      </c>
      <c r="Z1826">
        <v>1</v>
      </c>
    </row>
    <row r="1827" spans="1:26" x14ac:dyDescent="0.2">
      <c r="A1827" t="s">
        <v>1945</v>
      </c>
      <c r="B1827" t="s">
        <v>60</v>
      </c>
      <c r="C1827">
        <v>2013</v>
      </c>
      <c r="D1827" t="s">
        <v>26</v>
      </c>
      <c r="E1827" t="s">
        <v>35</v>
      </c>
      <c r="F1827" t="s">
        <v>26</v>
      </c>
      <c r="G1827">
        <v>61276</v>
      </c>
      <c r="H1827">
        <v>49020.800000000003</v>
      </c>
      <c r="I1827" s="13">
        <v>0.5</v>
      </c>
      <c r="J1827" t="s">
        <v>6208</v>
      </c>
      <c r="K1827">
        <v>2</v>
      </c>
      <c r="L1827">
        <v>1</v>
      </c>
      <c r="M1827" t="s">
        <v>0</v>
      </c>
      <c r="N1827" s="2">
        <v>0.61</v>
      </c>
      <c r="O1827" s="2">
        <v>0.39</v>
      </c>
      <c r="P1827">
        <v>17</v>
      </c>
      <c r="Q1827">
        <v>7</v>
      </c>
      <c r="R1827">
        <v>3</v>
      </c>
      <c r="S1827">
        <v>4</v>
      </c>
      <c r="T1827">
        <v>5</v>
      </c>
      <c r="U1827">
        <v>15</v>
      </c>
      <c r="V1827">
        <v>0</v>
      </c>
      <c r="W1827">
        <v>2</v>
      </c>
      <c r="X1827">
        <v>0</v>
      </c>
      <c r="Y1827">
        <v>0</v>
      </c>
      <c r="Z1827">
        <v>0</v>
      </c>
    </row>
    <row r="1828" spans="1:26" x14ac:dyDescent="0.2">
      <c r="A1828" t="s">
        <v>1946</v>
      </c>
      <c r="B1828" t="s">
        <v>32</v>
      </c>
      <c r="C1828">
        <v>2013</v>
      </c>
      <c r="D1828" t="s">
        <v>48</v>
      </c>
      <c r="E1828" t="s">
        <v>42</v>
      </c>
      <c r="F1828" t="s">
        <v>49</v>
      </c>
      <c r="G1828">
        <v>74197</v>
      </c>
      <c r="H1828">
        <v>59357.600000000006</v>
      </c>
      <c r="I1828" s="13">
        <v>0.66666666666666663</v>
      </c>
      <c r="J1828" t="s">
        <v>6207</v>
      </c>
      <c r="K1828">
        <v>4</v>
      </c>
      <c r="L1828">
        <v>1</v>
      </c>
      <c r="M1828" t="s">
        <v>0</v>
      </c>
      <c r="N1828" s="2">
        <v>0.56000000000000005</v>
      </c>
      <c r="O1828" s="2">
        <v>0.44</v>
      </c>
      <c r="P1828">
        <v>18</v>
      </c>
      <c r="Q1828">
        <v>13</v>
      </c>
      <c r="R1828">
        <v>0</v>
      </c>
      <c r="S1828">
        <v>5</v>
      </c>
      <c r="T1828">
        <v>10</v>
      </c>
      <c r="U1828">
        <v>16</v>
      </c>
      <c r="V1828">
        <v>2</v>
      </c>
      <c r="W1828">
        <v>4</v>
      </c>
      <c r="X1828">
        <v>0</v>
      </c>
      <c r="Y1828">
        <v>0</v>
      </c>
      <c r="Z1828">
        <v>1</v>
      </c>
    </row>
    <row r="1829" spans="1:26" x14ac:dyDescent="0.2">
      <c r="A1829" t="s">
        <v>1947</v>
      </c>
      <c r="B1829" t="s">
        <v>66</v>
      </c>
      <c r="C1829">
        <v>2013</v>
      </c>
      <c r="D1829" t="s">
        <v>63</v>
      </c>
      <c r="E1829" t="s">
        <v>78</v>
      </c>
      <c r="F1829" t="s">
        <v>65</v>
      </c>
      <c r="G1829">
        <v>26804</v>
      </c>
      <c r="H1829">
        <v>21443.200000000001</v>
      </c>
      <c r="I1829" s="13">
        <v>0</v>
      </c>
      <c r="J1829" t="s">
        <v>6207</v>
      </c>
      <c r="K1829">
        <v>3</v>
      </c>
      <c r="L1829">
        <v>3</v>
      </c>
      <c r="M1829" t="s">
        <v>58</v>
      </c>
      <c r="N1829" s="2">
        <v>0.42</v>
      </c>
      <c r="O1829" s="2">
        <v>0.57999999999999996</v>
      </c>
      <c r="P1829">
        <v>14</v>
      </c>
      <c r="Q1829">
        <v>16</v>
      </c>
      <c r="R1829">
        <v>4</v>
      </c>
      <c r="S1829">
        <v>1</v>
      </c>
      <c r="T1829">
        <v>12</v>
      </c>
      <c r="U1829">
        <v>13</v>
      </c>
      <c r="V1829">
        <v>1</v>
      </c>
      <c r="W1829">
        <v>1</v>
      </c>
      <c r="X1829">
        <v>0</v>
      </c>
      <c r="Y1829">
        <v>0</v>
      </c>
      <c r="Z1829">
        <v>0</v>
      </c>
    </row>
    <row r="1830" spans="1:26" x14ac:dyDescent="0.2">
      <c r="A1830" t="s">
        <v>1948</v>
      </c>
      <c r="B1830" t="s">
        <v>68</v>
      </c>
      <c r="C1830">
        <v>2013</v>
      </c>
      <c r="D1830" t="s">
        <v>71</v>
      </c>
      <c r="E1830" t="s">
        <v>69</v>
      </c>
      <c r="F1830" t="s">
        <v>71</v>
      </c>
      <c r="G1830">
        <v>21088</v>
      </c>
      <c r="H1830">
        <v>16870.400000000001</v>
      </c>
      <c r="I1830" s="13">
        <v>0.66666666666666663</v>
      </c>
      <c r="J1830" t="s">
        <v>6207</v>
      </c>
      <c r="K1830">
        <v>3</v>
      </c>
      <c r="L1830">
        <v>0</v>
      </c>
      <c r="M1830" t="s">
        <v>0</v>
      </c>
      <c r="N1830" s="2">
        <v>0.59</v>
      </c>
      <c r="O1830" s="2">
        <v>0.41</v>
      </c>
      <c r="P1830">
        <v>11</v>
      </c>
      <c r="Q1830">
        <v>14</v>
      </c>
      <c r="R1830">
        <v>7</v>
      </c>
      <c r="S1830">
        <v>4</v>
      </c>
      <c r="T1830">
        <v>15</v>
      </c>
      <c r="U1830">
        <v>9</v>
      </c>
      <c r="V1830">
        <v>1</v>
      </c>
      <c r="W1830">
        <v>2</v>
      </c>
      <c r="X1830">
        <v>0</v>
      </c>
      <c r="Y1830">
        <v>0</v>
      </c>
      <c r="Z1830">
        <v>0</v>
      </c>
    </row>
    <row r="1831" spans="1:26" x14ac:dyDescent="0.2">
      <c r="A1831" t="s">
        <v>1949</v>
      </c>
      <c r="B1831" t="s">
        <v>67</v>
      </c>
      <c r="C1831">
        <v>2013</v>
      </c>
      <c r="D1831" t="s">
        <v>27</v>
      </c>
      <c r="E1831" t="s">
        <v>19</v>
      </c>
      <c r="F1831" t="s">
        <v>27</v>
      </c>
      <c r="G1831">
        <v>30089</v>
      </c>
      <c r="H1831">
        <v>24071.200000000001</v>
      </c>
      <c r="I1831" s="13">
        <v>1</v>
      </c>
      <c r="J1831" t="s">
        <v>6207</v>
      </c>
      <c r="K1831">
        <v>1</v>
      </c>
      <c r="L1831">
        <v>0</v>
      </c>
      <c r="M1831" t="s">
        <v>0</v>
      </c>
      <c r="N1831" s="2">
        <v>0.56000000000000005</v>
      </c>
      <c r="O1831" s="2">
        <v>0.44</v>
      </c>
      <c r="P1831">
        <v>10</v>
      </c>
      <c r="Q1831">
        <v>12</v>
      </c>
      <c r="R1831">
        <v>8</v>
      </c>
      <c r="S1831">
        <v>1</v>
      </c>
      <c r="T1831">
        <v>9</v>
      </c>
      <c r="U1831">
        <v>9</v>
      </c>
      <c r="V1831">
        <v>2</v>
      </c>
      <c r="W1831">
        <v>0</v>
      </c>
      <c r="X1831">
        <v>0</v>
      </c>
      <c r="Y1831">
        <v>0</v>
      </c>
      <c r="Z1831">
        <v>0</v>
      </c>
    </row>
    <row r="1832" spans="1:26" x14ac:dyDescent="0.2">
      <c r="A1832" t="s">
        <v>1950</v>
      </c>
      <c r="B1832" t="s">
        <v>37</v>
      </c>
      <c r="C1832">
        <v>2013</v>
      </c>
      <c r="D1832" t="s">
        <v>73</v>
      </c>
      <c r="E1832" t="s">
        <v>64</v>
      </c>
      <c r="F1832" t="s">
        <v>73</v>
      </c>
      <c r="G1832">
        <v>32384</v>
      </c>
      <c r="H1832">
        <v>25907.200000000001</v>
      </c>
      <c r="I1832" s="13">
        <v>1</v>
      </c>
      <c r="J1832" t="s">
        <v>6206</v>
      </c>
      <c r="K1832">
        <v>4</v>
      </c>
      <c r="L1832">
        <v>0</v>
      </c>
      <c r="M1832" t="s">
        <v>0</v>
      </c>
      <c r="N1832" s="2">
        <v>0.53</v>
      </c>
      <c r="O1832" s="2">
        <v>0.47</v>
      </c>
      <c r="P1832">
        <v>6</v>
      </c>
      <c r="Q1832">
        <v>7</v>
      </c>
      <c r="R1832">
        <v>7</v>
      </c>
      <c r="S1832">
        <v>5</v>
      </c>
      <c r="T1832">
        <v>5</v>
      </c>
      <c r="U1832">
        <v>6</v>
      </c>
      <c r="V1832">
        <v>0</v>
      </c>
      <c r="W1832">
        <v>1</v>
      </c>
      <c r="X1832">
        <v>0</v>
      </c>
      <c r="Y1832">
        <v>0</v>
      </c>
      <c r="Z1832">
        <v>0</v>
      </c>
    </row>
    <row r="1833" spans="1:26" x14ac:dyDescent="0.2">
      <c r="A1833" t="s">
        <v>1951</v>
      </c>
      <c r="B1833" t="s">
        <v>50</v>
      </c>
      <c r="C1833">
        <v>2013</v>
      </c>
      <c r="D1833" t="s">
        <v>79</v>
      </c>
      <c r="E1833" t="s">
        <v>18</v>
      </c>
      <c r="F1833" t="s">
        <v>20</v>
      </c>
      <c r="G1833">
        <v>25486</v>
      </c>
      <c r="H1833">
        <v>20388.800000000003</v>
      </c>
      <c r="I1833" s="13">
        <v>0.4</v>
      </c>
      <c r="J1833" t="s">
        <v>6207</v>
      </c>
      <c r="K1833">
        <v>1</v>
      </c>
      <c r="L1833">
        <v>0</v>
      </c>
      <c r="M1833" t="s">
        <v>0</v>
      </c>
      <c r="N1833" s="2">
        <v>0.33</v>
      </c>
      <c r="O1833" s="2">
        <v>0.67</v>
      </c>
      <c r="P1833">
        <v>9</v>
      </c>
      <c r="Q1833">
        <v>11</v>
      </c>
      <c r="R1833">
        <v>2</v>
      </c>
      <c r="S1833">
        <v>13</v>
      </c>
      <c r="T1833">
        <v>10</v>
      </c>
      <c r="U1833">
        <v>4</v>
      </c>
      <c r="V1833">
        <v>4</v>
      </c>
      <c r="W1833">
        <v>1</v>
      </c>
      <c r="X1833">
        <v>0</v>
      </c>
      <c r="Y1833">
        <v>0</v>
      </c>
      <c r="Z1833">
        <v>0</v>
      </c>
    </row>
    <row r="1834" spans="1:26" x14ac:dyDescent="0.2">
      <c r="A1834" t="s">
        <v>1952</v>
      </c>
      <c r="B1834" t="s">
        <v>41</v>
      </c>
      <c r="C1834">
        <v>2013</v>
      </c>
      <c r="D1834" t="s">
        <v>46</v>
      </c>
      <c r="E1834" t="s">
        <v>40</v>
      </c>
      <c r="F1834" t="s">
        <v>20</v>
      </c>
      <c r="G1834">
        <v>60704</v>
      </c>
      <c r="H1834">
        <v>48563.200000000004</v>
      </c>
      <c r="I1834" s="13">
        <v>1</v>
      </c>
      <c r="J1834" t="s">
        <v>6207</v>
      </c>
      <c r="K1834">
        <v>1</v>
      </c>
      <c r="L1834">
        <v>1</v>
      </c>
      <c r="M1834" t="s">
        <v>58</v>
      </c>
      <c r="N1834" s="2">
        <v>0.48</v>
      </c>
      <c r="O1834" s="2">
        <v>0.52</v>
      </c>
      <c r="P1834">
        <v>10</v>
      </c>
      <c r="Q1834">
        <v>12</v>
      </c>
      <c r="R1834">
        <v>6</v>
      </c>
      <c r="S1834">
        <v>6</v>
      </c>
      <c r="T1834">
        <v>8</v>
      </c>
      <c r="U1834">
        <v>11</v>
      </c>
      <c r="V1834">
        <v>1</v>
      </c>
      <c r="W1834">
        <v>4</v>
      </c>
      <c r="X1834">
        <v>0</v>
      </c>
      <c r="Y1834">
        <v>0</v>
      </c>
      <c r="Z1834">
        <v>0</v>
      </c>
    </row>
    <row r="1835" spans="1:26" x14ac:dyDescent="0.2">
      <c r="A1835" t="s">
        <v>1953</v>
      </c>
      <c r="B1835" t="s">
        <v>61</v>
      </c>
      <c r="C1835">
        <v>2013</v>
      </c>
      <c r="D1835" t="s">
        <v>31</v>
      </c>
      <c r="E1835" t="s">
        <v>45</v>
      </c>
      <c r="F1835" t="s">
        <v>20</v>
      </c>
      <c r="G1835">
        <v>28500</v>
      </c>
      <c r="H1835">
        <v>22800</v>
      </c>
      <c r="I1835" s="13">
        <v>0.66666666666666663</v>
      </c>
      <c r="J1835" t="s">
        <v>6207</v>
      </c>
      <c r="K1835">
        <v>1</v>
      </c>
      <c r="L1835">
        <v>3</v>
      </c>
      <c r="M1835" t="s">
        <v>1</v>
      </c>
      <c r="N1835" s="2">
        <v>0.38</v>
      </c>
      <c r="O1835" s="2">
        <v>0.62</v>
      </c>
      <c r="P1835">
        <v>4</v>
      </c>
      <c r="Q1835">
        <v>15</v>
      </c>
      <c r="R1835">
        <v>6</v>
      </c>
      <c r="S1835">
        <v>6</v>
      </c>
      <c r="T1835">
        <v>7</v>
      </c>
      <c r="U1835">
        <v>4</v>
      </c>
      <c r="V1835">
        <v>1</v>
      </c>
      <c r="W1835">
        <v>2</v>
      </c>
      <c r="X1835">
        <v>0</v>
      </c>
      <c r="Y1835">
        <v>0</v>
      </c>
      <c r="Z1835">
        <v>0</v>
      </c>
    </row>
    <row r="1836" spans="1:26" x14ac:dyDescent="0.2">
      <c r="A1836" t="s">
        <v>1954</v>
      </c>
      <c r="B1836" t="s">
        <v>52</v>
      </c>
      <c r="C1836">
        <v>2013</v>
      </c>
      <c r="D1836" t="s">
        <v>26</v>
      </c>
      <c r="E1836" t="s">
        <v>51</v>
      </c>
      <c r="F1836" t="s">
        <v>26</v>
      </c>
      <c r="G1836">
        <v>61276</v>
      </c>
      <c r="H1836">
        <v>49020.800000000003</v>
      </c>
      <c r="I1836" s="13">
        <v>1</v>
      </c>
      <c r="J1836" t="s">
        <v>6207</v>
      </c>
      <c r="K1836">
        <v>4</v>
      </c>
      <c r="L1836">
        <v>0</v>
      </c>
      <c r="M1836" t="s">
        <v>0</v>
      </c>
      <c r="N1836" s="2">
        <v>0.59</v>
      </c>
      <c r="O1836" s="2">
        <v>0.41</v>
      </c>
      <c r="P1836">
        <v>11</v>
      </c>
      <c r="Q1836">
        <v>11</v>
      </c>
      <c r="R1836">
        <v>5</v>
      </c>
      <c r="S1836">
        <v>7</v>
      </c>
      <c r="T1836">
        <v>9</v>
      </c>
      <c r="U1836">
        <v>9</v>
      </c>
      <c r="V1836">
        <v>0</v>
      </c>
      <c r="W1836">
        <v>2</v>
      </c>
      <c r="X1836">
        <v>0</v>
      </c>
      <c r="Y1836">
        <v>0</v>
      </c>
      <c r="Z1836">
        <v>0</v>
      </c>
    </row>
    <row r="1837" spans="1:26" x14ac:dyDescent="0.2">
      <c r="A1837" t="s">
        <v>1955</v>
      </c>
      <c r="B1837" t="s">
        <v>56</v>
      </c>
      <c r="C1837">
        <v>2013</v>
      </c>
      <c r="D1837" t="s">
        <v>35</v>
      </c>
      <c r="E1837" t="s">
        <v>23</v>
      </c>
      <c r="F1837" t="s">
        <v>35</v>
      </c>
      <c r="G1837">
        <v>49000</v>
      </c>
      <c r="H1837">
        <v>39200</v>
      </c>
      <c r="I1837" s="13">
        <v>0.5</v>
      </c>
      <c r="J1837" t="s">
        <v>6207</v>
      </c>
      <c r="K1837">
        <v>1</v>
      </c>
      <c r="L1837">
        <v>2</v>
      </c>
      <c r="M1837" t="s">
        <v>1</v>
      </c>
      <c r="N1837" s="2">
        <v>0.61</v>
      </c>
      <c r="O1837" s="2">
        <v>0.39</v>
      </c>
      <c r="P1837">
        <v>15</v>
      </c>
      <c r="Q1837">
        <v>12</v>
      </c>
      <c r="R1837">
        <v>8</v>
      </c>
      <c r="S1837">
        <v>3</v>
      </c>
      <c r="T1837">
        <v>11</v>
      </c>
      <c r="U1837">
        <v>14</v>
      </c>
      <c r="V1837">
        <v>2</v>
      </c>
      <c r="W1837">
        <v>4</v>
      </c>
      <c r="X1837">
        <v>0</v>
      </c>
      <c r="Y1837">
        <v>0</v>
      </c>
      <c r="Z1837">
        <v>0</v>
      </c>
    </row>
    <row r="1838" spans="1:26" x14ac:dyDescent="0.2">
      <c r="A1838" t="s">
        <v>1956</v>
      </c>
      <c r="B1838" t="s">
        <v>25</v>
      </c>
      <c r="C1838">
        <v>2013</v>
      </c>
      <c r="D1838" t="s">
        <v>40</v>
      </c>
      <c r="E1838" t="s">
        <v>73</v>
      </c>
      <c r="F1838" t="s">
        <v>49</v>
      </c>
      <c r="G1838">
        <v>53400</v>
      </c>
      <c r="H1838">
        <v>42720</v>
      </c>
      <c r="I1838" s="13">
        <v>1</v>
      </c>
      <c r="J1838" t="s">
        <v>6207</v>
      </c>
      <c r="K1838">
        <v>4</v>
      </c>
      <c r="L1838">
        <v>1</v>
      </c>
      <c r="M1838" t="s">
        <v>0</v>
      </c>
      <c r="N1838" s="2">
        <v>0.44</v>
      </c>
      <c r="O1838" s="2">
        <v>0.56000000000000005</v>
      </c>
      <c r="P1838">
        <v>15</v>
      </c>
      <c r="Q1838">
        <v>9</v>
      </c>
      <c r="R1838">
        <v>5</v>
      </c>
      <c r="S1838">
        <v>9</v>
      </c>
      <c r="T1838">
        <v>9</v>
      </c>
      <c r="U1838">
        <v>15</v>
      </c>
      <c r="V1838">
        <v>3</v>
      </c>
      <c r="W1838">
        <v>0</v>
      </c>
      <c r="X1838">
        <v>0</v>
      </c>
      <c r="Y1838">
        <v>0</v>
      </c>
      <c r="Z1838">
        <v>2</v>
      </c>
    </row>
    <row r="1839" spans="1:26" x14ac:dyDescent="0.2">
      <c r="A1839" t="s">
        <v>1957</v>
      </c>
      <c r="B1839" t="s">
        <v>44</v>
      </c>
      <c r="C1839">
        <v>2013</v>
      </c>
      <c r="D1839" t="s">
        <v>69</v>
      </c>
      <c r="E1839" t="s">
        <v>63</v>
      </c>
      <c r="F1839" t="s">
        <v>69</v>
      </c>
      <c r="G1839">
        <v>27359</v>
      </c>
      <c r="H1839">
        <v>21887.200000000001</v>
      </c>
      <c r="I1839" s="13">
        <v>1</v>
      </c>
      <c r="J1839" t="s">
        <v>6207</v>
      </c>
      <c r="K1839">
        <v>0</v>
      </c>
      <c r="L1839">
        <v>1</v>
      </c>
      <c r="M1839" t="s">
        <v>1</v>
      </c>
      <c r="N1839" s="2">
        <v>0.69</v>
      </c>
      <c r="O1839" s="2">
        <v>0.31</v>
      </c>
      <c r="P1839">
        <v>12</v>
      </c>
      <c r="Q1839">
        <v>12</v>
      </c>
      <c r="R1839">
        <v>7</v>
      </c>
      <c r="S1839">
        <v>3</v>
      </c>
      <c r="T1839">
        <v>10</v>
      </c>
      <c r="U1839">
        <v>11</v>
      </c>
      <c r="V1839">
        <v>1</v>
      </c>
      <c r="W1839">
        <v>0</v>
      </c>
      <c r="X1839">
        <v>0</v>
      </c>
      <c r="Y1839">
        <v>0</v>
      </c>
      <c r="Z1839">
        <v>0</v>
      </c>
    </row>
    <row r="1840" spans="1:26" x14ac:dyDescent="0.2">
      <c r="A1840" t="s">
        <v>1958</v>
      </c>
      <c r="B1840" t="s">
        <v>60</v>
      </c>
      <c r="C1840">
        <v>2013</v>
      </c>
      <c r="D1840" t="s">
        <v>64</v>
      </c>
      <c r="E1840" t="s">
        <v>48</v>
      </c>
      <c r="F1840" t="s">
        <v>64</v>
      </c>
      <c r="G1840">
        <v>52264</v>
      </c>
      <c r="H1840">
        <v>41811.200000000004</v>
      </c>
      <c r="I1840" s="13">
        <v>1</v>
      </c>
      <c r="J1840" t="s">
        <v>6208</v>
      </c>
      <c r="K1840">
        <v>0</v>
      </c>
      <c r="L1840">
        <v>4</v>
      </c>
      <c r="M1840" t="s">
        <v>1</v>
      </c>
      <c r="N1840" s="2">
        <v>0.44</v>
      </c>
      <c r="O1840" s="2">
        <v>0.56000000000000005</v>
      </c>
      <c r="P1840">
        <v>7</v>
      </c>
      <c r="Q1840">
        <v>17</v>
      </c>
      <c r="R1840">
        <v>4</v>
      </c>
      <c r="S1840">
        <v>5</v>
      </c>
      <c r="T1840">
        <v>16</v>
      </c>
      <c r="U1840">
        <v>6</v>
      </c>
      <c r="V1840">
        <v>1</v>
      </c>
      <c r="W1840">
        <v>0</v>
      </c>
      <c r="X1840">
        <v>0</v>
      </c>
      <c r="Y1840">
        <v>0</v>
      </c>
      <c r="Z1840">
        <v>0</v>
      </c>
    </row>
    <row r="1841" spans="1:26" x14ac:dyDescent="0.2">
      <c r="A1841" t="s">
        <v>1959</v>
      </c>
      <c r="B1841" t="s">
        <v>56</v>
      </c>
      <c r="C1841">
        <v>2013</v>
      </c>
      <c r="D1841" t="s">
        <v>19</v>
      </c>
      <c r="E1841" t="s">
        <v>71</v>
      </c>
      <c r="F1841" t="s">
        <v>19</v>
      </c>
      <c r="G1841">
        <v>25586</v>
      </c>
      <c r="H1841">
        <v>20468.800000000003</v>
      </c>
      <c r="I1841" s="13">
        <v>0.5</v>
      </c>
      <c r="J1841" t="s">
        <v>6207</v>
      </c>
      <c r="K1841">
        <v>1</v>
      </c>
      <c r="L1841">
        <v>0</v>
      </c>
      <c r="M1841" t="s">
        <v>0</v>
      </c>
      <c r="N1841" s="2">
        <v>0.43</v>
      </c>
      <c r="O1841" s="2">
        <v>0.56999999999999995</v>
      </c>
      <c r="P1841">
        <v>21</v>
      </c>
      <c r="Q1841">
        <v>8</v>
      </c>
      <c r="R1841">
        <v>7</v>
      </c>
      <c r="S1841">
        <v>2</v>
      </c>
      <c r="T1841">
        <v>6</v>
      </c>
      <c r="U1841">
        <v>18</v>
      </c>
      <c r="V1841">
        <v>0</v>
      </c>
      <c r="W1841">
        <v>2</v>
      </c>
      <c r="X1841">
        <v>0</v>
      </c>
      <c r="Y1841">
        <v>0</v>
      </c>
      <c r="Z1841">
        <v>0</v>
      </c>
    </row>
    <row r="1842" spans="1:26" x14ac:dyDescent="0.2">
      <c r="A1842" t="s">
        <v>1960</v>
      </c>
      <c r="B1842" t="s">
        <v>52</v>
      </c>
      <c r="C1842">
        <v>2013</v>
      </c>
      <c r="D1842" t="s">
        <v>78</v>
      </c>
      <c r="E1842" t="s">
        <v>79</v>
      </c>
      <c r="F1842" t="s">
        <v>78</v>
      </c>
      <c r="G1842">
        <v>33280</v>
      </c>
      <c r="H1842">
        <v>26624</v>
      </c>
      <c r="I1842" s="13">
        <v>0.33333333333333331</v>
      </c>
      <c r="J1842" t="s">
        <v>6207</v>
      </c>
      <c r="K1842">
        <v>0</v>
      </c>
      <c r="L1842">
        <v>3</v>
      </c>
      <c r="M1842" t="s">
        <v>1</v>
      </c>
      <c r="N1842" s="2">
        <v>0.63</v>
      </c>
      <c r="O1842" s="2">
        <v>0.37</v>
      </c>
      <c r="P1842">
        <v>13</v>
      </c>
      <c r="Q1842">
        <v>5</v>
      </c>
      <c r="R1842">
        <v>10</v>
      </c>
      <c r="S1842">
        <v>3</v>
      </c>
      <c r="T1842">
        <v>5</v>
      </c>
      <c r="U1842">
        <v>13</v>
      </c>
      <c r="V1842">
        <v>2</v>
      </c>
      <c r="W1842">
        <v>4</v>
      </c>
      <c r="X1842">
        <v>0</v>
      </c>
      <c r="Y1842">
        <v>0</v>
      </c>
      <c r="Z1842">
        <v>0</v>
      </c>
    </row>
    <row r="1843" spans="1:26" x14ac:dyDescent="0.2">
      <c r="A1843" t="s">
        <v>1961</v>
      </c>
      <c r="B1843" t="s">
        <v>66</v>
      </c>
      <c r="C1843">
        <v>2013</v>
      </c>
      <c r="D1843" t="s">
        <v>42</v>
      </c>
      <c r="E1843" t="s">
        <v>31</v>
      </c>
      <c r="F1843" t="s">
        <v>38</v>
      </c>
      <c r="G1843">
        <v>42918</v>
      </c>
      <c r="H1843">
        <v>34334.400000000001</v>
      </c>
      <c r="I1843" s="13">
        <v>0.2</v>
      </c>
      <c r="J1843" t="s">
        <v>6207</v>
      </c>
      <c r="K1843">
        <v>1</v>
      </c>
      <c r="L1843">
        <v>2</v>
      </c>
      <c r="M1843" t="s">
        <v>1</v>
      </c>
      <c r="N1843" s="2">
        <v>0.51</v>
      </c>
      <c r="O1843" s="2">
        <v>0.49</v>
      </c>
      <c r="P1843">
        <v>14</v>
      </c>
      <c r="Q1843">
        <v>11</v>
      </c>
      <c r="R1843">
        <v>2</v>
      </c>
      <c r="S1843">
        <v>7</v>
      </c>
      <c r="T1843">
        <v>10</v>
      </c>
      <c r="U1843">
        <v>13</v>
      </c>
      <c r="V1843">
        <v>3</v>
      </c>
      <c r="W1843">
        <v>2</v>
      </c>
      <c r="X1843">
        <v>0</v>
      </c>
      <c r="Y1843">
        <v>0</v>
      </c>
      <c r="Z1843">
        <v>0</v>
      </c>
    </row>
    <row r="1844" spans="1:26" x14ac:dyDescent="0.2">
      <c r="A1844" t="s">
        <v>1962</v>
      </c>
      <c r="B1844" t="s">
        <v>54</v>
      </c>
      <c r="C1844">
        <v>2013</v>
      </c>
      <c r="D1844" t="s">
        <v>18</v>
      </c>
      <c r="E1844" t="s">
        <v>27</v>
      </c>
      <c r="F1844" t="s">
        <v>20</v>
      </c>
      <c r="G1844">
        <v>40341</v>
      </c>
      <c r="H1844">
        <v>32272.800000000003</v>
      </c>
      <c r="I1844" s="13">
        <v>0</v>
      </c>
      <c r="J1844" t="s">
        <v>6206</v>
      </c>
      <c r="K1844">
        <v>3</v>
      </c>
      <c r="L1844">
        <v>0</v>
      </c>
      <c r="M1844" t="s">
        <v>0</v>
      </c>
      <c r="N1844" s="2">
        <v>0.51</v>
      </c>
      <c r="O1844" s="2">
        <v>0.49</v>
      </c>
      <c r="P1844">
        <v>18</v>
      </c>
      <c r="Q1844">
        <v>9</v>
      </c>
      <c r="R1844">
        <v>7</v>
      </c>
      <c r="S1844">
        <v>3</v>
      </c>
      <c r="T1844">
        <v>8</v>
      </c>
      <c r="U1844">
        <v>18</v>
      </c>
      <c r="V1844">
        <v>0</v>
      </c>
      <c r="W1844">
        <v>0</v>
      </c>
      <c r="X1844">
        <v>0</v>
      </c>
      <c r="Y1844">
        <v>0</v>
      </c>
      <c r="Z1844">
        <v>1</v>
      </c>
    </row>
    <row r="1845" spans="1:26" x14ac:dyDescent="0.2">
      <c r="A1845" t="s">
        <v>1963</v>
      </c>
      <c r="B1845" t="s">
        <v>32</v>
      </c>
      <c r="C1845">
        <v>2013</v>
      </c>
      <c r="D1845" t="s">
        <v>45</v>
      </c>
      <c r="E1845" t="s">
        <v>46</v>
      </c>
      <c r="F1845" t="s">
        <v>26</v>
      </c>
      <c r="G1845">
        <v>39572</v>
      </c>
      <c r="H1845">
        <v>31657.600000000002</v>
      </c>
      <c r="I1845" s="13">
        <v>0.66666666666666663</v>
      </c>
      <c r="J1845" t="s">
        <v>6207</v>
      </c>
      <c r="K1845">
        <v>3</v>
      </c>
      <c r="L1845">
        <v>0</v>
      </c>
      <c r="M1845" t="s">
        <v>0</v>
      </c>
      <c r="N1845" s="2">
        <v>0.43</v>
      </c>
      <c r="O1845" s="2">
        <v>0.56999999999999995</v>
      </c>
      <c r="P1845">
        <v>8</v>
      </c>
      <c r="Q1845">
        <v>8</v>
      </c>
      <c r="R1845">
        <v>3</v>
      </c>
      <c r="S1845">
        <v>6</v>
      </c>
      <c r="T1845">
        <v>6</v>
      </c>
      <c r="U1845">
        <v>5</v>
      </c>
      <c r="V1845">
        <v>1</v>
      </c>
      <c r="W1845">
        <v>2</v>
      </c>
      <c r="X1845">
        <v>0</v>
      </c>
      <c r="Y1845">
        <v>0</v>
      </c>
      <c r="Z1845">
        <v>0</v>
      </c>
    </row>
    <row r="1846" spans="1:26" x14ac:dyDescent="0.2">
      <c r="A1846" t="s">
        <v>1964</v>
      </c>
      <c r="B1846" t="s">
        <v>61</v>
      </c>
      <c r="C1846">
        <v>2013</v>
      </c>
      <c r="D1846" t="s">
        <v>23</v>
      </c>
      <c r="E1846" t="s">
        <v>26</v>
      </c>
      <c r="F1846" t="s">
        <v>20</v>
      </c>
      <c r="G1846">
        <v>62500</v>
      </c>
      <c r="H1846">
        <v>50000</v>
      </c>
      <c r="I1846" s="13">
        <v>0.75</v>
      </c>
      <c r="J1846" t="s">
        <v>6207</v>
      </c>
      <c r="K1846">
        <v>1</v>
      </c>
      <c r="L1846">
        <v>2</v>
      </c>
      <c r="M1846" t="s">
        <v>1</v>
      </c>
      <c r="N1846" s="2">
        <v>0.36</v>
      </c>
      <c r="O1846" s="2">
        <v>0.64</v>
      </c>
      <c r="P1846">
        <v>8</v>
      </c>
      <c r="Q1846">
        <v>7</v>
      </c>
      <c r="R1846">
        <v>4</v>
      </c>
      <c r="S1846">
        <v>4</v>
      </c>
      <c r="T1846">
        <v>10</v>
      </c>
      <c r="U1846">
        <v>9</v>
      </c>
      <c r="V1846">
        <v>4</v>
      </c>
      <c r="W1846">
        <v>0</v>
      </c>
      <c r="X1846">
        <v>0</v>
      </c>
      <c r="Y1846">
        <v>0</v>
      </c>
      <c r="Z1846">
        <v>2</v>
      </c>
    </row>
    <row r="1847" spans="1:26" x14ac:dyDescent="0.2">
      <c r="A1847" t="s">
        <v>1965</v>
      </c>
      <c r="B1847" t="s">
        <v>50</v>
      </c>
      <c r="C1847">
        <v>2013</v>
      </c>
      <c r="D1847" t="s">
        <v>51</v>
      </c>
      <c r="E1847" t="s">
        <v>35</v>
      </c>
      <c r="F1847" t="s">
        <v>20</v>
      </c>
      <c r="G1847">
        <v>36284</v>
      </c>
      <c r="H1847">
        <v>29027.200000000001</v>
      </c>
      <c r="I1847" s="13">
        <v>0.5</v>
      </c>
      <c r="J1847" t="s">
        <v>6207</v>
      </c>
      <c r="K1847">
        <v>5</v>
      </c>
      <c r="L1847">
        <v>1</v>
      </c>
      <c r="M1847" t="s">
        <v>0</v>
      </c>
      <c r="N1847" s="2">
        <v>0.61</v>
      </c>
      <c r="O1847" s="2">
        <v>0.39</v>
      </c>
      <c r="P1847">
        <v>10</v>
      </c>
      <c r="Q1847">
        <v>13</v>
      </c>
      <c r="R1847">
        <v>8</v>
      </c>
      <c r="S1847">
        <v>2</v>
      </c>
      <c r="T1847">
        <v>12</v>
      </c>
      <c r="U1847">
        <v>8</v>
      </c>
      <c r="V1847">
        <v>0</v>
      </c>
      <c r="W1847">
        <v>2</v>
      </c>
      <c r="X1847">
        <v>0</v>
      </c>
      <c r="Y1847">
        <v>0</v>
      </c>
      <c r="Z1847">
        <v>0</v>
      </c>
    </row>
    <row r="1848" spans="1:26" x14ac:dyDescent="0.2">
      <c r="A1848" t="s">
        <v>1966</v>
      </c>
      <c r="B1848" t="s">
        <v>67</v>
      </c>
      <c r="C1848">
        <v>2013</v>
      </c>
      <c r="D1848" t="s">
        <v>63</v>
      </c>
      <c r="E1848" t="s">
        <v>51</v>
      </c>
      <c r="F1848" t="s">
        <v>65</v>
      </c>
      <c r="G1848">
        <v>26804</v>
      </c>
      <c r="H1848">
        <v>21443.200000000001</v>
      </c>
      <c r="I1848" s="13">
        <v>0.33333333333333331</v>
      </c>
      <c r="J1848" t="s">
        <v>6207</v>
      </c>
      <c r="K1848">
        <v>3</v>
      </c>
      <c r="L1848">
        <v>3</v>
      </c>
      <c r="M1848" t="s">
        <v>58</v>
      </c>
      <c r="N1848" s="2">
        <v>0.32</v>
      </c>
      <c r="O1848" s="2">
        <v>0.68</v>
      </c>
      <c r="P1848">
        <v>11</v>
      </c>
      <c r="Q1848">
        <v>13</v>
      </c>
      <c r="R1848">
        <v>2</v>
      </c>
      <c r="S1848">
        <v>2</v>
      </c>
      <c r="T1848">
        <v>11</v>
      </c>
      <c r="U1848">
        <v>8</v>
      </c>
      <c r="V1848">
        <v>4</v>
      </c>
      <c r="W1848">
        <v>2</v>
      </c>
      <c r="X1848">
        <v>0</v>
      </c>
      <c r="Y1848">
        <v>0</v>
      </c>
      <c r="Z1848">
        <v>1</v>
      </c>
    </row>
    <row r="1849" spans="1:26" x14ac:dyDescent="0.2">
      <c r="A1849" t="s">
        <v>1967</v>
      </c>
      <c r="B1849" t="s">
        <v>54</v>
      </c>
      <c r="C1849">
        <v>2013</v>
      </c>
      <c r="D1849" t="s">
        <v>35</v>
      </c>
      <c r="E1849" t="s">
        <v>45</v>
      </c>
      <c r="F1849" t="s">
        <v>35</v>
      </c>
      <c r="G1849">
        <v>49000</v>
      </c>
      <c r="H1849">
        <v>39200</v>
      </c>
      <c r="I1849" s="13">
        <v>0.6</v>
      </c>
      <c r="J1849" t="s">
        <v>6206</v>
      </c>
      <c r="K1849">
        <v>0</v>
      </c>
      <c r="L1849">
        <v>1</v>
      </c>
      <c r="M1849" t="s">
        <v>1</v>
      </c>
      <c r="N1849" s="2">
        <v>0.47</v>
      </c>
      <c r="O1849" s="2">
        <v>0.53</v>
      </c>
      <c r="P1849">
        <v>15</v>
      </c>
      <c r="Q1849">
        <v>20</v>
      </c>
      <c r="R1849">
        <v>6</v>
      </c>
      <c r="S1849">
        <v>6</v>
      </c>
      <c r="T1849">
        <v>17</v>
      </c>
      <c r="U1849">
        <v>15</v>
      </c>
      <c r="V1849">
        <v>3</v>
      </c>
      <c r="W1849">
        <v>2</v>
      </c>
      <c r="X1849">
        <v>0</v>
      </c>
      <c r="Y1849">
        <v>0</v>
      </c>
      <c r="Z1849">
        <v>0</v>
      </c>
    </row>
    <row r="1850" spans="1:26" x14ac:dyDescent="0.2">
      <c r="A1850" t="s">
        <v>1968</v>
      </c>
      <c r="B1850" t="s">
        <v>53</v>
      </c>
      <c r="C1850">
        <v>2013</v>
      </c>
      <c r="D1850" t="s">
        <v>27</v>
      </c>
      <c r="E1850" t="s">
        <v>64</v>
      </c>
      <c r="F1850" t="s">
        <v>27</v>
      </c>
      <c r="G1850">
        <v>30089</v>
      </c>
      <c r="H1850">
        <v>24071.200000000001</v>
      </c>
      <c r="I1850" s="13">
        <v>1</v>
      </c>
      <c r="J1850" t="s">
        <v>6207</v>
      </c>
      <c r="K1850">
        <v>1</v>
      </c>
      <c r="L1850">
        <v>0</v>
      </c>
      <c r="M1850" t="s">
        <v>0</v>
      </c>
      <c r="N1850" s="2">
        <v>0.49</v>
      </c>
      <c r="O1850" s="2">
        <v>0.51</v>
      </c>
      <c r="P1850">
        <v>13</v>
      </c>
      <c r="Q1850">
        <v>14</v>
      </c>
      <c r="R1850">
        <v>4</v>
      </c>
      <c r="S1850">
        <v>5</v>
      </c>
      <c r="T1850">
        <v>12</v>
      </c>
      <c r="U1850">
        <v>11</v>
      </c>
      <c r="V1850">
        <v>1</v>
      </c>
      <c r="W1850">
        <v>1</v>
      </c>
      <c r="X1850">
        <v>0</v>
      </c>
      <c r="Y1850">
        <v>0</v>
      </c>
      <c r="Z1850">
        <v>0</v>
      </c>
    </row>
    <row r="1851" spans="1:26" x14ac:dyDescent="0.2">
      <c r="A1851" t="s">
        <v>1969</v>
      </c>
      <c r="B1851" t="s">
        <v>68</v>
      </c>
      <c r="C1851">
        <v>2013</v>
      </c>
      <c r="D1851" t="s">
        <v>73</v>
      </c>
      <c r="E1851" t="s">
        <v>78</v>
      </c>
      <c r="F1851" t="s">
        <v>73</v>
      </c>
      <c r="G1851">
        <v>32384</v>
      </c>
      <c r="H1851">
        <v>25907.200000000001</v>
      </c>
      <c r="I1851" s="13">
        <v>0</v>
      </c>
      <c r="J1851" t="s">
        <v>6207</v>
      </c>
      <c r="K1851">
        <v>0</v>
      </c>
      <c r="L1851">
        <v>1</v>
      </c>
      <c r="M1851" t="s">
        <v>1</v>
      </c>
      <c r="N1851" s="2">
        <v>0.68</v>
      </c>
      <c r="O1851" s="2">
        <v>0.32</v>
      </c>
      <c r="P1851">
        <v>9</v>
      </c>
      <c r="Q1851">
        <v>9</v>
      </c>
      <c r="R1851">
        <v>5</v>
      </c>
      <c r="S1851">
        <v>5</v>
      </c>
      <c r="T1851">
        <v>9</v>
      </c>
      <c r="U1851">
        <v>7</v>
      </c>
      <c r="V1851">
        <v>0</v>
      </c>
      <c r="W1851">
        <v>0</v>
      </c>
      <c r="X1851">
        <v>0</v>
      </c>
      <c r="Y1851">
        <v>0</v>
      </c>
      <c r="Z1851">
        <v>0</v>
      </c>
    </row>
    <row r="1852" spans="1:26" x14ac:dyDescent="0.2">
      <c r="A1852" t="s">
        <v>1970</v>
      </c>
      <c r="B1852" t="s">
        <v>41</v>
      </c>
      <c r="C1852">
        <v>2013</v>
      </c>
      <c r="D1852" t="s">
        <v>31</v>
      </c>
      <c r="E1852" t="s">
        <v>69</v>
      </c>
      <c r="F1852" t="s">
        <v>20</v>
      </c>
      <c r="G1852">
        <v>28500</v>
      </c>
      <c r="H1852">
        <v>22800</v>
      </c>
      <c r="I1852" s="13">
        <v>0.5</v>
      </c>
      <c r="J1852" t="s">
        <v>6207</v>
      </c>
      <c r="K1852">
        <v>1</v>
      </c>
      <c r="L1852">
        <v>0</v>
      </c>
      <c r="M1852" t="s">
        <v>0</v>
      </c>
      <c r="N1852" s="2">
        <v>0.45</v>
      </c>
      <c r="O1852" s="2">
        <v>0.55000000000000004</v>
      </c>
      <c r="P1852">
        <v>15</v>
      </c>
      <c r="Q1852">
        <v>10</v>
      </c>
      <c r="R1852">
        <v>8</v>
      </c>
      <c r="S1852">
        <v>8</v>
      </c>
      <c r="T1852">
        <v>10</v>
      </c>
      <c r="U1852">
        <v>12</v>
      </c>
      <c r="V1852">
        <v>1</v>
      </c>
      <c r="W1852">
        <v>3</v>
      </c>
      <c r="X1852">
        <v>0</v>
      </c>
      <c r="Y1852">
        <v>0</v>
      </c>
      <c r="Z1852">
        <v>0</v>
      </c>
    </row>
    <row r="1853" spans="1:26" x14ac:dyDescent="0.2">
      <c r="A1853" t="s">
        <v>1971</v>
      </c>
      <c r="B1853" t="s">
        <v>56</v>
      </c>
      <c r="C1853">
        <v>2013</v>
      </c>
      <c r="D1853" t="s">
        <v>79</v>
      </c>
      <c r="E1853" t="s">
        <v>42</v>
      </c>
      <c r="F1853" t="s">
        <v>20</v>
      </c>
      <c r="G1853">
        <v>25486</v>
      </c>
      <c r="H1853">
        <v>20388.800000000003</v>
      </c>
      <c r="I1853" s="13">
        <v>0</v>
      </c>
      <c r="J1853" t="s">
        <v>6207</v>
      </c>
      <c r="K1853">
        <v>1</v>
      </c>
      <c r="L1853">
        <v>0</v>
      </c>
      <c r="M1853" t="s">
        <v>0</v>
      </c>
      <c r="N1853" s="2">
        <v>0.43</v>
      </c>
      <c r="O1853" s="2">
        <v>0.56999999999999995</v>
      </c>
      <c r="P1853">
        <v>10</v>
      </c>
      <c r="Q1853">
        <v>11</v>
      </c>
      <c r="R1853">
        <v>2</v>
      </c>
      <c r="S1853">
        <v>4</v>
      </c>
      <c r="T1853">
        <v>7</v>
      </c>
      <c r="U1853">
        <v>12</v>
      </c>
      <c r="V1853">
        <v>0</v>
      </c>
      <c r="W1853">
        <v>2</v>
      </c>
      <c r="X1853">
        <v>0</v>
      </c>
      <c r="Y1853">
        <v>0</v>
      </c>
      <c r="Z1853">
        <v>0</v>
      </c>
    </row>
    <row r="1854" spans="1:26" x14ac:dyDescent="0.2">
      <c r="A1854" t="s">
        <v>1972</v>
      </c>
      <c r="B1854" t="s">
        <v>44</v>
      </c>
      <c r="C1854">
        <v>2013</v>
      </c>
      <c r="D1854" t="s">
        <v>26</v>
      </c>
      <c r="E1854" t="s">
        <v>40</v>
      </c>
      <c r="F1854" t="s">
        <v>26</v>
      </c>
      <c r="G1854">
        <v>61276</v>
      </c>
      <c r="H1854">
        <v>49020.800000000003</v>
      </c>
      <c r="I1854" s="13">
        <v>0.8</v>
      </c>
      <c r="J1854" t="s">
        <v>6207</v>
      </c>
      <c r="K1854">
        <v>3</v>
      </c>
      <c r="L1854">
        <v>2</v>
      </c>
      <c r="M1854" t="s">
        <v>0</v>
      </c>
      <c r="N1854" s="2">
        <v>0.46</v>
      </c>
      <c r="O1854" s="2">
        <v>0.54</v>
      </c>
      <c r="P1854">
        <v>10</v>
      </c>
      <c r="Q1854">
        <v>11</v>
      </c>
      <c r="R1854">
        <v>7</v>
      </c>
      <c r="S1854">
        <v>7</v>
      </c>
      <c r="T1854">
        <v>7</v>
      </c>
      <c r="U1854">
        <v>9</v>
      </c>
      <c r="V1854">
        <v>1</v>
      </c>
      <c r="W1854">
        <v>3</v>
      </c>
      <c r="X1854">
        <v>1</v>
      </c>
      <c r="Y1854">
        <v>0</v>
      </c>
      <c r="Z1854">
        <v>0</v>
      </c>
    </row>
    <row r="1855" spans="1:26" x14ac:dyDescent="0.2">
      <c r="A1855" t="s">
        <v>1973</v>
      </c>
      <c r="B1855" t="s">
        <v>52</v>
      </c>
      <c r="C1855">
        <v>2013</v>
      </c>
      <c r="D1855" t="s">
        <v>71</v>
      </c>
      <c r="E1855" t="s">
        <v>18</v>
      </c>
      <c r="F1855" t="s">
        <v>71</v>
      </c>
      <c r="G1855">
        <v>21088</v>
      </c>
      <c r="H1855">
        <v>16870.400000000001</v>
      </c>
      <c r="I1855" s="13">
        <v>0.75</v>
      </c>
      <c r="J1855" t="s">
        <v>6207</v>
      </c>
      <c r="K1855">
        <v>0</v>
      </c>
      <c r="L1855">
        <v>1</v>
      </c>
      <c r="M1855" t="s">
        <v>1</v>
      </c>
      <c r="N1855" s="2">
        <v>0.38</v>
      </c>
      <c r="O1855" s="2">
        <v>0.62</v>
      </c>
      <c r="P1855">
        <v>15</v>
      </c>
      <c r="Q1855">
        <v>8</v>
      </c>
      <c r="R1855">
        <v>5</v>
      </c>
      <c r="S1855">
        <v>12</v>
      </c>
      <c r="T1855">
        <v>8</v>
      </c>
      <c r="U1855">
        <v>13</v>
      </c>
      <c r="V1855">
        <v>1</v>
      </c>
      <c r="W1855">
        <v>2</v>
      </c>
      <c r="X1855">
        <v>1</v>
      </c>
      <c r="Y1855">
        <v>0</v>
      </c>
      <c r="Z1855">
        <v>0</v>
      </c>
    </row>
    <row r="1856" spans="1:26" x14ac:dyDescent="0.2">
      <c r="A1856" t="s">
        <v>1974</v>
      </c>
      <c r="B1856" t="s">
        <v>60</v>
      </c>
      <c r="C1856">
        <v>2013</v>
      </c>
      <c r="D1856" t="s">
        <v>46</v>
      </c>
      <c r="E1856" t="s">
        <v>23</v>
      </c>
      <c r="F1856" t="s">
        <v>20</v>
      </c>
      <c r="G1856">
        <v>60704</v>
      </c>
      <c r="H1856">
        <v>48563.200000000004</v>
      </c>
      <c r="I1856" s="13">
        <v>1</v>
      </c>
      <c r="J1856" t="s">
        <v>6208</v>
      </c>
      <c r="K1856">
        <v>3</v>
      </c>
      <c r="L1856">
        <v>1</v>
      </c>
      <c r="M1856" t="s">
        <v>0</v>
      </c>
      <c r="N1856" s="2">
        <v>0.61</v>
      </c>
      <c r="O1856" s="2">
        <v>0.39</v>
      </c>
      <c r="P1856">
        <v>13</v>
      </c>
      <c r="Q1856">
        <v>16</v>
      </c>
      <c r="R1856">
        <v>4</v>
      </c>
      <c r="S1856">
        <v>3</v>
      </c>
      <c r="T1856">
        <v>14</v>
      </c>
      <c r="U1856">
        <v>12</v>
      </c>
      <c r="V1856">
        <v>2</v>
      </c>
      <c r="W1856">
        <v>2</v>
      </c>
      <c r="X1856">
        <v>0</v>
      </c>
      <c r="Y1856">
        <v>0</v>
      </c>
      <c r="Z1856">
        <v>0</v>
      </c>
    </row>
    <row r="1857" spans="1:26" x14ac:dyDescent="0.2">
      <c r="A1857" t="s">
        <v>1975</v>
      </c>
      <c r="B1857" t="s">
        <v>32</v>
      </c>
      <c r="C1857">
        <v>2013</v>
      </c>
      <c r="D1857" t="s">
        <v>40</v>
      </c>
      <c r="E1857" t="s">
        <v>35</v>
      </c>
      <c r="F1857" t="s">
        <v>49</v>
      </c>
      <c r="G1857">
        <v>53400</v>
      </c>
      <c r="H1857">
        <v>42720</v>
      </c>
      <c r="I1857" s="13">
        <v>1</v>
      </c>
      <c r="J1857" t="s">
        <v>6207</v>
      </c>
      <c r="K1857">
        <v>2</v>
      </c>
      <c r="L1857">
        <v>2</v>
      </c>
      <c r="M1857" t="s">
        <v>58</v>
      </c>
      <c r="N1857" s="2">
        <v>0.56999999999999995</v>
      </c>
      <c r="O1857" s="2">
        <v>0.43</v>
      </c>
      <c r="P1857">
        <v>11</v>
      </c>
      <c r="Q1857">
        <v>14</v>
      </c>
      <c r="R1857">
        <v>3</v>
      </c>
      <c r="S1857">
        <v>6</v>
      </c>
      <c r="T1857">
        <v>14</v>
      </c>
      <c r="U1857">
        <v>10</v>
      </c>
      <c r="V1857">
        <v>1</v>
      </c>
      <c r="W1857">
        <v>2</v>
      </c>
      <c r="X1857">
        <v>0</v>
      </c>
      <c r="Y1857">
        <v>0</v>
      </c>
      <c r="Z1857">
        <v>0</v>
      </c>
    </row>
    <row r="1858" spans="1:26" x14ac:dyDescent="0.2">
      <c r="A1858" t="s">
        <v>1976</v>
      </c>
      <c r="B1858" t="s">
        <v>37</v>
      </c>
      <c r="C1858">
        <v>2013</v>
      </c>
      <c r="D1858" t="s">
        <v>45</v>
      </c>
      <c r="E1858" t="s">
        <v>79</v>
      </c>
      <c r="F1858" t="s">
        <v>26</v>
      </c>
      <c r="G1858">
        <v>39572</v>
      </c>
      <c r="H1858">
        <v>31657.600000000002</v>
      </c>
      <c r="I1858" s="13">
        <v>0.33333333333333331</v>
      </c>
      <c r="J1858" t="s">
        <v>6206</v>
      </c>
      <c r="K1858">
        <v>2</v>
      </c>
      <c r="L1858">
        <v>3</v>
      </c>
      <c r="M1858" t="s">
        <v>1</v>
      </c>
      <c r="N1858" s="2">
        <v>0.69</v>
      </c>
      <c r="O1858" s="2">
        <v>0.31</v>
      </c>
      <c r="P1858">
        <v>12</v>
      </c>
      <c r="Q1858">
        <v>6</v>
      </c>
      <c r="R1858">
        <v>13</v>
      </c>
      <c r="S1858">
        <v>3</v>
      </c>
      <c r="T1858">
        <v>6</v>
      </c>
      <c r="U1858">
        <v>10</v>
      </c>
      <c r="V1858">
        <v>1</v>
      </c>
      <c r="W1858">
        <v>2</v>
      </c>
      <c r="X1858">
        <v>0</v>
      </c>
      <c r="Y1858">
        <v>0</v>
      </c>
      <c r="Z1858">
        <v>0</v>
      </c>
    </row>
    <row r="1859" spans="1:26" x14ac:dyDescent="0.2">
      <c r="A1859" t="s">
        <v>1977</v>
      </c>
      <c r="B1859" t="s">
        <v>54</v>
      </c>
      <c r="C1859">
        <v>2013</v>
      </c>
      <c r="D1859" t="s">
        <v>51</v>
      </c>
      <c r="E1859" t="s">
        <v>31</v>
      </c>
      <c r="F1859" t="s">
        <v>20</v>
      </c>
      <c r="G1859">
        <v>36284</v>
      </c>
      <c r="H1859">
        <v>29027.200000000001</v>
      </c>
      <c r="I1859" s="13">
        <v>1</v>
      </c>
      <c r="J1859" t="s">
        <v>6206</v>
      </c>
      <c r="K1859">
        <v>3</v>
      </c>
      <c r="L1859">
        <v>1</v>
      </c>
      <c r="M1859" t="s">
        <v>0</v>
      </c>
      <c r="N1859" s="2">
        <v>0.62</v>
      </c>
      <c r="O1859" s="2">
        <v>0.38</v>
      </c>
      <c r="P1859">
        <v>14</v>
      </c>
      <c r="Q1859">
        <v>9</v>
      </c>
      <c r="R1859">
        <v>4</v>
      </c>
      <c r="S1859">
        <v>5</v>
      </c>
      <c r="T1859">
        <v>8</v>
      </c>
      <c r="U1859">
        <v>11</v>
      </c>
      <c r="V1859">
        <v>0</v>
      </c>
      <c r="W1859">
        <v>1</v>
      </c>
      <c r="X1859">
        <v>0</v>
      </c>
      <c r="Y1859">
        <v>0</v>
      </c>
      <c r="Z1859">
        <v>1</v>
      </c>
    </row>
    <row r="1860" spans="1:26" x14ac:dyDescent="0.2">
      <c r="A1860" t="s">
        <v>1978</v>
      </c>
      <c r="B1860" t="s">
        <v>32</v>
      </c>
      <c r="C1860">
        <v>2013</v>
      </c>
      <c r="D1860" t="s">
        <v>23</v>
      </c>
      <c r="E1860" t="s">
        <v>79</v>
      </c>
      <c r="F1860" t="s">
        <v>20</v>
      </c>
      <c r="G1860">
        <v>62500</v>
      </c>
      <c r="H1860">
        <v>50000</v>
      </c>
      <c r="I1860" s="13">
        <v>0</v>
      </c>
      <c r="J1860" t="s">
        <v>6207</v>
      </c>
      <c r="K1860">
        <v>0</v>
      </c>
      <c r="L1860">
        <v>1</v>
      </c>
      <c r="M1860" t="s">
        <v>1</v>
      </c>
      <c r="N1860" s="2">
        <v>0.65</v>
      </c>
      <c r="O1860" s="2">
        <v>0.35</v>
      </c>
      <c r="P1860">
        <v>17</v>
      </c>
      <c r="Q1860">
        <v>7</v>
      </c>
      <c r="R1860">
        <v>3</v>
      </c>
      <c r="S1860">
        <v>11</v>
      </c>
      <c r="T1860">
        <v>7</v>
      </c>
      <c r="U1860">
        <v>16</v>
      </c>
      <c r="V1860">
        <v>1</v>
      </c>
      <c r="W1860">
        <v>1</v>
      </c>
      <c r="X1860">
        <v>0</v>
      </c>
      <c r="Y1860">
        <v>0</v>
      </c>
      <c r="Z1860">
        <v>1</v>
      </c>
    </row>
    <row r="1861" spans="1:26" x14ac:dyDescent="0.2">
      <c r="A1861" t="s">
        <v>1979</v>
      </c>
      <c r="B1861" t="s">
        <v>25</v>
      </c>
      <c r="C1861">
        <v>2013</v>
      </c>
      <c r="D1861" t="s">
        <v>64</v>
      </c>
      <c r="E1861" t="s">
        <v>71</v>
      </c>
      <c r="F1861" t="s">
        <v>64</v>
      </c>
      <c r="G1861">
        <v>52264</v>
      </c>
      <c r="H1861">
        <v>41811.200000000004</v>
      </c>
      <c r="I1861" s="13">
        <v>0.5</v>
      </c>
      <c r="J1861" t="s">
        <v>6207</v>
      </c>
      <c r="K1861">
        <v>1</v>
      </c>
      <c r="L1861">
        <v>2</v>
      </c>
      <c r="M1861" t="s">
        <v>1</v>
      </c>
      <c r="N1861" s="2">
        <v>0.47</v>
      </c>
      <c r="O1861" s="2">
        <v>0.53</v>
      </c>
      <c r="P1861">
        <v>15</v>
      </c>
      <c r="Q1861">
        <v>6</v>
      </c>
      <c r="R1861">
        <v>2</v>
      </c>
      <c r="S1861">
        <v>8</v>
      </c>
      <c r="T1861">
        <v>6</v>
      </c>
      <c r="U1861">
        <v>9</v>
      </c>
      <c r="V1861">
        <v>2</v>
      </c>
      <c r="W1861">
        <v>0</v>
      </c>
      <c r="X1861">
        <v>0</v>
      </c>
      <c r="Y1861">
        <v>0</v>
      </c>
      <c r="Z1861">
        <v>1</v>
      </c>
    </row>
    <row r="1862" spans="1:26" x14ac:dyDescent="0.2">
      <c r="A1862" t="s">
        <v>1980</v>
      </c>
      <c r="B1862" t="s">
        <v>56</v>
      </c>
      <c r="C1862">
        <v>2013</v>
      </c>
      <c r="D1862" t="s">
        <v>78</v>
      </c>
      <c r="E1862" t="s">
        <v>27</v>
      </c>
      <c r="F1862" t="s">
        <v>78</v>
      </c>
      <c r="G1862">
        <v>33280</v>
      </c>
      <c r="H1862">
        <v>26624</v>
      </c>
      <c r="I1862" s="13">
        <v>0.4</v>
      </c>
      <c r="J1862" t="s">
        <v>6207</v>
      </c>
      <c r="K1862">
        <v>1</v>
      </c>
      <c r="L1862">
        <v>1</v>
      </c>
      <c r="M1862" t="s">
        <v>58</v>
      </c>
      <c r="N1862" s="2">
        <v>0.43</v>
      </c>
      <c r="O1862" s="2">
        <v>0.56999999999999995</v>
      </c>
      <c r="P1862">
        <v>11</v>
      </c>
      <c r="Q1862">
        <v>8</v>
      </c>
      <c r="R1862">
        <v>12</v>
      </c>
      <c r="S1862">
        <v>7</v>
      </c>
      <c r="T1862">
        <v>6</v>
      </c>
      <c r="U1862">
        <v>12</v>
      </c>
      <c r="V1862">
        <v>2</v>
      </c>
      <c r="W1862">
        <v>3</v>
      </c>
      <c r="X1862">
        <v>0</v>
      </c>
      <c r="Y1862">
        <v>0</v>
      </c>
      <c r="Z1862">
        <v>2</v>
      </c>
    </row>
    <row r="1863" spans="1:26" x14ac:dyDescent="0.2">
      <c r="A1863" t="s">
        <v>1981</v>
      </c>
      <c r="B1863" t="s">
        <v>50</v>
      </c>
      <c r="C1863">
        <v>2013</v>
      </c>
      <c r="D1863" t="s">
        <v>42</v>
      </c>
      <c r="E1863" t="s">
        <v>73</v>
      </c>
      <c r="F1863" t="s">
        <v>38</v>
      </c>
      <c r="G1863">
        <v>42918</v>
      </c>
      <c r="H1863">
        <v>34334.400000000001</v>
      </c>
      <c r="I1863" s="13">
        <v>0.5</v>
      </c>
      <c r="J1863" t="s">
        <v>6207</v>
      </c>
      <c r="K1863">
        <v>0</v>
      </c>
      <c r="L1863">
        <v>0</v>
      </c>
      <c r="M1863" t="s">
        <v>58</v>
      </c>
      <c r="N1863" s="2">
        <v>0.32</v>
      </c>
      <c r="O1863" s="2">
        <v>0.68</v>
      </c>
      <c r="P1863">
        <v>14</v>
      </c>
      <c r="Q1863">
        <v>16</v>
      </c>
      <c r="R1863">
        <v>5</v>
      </c>
      <c r="S1863">
        <v>3</v>
      </c>
      <c r="T1863">
        <v>11</v>
      </c>
      <c r="U1863">
        <v>11</v>
      </c>
      <c r="V1863">
        <v>0</v>
      </c>
      <c r="W1863">
        <v>2</v>
      </c>
      <c r="X1863">
        <v>0</v>
      </c>
      <c r="Y1863">
        <v>0</v>
      </c>
      <c r="Z1863">
        <v>0</v>
      </c>
    </row>
    <row r="1864" spans="1:26" x14ac:dyDescent="0.2">
      <c r="A1864" t="s">
        <v>1982</v>
      </c>
      <c r="B1864" t="s">
        <v>41</v>
      </c>
      <c r="C1864">
        <v>2013</v>
      </c>
      <c r="D1864" t="s">
        <v>18</v>
      </c>
      <c r="E1864" t="s">
        <v>35</v>
      </c>
      <c r="F1864" t="s">
        <v>20</v>
      </c>
      <c r="G1864">
        <v>40341</v>
      </c>
      <c r="H1864">
        <v>32272.800000000003</v>
      </c>
      <c r="I1864" s="13">
        <v>0.33333333333333331</v>
      </c>
      <c r="J1864" t="s">
        <v>6207</v>
      </c>
      <c r="K1864">
        <v>1</v>
      </c>
      <c r="L1864">
        <v>2</v>
      </c>
      <c r="M1864" t="s">
        <v>1</v>
      </c>
      <c r="N1864" s="2">
        <v>0.62</v>
      </c>
      <c r="O1864" s="2">
        <v>0.38</v>
      </c>
      <c r="P1864">
        <v>13</v>
      </c>
      <c r="Q1864">
        <v>12</v>
      </c>
      <c r="R1864">
        <v>10</v>
      </c>
      <c r="S1864">
        <v>4</v>
      </c>
      <c r="T1864">
        <v>11</v>
      </c>
      <c r="U1864">
        <v>14</v>
      </c>
      <c r="V1864">
        <v>1</v>
      </c>
      <c r="W1864">
        <v>2</v>
      </c>
      <c r="X1864">
        <v>0</v>
      </c>
      <c r="Y1864">
        <v>0</v>
      </c>
      <c r="Z1864">
        <v>1</v>
      </c>
    </row>
    <row r="1865" spans="1:26" x14ac:dyDescent="0.2">
      <c r="A1865" t="s">
        <v>1983</v>
      </c>
      <c r="B1865" t="s">
        <v>37</v>
      </c>
      <c r="C1865">
        <v>2013</v>
      </c>
      <c r="D1865" t="s">
        <v>69</v>
      </c>
      <c r="E1865" t="s">
        <v>26</v>
      </c>
      <c r="F1865" t="s">
        <v>69</v>
      </c>
      <c r="G1865">
        <v>27359</v>
      </c>
      <c r="H1865">
        <v>21887.200000000001</v>
      </c>
      <c r="I1865" s="13">
        <v>0.4</v>
      </c>
      <c r="J1865" t="s">
        <v>6206</v>
      </c>
      <c r="K1865">
        <v>2</v>
      </c>
      <c r="L1865">
        <v>3</v>
      </c>
      <c r="M1865" t="s">
        <v>1</v>
      </c>
      <c r="N1865" s="2">
        <v>0.42</v>
      </c>
      <c r="O1865" s="2">
        <v>0.57999999999999996</v>
      </c>
      <c r="P1865">
        <v>11</v>
      </c>
      <c r="Q1865">
        <v>15</v>
      </c>
      <c r="R1865">
        <v>8</v>
      </c>
      <c r="S1865">
        <v>3</v>
      </c>
      <c r="T1865">
        <v>16</v>
      </c>
      <c r="U1865">
        <v>10</v>
      </c>
      <c r="V1865">
        <v>3</v>
      </c>
      <c r="W1865">
        <v>2</v>
      </c>
      <c r="X1865">
        <v>0</v>
      </c>
      <c r="Y1865">
        <v>0</v>
      </c>
      <c r="Z1865">
        <v>0</v>
      </c>
    </row>
    <row r="1866" spans="1:26" x14ac:dyDescent="0.2">
      <c r="A1866" t="s">
        <v>1984</v>
      </c>
      <c r="B1866" t="s">
        <v>68</v>
      </c>
      <c r="C1866">
        <v>2013</v>
      </c>
      <c r="D1866" t="s">
        <v>19</v>
      </c>
      <c r="E1866" t="s">
        <v>46</v>
      </c>
      <c r="F1866" t="s">
        <v>19</v>
      </c>
      <c r="G1866">
        <v>25586</v>
      </c>
      <c r="H1866">
        <v>20468.800000000003</v>
      </c>
      <c r="I1866" s="13">
        <v>1</v>
      </c>
      <c r="J1866" t="s">
        <v>6207</v>
      </c>
      <c r="K1866">
        <v>0</v>
      </c>
      <c r="L1866">
        <v>3</v>
      </c>
      <c r="M1866" t="s">
        <v>1</v>
      </c>
      <c r="N1866" s="2">
        <v>0.42</v>
      </c>
      <c r="O1866" s="2">
        <v>0.57999999999999996</v>
      </c>
      <c r="P1866">
        <v>9</v>
      </c>
      <c r="Q1866">
        <v>14</v>
      </c>
      <c r="R1866">
        <v>7</v>
      </c>
      <c r="S1866">
        <v>0</v>
      </c>
      <c r="T1866">
        <v>10</v>
      </c>
      <c r="U1866">
        <v>7</v>
      </c>
      <c r="V1866">
        <v>1</v>
      </c>
      <c r="W1866">
        <v>1</v>
      </c>
      <c r="X1866">
        <v>0</v>
      </c>
      <c r="Y1866">
        <v>0</v>
      </c>
      <c r="Z1866">
        <v>0</v>
      </c>
    </row>
    <row r="1867" spans="1:26" x14ac:dyDescent="0.2">
      <c r="A1867" t="s">
        <v>1985</v>
      </c>
      <c r="B1867" t="s">
        <v>44</v>
      </c>
      <c r="C1867">
        <v>2013</v>
      </c>
      <c r="D1867" t="s">
        <v>45</v>
      </c>
      <c r="E1867" t="s">
        <v>48</v>
      </c>
      <c r="F1867" t="s">
        <v>26</v>
      </c>
      <c r="G1867">
        <v>39572</v>
      </c>
      <c r="H1867">
        <v>31657.600000000002</v>
      </c>
      <c r="I1867" s="13">
        <v>0.25</v>
      </c>
      <c r="J1867" t="s">
        <v>6207</v>
      </c>
      <c r="K1867">
        <v>2</v>
      </c>
      <c r="L1867">
        <v>0</v>
      </c>
      <c r="M1867" t="s">
        <v>0</v>
      </c>
      <c r="N1867" s="2">
        <v>0.39</v>
      </c>
      <c r="O1867" s="2">
        <v>0.61</v>
      </c>
      <c r="P1867">
        <v>11</v>
      </c>
      <c r="Q1867">
        <v>10</v>
      </c>
      <c r="R1867">
        <v>6</v>
      </c>
      <c r="S1867">
        <v>5</v>
      </c>
      <c r="T1867">
        <v>9</v>
      </c>
      <c r="U1867">
        <v>8</v>
      </c>
      <c r="V1867">
        <v>2</v>
      </c>
      <c r="W1867">
        <v>2</v>
      </c>
      <c r="X1867">
        <v>0</v>
      </c>
      <c r="Y1867">
        <v>0</v>
      </c>
      <c r="Z1867">
        <v>1</v>
      </c>
    </row>
    <row r="1868" spans="1:26" x14ac:dyDescent="0.2">
      <c r="A1868" t="s">
        <v>1986</v>
      </c>
      <c r="B1868" t="s">
        <v>52</v>
      </c>
      <c r="C1868">
        <v>2013</v>
      </c>
      <c r="D1868" t="s">
        <v>40</v>
      </c>
      <c r="E1868" t="s">
        <v>63</v>
      </c>
      <c r="F1868" t="s">
        <v>49</v>
      </c>
      <c r="G1868">
        <v>53400</v>
      </c>
      <c r="H1868">
        <v>42720</v>
      </c>
      <c r="I1868" s="13">
        <v>0.5</v>
      </c>
      <c r="J1868" t="s">
        <v>6207</v>
      </c>
      <c r="K1868">
        <v>3</v>
      </c>
      <c r="L1868">
        <v>1</v>
      </c>
      <c r="M1868" t="s">
        <v>0</v>
      </c>
      <c r="N1868" s="2">
        <v>0.69</v>
      </c>
      <c r="O1868" s="2">
        <v>0.31</v>
      </c>
      <c r="P1868">
        <v>10</v>
      </c>
      <c r="Q1868">
        <v>12</v>
      </c>
      <c r="R1868">
        <v>8</v>
      </c>
      <c r="S1868">
        <v>2</v>
      </c>
      <c r="T1868">
        <v>9</v>
      </c>
      <c r="U1868">
        <v>7</v>
      </c>
      <c r="V1868">
        <v>1</v>
      </c>
      <c r="W1868">
        <v>1</v>
      </c>
      <c r="X1868">
        <v>0</v>
      </c>
      <c r="Y1868">
        <v>0</v>
      </c>
      <c r="Z1868">
        <v>0</v>
      </c>
    </row>
    <row r="1869" spans="1:26" x14ac:dyDescent="0.2">
      <c r="A1869" t="s">
        <v>1987</v>
      </c>
      <c r="B1869" t="s">
        <v>66</v>
      </c>
      <c r="C1869">
        <v>2013</v>
      </c>
      <c r="D1869" t="s">
        <v>73</v>
      </c>
      <c r="E1869" t="s">
        <v>45</v>
      </c>
      <c r="F1869" t="s">
        <v>73</v>
      </c>
      <c r="G1869">
        <v>32384</v>
      </c>
      <c r="H1869">
        <v>25907.200000000001</v>
      </c>
      <c r="I1869" s="13">
        <v>0</v>
      </c>
      <c r="J1869" t="s">
        <v>6207</v>
      </c>
      <c r="K1869">
        <v>2</v>
      </c>
      <c r="L1869">
        <v>0</v>
      </c>
      <c r="M1869" t="s">
        <v>0</v>
      </c>
      <c r="N1869" s="2">
        <v>0.54</v>
      </c>
      <c r="O1869" s="2">
        <v>0.46</v>
      </c>
      <c r="P1869">
        <v>16</v>
      </c>
      <c r="Q1869">
        <v>14</v>
      </c>
      <c r="R1869">
        <v>4</v>
      </c>
      <c r="S1869">
        <v>7</v>
      </c>
      <c r="T1869">
        <v>13</v>
      </c>
      <c r="U1869">
        <v>12</v>
      </c>
      <c r="V1869">
        <v>0</v>
      </c>
      <c r="W1869">
        <v>2</v>
      </c>
      <c r="X1869">
        <v>0</v>
      </c>
      <c r="Y1869">
        <v>0</v>
      </c>
      <c r="Z1869">
        <v>0</v>
      </c>
    </row>
    <row r="1870" spans="1:26" x14ac:dyDescent="0.2">
      <c r="A1870" t="s">
        <v>1988</v>
      </c>
      <c r="B1870" t="s">
        <v>41</v>
      </c>
      <c r="C1870">
        <v>2013</v>
      </c>
      <c r="D1870" t="s">
        <v>63</v>
      </c>
      <c r="E1870" t="s">
        <v>23</v>
      </c>
      <c r="F1870" t="s">
        <v>65</v>
      </c>
      <c r="G1870">
        <v>26804</v>
      </c>
      <c r="H1870">
        <v>21443.200000000001</v>
      </c>
      <c r="I1870" s="13">
        <v>0</v>
      </c>
      <c r="J1870" t="s">
        <v>6207</v>
      </c>
      <c r="K1870">
        <v>1</v>
      </c>
      <c r="L1870">
        <v>0</v>
      </c>
      <c r="M1870" t="s">
        <v>0</v>
      </c>
      <c r="N1870" s="2">
        <v>0.43</v>
      </c>
      <c r="O1870" s="2">
        <v>0.56999999999999995</v>
      </c>
      <c r="P1870">
        <v>8</v>
      </c>
      <c r="Q1870">
        <v>16</v>
      </c>
      <c r="R1870">
        <v>7</v>
      </c>
      <c r="S1870">
        <v>6</v>
      </c>
      <c r="T1870">
        <v>14</v>
      </c>
      <c r="U1870">
        <v>8</v>
      </c>
      <c r="V1870">
        <v>0</v>
      </c>
      <c r="W1870">
        <v>1</v>
      </c>
      <c r="X1870">
        <v>0</v>
      </c>
      <c r="Y1870">
        <v>0</v>
      </c>
      <c r="Z1870">
        <v>0</v>
      </c>
    </row>
    <row r="1871" spans="1:26" x14ac:dyDescent="0.2">
      <c r="A1871" t="s">
        <v>1989</v>
      </c>
      <c r="B1871" t="s">
        <v>44</v>
      </c>
      <c r="C1871">
        <v>2013</v>
      </c>
      <c r="D1871" t="s">
        <v>71</v>
      </c>
      <c r="E1871" t="s">
        <v>42</v>
      </c>
      <c r="F1871" t="s">
        <v>71</v>
      </c>
      <c r="G1871">
        <v>21088</v>
      </c>
      <c r="H1871">
        <v>16870.400000000001</v>
      </c>
      <c r="I1871" s="13">
        <v>0.25</v>
      </c>
      <c r="J1871" t="s">
        <v>6207</v>
      </c>
      <c r="K1871">
        <v>4</v>
      </c>
      <c r="L1871">
        <v>1</v>
      </c>
      <c r="M1871" t="s">
        <v>0</v>
      </c>
      <c r="N1871" s="2">
        <v>0.47</v>
      </c>
      <c r="O1871" s="2">
        <v>0.53</v>
      </c>
      <c r="P1871">
        <v>11</v>
      </c>
      <c r="Q1871">
        <v>13</v>
      </c>
      <c r="R1871">
        <v>9</v>
      </c>
      <c r="S1871">
        <v>6</v>
      </c>
      <c r="T1871">
        <v>9</v>
      </c>
      <c r="U1871">
        <v>12</v>
      </c>
      <c r="V1871">
        <v>1</v>
      </c>
      <c r="W1871">
        <v>3</v>
      </c>
      <c r="X1871">
        <v>0</v>
      </c>
      <c r="Y1871">
        <v>0</v>
      </c>
      <c r="Z1871">
        <v>1</v>
      </c>
    </row>
    <row r="1872" spans="1:26" x14ac:dyDescent="0.2">
      <c r="A1872" t="s">
        <v>1990</v>
      </c>
      <c r="B1872" t="s">
        <v>37</v>
      </c>
      <c r="C1872">
        <v>2013</v>
      </c>
      <c r="D1872" t="s">
        <v>27</v>
      </c>
      <c r="E1872" t="s">
        <v>51</v>
      </c>
      <c r="F1872" t="s">
        <v>27</v>
      </c>
      <c r="G1872">
        <v>30089</v>
      </c>
      <c r="H1872">
        <v>24071.200000000001</v>
      </c>
      <c r="I1872" s="13">
        <v>0.2</v>
      </c>
      <c r="J1872" t="s">
        <v>6206</v>
      </c>
      <c r="K1872">
        <v>0</v>
      </c>
      <c r="L1872">
        <v>1</v>
      </c>
      <c r="M1872" t="s">
        <v>1</v>
      </c>
      <c r="N1872" s="2">
        <v>0.51</v>
      </c>
      <c r="O1872" s="2">
        <v>0.49</v>
      </c>
      <c r="P1872">
        <v>8</v>
      </c>
      <c r="Q1872">
        <v>15</v>
      </c>
      <c r="R1872">
        <v>4</v>
      </c>
      <c r="S1872">
        <v>3</v>
      </c>
      <c r="T1872">
        <v>11</v>
      </c>
      <c r="U1872">
        <v>6</v>
      </c>
      <c r="V1872">
        <v>2</v>
      </c>
      <c r="W1872">
        <v>2</v>
      </c>
      <c r="X1872">
        <v>1</v>
      </c>
      <c r="Y1872">
        <v>0</v>
      </c>
      <c r="Z1872">
        <v>0</v>
      </c>
    </row>
    <row r="1873" spans="1:26" x14ac:dyDescent="0.2">
      <c r="A1873" t="s">
        <v>1991</v>
      </c>
      <c r="B1873" t="s">
        <v>50</v>
      </c>
      <c r="C1873">
        <v>2013</v>
      </c>
      <c r="D1873" t="s">
        <v>31</v>
      </c>
      <c r="E1873" t="s">
        <v>19</v>
      </c>
      <c r="F1873" t="s">
        <v>20</v>
      </c>
      <c r="G1873">
        <v>28500</v>
      </c>
      <c r="H1873">
        <v>22800</v>
      </c>
      <c r="I1873" s="13">
        <v>0.75</v>
      </c>
      <c r="J1873" t="s">
        <v>6207</v>
      </c>
      <c r="K1873">
        <v>2</v>
      </c>
      <c r="L1873">
        <v>2</v>
      </c>
      <c r="M1873" t="s">
        <v>58</v>
      </c>
      <c r="N1873" s="2">
        <v>0.46</v>
      </c>
      <c r="O1873" s="2">
        <v>0.54</v>
      </c>
      <c r="P1873">
        <v>8</v>
      </c>
      <c r="Q1873">
        <v>7</v>
      </c>
      <c r="R1873">
        <v>7</v>
      </c>
      <c r="S1873">
        <v>2</v>
      </c>
      <c r="T1873">
        <v>8</v>
      </c>
      <c r="U1873">
        <v>7</v>
      </c>
      <c r="V1873">
        <v>1</v>
      </c>
      <c r="W1873">
        <v>3</v>
      </c>
      <c r="X1873">
        <v>0</v>
      </c>
      <c r="Y1873">
        <v>0</v>
      </c>
      <c r="Z1873">
        <v>0</v>
      </c>
    </row>
    <row r="1874" spans="1:26" x14ac:dyDescent="0.2">
      <c r="A1874" t="s">
        <v>1992</v>
      </c>
      <c r="B1874" t="s">
        <v>54</v>
      </c>
      <c r="C1874">
        <v>2013</v>
      </c>
      <c r="D1874" t="s">
        <v>48</v>
      </c>
      <c r="E1874" t="s">
        <v>69</v>
      </c>
      <c r="F1874" t="s">
        <v>49</v>
      </c>
      <c r="G1874">
        <v>74197</v>
      </c>
      <c r="H1874">
        <v>59357.600000000006</v>
      </c>
      <c r="I1874" s="13">
        <v>0.5</v>
      </c>
      <c r="J1874" t="s">
        <v>6206</v>
      </c>
      <c r="K1874">
        <v>4</v>
      </c>
      <c r="L1874">
        <v>0</v>
      </c>
      <c r="M1874" t="s">
        <v>0</v>
      </c>
      <c r="N1874" s="2">
        <v>0.61</v>
      </c>
      <c r="O1874" s="2">
        <v>0.39</v>
      </c>
      <c r="P1874">
        <v>8</v>
      </c>
      <c r="Q1874">
        <v>13</v>
      </c>
      <c r="R1874">
        <v>5</v>
      </c>
      <c r="S1874">
        <v>3</v>
      </c>
      <c r="T1874">
        <v>13</v>
      </c>
      <c r="U1874">
        <v>9</v>
      </c>
      <c r="V1874">
        <v>1</v>
      </c>
      <c r="W1874">
        <v>1</v>
      </c>
      <c r="X1874">
        <v>0</v>
      </c>
      <c r="Y1874">
        <v>0</v>
      </c>
      <c r="Z1874">
        <v>1</v>
      </c>
    </row>
    <row r="1875" spans="1:26" x14ac:dyDescent="0.2">
      <c r="A1875" t="s">
        <v>1993</v>
      </c>
      <c r="B1875" t="s">
        <v>52</v>
      </c>
      <c r="C1875">
        <v>2013</v>
      </c>
      <c r="D1875" t="s">
        <v>35</v>
      </c>
      <c r="E1875" t="s">
        <v>78</v>
      </c>
      <c r="F1875" t="s">
        <v>35</v>
      </c>
      <c r="G1875">
        <v>49000</v>
      </c>
      <c r="H1875">
        <v>39200</v>
      </c>
      <c r="I1875" s="13">
        <v>0.66666666666666663</v>
      </c>
      <c r="J1875" t="s">
        <v>6207</v>
      </c>
      <c r="K1875">
        <v>4</v>
      </c>
      <c r="L1875">
        <v>0</v>
      </c>
      <c r="M1875" t="s">
        <v>0</v>
      </c>
      <c r="N1875" s="2">
        <v>0.59</v>
      </c>
      <c r="O1875" s="2">
        <v>0.41</v>
      </c>
      <c r="P1875">
        <v>10</v>
      </c>
      <c r="Q1875">
        <v>9</v>
      </c>
      <c r="R1875">
        <v>11</v>
      </c>
      <c r="S1875">
        <v>5</v>
      </c>
      <c r="T1875">
        <v>10</v>
      </c>
      <c r="U1875">
        <v>11</v>
      </c>
      <c r="V1875">
        <v>5</v>
      </c>
      <c r="W1875">
        <v>3</v>
      </c>
      <c r="X1875">
        <v>0</v>
      </c>
      <c r="Y1875">
        <v>1</v>
      </c>
      <c r="Z1875">
        <v>1</v>
      </c>
    </row>
    <row r="1876" spans="1:26" x14ac:dyDescent="0.2">
      <c r="A1876" t="s">
        <v>1994</v>
      </c>
      <c r="B1876" t="s">
        <v>32</v>
      </c>
      <c r="C1876">
        <v>2013</v>
      </c>
      <c r="D1876" t="s">
        <v>26</v>
      </c>
      <c r="E1876" t="s">
        <v>18</v>
      </c>
      <c r="F1876" t="s">
        <v>26</v>
      </c>
      <c r="G1876">
        <v>61276</v>
      </c>
      <c r="H1876">
        <v>49020.800000000003</v>
      </c>
      <c r="I1876" s="13">
        <v>0.5</v>
      </c>
      <c r="J1876" t="s">
        <v>6207</v>
      </c>
      <c r="K1876">
        <v>0</v>
      </c>
      <c r="L1876">
        <v>2</v>
      </c>
      <c r="M1876" t="s">
        <v>1</v>
      </c>
      <c r="N1876" s="2">
        <v>0.73</v>
      </c>
      <c r="O1876" s="2">
        <v>0.27</v>
      </c>
      <c r="P1876">
        <v>7</v>
      </c>
      <c r="Q1876">
        <v>9</v>
      </c>
      <c r="R1876">
        <v>14</v>
      </c>
      <c r="S1876">
        <v>3</v>
      </c>
      <c r="T1876">
        <v>9</v>
      </c>
      <c r="U1876">
        <v>7</v>
      </c>
      <c r="V1876">
        <v>0</v>
      </c>
      <c r="W1876">
        <v>4</v>
      </c>
      <c r="X1876">
        <v>0</v>
      </c>
      <c r="Y1876">
        <v>0</v>
      </c>
      <c r="Z1876">
        <v>0</v>
      </c>
    </row>
    <row r="1877" spans="1:26" x14ac:dyDescent="0.2">
      <c r="A1877" t="s">
        <v>1995</v>
      </c>
      <c r="B1877" t="s">
        <v>56</v>
      </c>
      <c r="C1877">
        <v>2013</v>
      </c>
      <c r="D1877" t="s">
        <v>79</v>
      </c>
      <c r="E1877" t="s">
        <v>40</v>
      </c>
      <c r="F1877" t="s">
        <v>20</v>
      </c>
      <c r="G1877">
        <v>25486</v>
      </c>
      <c r="H1877">
        <v>20388.800000000003</v>
      </c>
      <c r="I1877" s="13">
        <v>0.5</v>
      </c>
      <c r="J1877" t="s">
        <v>6207</v>
      </c>
      <c r="K1877">
        <v>0</v>
      </c>
      <c r="L1877">
        <v>2</v>
      </c>
      <c r="M1877" t="s">
        <v>1</v>
      </c>
      <c r="N1877" s="2">
        <v>0.46</v>
      </c>
      <c r="O1877" s="2">
        <v>0.54</v>
      </c>
      <c r="P1877">
        <v>10</v>
      </c>
      <c r="Q1877">
        <v>12</v>
      </c>
      <c r="R1877">
        <v>4</v>
      </c>
      <c r="S1877">
        <v>8</v>
      </c>
      <c r="T1877">
        <v>9</v>
      </c>
      <c r="U1877">
        <v>10</v>
      </c>
      <c r="V1877">
        <v>3</v>
      </c>
      <c r="W1877">
        <v>1</v>
      </c>
      <c r="X1877">
        <v>0</v>
      </c>
      <c r="Y1877">
        <v>0</v>
      </c>
      <c r="Z1877">
        <v>0</v>
      </c>
    </row>
    <row r="1878" spans="1:26" x14ac:dyDescent="0.2">
      <c r="A1878" t="s">
        <v>1996</v>
      </c>
      <c r="B1878" t="s">
        <v>67</v>
      </c>
      <c r="C1878">
        <v>2013</v>
      </c>
      <c r="D1878" t="s">
        <v>46</v>
      </c>
      <c r="E1878" t="s">
        <v>64</v>
      </c>
      <c r="F1878" t="s">
        <v>20</v>
      </c>
      <c r="G1878">
        <v>60704</v>
      </c>
      <c r="H1878">
        <v>48563.200000000004</v>
      </c>
      <c r="I1878" s="13">
        <v>0.8</v>
      </c>
      <c r="J1878" t="s">
        <v>6207</v>
      </c>
      <c r="K1878">
        <v>3</v>
      </c>
      <c r="L1878">
        <v>0</v>
      </c>
      <c r="M1878" t="s">
        <v>0</v>
      </c>
      <c r="N1878" s="2">
        <v>0.61</v>
      </c>
      <c r="O1878" s="2">
        <v>0.39</v>
      </c>
      <c r="P1878">
        <v>10</v>
      </c>
      <c r="Q1878">
        <v>13</v>
      </c>
      <c r="R1878">
        <v>14</v>
      </c>
      <c r="S1878">
        <v>0</v>
      </c>
      <c r="T1878">
        <v>9</v>
      </c>
      <c r="U1878">
        <v>8</v>
      </c>
      <c r="V1878">
        <v>3</v>
      </c>
      <c r="W1878">
        <v>2</v>
      </c>
      <c r="X1878">
        <v>0</v>
      </c>
      <c r="Y1878">
        <v>0</v>
      </c>
      <c r="Z1878">
        <v>0</v>
      </c>
    </row>
    <row r="1879" spans="1:26" x14ac:dyDescent="0.2">
      <c r="A1879" t="s">
        <v>1997</v>
      </c>
      <c r="B1879" t="s">
        <v>52</v>
      </c>
      <c r="C1879">
        <v>2013</v>
      </c>
      <c r="D1879" t="s">
        <v>23</v>
      </c>
      <c r="E1879" t="s">
        <v>51</v>
      </c>
      <c r="F1879" t="s">
        <v>20</v>
      </c>
      <c r="G1879">
        <v>62500</v>
      </c>
      <c r="H1879">
        <v>50000</v>
      </c>
      <c r="I1879" s="13">
        <v>0.6</v>
      </c>
      <c r="J1879" t="s">
        <v>6207</v>
      </c>
      <c r="K1879">
        <v>2</v>
      </c>
      <c r="L1879">
        <v>0</v>
      </c>
      <c r="M1879" t="s">
        <v>0</v>
      </c>
      <c r="N1879" s="2">
        <v>0.47</v>
      </c>
      <c r="O1879" s="2">
        <v>0.53</v>
      </c>
      <c r="P1879">
        <v>16</v>
      </c>
      <c r="Q1879">
        <v>13</v>
      </c>
      <c r="R1879">
        <v>10</v>
      </c>
      <c r="S1879">
        <v>6</v>
      </c>
      <c r="T1879">
        <v>10</v>
      </c>
      <c r="U1879">
        <v>16</v>
      </c>
      <c r="V1879">
        <v>0</v>
      </c>
      <c r="W1879">
        <v>4</v>
      </c>
      <c r="X1879">
        <v>0</v>
      </c>
      <c r="Y1879">
        <v>1</v>
      </c>
      <c r="Z1879">
        <v>0</v>
      </c>
    </row>
    <row r="1880" spans="1:26" x14ac:dyDescent="0.2">
      <c r="A1880" t="s">
        <v>1998</v>
      </c>
      <c r="B1880" t="s">
        <v>61</v>
      </c>
      <c r="C1880">
        <v>2013</v>
      </c>
      <c r="D1880" t="s">
        <v>71</v>
      </c>
      <c r="E1880" t="s">
        <v>73</v>
      </c>
      <c r="F1880" t="s">
        <v>71</v>
      </c>
      <c r="G1880">
        <v>21088</v>
      </c>
      <c r="H1880">
        <v>16870.400000000001</v>
      </c>
      <c r="I1880" s="13">
        <v>1</v>
      </c>
      <c r="J1880" t="s">
        <v>6207</v>
      </c>
      <c r="K1880">
        <v>0</v>
      </c>
      <c r="L1880">
        <v>1</v>
      </c>
      <c r="M1880" t="s">
        <v>1</v>
      </c>
      <c r="N1880" s="2">
        <v>0.38</v>
      </c>
      <c r="O1880" s="2">
        <v>0.62</v>
      </c>
      <c r="P1880">
        <v>6</v>
      </c>
      <c r="Q1880">
        <v>13</v>
      </c>
      <c r="R1880">
        <v>3</v>
      </c>
      <c r="S1880">
        <v>5</v>
      </c>
      <c r="T1880">
        <v>11</v>
      </c>
      <c r="U1880">
        <v>5</v>
      </c>
      <c r="V1880">
        <v>1</v>
      </c>
      <c r="W1880">
        <v>1</v>
      </c>
      <c r="X1880">
        <v>0</v>
      </c>
      <c r="Y1880">
        <v>0</v>
      </c>
      <c r="Z1880">
        <v>0</v>
      </c>
    </row>
    <row r="1881" spans="1:26" x14ac:dyDescent="0.2">
      <c r="A1881" t="s">
        <v>1999</v>
      </c>
      <c r="B1881" t="s">
        <v>25</v>
      </c>
      <c r="C1881">
        <v>2013</v>
      </c>
      <c r="D1881" t="s">
        <v>27</v>
      </c>
      <c r="E1881" t="s">
        <v>31</v>
      </c>
      <c r="F1881" t="s">
        <v>27</v>
      </c>
      <c r="G1881">
        <v>30089</v>
      </c>
      <c r="H1881">
        <v>24071.200000000001</v>
      </c>
      <c r="I1881" s="13">
        <v>0.5</v>
      </c>
      <c r="J1881" t="s">
        <v>6207</v>
      </c>
      <c r="K1881">
        <v>4</v>
      </c>
      <c r="L1881">
        <v>1</v>
      </c>
      <c r="M1881" t="s">
        <v>0</v>
      </c>
      <c r="N1881" s="2">
        <v>0.64</v>
      </c>
      <c r="O1881" s="2">
        <v>0.36</v>
      </c>
      <c r="P1881">
        <v>13</v>
      </c>
      <c r="Q1881">
        <v>12</v>
      </c>
      <c r="R1881">
        <v>3</v>
      </c>
      <c r="S1881">
        <v>5</v>
      </c>
      <c r="T1881">
        <v>9</v>
      </c>
      <c r="U1881">
        <v>13</v>
      </c>
      <c r="V1881">
        <v>0</v>
      </c>
      <c r="W1881">
        <v>2</v>
      </c>
      <c r="X1881">
        <v>0</v>
      </c>
      <c r="Y1881">
        <v>0</v>
      </c>
      <c r="Z1881">
        <v>0</v>
      </c>
    </row>
    <row r="1882" spans="1:26" x14ac:dyDescent="0.2">
      <c r="A1882" t="s">
        <v>2000</v>
      </c>
      <c r="B1882" t="s">
        <v>32</v>
      </c>
      <c r="C1882">
        <v>2013</v>
      </c>
      <c r="D1882" t="s">
        <v>64</v>
      </c>
      <c r="E1882" t="s">
        <v>78</v>
      </c>
      <c r="F1882" t="s">
        <v>64</v>
      </c>
      <c r="G1882">
        <v>52264</v>
      </c>
      <c r="H1882">
        <v>41811.200000000004</v>
      </c>
      <c r="I1882" s="13">
        <v>1</v>
      </c>
      <c r="J1882" t="s">
        <v>6207</v>
      </c>
      <c r="K1882">
        <v>3</v>
      </c>
      <c r="L1882">
        <v>0</v>
      </c>
      <c r="M1882" t="s">
        <v>0</v>
      </c>
      <c r="N1882" s="2">
        <v>0.54</v>
      </c>
      <c r="O1882" s="2">
        <v>0.46</v>
      </c>
      <c r="P1882">
        <v>8</v>
      </c>
      <c r="Q1882">
        <v>10</v>
      </c>
      <c r="R1882">
        <v>10</v>
      </c>
      <c r="S1882">
        <v>6</v>
      </c>
      <c r="T1882">
        <v>9</v>
      </c>
      <c r="U1882">
        <v>6</v>
      </c>
      <c r="V1882">
        <v>1</v>
      </c>
      <c r="W1882">
        <v>0</v>
      </c>
      <c r="X1882">
        <v>0</v>
      </c>
      <c r="Y1882">
        <v>0</v>
      </c>
      <c r="Z1882">
        <v>0</v>
      </c>
    </row>
    <row r="1883" spans="1:26" x14ac:dyDescent="0.2">
      <c r="A1883" t="s">
        <v>2001</v>
      </c>
      <c r="B1883" t="s">
        <v>56</v>
      </c>
      <c r="C1883">
        <v>2013</v>
      </c>
      <c r="D1883" t="s">
        <v>48</v>
      </c>
      <c r="E1883" t="s">
        <v>35</v>
      </c>
      <c r="F1883" t="s">
        <v>49</v>
      </c>
      <c r="G1883">
        <v>74197</v>
      </c>
      <c r="H1883">
        <v>59357.600000000006</v>
      </c>
      <c r="I1883" s="13">
        <v>0.66666666666666663</v>
      </c>
      <c r="J1883" t="s">
        <v>6207</v>
      </c>
      <c r="K1883">
        <v>0</v>
      </c>
      <c r="L1883">
        <v>1</v>
      </c>
      <c r="M1883" t="s">
        <v>1</v>
      </c>
      <c r="N1883" s="2">
        <v>0.63</v>
      </c>
      <c r="O1883" s="2">
        <v>0.37</v>
      </c>
      <c r="P1883">
        <v>14</v>
      </c>
      <c r="Q1883">
        <v>13</v>
      </c>
      <c r="R1883">
        <v>8</v>
      </c>
      <c r="S1883">
        <v>0</v>
      </c>
      <c r="T1883">
        <v>11</v>
      </c>
      <c r="U1883">
        <v>12</v>
      </c>
      <c r="V1883">
        <v>2</v>
      </c>
      <c r="W1883">
        <v>1</v>
      </c>
      <c r="X1883">
        <v>0</v>
      </c>
      <c r="Y1883">
        <v>0</v>
      </c>
      <c r="Z1883">
        <v>0</v>
      </c>
    </row>
    <row r="1884" spans="1:26" x14ac:dyDescent="0.2">
      <c r="A1884" t="s">
        <v>2002</v>
      </c>
      <c r="B1884" t="s">
        <v>41</v>
      </c>
      <c r="C1884">
        <v>2013</v>
      </c>
      <c r="D1884" t="s">
        <v>42</v>
      </c>
      <c r="E1884" t="s">
        <v>19</v>
      </c>
      <c r="F1884" t="s">
        <v>38</v>
      </c>
      <c r="G1884">
        <v>42918</v>
      </c>
      <c r="H1884">
        <v>34334.400000000001</v>
      </c>
      <c r="I1884" s="13">
        <v>0</v>
      </c>
      <c r="J1884" t="s">
        <v>6207</v>
      </c>
      <c r="K1884">
        <v>3</v>
      </c>
      <c r="L1884">
        <v>1</v>
      </c>
      <c r="M1884" t="s">
        <v>0</v>
      </c>
      <c r="N1884" s="2">
        <v>0.44</v>
      </c>
      <c r="O1884" s="2">
        <v>0.56000000000000005</v>
      </c>
      <c r="P1884">
        <v>12</v>
      </c>
      <c r="Q1884">
        <v>14</v>
      </c>
      <c r="R1884">
        <v>8</v>
      </c>
      <c r="S1884">
        <v>5</v>
      </c>
      <c r="T1884">
        <v>14</v>
      </c>
      <c r="U1884">
        <v>9</v>
      </c>
      <c r="V1884">
        <v>0</v>
      </c>
      <c r="W1884">
        <v>0</v>
      </c>
      <c r="X1884">
        <v>0</v>
      </c>
      <c r="Y1884">
        <v>0</v>
      </c>
      <c r="Z1884">
        <v>0</v>
      </c>
    </row>
    <row r="1885" spans="1:26" x14ac:dyDescent="0.2">
      <c r="A1885" t="s">
        <v>2003</v>
      </c>
      <c r="B1885" t="s">
        <v>54</v>
      </c>
      <c r="C1885">
        <v>2013</v>
      </c>
      <c r="D1885" t="s">
        <v>45</v>
      </c>
      <c r="E1885" t="s">
        <v>40</v>
      </c>
      <c r="F1885" t="s">
        <v>26</v>
      </c>
      <c r="G1885">
        <v>39572</v>
      </c>
      <c r="H1885">
        <v>31657.600000000002</v>
      </c>
      <c r="I1885" s="13">
        <v>1</v>
      </c>
      <c r="J1885" t="s">
        <v>6206</v>
      </c>
      <c r="K1885">
        <v>2</v>
      </c>
      <c r="L1885">
        <v>3</v>
      </c>
      <c r="M1885" t="s">
        <v>1</v>
      </c>
      <c r="N1885" s="2">
        <v>0.59</v>
      </c>
      <c r="O1885" s="2">
        <v>0.41</v>
      </c>
      <c r="P1885">
        <v>9</v>
      </c>
      <c r="Q1885">
        <v>6</v>
      </c>
      <c r="R1885">
        <v>4</v>
      </c>
      <c r="S1885">
        <v>3</v>
      </c>
      <c r="T1885">
        <v>3</v>
      </c>
      <c r="U1885">
        <v>9</v>
      </c>
      <c r="V1885">
        <v>0</v>
      </c>
      <c r="W1885">
        <v>3</v>
      </c>
      <c r="X1885">
        <v>0</v>
      </c>
      <c r="Y1885">
        <v>0</v>
      </c>
      <c r="Z1885">
        <v>0</v>
      </c>
    </row>
    <row r="1886" spans="1:26" x14ac:dyDescent="0.2">
      <c r="A1886" t="s">
        <v>2004</v>
      </c>
      <c r="B1886" t="s">
        <v>53</v>
      </c>
      <c r="C1886">
        <v>2013</v>
      </c>
      <c r="D1886" t="s">
        <v>46</v>
      </c>
      <c r="E1886" t="s">
        <v>63</v>
      </c>
      <c r="F1886" t="s">
        <v>20</v>
      </c>
      <c r="G1886">
        <v>60704</v>
      </c>
      <c r="H1886">
        <v>48563.200000000004</v>
      </c>
      <c r="I1886" s="13">
        <v>0.5</v>
      </c>
      <c r="J1886" t="s">
        <v>6207</v>
      </c>
      <c r="K1886">
        <v>1</v>
      </c>
      <c r="L1886">
        <v>0</v>
      </c>
      <c r="M1886" t="s">
        <v>0</v>
      </c>
      <c r="N1886" s="2">
        <v>0.6</v>
      </c>
      <c r="O1886" s="2">
        <v>0.4</v>
      </c>
      <c r="P1886">
        <v>8</v>
      </c>
      <c r="Q1886">
        <v>9</v>
      </c>
      <c r="R1886">
        <v>9</v>
      </c>
      <c r="S1886">
        <v>10</v>
      </c>
      <c r="T1886">
        <v>9</v>
      </c>
      <c r="U1886">
        <v>6</v>
      </c>
      <c r="V1886">
        <v>2</v>
      </c>
      <c r="W1886">
        <v>2</v>
      </c>
      <c r="X1886">
        <v>0</v>
      </c>
      <c r="Y1886">
        <v>0</v>
      </c>
      <c r="Z1886">
        <v>0</v>
      </c>
    </row>
    <row r="1887" spans="1:26" x14ac:dyDescent="0.2">
      <c r="A1887" t="s">
        <v>2005</v>
      </c>
      <c r="B1887" t="s">
        <v>67</v>
      </c>
      <c r="C1887">
        <v>2013</v>
      </c>
      <c r="D1887" t="s">
        <v>18</v>
      </c>
      <c r="E1887" t="s">
        <v>69</v>
      </c>
      <c r="F1887" t="s">
        <v>20</v>
      </c>
      <c r="G1887">
        <v>40341</v>
      </c>
      <c r="H1887">
        <v>32272.800000000003</v>
      </c>
      <c r="I1887" s="13">
        <v>0.75</v>
      </c>
      <c r="J1887" t="s">
        <v>6207</v>
      </c>
      <c r="K1887">
        <v>0</v>
      </c>
      <c r="L1887">
        <v>0</v>
      </c>
      <c r="M1887" t="s">
        <v>58</v>
      </c>
      <c r="N1887" s="2">
        <v>0.71</v>
      </c>
      <c r="O1887" s="2">
        <v>0.28999999999999998</v>
      </c>
      <c r="P1887">
        <v>18</v>
      </c>
      <c r="Q1887">
        <v>13</v>
      </c>
      <c r="R1887">
        <v>5</v>
      </c>
      <c r="S1887">
        <v>2</v>
      </c>
      <c r="T1887">
        <v>9</v>
      </c>
      <c r="U1887">
        <v>17</v>
      </c>
      <c r="V1887">
        <v>1</v>
      </c>
      <c r="W1887">
        <v>3</v>
      </c>
      <c r="X1887">
        <v>0</v>
      </c>
      <c r="Y1887">
        <v>0</v>
      </c>
      <c r="Z1887">
        <v>0</v>
      </c>
    </row>
    <row r="1888" spans="1:26" x14ac:dyDescent="0.2">
      <c r="A1888" t="s">
        <v>2006</v>
      </c>
      <c r="B1888" t="s">
        <v>44</v>
      </c>
      <c r="C1888">
        <v>2013</v>
      </c>
      <c r="D1888" t="s">
        <v>79</v>
      </c>
      <c r="E1888" t="s">
        <v>26</v>
      </c>
      <c r="F1888" t="s">
        <v>20</v>
      </c>
      <c r="G1888">
        <v>25486</v>
      </c>
      <c r="H1888">
        <v>20388.800000000003</v>
      </c>
      <c r="I1888" s="13">
        <v>0.6</v>
      </c>
      <c r="J1888" t="s">
        <v>6207</v>
      </c>
      <c r="K1888">
        <v>3</v>
      </c>
      <c r="L1888">
        <v>3</v>
      </c>
      <c r="M1888" t="s">
        <v>58</v>
      </c>
      <c r="N1888" s="2">
        <v>0.35</v>
      </c>
      <c r="O1888" s="2">
        <v>0.65</v>
      </c>
      <c r="P1888">
        <v>15</v>
      </c>
      <c r="Q1888">
        <v>7</v>
      </c>
      <c r="R1888">
        <v>7</v>
      </c>
      <c r="S1888">
        <v>7</v>
      </c>
      <c r="T1888">
        <v>7</v>
      </c>
      <c r="U1888">
        <v>12</v>
      </c>
      <c r="V1888">
        <v>2</v>
      </c>
      <c r="W1888">
        <v>3</v>
      </c>
      <c r="X1888">
        <v>0</v>
      </c>
      <c r="Y1888">
        <v>0</v>
      </c>
      <c r="Z1888">
        <v>0</v>
      </c>
    </row>
    <row r="1889" spans="1:26" x14ac:dyDescent="0.2">
      <c r="A1889" t="s">
        <v>2007</v>
      </c>
      <c r="B1889" t="s">
        <v>76</v>
      </c>
      <c r="C1889">
        <v>2013</v>
      </c>
      <c r="D1889" t="s">
        <v>48</v>
      </c>
      <c r="E1889" t="s">
        <v>19</v>
      </c>
      <c r="F1889" t="s">
        <v>49</v>
      </c>
      <c r="G1889">
        <v>74197</v>
      </c>
      <c r="H1889">
        <v>59357.600000000006</v>
      </c>
      <c r="I1889" s="13">
        <v>1</v>
      </c>
      <c r="J1889" t="s">
        <v>6207</v>
      </c>
      <c r="K1889">
        <v>3</v>
      </c>
      <c r="L1889">
        <v>1</v>
      </c>
      <c r="M1889" t="s">
        <v>0</v>
      </c>
      <c r="N1889" s="2">
        <v>0.55000000000000004</v>
      </c>
      <c r="O1889" s="2">
        <v>0.45</v>
      </c>
      <c r="P1889">
        <v>8</v>
      </c>
      <c r="Q1889">
        <v>13</v>
      </c>
      <c r="R1889">
        <v>8</v>
      </c>
      <c r="S1889">
        <v>0</v>
      </c>
      <c r="T1889">
        <v>13</v>
      </c>
      <c r="U1889">
        <v>9</v>
      </c>
      <c r="V1889">
        <v>1</v>
      </c>
      <c r="W1889">
        <v>1</v>
      </c>
      <c r="X1889">
        <v>0</v>
      </c>
      <c r="Y1889">
        <v>0</v>
      </c>
      <c r="Z1889">
        <v>0</v>
      </c>
    </row>
    <row r="1890" spans="1:26" x14ac:dyDescent="0.2">
      <c r="A1890" t="s">
        <v>2008</v>
      </c>
      <c r="B1890" t="s">
        <v>50</v>
      </c>
      <c r="C1890">
        <v>2013</v>
      </c>
      <c r="D1890" t="s">
        <v>35</v>
      </c>
      <c r="E1890" t="s">
        <v>63</v>
      </c>
      <c r="F1890" t="s">
        <v>35</v>
      </c>
      <c r="G1890">
        <v>49000</v>
      </c>
      <c r="H1890">
        <v>39200</v>
      </c>
      <c r="I1890" s="13">
        <v>0</v>
      </c>
      <c r="J1890" t="s">
        <v>6207</v>
      </c>
      <c r="K1890">
        <v>2</v>
      </c>
      <c r="L1890">
        <v>0</v>
      </c>
      <c r="M1890" t="s">
        <v>0</v>
      </c>
      <c r="N1890" s="2">
        <v>0.48</v>
      </c>
      <c r="O1890" s="2">
        <v>0.52</v>
      </c>
      <c r="P1890">
        <v>13</v>
      </c>
      <c r="Q1890">
        <v>12</v>
      </c>
      <c r="R1890">
        <v>5</v>
      </c>
      <c r="S1890">
        <v>0</v>
      </c>
      <c r="T1890">
        <v>14</v>
      </c>
      <c r="U1890">
        <v>12</v>
      </c>
      <c r="V1890">
        <v>0</v>
      </c>
      <c r="W1890">
        <v>0</v>
      </c>
      <c r="X1890">
        <v>0</v>
      </c>
      <c r="Y1890">
        <v>0</v>
      </c>
      <c r="Z1890">
        <v>0</v>
      </c>
    </row>
    <row r="1891" spans="1:26" x14ac:dyDescent="0.2">
      <c r="A1891" t="s">
        <v>2009</v>
      </c>
      <c r="B1891" t="s">
        <v>66</v>
      </c>
      <c r="C1891">
        <v>2013</v>
      </c>
      <c r="D1891" t="s">
        <v>40</v>
      </c>
      <c r="E1891" t="s">
        <v>42</v>
      </c>
      <c r="F1891" t="s">
        <v>49</v>
      </c>
      <c r="G1891">
        <v>53400</v>
      </c>
      <c r="H1891">
        <v>42720</v>
      </c>
      <c r="I1891" s="13">
        <v>0.66666666666666663</v>
      </c>
      <c r="J1891" t="s">
        <v>6207</v>
      </c>
      <c r="K1891">
        <v>4</v>
      </c>
      <c r="L1891">
        <v>0</v>
      </c>
      <c r="M1891" t="s">
        <v>0</v>
      </c>
      <c r="N1891" s="2">
        <v>0.73</v>
      </c>
      <c r="O1891" s="2">
        <v>0.27</v>
      </c>
      <c r="P1891">
        <v>7</v>
      </c>
      <c r="Q1891">
        <v>11</v>
      </c>
      <c r="R1891">
        <v>7</v>
      </c>
      <c r="S1891">
        <v>2</v>
      </c>
      <c r="T1891">
        <v>8</v>
      </c>
      <c r="U1891">
        <v>9</v>
      </c>
      <c r="V1891">
        <v>1</v>
      </c>
      <c r="W1891">
        <v>2</v>
      </c>
      <c r="X1891">
        <v>0</v>
      </c>
      <c r="Y1891">
        <v>0</v>
      </c>
      <c r="Z1891">
        <v>0</v>
      </c>
    </row>
    <row r="1892" spans="1:26" x14ac:dyDescent="0.2">
      <c r="A1892" t="s">
        <v>2010</v>
      </c>
      <c r="B1892" t="s">
        <v>54</v>
      </c>
      <c r="C1892">
        <v>2013</v>
      </c>
      <c r="D1892" t="s">
        <v>63</v>
      </c>
      <c r="E1892" t="s">
        <v>27</v>
      </c>
      <c r="F1892" t="s">
        <v>65</v>
      </c>
      <c r="G1892">
        <v>26804</v>
      </c>
      <c r="H1892">
        <v>21443.200000000001</v>
      </c>
      <c r="I1892" s="13">
        <v>0</v>
      </c>
      <c r="J1892" t="s">
        <v>6206</v>
      </c>
      <c r="K1892">
        <v>1</v>
      </c>
      <c r="L1892">
        <v>2</v>
      </c>
      <c r="M1892" t="s">
        <v>1</v>
      </c>
      <c r="N1892" s="2">
        <v>0.43</v>
      </c>
      <c r="O1892" s="2">
        <v>0.56999999999999995</v>
      </c>
      <c r="P1892">
        <v>10</v>
      </c>
      <c r="Q1892">
        <v>5</v>
      </c>
      <c r="R1892">
        <v>11</v>
      </c>
      <c r="S1892">
        <v>6</v>
      </c>
      <c r="T1892">
        <v>4</v>
      </c>
      <c r="U1892">
        <v>7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1:26" x14ac:dyDescent="0.2">
      <c r="A1893" t="s">
        <v>2011</v>
      </c>
      <c r="B1893" t="s">
        <v>68</v>
      </c>
      <c r="C1893">
        <v>2013</v>
      </c>
      <c r="D1893" t="s">
        <v>51</v>
      </c>
      <c r="E1893" t="s">
        <v>42</v>
      </c>
      <c r="F1893" t="s">
        <v>20</v>
      </c>
      <c r="G1893">
        <v>36284</v>
      </c>
      <c r="H1893">
        <v>29027.200000000001</v>
      </c>
      <c r="I1893" s="13">
        <v>0</v>
      </c>
      <c r="J1893" t="s">
        <v>6207</v>
      </c>
      <c r="K1893">
        <v>3</v>
      </c>
      <c r="L1893">
        <v>0</v>
      </c>
      <c r="M1893" t="s">
        <v>0</v>
      </c>
      <c r="N1893" s="2">
        <v>0.55000000000000004</v>
      </c>
      <c r="O1893" s="2">
        <v>0.45</v>
      </c>
      <c r="P1893">
        <v>10</v>
      </c>
      <c r="Q1893">
        <v>17</v>
      </c>
      <c r="R1893">
        <v>5</v>
      </c>
      <c r="S1893">
        <v>1</v>
      </c>
      <c r="T1893">
        <v>10</v>
      </c>
      <c r="U1893">
        <v>11</v>
      </c>
      <c r="V1893">
        <v>1</v>
      </c>
      <c r="W1893">
        <v>0</v>
      </c>
      <c r="X1893">
        <v>0</v>
      </c>
      <c r="Y1893">
        <v>0</v>
      </c>
      <c r="Z1893">
        <v>1</v>
      </c>
    </row>
    <row r="1894" spans="1:26" x14ac:dyDescent="0.2">
      <c r="A1894" t="s">
        <v>2012</v>
      </c>
      <c r="B1894" t="s">
        <v>25</v>
      </c>
      <c r="C1894">
        <v>2013</v>
      </c>
      <c r="D1894" t="s">
        <v>35</v>
      </c>
      <c r="E1894" t="s">
        <v>71</v>
      </c>
      <c r="F1894" t="s">
        <v>35</v>
      </c>
      <c r="G1894">
        <v>49000</v>
      </c>
      <c r="H1894">
        <v>39200</v>
      </c>
      <c r="I1894" s="13">
        <v>0.6</v>
      </c>
      <c r="J1894" t="s">
        <v>6207</v>
      </c>
      <c r="K1894">
        <v>1</v>
      </c>
      <c r="L1894">
        <v>3</v>
      </c>
      <c r="M1894" t="s">
        <v>1</v>
      </c>
      <c r="N1894" s="2">
        <v>0.53</v>
      </c>
      <c r="O1894" s="2">
        <v>0.47</v>
      </c>
      <c r="P1894">
        <v>16</v>
      </c>
      <c r="Q1894">
        <v>14</v>
      </c>
      <c r="R1894">
        <v>6</v>
      </c>
      <c r="S1894">
        <v>3</v>
      </c>
      <c r="T1894">
        <v>14</v>
      </c>
      <c r="U1894">
        <v>15</v>
      </c>
      <c r="V1894">
        <v>2</v>
      </c>
      <c r="W1894">
        <v>3</v>
      </c>
      <c r="X1894">
        <v>0</v>
      </c>
      <c r="Y1894">
        <v>0</v>
      </c>
      <c r="Z1894">
        <v>0</v>
      </c>
    </row>
    <row r="1895" spans="1:26" x14ac:dyDescent="0.2">
      <c r="A1895" t="s">
        <v>2013</v>
      </c>
      <c r="B1895" t="s">
        <v>41</v>
      </c>
      <c r="C1895">
        <v>2013</v>
      </c>
      <c r="D1895" t="s">
        <v>73</v>
      </c>
      <c r="E1895" t="s">
        <v>48</v>
      </c>
      <c r="F1895" t="s">
        <v>73</v>
      </c>
      <c r="G1895">
        <v>32384</v>
      </c>
      <c r="H1895">
        <v>25907.200000000001</v>
      </c>
      <c r="I1895" s="13">
        <v>0.6</v>
      </c>
      <c r="J1895" t="s">
        <v>6207</v>
      </c>
      <c r="K1895">
        <v>1</v>
      </c>
      <c r="L1895">
        <v>1</v>
      </c>
      <c r="M1895" t="s">
        <v>58</v>
      </c>
      <c r="N1895" s="2">
        <v>0.57999999999999996</v>
      </c>
      <c r="O1895" s="2">
        <v>0.42</v>
      </c>
      <c r="P1895">
        <v>11</v>
      </c>
      <c r="Q1895">
        <v>17</v>
      </c>
      <c r="R1895">
        <v>6</v>
      </c>
      <c r="S1895">
        <v>2</v>
      </c>
      <c r="T1895">
        <v>16</v>
      </c>
      <c r="U1895">
        <v>5</v>
      </c>
      <c r="V1895">
        <v>3</v>
      </c>
      <c r="W1895">
        <v>2</v>
      </c>
      <c r="X1895">
        <v>0</v>
      </c>
      <c r="Y1895">
        <v>0</v>
      </c>
      <c r="Z1895">
        <v>0</v>
      </c>
    </row>
    <row r="1896" spans="1:26" x14ac:dyDescent="0.2">
      <c r="A1896" t="s">
        <v>2014</v>
      </c>
      <c r="B1896" t="s">
        <v>50</v>
      </c>
      <c r="C1896">
        <v>2013</v>
      </c>
      <c r="D1896" t="s">
        <v>69</v>
      </c>
      <c r="E1896" t="s">
        <v>46</v>
      </c>
      <c r="F1896" t="s">
        <v>69</v>
      </c>
      <c r="G1896">
        <v>27359</v>
      </c>
      <c r="H1896">
        <v>21887.200000000001</v>
      </c>
      <c r="I1896" s="13">
        <v>1</v>
      </c>
      <c r="J1896" t="s">
        <v>6207</v>
      </c>
      <c r="K1896">
        <v>0</v>
      </c>
      <c r="L1896">
        <v>2</v>
      </c>
      <c r="M1896" t="s">
        <v>1</v>
      </c>
      <c r="N1896" s="2">
        <v>0.37</v>
      </c>
      <c r="O1896" s="2">
        <v>0.63</v>
      </c>
      <c r="P1896">
        <v>7</v>
      </c>
      <c r="Q1896">
        <v>9</v>
      </c>
      <c r="R1896">
        <v>4</v>
      </c>
      <c r="S1896">
        <v>4</v>
      </c>
      <c r="T1896">
        <v>6</v>
      </c>
      <c r="U1896">
        <v>5</v>
      </c>
      <c r="V1896">
        <v>1</v>
      </c>
      <c r="W1896">
        <v>0</v>
      </c>
      <c r="X1896">
        <v>0</v>
      </c>
      <c r="Y1896">
        <v>0</v>
      </c>
      <c r="Z1896">
        <v>0</v>
      </c>
    </row>
    <row r="1897" spans="1:26" x14ac:dyDescent="0.2">
      <c r="A1897" t="s">
        <v>2015</v>
      </c>
      <c r="B1897" t="s">
        <v>32</v>
      </c>
      <c r="C1897">
        <v>2013</v>
      </c>
      <c r="D1897" t="s">
        <v>40</v>
      </c>
      <c r="E1897" t="s">
        <v>23</v>
      </c>
      <c r="F1897" t="s">
        <v>49</v>
      </c>
      <c r="G1897">
        <v>53400</v>
      </c>
      <c r="H1897">
        <v>42720</v>
      </c>
      <c r="I1897" s="13">
        <v>0.5</v>
      </c>
      <c r="J1897" t="s">
        <v>6207</v>
      </c>
      <c r="K1897">
        <v>2</v>
      </c>
      <c r="L1897">
        <v>0</v>
      </c>
      <c r="M1897" t="s">
        <v>0</v>
      </c>
      <c r="N1897" s="2">
        <v>0.68</v>
      </c>
      <c r="O1897" s="2">
        <v>0.32</v>
      </c>
      <c r="P1897">
        <v>10</v>
      </c>
      <c r="Q1897">
        <v>9</v>
      </c>
      <c r="R1897">
        <v>12</v>
      </c>
      <c r="S1897">
        <v>1</v>
      </c>
      <c r="T1897">
        <v>7</v>
      </c>
      <c r="U1897">
        <v>9</v>
      </c>
      <c r="V1897">
        <v>2</v>
      </c>
      <c r="W1897">
        <v>2</v>
      </c>
      <c r="X1897">
        <v>0</v>
      </c>
      <c r="Y1897">
        <v>0</v>
      </c>
      <c r="Z1897">
        <v>0</v>
      </c>
    </row>
    <row r="1898" spans="1:26" x14ac:dyDescent="0.2">
      <c r="A1898" t="s">
        <v>2016</v>
      </c>
      <c r="B1898" t="s">
        <v>52</v>
      </c>
      <c r="C1898">
        <v>2013</v>
      </c>
      <c r="D1898" t="s">
        <v>26</v>
      </c>
      <c r="E1898" t="s">
        <v>64</v>
      </c>
      <c r="F1898" t="s">
        <v>26</v>
      </c>
      <c r="G1898">
        <v>61276</v>
      </c>
      <c r="H1898">
        <v>49020.800000000003</v>
      </c>
      <c r="I1898" s="13">
        <v>0.7142857142857143</v>
      </c>
      <c r="J1898" t="s">
        <v>6207</v>
      </c>
      <c r="K1898">
        <v>2</v>
      </c>
      <c r="L1898">
        <v>1</v>
      </c>
      <c r="M1898" t="s">
        <v>0</v>
      </c>
      <c r="N1898" s="2">
        <v>0.67</v>
      </c>
      <c r="O1898" s="2">
        <v>0.33</v>
      </c>
      <c r="P1898">
        <v>18</v>
      </c>
      <c r="Q1898">
        <v>11</v>
      </c>
      <c r="R1898">
        <v>6</v>
      </c>
      <c r="S1898">
        <v>2</v>
      </c>
      <c r="T1898">
        <v>8</v>
      </c>
      <c r="U1898">
        <v>16</v>
      </c>
      <c r="V1898">
        <v>1</v>
      </c>
      <c r="W1898">
        <v>4</v>
      </c>
      <c r="X1898">
        <v>0</v>
      </c>
      <c r="Y1898">
        <v>2</v>
      </c>
      <c r="Z1898">
        <v>0</v>
      </c>
    </row>
    <row r="1899" spans="1:26" x14ac:dyDescent="0.2">
      <c r="A1899" t="s">
        <v>2017</v>
      </c>
      <c r="B1899" t="s">
        <v>56</v>
      </c>
      <c r="C1899">
        <v>2013</v>
      </c>
      <c r="D1899" t="s">
        <v>19</v>
      </c>
      <c r="E1899" t="s">
        <v>45</v>
      </c>
      <c r="F1899" t="s">
        <v>19</v>
      </c>
      <c r="G1899">
        <v>25586</v>
      </c>
      <c r="H1899">
        <v>20468.800000000003</v>
      </c>
      <c r="I1899" s="13">
        <v>0</v>
      </c>
      <c r="J1899" t="s">
        <v>6207</v>
      </c>
      <c r="K1899">
        <v>0</v>
      </c>
      <c r="L1899">
        <v>2</v>
      </c>
      <c r="M1899" t="s">
        <v>1</v>
      </c>
      <c r="N1899" s="2">
        <v>0.43</v>
      </c>
      <c r="O1899" s="2">
        <v>0.56999999999999995</v>
      </c>
      <c r="P1899">
        <v>10</v>
      </c>
      <c r="Q1899">
        <v>10</v>
      </c>
      <c r="R1899">
        <v>6</v>
      </c>
      <c r="S1899">
        <v>4</v>
      </c>
      <c r="T1899">
        <v>8</v>
      </c>
      <c r="U1899">
        <v>8</v>
      </c>
      <c r="V1899">
        <v>0</v>
      </c>
      <c r="W1899">
        <v>1</v>
      </c>
      <c r="X1899">
        <v>0</v>
      </c>
      <c r="Y1899">
        <v>0</v>
      </c>
      <c r="Z1899">
        <v>0</v>
      </c>
    </row>
    <row r="1900" spans="1:26" x14ac:dyDescent="0.2">
      <c r="A1900" t="s">
        <v>2018</v>
      </c>
      <c r="B1900" t="s">
        <v>60</v>
      </c>
      <c r="C1900">
        <v>2013</v>
      </c>
      <c r="D1900" t="s">
        <v>31</v>
      </c>
      <c r="E1900" t="s">
        <v>79</v>
      </c>
      <c r="F1900" t="s">
        <v>20</v>
      </c>
      <c r="G1900">
        <v>28500</v>
      </c>
      <c r="H1900">
        <v>22800</v>
      </c>
      <c r="I1900" s="13">
        <v>0.75</v>
      </c>
      <c r="J1900" t="s">
        <v>6208</v>
      </c>
      <c r="K1900">
        <v>2</v>
      </c>
      <c r="L1900">
        <v>2</v>
      </c>
      <c r="M1900" t="s">
        <v>58</v>
      </c>
      <c r="N1900" s="2">
        <v>0.66</v>
      </c>
      <c r="O1900" s="2">
        <v>0.34</v>
      </c>
      <c r="P1900">
        <v>16</v>
      </c>
      <c r="Q1900">
        <v>12</v>
      </c>
      <c r="R1900">
        <v>6</v>
      </c>
      <c r="S1900">
        <v>4</v>
      </c>
      <c r="T1900">
        <v>11</v>
      </c>
      <c r="U1900">
        <v>15</v>
      </c>
      <c r="V1900">
        <v>3</v>
      </c>
      <c r="W1900">
        <v>1</v>
      </c>
      <c r="X1900">
        <v>0</v>
      </c>
      <c r="Y1900">
        <v>0</v>
      </c>
      <c r="Z1900">
        <v>0</v>
      </c>
    </row>
    <row r="1901" spans="1:26" x14ac:dyDescent="0.2">
      <c r="A1901" t="s">
        <v>2019</v>
      </c>
      <c r="B1901" t="s">
        <v>66</v>
      </c>
      <c r="C1901">
        <v>2013</v>
      </c>
      <c r="D1901" t="s">
        <v>78</v>
      </c>
      <c r="E1901" t="s">
        <v>18</v>
      </c>
      <c r="F1901" t="s">
        <v>78</v>
      </c>
      <c r="G1901">
        <v>33280</v>
      </c>
      <c r="H1901">
        <v>26624</v>
      </c>
      <c r="I1901" s="13">
        <v>0.66666666666666663</v>
      </c>
      <c r="J1901" t="s">
        <v>6207</v>
      </c>
      <c r="K1901">
        <v>1</v>
      </c>
      <c r="L1901">
        <v>2</v>
      </c>
      <c r="M1901" t="s">
        <v>1</v>
      </c>
      <c r="N1901" s="2">
        <v>0.37</v>
      </c>
      <c r="O1901" s="2">
        <v>0.63</v>
      </c>
      <c r="P1901">
        <v>11</v>
      </c>
      <c r="Q1901">
        <v>8</v>
      </c>
      <c r="R1901">
        <v>3</v>
      </c>
      <c r="S1901">
        <v>8</v>
      </c>
      <c r="T1901">
        <v>7</v>
      </c>
      <c r="U1901">
        <v>9</v>
      </c>
      <c r="V1901">
        <v>1</v>
      </c>
      <c r="W1901">
        <v>2</v>
      </c>
      <c r="X1901">
        <v>0</v>
      </c>
      <c r="Y1901">
        <v>0</v>
      </c>
      <c r="Z1901">
        <v>0</v>
      </c>
    </row>
    <row r="1902" spans="1:26" x14ac:dyDescent="0.2">
      <c r="A1902" t="s">
        <v>2020</v>
      </c>
      <c r="B1902" t="s">
        <v>41</v>
      </c>
      <c r="C1902">
        <v>2014</v>
      </c>
      <c r="D1902" t="s">
        <v>48</v>
      </c>
      <c r="E1902" t="s">
        <v>71</v>
      </c>
      <c r="F1902" t="s">
        <v>49</v>
      </c>
      <c r="G1902">
        <v>74197</v>
      </c>
      <c r="H1902">
        <v>59357.600000000006</v>
      </c>
      <c r="I1902" s="13">
        <v>0</v>
      </c>
      <c r="J1902" t="s">
        <v>6207</v>
      </c>
      <c r="K1902">
        <v>1</v>
      </c>
      <c r="L1902">
        <v>2</v>
      </c>
      <c r="M1902" t="s">
        <v>1</v>
      </c>
      <c r="N1902" s="2">
        <v>0.6</v>
      </c>
      <c r="O1902" s="2">
        <v>0.4</v>
      </c>
      <c r="P1902">
        <v>22</v>
      </c>
      <c r="Q1902">
        <v>15</v>
      </c>
      <c r="R1902">
        <v>4</v>
      </c>
      <c r="S1902">
        <v>0</v>
      </c>
      <c r="T1902">
        <v>14</v>
      </c>
      <c r="U1902">
        <v>20</v>
      </c>
      <c r="V1902">
        <v>2</v>
      </c>
      <c r="W1902">
        <v>4</v>
      </c>
      <c r="X1902">
        <v>0</v>
      </c>
      <c r="Y1902">
        <v>0</v>
      </c>
      <c r="Z1902">
        <v>0</v>
      </c>
    </row>
    <row r="1903" spans="1:26" x14ac:dyDescent="0.2">
      <c r="A1903" t="s">
        <v>2021</v>
      </c>
      <c r="B1903" t="s">
        <v>25</v>
      </c>
      <c r="C1903">
        <v>2014</v>
      </c>
      <c r="D1903" t="s">
        <v>23</v>
      </c>
      <c r="E1903" t="s">
        <v>51</v>
      </c>
      <c r="F1903" t="s">
        <v>20</v>
      </c>
      <c r="G1903">
        <v>62500</v>
      </c>
      <c r="H1903">
        <v>50000</v>
      </c>
      <c r="I1903" s="13">
        <v>0.25</v>
      </c>
      <c r="J1903" t="s">
        <v>6207</v>
      </c>
      <c r="K1903">
        <v>0</v>
      </c>
      <c r="L1903">
        <v>1</v>
      </c>
      <c r="M1903" t="s">
        <v>1</v>
      </c>
      <c r="N1903" s="2">
        <v>0.47</v>
      </c>
      <c r="O1903" s="2">
        <v>0.53</v>
      </c>
      <c r="P1903">
        <v>9</v>
      </c>
      <c r="Q1903">
        <v>14</v>
      </c>
      <c r="R1903">
        <v>8</v>
      </c>
      <c r="S1903">
        <v>5</v>
      </c>
      <c r="T1903">
        <v>12</v>
      </c>
      <c r="U1903">
        <v>10</v>
      </c>
      <c r="V1903">
        <v>2</v>
      </c>
      <c r="W1903">
        <v>0</v>
      </c>
      <c r="X1903">
        <v>1</v>
      </c>
      <c r="Y1903">
        <v>1</v>
      </c>
      <c r="Z1903">
        <v>1</v>
      </c>
    </row>
    <row r="1904" spans="1:26" x14ac:dyDescent="0.2">
      <c r="A1904" t="s">
        <v>2022</v>
      </c>
      <c r="B1904" t="s">
        <v>67</v>
      </c>
      <c r="C1904">
        <v>2014</v>
      </c>
      <c r="D1904" t="s">
        <v>63</v>
      </c>
      <c r="E1904" t="s">
        <v>35</v>
      </c>
      <c r="F1904" t="s">
        <v>65</v>
      </c>
      <c r="G1904">
        <v>26804</v>
      </c>
      <c r="H1904">
        <v>21443.200000000001</v>
      </c>
      <c r="I1904" s="13">
        <v>0.5</v>
      </c>
      <c r="J1904" t="s">
        <v>6207</v>
      </c>
      <c r="K1904">
        <v>2</v>
      </c>
      <c r="L1904">
        <v>2</v>
      </c>
      <c r="M1904" t="s">
        <v>58</v>
      </c>
      <c r="N1904" s="2">
        <v>0.57999999999999996</v>
      </c>
      <c r="O1904" s="2">
        <v>0.42</v>
      </c>
      <c r="P1904">
        <v>12</v>
      </c>
      <c r="Q1904">
        <v>17</v>
      </c>
      <c r="R1904">
        <v>6</v>
      </c>
      <c r="S1904">
        <v>3</v>
      </c>
      <c r="T1904">
        <v>18</v>
      </c>
      <c r="U1904">
        <v>9</v>
      </c>
      <c r="V1904">
        <v>3</v>
      </c>
      <c r="W1904">
        <v>1</v>
      </c>
      <c r="X1904">
        <v>0</v>
      </c>
      <c r="Y1904">
        <v>0</v>
      </c>
      <c r="Z1904">
        <v>1</v>
      </c>
    </row>
    <row r="1905" spans="1:26" x14ac:dyDescent="0.2">
      <c r="A1905" t="s">
        <v>2023</v>
      </c>
      <c r="B1905" t="s">
        <v>61</v>
      </c>
      <c r="C1905">
        <v>2014</v>
      </c>
      <c r="D1905" t="s">
        <v>27</v>
      </c>
      <c r="E1905" t="s">
        <v>42</v>
      </c>
      <c r="F1905" t="s">
        <v>27</v>
      </c>
      <c r="G1905">
        <v>30089</v>
      </c>
      <c r="H1905">
        <v>24071.200000000001</v>
      </c>
      <c r="I1905" s="13">
        <v>0</v>
      </c>
      <c r="J1905" t="s">
        <v>6207</v>
      </c>
      <c r="K1905">
        <v>0</v>
      </c>
      <c r="L1905">
        <v>1</v>
      </c>
      <c r="M1905" t="s">
        <v>1</v>
      </c>
      <c r="N1905" s="2">
        <v>0.62</v>
      </c>
      <c r="O1905" s="2">
        <v>0.38</v>
      </c>
      <c r="P1905">
        <v>8</v>
      </c>
      <c r="Q1905">
        <v>15</v>
      </c>
      <c r="R1905">
        <v>2</v>
      </c>
      <c r="S1905">
        <v>8</v>
      </c>
      <c r="T1905">
        <v>14</v>
      </c>
      <c r="U1905">
        <v>9</v>
      </c>
      <c r="V1905">
        <v>0</v>
      </c>
      <c r="W1905">
        <v>3</v>
      </c>
      <c r="X1905">
        <v>0</v>
      </c>
      <c r="Y1905">
        <v>0</v>
      </c>
      <c r="Z1905">
        <v>0</v>
      </c>
    </row>
    <row r="1906" spans="1:26" x14ac:dyDescent="0.2">
      <c r="A1906" t="s">
        <v>2024</v>
      </c>
      <c r="B1906" t="s">
        <v>76</v>
      </c>
      <c r="C1906">
        <v>2014</v>
      </c>
      <c r="D1906" t="s">
        <v>70</v>
      </c>
      <c r="E1906" t="s">
        <v>19</v>
      </c>
      <c r="F1906" t="s">
        <v>20</v>
      </c>
      <c r="G1906">
        <v>18439</v>
      </c>
      <c r="H1906">
        <v>14751.2</v>
      </c>
      <c r="I1906" s="13">
        <v>1</v>
      </c>
      <c r="J1906" t="s">
        <v>6207</v>
      </c>
      <c r="K1906">
        <v>0</v>
      </c>
      <c r="L1906">
        <v>1</v>
      </c>
      <c r="M1906" t="s">
        <v>1</v>
      </c>
      <c r="N1906" s="2">
        <v>0.51</v>
      </c>
      <c r="O1906" s="2">
        <v>0.49</v>
      </c>
      <c r="P1906">
        <v>12</v>
      </c>
      <c r="Q1906">
        <v>10</v>
      </c>
      <c r="R1906">
        <v>8</v>
      </c>
      <c r="S1906">
        <v>9</v>
      </c>
      <c r="T1906">
        <v>10</v>
      </c>
      <c r="U1906">
        <v>10</v>
      </c>
      <c r="V1906">
        <v>1</v>
      </c>
      <c r="W1906">
        <v>2</v>
      </c>
      <c r="X1906">
        <v>0</v>
      </c>
      <c r="Y1906">
        <v>0</v>
      </c>
      <c r="Z1906">
        <v>1</v>
      </c>
    </row>
    <row r="1907" spans="1:26" x14ac:dyDescent="0.2">
      <c r="A1907" t="s">
        <v>2025</v>
      </c>
      <c r="B1907" t="s">
        <v>53</v>
      </c>
      <c r="C1907">
        <v>2014</v>
      </c>
      <c r="D1907" t="s">
        <v>80</v>
      </c>
      <c r="E1907" t="s">
        <v>45</v>
      </c>
      <c r="F1907" t="s">
        <v>80</v>
      </c>
      <c r="G1907">
        <v>32261</v>
      </c>
      <c r="H1907">
        <v>25808.800000000003</v>
      </c>
      <c r="I1907" s="13">
        <v>0.5</v>
      </c>
      <c r="J1907" t="s">
        <v>6207</v>
      </c>
      <c r="K1907">
        <v>2</v>
      </c>
      <c r="L1907">
        <v>2</v>
      </c>
      <c r="M1907" t="s">
        <v>58</v>
      </c>
      <c r="N1907" s="2">
        <v>0.36</v>
      </c>
      <c r="O1907" s="2">
        <v>0.64</v>
      </c>
      <c r="P1907">
        <v>11</v>
      </c>
      <c r="Q1907">
        <v>16</v>
      </c>
      <c r="R1907">
        <v>3</v>
      </c>
      <c r="S1907">
        <v>6</v>
      </c>
      <c r="T1907">
        <v>16</v>
      </c>
      <c r="U1907">
        <v>10</v>
      </c>
      <c r="V1907">
        <v>1</v>
      </c>
      <c r="W1907">
        <v>1</v>
      </c>
      <c r="X1907">
        <v>0</v>
      </c>
      <c r="Y1907">
        <v>0</v>
      </c>
      <c r="Z1907">
        <v>0</v>
      </c>
    </row>
    <row r="1908" spans="1:26" x14ac:dyDescent="0.2">
      <c r="A1908" t="s">
        <v>2026</v>
      </c>
      <c r="B1908" t="s">
        <v>68</v>
      </c>
      <c r="C1908">
        <v>2014</v>
      </c>
      <c r="D1908" t="s">
        <v>46</v>
      </c>
      <c r="E1908" t="s">
        <v>79</v>
      </c>
      <c r="F1908" t="s">
        <v>20</v>
      </c>
      <c r="G1908">
        <v>60704</v>
      </c>
      <c r="H1908">
        <v>48563.200000000004</v>
      </c>
      <c r="I1908" s="13">
        <v>0.33333333333333331</v>
      </c>
      <c r="J1908" t="s">
        <v>6207</v>
      </c>
      <c r="K1908">
        <v>2</v>
      </c>
      <c r="L1908">
        <v>1</v>
      </c>
      <c r="M1908" t="s">
        <v>0</v>
      </c>
      <c r="N1908" s="2">
        <v>0.76</v>
      </c>
      <c r="O1908" s="2">
        <v>0.24</v>
      </c>
      <c r="P1908">
        <v>18</v>
      </c>
      <c r="Q1908">
        <v>13</v>
      </c>
      <c r="R1908">
        <v>9</v>
      </c>
      <c r="S1908">
        <v>3</v>
      </c>
      <c r="T1908">
        <v>13</v>
      </c>
      <c r="U1908">
        <v>19</v>
      </c>
      <c r="V1908">
        <v>2</v>
      </c>
      <c r="W1908">
        <v>3</v>
      </c>
      <c r="X1908">
        <v>0</v>
      </c>
      <c r="Y1908">
        <v>1</v>
      </c>
      <c r="Z1908">
        <v>0</v>
      </c>
    </row>
    <row r="1909" spans="1:26" x14ac:dyDescent="0.2">
      <c r="A1909" t="s">
        <v>2027</v>
      </c>
      <c r="B1909" t="s">
        <v>44</v>
      </c>
      <c r="C1909">
        <v>2014</v>
      </c>
      <c r="D1909" t="s">
        <v>26</v>
      </c>
      <c r="E1909" t="s">
        <v>73</v>
      </c>
      <c r="F1909" t="s">
        <v>26</v>
      </c>
      <c r="G1909">
        <v>61276</v>
      </c>
      <c r="H1909">
        <v>49020.800000000003</v>
      </c>
      <c r="I1909" s="13">
        <v>0.66666666666666663</v>
      </c>
      <c r="J1909" t="s">
        <v>6207</v>
      </c>
      <c r="K1909">
        <v>2</v>
      </c>
      <c r="L1909">
        <v>1</v>
      </c>
      <c r="M1909" t="s">
        <v>0</v>
      </c>
      <c r="N1909" s="2">
        <v>0.56000000000000005</v>
      </c>
      <c r="O1909" s="2">
        <v>0.44</v>
      </c>
      <c r="P1909">
        <v>13</v>
      </c>
      <c r="Q1909">
        <v>10</v>
      </c>
      <c r="R1909">
        <v>2</v>
      </c>
      <c r="S1909">
        <v>6</v>
      </c>
      <c r="T1909">
        <v>8</v>
      </c>
      <c r="U1909">
        <v>11</v>
      </c>
      <c r="V1909">
        <v>1</v>
      </c>
      <c r="W1909">
        <v>2</v>
      </c>
      <c r="X1909">
        <v>0</v>
      </c>
      <c r="Y1909">
        <v>0</v>
      </c>
      <c r="Z1909">
        <v>0</v>
      </c>
    </row>
    <row r="1910" spans="1:26" x14ac:dyDescent="0.2">
      <c r="A1910" t="s">
        <v>2028</v>
      </c>
      <c r="B1910" t="s">
        <v>32</v>
      </c>
      <c r="C1910">
        <v>2014</v>
      </c>
      <c r="D1910" t="s">
        <v>64</v>
      </c>
      <c r="E1910" t="s">
        <v>40</v>
      </c>
      <c r="F1910" t="s">
        <v>64</v>
      </c>
      <c r="G1910">
        <v>52264</v>
      </c>
      <c r="H1910">
        <v>41811.200000000004</v>
      </c>
      <c r="I1910" s="13">
        <v>1</v>
      </c>
      <c r="J1910" t="s">
        <v>6207</v>
      </c>
      <c r="K1910">
        <v>0</v>
      </c>
      <c r="L1910">
        <v>2</v>
      </c>
      <c r="M1910" t="s">
        <v>1</v>
      </c>
      <c r="N1910" s="2">
        <v>0.45</v>
      </c>
      <c r="O1910" s="2">
        <v>0.55000000000000004</v>
      </c>
      <c r="P1910">
        <v>12</v>
      </c>
      <c r="Q1910">
        <v>7</v>
      </c>
      <c r="R1910">
        <v>3</v>
      </c>
      <c r="S1910">
        <v>3</v>
      </c>
      <c r="T1910">
        <v>8</v>
      </c>
      <c r="U1910">
        <v>11</v>
      </c>
      <c r="V1910">
        <v>1</v>
      </c>
      <c r="W1910">
        <v>5</v>
      </c>
      <c r="X1910">
        <v>0</v>
      </c>
      <c r="Y1910">
        <v>0</v>
      </c>
      <c r="Z1910">
        <v>0</v>
      </c>
    </row>
    <row r="1911" spans="1:26" x14ac:dyDescent="0.2">
      <c r="A1911" t="s">
        <v>2029</v>
      </c>
      <c r="B1911" t="s">
        <v>66</v>
      </c>
      <c r="C1911">
        <v>2014</v>
      </c>
      <c r="D1911" t="s">
        <v>28</v>
      </c>
      <c r="E1911" t="s">
        <v>18</v>
      </c>
      <c r="F1911" t="s">
        <v>28</v>
      </c>
      <c r="G1911">
        <v>21944</v>
      </c>
      <c r="H1911">
        <v>17555.2</v>
      </c>
      <c r="I1911" s="13">
        <v>0.5</v>
      </c>
      <c r="J1911" t="s">
        <v>6207</v>
      </c>
      <c r="K1911">
        <v>1</v>
      </c>
      <c r="L1911">
        <v>3</v>
      </c>
      <c r="M1911" t="s">
        <v>1</v>
      </c>
      <c r="N1911" s="2">
        <v>0.38</v>
      </c>
      <c r="O1911" s="2">
        <v>0.62</v>
      </c>
      <c r="P1911">
        <v>8</v>
      </c>
      <c r="Q1911">
        <v>9</v>
      </c>
      <c r="R1911">
        <v>4</v>
      </c>
      <c r="S1911">
        <v>3</v>
      </c>
      <c r="T1911">
        <v>6</v>
      </c>
      <c r="U1911">
        <v>7</v>
      </c>
      <c r="V1911">
        <v>1</v>
      </c>
      <c r="W1911">
        <v>1</v>
      </c>
      <c r="X1911">
        <v>0</v>
      </c>
      <c r="Y1911">
        <v>0</v>
      </c>
      <c r="Z1911">
        <v>0</v>
      </c>
    </row>
    <row r="1912" spans="1:26" x14ac:dyDescent="0.2">
      <c r="A1912" t="s">
        <v>2030</v>
      </c>
      <c r="B1912" t="s">
        <v>41</v>
      </c>
      <c r="C1912">
        <v>2014</v>
      </c>
      <c r="D1912" t="s">
        <v>42</v>
      </c>
      <c r="E1912" t="s">
        <v>64</v>
      </c>
      <c r="F1912" t="s">
        <v>38</v>
      </c>
      <c r="G1912">
        <v>42918</v>
      </c>
      <c r="H1912">
        <v>34334.400000000001</v>
      </c>
      <c r="I1912" s="13">
        <v>0.66666666666666663</v>
      </c>
      <c r="J1912" t="s">
        <v>6207</v>
      </c>
      <c r="K1912">
        <v>0</v>
      </c>
      <c r="L1912">
        <v>0</v>
      </c>
      <c r="M1912" t="s">
        <v>58</v>
      </c>
      <c r="N1912" s="2">
        <v>0.4</v>
      </c>
      <c r="O1912" s="2">
        <v>0.6</v>
      </c>
      <c r="P1912">
        <v>8</v>
      </c>
      <c r="Q1912">
        <v>15</v>
      </c>
      <c r="R1912">
        <v>7</v>
      </c>
      <c r="S1912">
        <v>7</v>
      </c>
      <c r="T1912">
        <v>11</v>
      </c>
      <c r="U1912">
        <v>8</v>
      </c>
      <c r="V1912">
        <v>4</v>
      </c>
      <c r="W1912">
        <v>1</v>
      </c>
      <c r="X1912">
        <v>0</v>
      </c>
      <c r="Y1912">
        <v>1</v>
      </c>
      <c r="Z1912">
        <v>0</v>
      </c>
    </row>
    <row r="1913" spans="1:26" x14ac:dyDescent="0.2">
      <c r="A1913" t="s">
        <v>2031</v>
      </c>
      <c r="B1913" t="s">
        <v>76</v>
      </c>
      <c r="C1913">
        <v>2014</v>
      </c>
      <c r="D1913" t="s">
        <v>71</v>
      </c>
      <c r="E1913" t="s">
        <v>28</v>
      </c>
      <c r="F1913" t="s">
        <v>71</v>
      </c>
      <c r="G1913">
        <v>21088</v>
      </c>
      <c r="H1913">
        <v>16870.400000000001</v>
      </c>
      <c r="I1913" s="13">
        <v>0.33333333333333331</v>
      </c>
      <c r="J1913" t="s">
        <v>6207</v>
      </c>
      <c r="K1913">
        <v>1</v>
      </c>
      <c r="L1913">
        <v>0</v>
      </c>
      <c r="M1913" t="s">
        <v>0</v>
      </c>
      <c r="N1913" s="2">
        <v>0.55000000000000004</v>
      </c>
      <c r="O1913" s="2">
        <v>0.45</v>
      </c>
      <c r="P1913">
        <v>14</v>
      </c>
      <c r="Q1913">
        <v>17</v>
      </c>
      <c r="R1913">
        <v>2</v>
      </c>
      <c r="S1913">
        <v>3</v>
      </c>
      <c r="T1913">
        <v>14</v>
      </c>
      <c r="U1913">
        <v>13</v>
      </c>
      <c r="V1913">
        <v>2</v>
      </c>
      <c r="W1913">
        <v>1</v>
      </c>
      <c r="X1913">
        <v>0</v>
      </c>
      <c r="Y1913">
        <v>0</v>
      </c>
      <c r="Z1913">
        <v>0</v>
      </c>
    </row>
    <row r="1914" spans="1:26" x14ac:dyDescent="0.2">
      <c r="A1914" t="s">
        <v>2032</v>
      </c>
      <c r="B1914" t="s">
        <v>74</v>
      </c>
      <c r="C1914">
        <v>2014</v>
      </c>
      <c r="D1914" t="s">
        <v>73</v>
      </c>
      <c r="E1914" t="s">
        <v>63</v>
      </c>
      <c r="F1914" t="s">
        <v>73</v>
      </c>
      <c r="G1914">
        <v>32384</v>
      </c>
      <c r="H1914">
        <v>25907.200000000001</v>
      </c>
      <c r="I1914" s="13">
        <v>0</v>
      </c>
      <c r="J1914" t="s">
        <v>6208</v>
      </c>
      <c r="K1914">
        <v>0</v>
      </c>
      <c r="L1914">
        <v>0</v>
      </c>
      <c r="M1914" t="s">
        <v>58</v>
      </c>
      <c r="N1914" s="2">
        <v>0.57999999999999996</v>
      </c>
      <c r="O1914" s="2">
        <v>0.42</v>
      </c>
      <c r="P1914">
        <v>16</v>
      </c>
      <c r="Q1914">
        <v>15</v>
      </c>
      <c r="R1914">
        <v>1</v>
      </c>
      <c r="S1914">
        <v>5</v>
      </c>
      <c r="T1914">
        <v>14</v>
      </c>
      <c r="U1914">
        <v>15</v>
      </c>
      <c r="V1914">
        <v>1</v>
      </c>
      <c r="W1914">
        <v>2</v>
      </c>
      <c r="X1914">
        <v>0</v>
      </c>
      <c r="Y1914">
        <v>0</v>
      </c>
      <c r="Z1914">
        <v>0</v>
      </c>
    </row>
    <row r="1915" spans="1:26" x14ac:dyDescent="0.2">
      <c r="A1915" t="s">
        <v>2033</v>
      </c>
      <c r="B1915" t="s">
        <v>44</v>
      </c>
      <c r="C1915">
        <v>2014</v>
      </c>
      <c r="D1915" t="s">
        <v>79</v>
      </c>
      <c r="E1915" t="s">
        <v>23</v>
      </c>
      <c r="F1915" t="s">
        <v>20</v>
      </c>
      <c r="G1915">
        <v>25486</v>
      </c>
      <c r="H1915">
        <v>20388.800000000003</v>
      </c>
      <c r="I1915" s="13">
        <v>0.75</v>
      </c>
      <c r="J1915" t="s">
        <v>6207</v>
      </c>
      <c r="K1915">
        <v>1</v>
      </c>
      <c r="L1915">
        <v>3</v>
      </c>
      <c r="M1915" t="s">
        <v>1</v>
      </c>
      <c r="N1915" s="2">
        <v>0.46</v>
      </c>
      <c r="O1915" s="2">
        <v>0.54</v>
      </c>
      <c r="P1915">
        <v>14</v>
      </c>
      <c r="Q1915">
        <v>15</v>
      </c>
      <c r="R1915">
        <v>6</v>
      </c>
      <c r="S1915">
        <v>9</v>
      </c>
      <c r="T1915">
        <v>14</v>
      </c>
      <c r="U1915">
        <v>11</v>
      </c>
      <c r="V1915">
        <v>1</v>
      </c>
      <c r="W1915">
        <v>3</v>
      </c>
      <c r="X1915">
        <v>0</v>
      </c>
      <c r="Y1915">
        <v>0</v>
      </c>
      <c r="Z1915">
        <v>0</v>
      </c>
    </row>
    <row r="1916" spans="1:26" x14ac:dyDescent="0.2">
      <c r="A1916" t="s">
        <v>2034</v>
      </c>
      <c r="B1916" t="s">
        <v>50</v>
      </c>
      <c r="C1916">
        <v>2014</v>
      </c>
      <c r="D1916" t="s">
        <v>18</v>
      </c>
      <c r="E1916" t="s">
        <v>80</v>
      </c>
      <c r="F1916" t="s">
        <v>20</v>
      </c>
      <c r="G1916">
        <v>40341</v>
      </c>
      <c r="H1916">
        <v>32272.800000000003</v>
      </c>
      <c r="I1916" s="13">
        <v>0</v>
      </c>
      <c r="J1916" t="s">
        <v>6207</v>
      </c>
      <c r="K1916">
        <v>2</v>
      </c>
      <c r="L1916">
        <v>0</v>
      </c>
      <c r="M1916" t="s">
        <v>0</v>
      </c>
      <c r="N1916" s="2">
        <v>0.63</v>
      </c>
      <c r="O1916" s="2">
        <v>0.37</v>
      </c>
      <c r="P1916">
        <v>14</v>
      </c>
      <c r="Q1916">
        <v>13</v>
      </c>
      <c r="R1916">
        <v>8</v>
      </c>
      <c r="S1916">
        <v>7</v>
      </c>
      <c r="T1916">
        <v>11</v>
      </c>
      <c r="U1916">
        <v>11</v>
      </c>
      <c r="V1916">
        <v>0</v>
      </c>
      <c r="W1916">
        <v>1</v>
      </c>
      <c r="X1916">
        <v>0</v>
      </c>
      <c r="Y1916">
        <v>0</v>
      </c>
      <c r="Z1916">
        <v>0</v>
      </c>
    </row>
    <row r="1917" spans="1:26" x14ac:dyDescent="0.2">
      <c r="A1917" t="s">
        <v>2035</v>
      </c>
      <c r="B1917" t="s">
        <v>60</v>
      </c>
      <c r="C1917">
        <v>2014</v>
      </c>
      <c r="D1917" t="s">
        <v>45</v>
      </c>
      <c r="E1917" t="s">
        <v>46</v>
      </c>
      <c r="F1917" t="s">
        <v>26</v>
      </c>
      <c r="G1917">
        <v>39572</v>
      </c>
      <c r="H1917">
        <v>31657.600000000002</v>
      </c>
      <c r="I1917" s="13">
        <v>0.4</v>
      </c>
      <c r="J1917" t="s">
        <v>6208</v>
      </c>
      <c r="K1917">
        <v>2</v>
      </c>
      <c r="L1917">
        <v>2</v>
      </c>
      <c r="M1917" t="s">
        <v>58</v>
      </c>
      <c r="N1917" s="2">
        <v>0.46</v>
      </c>
      <c r="O1917" s="2">
        <v>0.54</v>
      </c>
      <c r="P1917">
        <v>18</v>
      </c>
      <c r="Q1917">
        <v>12</v>
      </c>
      <c r="R1917">
        <v>3</v>
      </c>
      <c r="S1917">
        <v>3</v>
      </c>
      <c r="T1917">
        <v>10</v>
      </c>
      <c r="U1917">
        <v>18</v>
      </c>
      <c r="V1917">
        <v>1</v>
      </c>
      <c r="W1917">
        <v>4</v>
      </c>
      <c r="X1917">
        <v>0</v>
      </c>
      <c r="Y1917">
        <v>0</v>
      </c>
      <c r="Z1917">
        <v>0</v>
      </c>
    </row>
    <row r="1918" spans="1:26" x14ac:dyDescent="0.2">
      <c r="A1918" t="s">
        <v>2036</v>
      </c>
      <c r="B1918" t="s">
        <v>61</v>
      </c>
      <c r="C1918">
        <v>2014</v>
      </c>
      <c r="D1918" t="s">
        <v>51</v>
      </c>
      <c r="E1918" t="s">
        <v>70</v>
      </c>
      <c r="F1918" t="s">
        <v>20</v>
      </c>
      <c r="G1918">
        <v>36284</v>
      </c>
      <c r="H1918">
        <v>29027.200000000001</v>
      </c>
      <c r="I1918" s="13">
        <v>1</v>
      </c>
      <c r="J1918" t="s">
        <v>6207</v>
      </c>
      <c r="K1918">
        <v>4</v>
      </c>
      <c r="L1918">
        <v>0</v>
      </c>
      <c r="M1918" t="s">
        <v>0</v>
      </c>
      <c r="N1918" s="2">
        <v>0.66</v>
      </c>
      <c r="O1918" s="2">
        <v>0.34</v>
      </c>
      <c r="P1918">
        <v>10</v>
      </c>
      <c r="Q1918">
        <v>14</v>
      </c>
      <c r="R1918">
        <v>7</v>
      </c>
      <c r="S1918">
        <v>6</v>
      </c>
      <c r="T1918">
        <v>12</v>
      </c>
      <c r="U1918">
        <v>6</v>
      </c>
      <c r="V1918">
        <v>0</v>
      </c>
      <c r="W1918">
        <v>1</v>
      </c>
      <c r="X1918">
        <v>0</v>
      </c>
      <c r="Y1918">
        <v>0</v>
      </c>
      <c r="Z1918">
        <v>0</v>
      </c>
    </row>
    <row r="1919" spans="1:26" x14ac:dyDescent="0.2">
      <c r="A1919" t="s">
        <v>2037</v>
      </c>
      <c r="B1919" t="s">
        <v>68</v>
      </c>
      <c r="C1919">
        <v>2014</v>
      </c>
      <c r="D1919" t="s">
        <v>19</v>
      </c>
      <c r="E1919" t="s">
        <v>27</v>
      </c>
      <c r="F1919" t="s">
        <v>19</v>
      </c>
      <c r="G1919">
        <v>25586</v>
      </c>
      <c r="H1919">
        <v>20468.800000000003</v>
      </c>
      <c r="I1919" s="13">
        <v>0.4</v>
      </c>
      <c r="J1919" t="s">
        <v>6207</v>
      </c>
      <c r="K1919">
        <v>1</v>
      </c>
      <c r="L1919">
        <v>1</v>
      </c>
      <c r="M1919" t="s">
        <v>58</v>
      </c>
      <c r="N1919" s="2">
        <v>0.43</v>
      </c>
      <c r="O1919" s="2">
        <v>0.56999999999999995</v>
      </c>
      <c r="P1919">
        <v>12</v>
      </c>
      <c r="Q1919">
        <v>10</v>
      </c>
      <c r="R1919">
        <v>4</v>
      </c>
      <c r="S1919">
        <v>5</v>
      </c>
      <c r="T1919">
        <v>10</v>
      </c>
      <c r="U1919">
        <v>10</v>
      </c>
      <c r="V1919">
        <v>1</v>
      </c>
      <c r="W1919">
        <v>3</v>
      </c>
      <c r="X1919">
        <v>1</v>
      </c>
      <c r="Y1919">
        <v>0</v>
      </c>
      <c r="Z1919">
        <v>0</v>
      </c>
    </row>
    <row r="1920" spans="1:26" x14ac:dyDescent="0.2">
      <c r="A1920" t="s">
        <v>2038</v>
      </c>
      <c r="B1920" t="s">
        <v>32</v>
      </c>
      <c r="C1920">
        <v>2014</v>
      </c>
      <c r="D1920" t="s">
        <v>35</v>
      </c>
      <c r="E1920" t="s">
        <v>48</v>
      </c>
      <c r="F1920" t="s">
        <v>35</v>
      </c>
      <c r="G1920">
        <v>49000</v>
      </c>
      <c r="H1920">
        <v>39200</v>
      </c>
      <c r="I1920" s="13">
        <v>0</v>
      </c>
      <c r="J1920" t="s">
        <v>6207</v>
      </c>
      <c r="K1920">
        <v>1</v>
      </c>
      <c r="L1920">
        <v>1</v>
      </c>
      <c r="M1920" t="s">
        <v>58</v>
      </c>
      <c r="N1920" s="2">
        <v>0.45</v>
      </c>
      <c r="O1920" s="2">
        <v>0.55000000000000004</v>
      </c>
      <c r="P1920">
        <v>16</v>
      </c>
      <c r="Q1920">
        <v>11</v>
      </c>
      <c r="R1920">
        <v>4</v>
      </c>
      <c r="S1920">
        <v>4</v>
      </c>
      <c r="T1920">
        <v>10</v>
      </c>
      <c r="U1920">
        <v>15</v>
      </c>
      <c r="V1920">
        <v>0</v>
      </c>
      <c r="W1920">
        <v>2</v>
      </c>
      <c r="X1920">
        <v>0</v>
      </c>
      <c r="Y1920">
        <v>0</v>
      </c>
      <c r="Z1920">
        <v>0</v>
      </c>
    </row>
    <row r="1921" spans="1:26" x14ac:dyDescent="0.2">
      <c r="A1921" t="s">
        <v>2039</v>
      </c>
      <c r="B1921" t="s">
        <v>66</v>
      </c>
      <c r="C1921">
        <v>2014</v>
      </c>
      <c r="D1921" t="s">
        <v>40</v>
      </c>
      <c r="E1921" t="s">
        <v>26</v>
      </c>
      <c r="F1921" t="s">
        <v>49</v>
      </c>
      <c r="G1921">
        <v>53400</v>
      </c>
      <c r="H1921">
        <v>42720</v>
      </c>
      <c r="I1921" s="13">
        <v>1</v>
      </c>
      <c r="J1921" t="s">
        <v>6207</v>
      </c>
      <c r="K1921">
        <v>3</v>
      </c>
      <c r="L1921">
        <v>1</v>
      </c>
      <c r="M1921" t="s">
        <v>0</v>
      </c>
      <c r="N1921" s="2">
        <v>0.53</v>
      </c>
      <c r="O1921" s="2">
        <v>0.47</v>
      </c>
      <c r="P1921">
        <v>8</v>
      </c>
      <c r="Q1921">
        <v>14</v>
      </c>
      <c r="R1921">
        <v>6</v>
      </c>
      <c r="S1921">
        <v>7</v>
      </c>
      <c r="T1921">
        <v>13</v>
      </c>
      <c r="U1921">
        <v>7</v>
      </c>
      <c r="V1921">
        <v>1</v>
      </c>
      <c r="W1921">
        <v>1</v>
      </c>
      <c r="X1921">
        <v>0</v>
      </c>
      <c r="Y1921">
        <v>0</v>
      </c>
      <c r="Z1921">
        <v>0</v>
      </c>
    </row>
    <row r="1922" spans="1:26" x14ac:dyDescent="0.2">
      <c r="A1922" t="s">
        <v>2040</v>
      </c>
      <c r="B1922" t="s">
        <v>25</v>
      </c>
      <c r="C1922">
        <v>2014</v>
      </c>
      <c r="D1922" t="s">
        <v>28</v>
      </c>
      <c r="E1922" t="s">
        <v>48</v>
      </c>
      <c r="F1922" t="s">
        <v>28</v>
      </c>
      <c r="G1922">
        <v>21944</v>
      </c>
      <c r="H1922">
        <v>17555.2</v>
      </c>
      <c r="I1922" s="13">
        <v>0.25</v>
      </c>
      <c r="J1922" t="s">
        <v>6207</v>
      </c>
      <c r="K1922">
        <v>0</v>
      </c>
      <c r="L1922">
        <v>0</v>
      </c>
      <c r="M1922" t="s">
        <v>58</v>
      </c>
      <c r="N1922" s="2">
        <v>0.36</v>
      </c>
      <c r="O1922" s="2">
        <v>0.64</v>
      </c>
      <c r="P1922">
        <v>13</v>
      </c>
      <c r="Q1922">
        <v>12</v>
      </c>
      <c r="R1922">
        <v>3</v>
      </c>
      <c r="S1922">
        <v>6</v>
      </c>
      <c r="T1922">
        <v>10</v>
      </c>
      <c r="U1922">
        <v>14</v>
      </c>
      <c r="V1922">
        <v>2</v>
      </c>
      <c r="W1922">
        <v>2</v>
      </c>
      <c r="X1922">
        <v>0</v>
      </c>
      <c r="Y1922">
        <v>0</v>
      </c>
      <c r="Z1922">
        <v>0</v>
      </c>
    </row>
    <row r="1923" spans="1:26" x14ac:dyDescent="0.2">
      <c r="A1923" t="s">
        <v>2041</v>
      </c>
      <c r="B1923" t="s">
        <v>41</v>
      </c>
      <c r="C1923">
        <v>2014</v>
      </c>
      <c r="D1923" t="s">
        <v>23</v>
      </c>
      <c r="E1923" t="s">
        <v>73</v>
      </c>
      <c r="F1923" t="s">
        <v>20</v>
      </c>
      <c r="G1923">
        <v>62500</v>
      </c>
      <c r="H1923">
        <v>50000</v>
      </c>
      <c r="I1923" s="13">
        <v>0.66666666666666663</v>
      </c>
      <c r="J1923" t="s">
        <v>6207</v>
      </c>
      <c r="K1923">
        <v>1</v>
      </c>
      <c r="L1923">
        <v>3</v>
      </c>
      <c r="M1923" t="s">
        <v>1</v>
      </c>
      <c r="N1923" s="2">
        <v>0.37</v>
      </c>
      <c r="O1923" s="2">
        <v>0.63</v>
      </c>
      <c r="P1923">
        <v>14</v>
      </c>
      <c r="Q1923">
        <v>11</v>
      </c>
      <c r="R1923">
        <v>2</v>
      </c>
      <c r="S1923">
        <v>9</v>
      </c>
      <c r="T1923">
        <v>11</v>
      </c>
      <c r="U1923">
        <v>13</v>
      </c>
      <c r="V1923">
        <v>2</v>
      </c>
      <c r="W1923">
        <v>1</v>
      </c>
      <c r="X1923">
        <v>0</v>
      </c>
      <c r="Y1923">
        <v>0</v>
      </c>
      <c r="Z1923">
        <v>0</v>
      </c>
    </row>
    <row r="1924" spans="1:26" x14ac:dyDescent="0.2">
      <c r="A1924" t="s">
        <v>2042</v>
      </c>
      <c r="B1924" t="s">
        <v>81</v>
      </c>
      <c r="C1924">
        <v>2014</v>
      </c>
      <c r="D1924" t="s">
        <v>71</v>
      </c>
      <c r="E1924" t="s">
        <v>63</v>
      </c>
      <c r="F1924" t="s">
        <v>71</v>
      </c>
      <c r="G1924">
        <v>21088</v>
      </c>
      <c r="H1924">
        <v>16870.400000000001</v>
      </c>
      <c r="I1924" s="13">
        <v>0</v>
      </c>
      <c r="J1924" t="s">
        <v>6207</v>
      </c>
      <c r="K1924">
        <v>3</v>
      </c>
      <c r="L1924">
        <v>0</v>
      </c>
      <c r="M1924" t="s">
        <v>0</v>
      </c>
      <c r="N1924" s="2">
        <v>0.56000000000000005</v>
      </c>
      <c r="O1924" s="2">
        <v>0.44</v>
      </c>
      <c r="P1924">
        <v>9</v>
      </c>
      <c r="Q1924">
        <v>11</v>
      </c>
      <c r="R1924">
        <v>0</v>
      </c>
      <c r="S1924">
        <v>7</v>
      </c>
      <c r="T1924">
        <v>10</v>
      </c>
      <c r="U1924">
        <v>8</v>
      </c>
      <c r="V1924">
        <v>1</v>
      </c>
      <c r="W1924">
        <v>2</v>
      </c>
      <c r="X1924">
        <v>0</v>
      </c>
      <c r="Y1924">
        <v>0</v>
      </c>
      <c r="Z1924">
        <v>0</v>
      </c>
    </row>
    <row r="1925" spans="1:26" x14ac:dyDescent="0.2">
      <c r="A1925" t="s">
        <v>2043</v>
      </c>
      <c r="B1925" t="s">
        <v>77</v>
      </c>
      <c r="C1925">
        <v>2014</v>
      </c>
      <c r="D1925" t="s">
        <v>70</v>
      </c>
      <c r="E1925" t="s">
        <v>35</v>
      </c>
      <c r="F1925" t="s">
        <v>20</v>
      </c>
      <c r="G1925">
        <v>18439</v>
      </c>
      <c r="H1925">
        <v>14751.2</v>
      </c>
      <c r="I1925" s="13">
        <v>0.33333333333333331</v>
      </c>
      <c r="J1925" t="s">
        <v>6207</v>
      </c>
      <c r="K1925">
        <v>1</v>
      </c>
      <c r="L1925">
        <v>0</v>
      </c>
      <c r="M1925" t="s">
        <v>0</v>
      </c>
      <c r="N1925" s="2">
        <v>0.4</v>
      </c>
      <c r="O1925" s="2">
        <v>0.6</v>
      </c>
      <c r="P1925">
        <v>9</v>
      </c>
      <c r="Q1925">
        <v>8</v>
      </c>
      <c r="R1925">
        <v>4</v>
      </c>
      <c r="S1925">
        <v>6</v>
      </c>
      <c r="T1925">
        <v>8</v>
      </c>
      <c r="U1925">
        <v>9</v>
      </c>
      <c r="V1925">
        <v>1</v>
      </c>
      <c r="W1925">
        <v>2</v>
      </c>
      <c r="X1925">
        <v>0</v>
      </c>
      <c r="Y1925">
        <v>0</v>
      </c>
      <c r="Z1925">
        <v>0</v>
      </c>
    </row>
    <row r="1926" spans="1:26" x14ac:dyDescent="0.2">
      <c r="A1926" t="s">
        <v>2044</v>
      </c>
      <c r="B1926" t="s">
        <v>53</v>
      </c>
      <c r="C1926">
        <v>2014</v>
      </c>
      <c r="D1926" t="s">
        <v>64</v>
      </c>
      <c r="E1926" t="s">
        <v>79</v>
      </c>
      <c r="F1926" t="s">
        <v>64</v>
      </c>
      <c r="G1926">
        <v>52264</v>
      </c>
      <c r="H1926">
        <v>41811.200000000004</v>
      </c>
      <c r="I1926" s="13">
        <v>0.75</v>
      </c>
      <c r="J1926" t="s">
        <v>6207</v>
      </c>
      <c r="K1926">
        <v>3</v>
      </c>
      <c r="L1926">
        <v>3</v>
      </c>
      <c r="M1926" t="s">
        <v>58</v>
      </c>
      <c r="N1926" s="2">
        <v>0.64</v>
      </c>
      <c r="O1926" s="2">
        <v>0.36</v>
      </c>
      <c r="R1926">
        <v>11</v>
      </c>
      <c r="S1926">
        <v>4</v>
      </c>
      <c r="T1926">
        <v>12</v>
      </c>
      <c r="U1926">
        <v>19</v>
      </c>
      <c r="V1926">
        <v>1</v>
      </c>
      <c r="W1926">
        <v>3</v>
      </c>
      <c r="X1926">
        <v>0</v>
      </c>
      <c r="Y1926">
        <v>0</v>
      </c>
      <c r="Z1926">
        <v>0</v>
      </c>
    </row>
    <row r="1927" spans="1:26" x14ac:dyDescent="0.2">
      <c r="A1927" t="s">
        <v>2045</v>
      </c>
      <c r="B1927" t="s">
        <v>50</v>
      </c>
      <c r="C1927">
        <v>2014</v>
      </c>
      <c r="D1927" t="s">
        <v>40</v>
      </c>
      <c r="E1927" t="s">
        <v>27</v>
      </c>
      <c r="F1927" t="s">
        <v>49</v>
      </c>
      <c r="G1927">
        <v>53400</v>
      </c>
      <c r="H1927">
        <v>42720</v>
      </c>
      <c r="I1927" s="13">
        <v>0.66666666666666663</v>
      </c>
      <c r="J1927" t="s">
        <v>6207</v>
      </c>
      <c r="K1927">
        <v>0</v>
      </c>
      <c r="L1927">
        <v>1</v>
      </c>
      <c r="M1927" t="s">
        <v>1</v>
      </c>
      <c r="N1927" s="2">
        <v>0.72</v>
      </c>
      <c r="O1927" s="2">
        <v>0.28000000000000003</v>
      </c>
      <c r="P1927">
        <v>6</v>
      </c>
      <c r="Q1927">
        <v>15</v>
      </c>
      <c r="R1927">
        <v>11</v>
      </c>
      <c r="S1927">
        <v>4</v>
      </c>
      <c r="T1927">
        <v>14</v>
      </c>
      <c r="U1927">
        <v>5</v>
      </c>
      <c r="V1927">
        <v>2</v>
      </c>
      <c r="W1927">
        <v>1</v>
      </c>
      <c r="X1927">
        <v>0</v>
      </c>
      <c r="Y1927">
        <v>0</v>
      </c>
      <c r="Z1927">
        <v>0</v>
      </c>
    </row>
    <row r="1928" spans="1:26" x14ac:dyDescent="0.2">
      <c r="A1928" t="s">
        <v>2046</v>
      </c>
      <c r="B1928" t="s">
        <v>68</v>
      </c>
      <c r="C1928">
        <v>2014</v>
      </c>
      <c r="D1928" t="s">
        <v>45</v>
      </c>
      <c r="E1928" t="s">
        <v>18</v>
      </c>
      <c r="F1928" t="s">
        <v>26</v>
      </c>
      <c r="G1928">
        <v>39572</v>
      </c>
      <c r="H1928">
        <v>31657.600000000002</v>
      </c>
      <c r="I1928" s="13">
        <v>1</v>
      </c>
      <c r="J1928" t="s">
        <v>6207</v>
      </c>
      <c r="K1928">
        <v>3</v>
      </c>
      <c r="L1928">
        <v>6</v>
      </c>
      <c r="M1928" t="s">
        <v>1</v>
      </c>
      <c r="N1928" s="2">
        <v>0.62</v>
      </c>
      <c r="O1928" s="2">
        <v>0.38</v>
      </c>
      <c r="P1928">
        <v>14</v>
      </c>
      <c r="Q1928">
        <v>14</v>
      </c>
      <c r="R1928">
        <v>8</v>
      </c>
      <c r="S1928">
        <v>2</v>
      </c>
      <c r="T1928">
        <v>7</v>
      </c>
      <c r="U1928">
        <v>16</v>
      </c>
      <c r="V1928">
        <v>1</v>
      </c>
      <c r="W1928">
        <v>3</v>
      </c>
      <c r="X1928">
        <v>0</v>
      </c>
      <c r="Y1928">
        <v>0</v>
      </c>
      <c r="Z1928">
        <v>0</v>
      </c>
    </row>
    <row r="1929" spans="1:26" x14ac:dyDescent="0.2">
      <c r="A1929" t="s">
        <v>2047</v>
      </c>
      <c r="B1929" t="s">
        <v>52</v>
      </c>
      <c r="C1929">
        <v>2014</v>
      </c>
      <c r="D1929" t="s">
        <v>51</v>
      </c>
      <c r="E1929" t="s">
        <v>26</v>
      </c>
      <c r="F1929" t="s">
        <v>20</v>
      </c>
      <c r="G1929">
        <v>36284</v>
      </c>
      <c r="H1929">
        <v>29027.200000000001</v>
      </c>
      <c r="I1929" s="13">
        <v>0.5</v>
      </c>
      <c r="J1929" t="s">
        <v>6207</v>
      </c>
      <c r="K1929">
        <v>0</v>
      </c>
      <c r="L1929">
        <v>3</v>
      </c>
      <c r="M1929" t="s">
        <v>1</v>
      </c>
      <c r="N1929" s="2">
        <v>0.61</v>
      </c>
      <c r="O1929" s="2">
        <v>0.39</v>
      </c>
      <c r="P1929">
        <v>12</v>
      </c>
      <c r="Q1929">
        <v>16</v>
      </c>
      <c r="R1929">
        <v>7</v>
      </c>
      <c r="S1929">
        <v>3</v>
      </c>
      <c r="T1929">
        <v>14</v>
      </c>
      <c r="U1929">
        <v>11</v>
      </c>
      <c r="V1929">
        <v>0</v>
      </c>
      <c r="W1929">
        <v>4</v>
      </c>
      <c r="X1929">
        <v>0</v>
      </c>
      <c r="Y1929">
        <v>0</v>
      </c>
      <c r="Z1929">
        <v>1</v>
      </c>
    </row>
    <row r="1930" spans="1:26" x14ac:dyDescent="0.2">
      <c r="A1930" t="s">
        <v>2048</v>
      </c>
      <c r="B1930" t="s">
        <v>44</v>
      </c>
      <c r="C1930">
        <v>2014</v>
      </c>
      <c r="D1930" t="s">
        <v>42</v>
      </c>
      <c r="E1930" t="s">
        <v>19</v>
      </c>
      <c r="F1930" t="s">
        <v>38</v>
      </c>
      <c r="G1930">
        <v>42918</v>
      </c>
      <c r="H1930">
        <v>34334.400000000001</v>
      </c>
      <c r="I1930" s="13">
        <v>1</v>
      </c>
      <c r="J1930" t="s">
        <v>6207</v>
      </c>
      <c r="K1930">
        <v>2</v>
      </c>
      <c r="L1930">
        <v>1</v>
      </c>
      <c r="M1930" t="s">
        <v>0</v>
      </c>
      <c r="N1930" s="2">
        <v>0.45</v>
      </c>
      <c r="O1930" s="2">
        <v>0.55000000000000004</v>
      </c>
      <c r="P1930">
        <v>12</v>
      </c>
      <c r="Q1930">
        <v>10</v>
      </c>
      <c r="R1930">
        <v>3</v>
      </c>
      <c r="S1930">
        <v>7</v>
      </c>
      <c r="T1930">
        <v>9</v>
      </c>
      <c r="U1930">
        <v>10</v>
      </c>
      <c r="V1930">
        <v>1</v>
      </c>
      <c r="W1930">
        <v>4</v>
      </c>
      <c r="X1930">
        <v>0</v>
      </c>
      <c r="Y1930">
        <v>0</v>
      </c>
      <c r="Z1930">
        <v>0</v>
      </c>
    </row>
    <row r="1931" spans="1:26" x14ac:dyDescent="0.2">
      <c r="A1931" t="s">
        <v>2049</v>
      </c>
      <c r="B1931" t="s">
        <v>61</v>
      </c>
      <c r="C1931">
        <v>2014</v>
      </c>
      <c r="D1931" t="s">
        <v>80</v>
      </c>
      <c r="E1931" t="s">
        <v>46</v>
      </c>
      <c r="F1931" t="s">
        <v>80</v>
      </c>
      <c r="G1931">
        <v>32261</v>
      </c>
      <c r="H1931">
        <v>25808.800000000003</v>
      </c>
      <c r="I1931" s="13">
        <v>0.5</v>
      </c>
      <c r="J1931" t="s">
        <v>6207</v>
      </c>
      <c r="K1931">
        <v>1</v>
      </c>
      <c r="L1931">
        <v>1</v>
      </c>
      <c r="M1931" t="s">
        <v>58</v>
      </c>
      <c r="N1931" s="2">
        <v>0.31</v>
      </c>
      <c r="O1931" s="2">
        <v>0.69</v>
      </c>
      <c r="P1931">
        <v>8</v>
      </c>
      <c r="Q1931">
        <v>16</v>
      </c>
      <c r="R1931">
        <v>5</v>
      </c>
      <c r="S1931">
        <v>10</v>
      </c>
      <c r="T1931">
        <v>14</v>
      </c>
      <c r="U1931">
        <v>6</v>
      </c>
      <c r="V1931">
        <v>3</v>
      </c>
      <c r="W1931">
        <v>1</v>
      </c>
      <c r="X1931">
        <v>0</v>
      </c>
      <c r="Y1931">
        <v>0</v>
      </c>
      <c r="Z1931">
        <v>0</v>
      </c>
    </row>
    <row r="1932" spans="1:26" x14ac:dyDescent="0.2">
      <c r="A1932" t="s">
        <v>2050</v>
      </c>
      <c r="B1932" t="s">
        <v>44</v>
      </c>
      <c r="C1932">
        <v>2014</v>
      </c>
      <c r="D1932" t="s">
        <v>46</v>
      </c>
      <c r="E1932" t="s">
        <v>40</v>
      </c>
      <c r="F1932" t="s">
        <v>20</v>
      </c>
      <c r="G1932">
        <v>60704</v>
      </c>
      <c r="H1932">
        <v>48563.200000000004</v>
      </c>
      <c r="I1932" s="13">
        <v>0.8571428571428571</v>
      </c>
      <c r="J1932" t="s">
        <v>6207</v>
      </c>
      <c r="K1932">
        <v>2</v>
      </c>
      <c r="L1932">
        <v>2</v>
      </c>
      <c r="M1932" t="s">
        <v>58</v>
      </c>
      <c r="N1932" s="2">
        <v>0.45</v>
      </c>
      <c r="O1932" s="2">
        <v>0.55000000000000004</v>
      </c>
      <c r="P1932">
        <v>15</v>
      </c>
      <c r="Q1932">
        <v>13</v>
      </c>
      <c r="R1932">
        <v>0</v>
      </c>
      <c r="S1932">
        <v>3</v>
      </c>
      <c r="T1932">
        <v>11</v>
      </c>
      <c r="U1932">
        <v>15</v>
      </c>
      <c r="V1932">
        <v>3</v>
      </c>
      <c r="W1932">
        <v>4</v>
      </c>
      <c r="X1932">
        <v>0</v>
      </c>
      <c r="Y1932">
        <v>0</v>
      </c>
      <c r="Z1932">
        <v>0</v>
      </c>
    </row>
    <row r="1933" spans="1:26" x14ac:dyDescent="0.2">
      <c r="A1933" t="s">
        <v>2051</v>
      </c>
      <c r="B1933" t="s">
        <v>61</v>
      </c>
      <c r="C1933">
        <v>2014</v>
      </c>
      <c r="D1933" t="s">
        <v>63</v>
      </c>
      <c r="E1933" t="s">
        <v>45</v>
      </c>
      <c r="F1933" t="s">
        <v>65</v>
      </c>
      <c r="G1933">
        <v>26804</v>
      </c>
      <c r="H1933">
        <v>21443.200000000001</v>
      </c>
      <c r="I1933" s="13">
        <v>0.4</v>
      </c>
      <c r="J1933" t="s">
        <v>6207</v>
      </c>
      <c r="K1933">
        <v>0</v>
      </c>
      <c r="L1933">
        <v>2</v>
      </c>
      <c r="M1933" t="s">
        <v>1</v>
      </c>
      <c r="N1933" s="2">
        <v>0.46</v>
      </c>
      <c r="O1933" s="2">
        <v>0.54</v>
      </c>
      <c r="P1933">
        <v>8</v>
      </c>
      <c r="Q1933">
        <v>11</v>
      </c>
      <c r="R1933">
        <v>9</v>
      </c>
      <c r="S1933">
        <v>1</v>
      </c>
      <c r="T1933">
        <v>12</v>
      </c>
      <c r="U1933">
        <v>8</v>
      </c>
      <c r="V1933">
        <v>2</v>
      </c>
      <c r="W1933">
        <v>3</v>
      </c>
      <c r="X1933">
        <v>0</v>
      </c>
      <c r="Y1933">
        <v>0</v>
      </c>
      <c r="Z1933">
        <v>0</v>
      </c>
    </row>
    <row r="1934" spans="1:26" x14ac:dyDescent="0.2">
      <c r="A1934" t="s">
        <v>2052</v>
      </c>
      <c r="B1934" t="s">
        <v>76</v>
      </c>
      <c r="C1934">
        <v>2014</v>
      </c>
      <c r="D1934" t="s">
        <v>35</v>
      </c>
      <c r="E1934" t="s">
        <v>51</v>
      </c>
      <c r="F1934" t="s">
        <v>35</v>
      </c>
      <c r="G1934">
        <v>49000</v>
      </c>
      <c r="H1934">
        <v>39200</v>
      </c>
      <c r="I1934" s="13">
        <v>0.33333333333333331</v>
      </c>
      <c r="J1934" t="s">
        <v>6207</v>
      </c>
      <c r="K1934">
        <v>2</v>
      </c>
      <c r="L1934">
        <v>2</v>
      </c>
      <c r="M1934" t="s">
        <v>58</v>
      </c>
      <c r="N1934" s="2">
        <v>0.37</v>
      </c>
      <c r="O1934" s="2">
        <v>0.63</v>
      </c>
      <c r="P1934">
        <v>14</v>
      </c>
      <c r="Q1934">
        <v>10</v>
      </c>
      <c r="R1934">
        <v>5</v>
      </c>
      <c r="S1934">
        <v>5</v>
      </c>
      <c r="T1934">
        <v>10</v>
      </c>
      <c r="U1934">
        <v>13</v>
      </c>
      <c r="V1934">
        <v>5</v>
      </c>
      <c r="W1934">
        <v>1</v>
      </c>
      <c r="X1934">
        <v>0</v>
      </c>
      <c r="Y1934">
        <v>0</v>
      </c>
      <c r="Z1934">
        <v>0</v>
      </c>
    </row>
    <row r="1935" spans="1:26" x14ac:dyDescent="0.2">
      <c r="A1935" t="s">
        <v>2053</v>
      </c>
      <c r="B1935" t="s">
        <v>66</v>
      </c>
      <c r="C1935">
        <v>2014</v>
      </c>
      <c r="D1935" t="s">
        <v>27</v>
      </c>
      <c r="E1935" t="s">
        <v>80</v>
      </c>
      <c r="F1935" t="s">
        <v>27</v>
      </c>
      <c r="G1935">
        <v>30089</v>
      </c>
      <c r="H1935">
        <v>24071.200000000001</v>
      </c>
      <c r="I1935" s="13">
        <v>0.66666666666666663</v>
      </c>
      <c r="J1935" t="s">
        <v>6207</v>
      </c>
      <c r="K1935">
        <v>0</v>
      </c>
      <c r="L1935">
        <v>1</v>
      </c>
      <c r="M1935" t="s">
        <v>1</v>
      </c>
      <c r="N1935" s="2">
        <v>0.59</v>
      </c>
      <c r="O1935" s="2">
        <v>0.41</v>
      </c>
      <c r="P1935">
        <v>14</v>
      </c>
      <c r="Q1935">
        <v>8</v>
      </c>
      <c r="R1935">
        <v>16</v>
      </c>
      <c r="S1935">
        <v>3</v>
      </c>
      <c r="T1935">
        <v>8</v>
      </c>
      <c r="U1935">
        <v>15</v>
      </c>
      <c r="V1935">
        <v>3</v>
      </c>
      <c r="W1935">
        <v>0</v>
      </c>
      <c r="X1935">
        <v>0</v>
      </c>
      <c r="Y1935">
        <v>0</v>
      </c>
      <c r="Z1935">
        <v>0</v>
      </c>
    </row>
    <row r="1936" spans="1:26" x14ac:dyDescent="0.2">
      <c r="A1936" t="s">
        <v>2054</v>
      </c>
      <c r="B1936" t="s">
        <v>25</v>
      </c>
      <c r="C1936">
        <v>2014</v>
      </c>
      <c r="D1936" t="s">
        <v>73</v>
      </c>
      <c r="E1936" t="s">
        <v>64</v>
      </c>
      <c r="F1936" t="s">
        <v>73</v>
      </c>
      <c r="G1936">
        <v>32384</v>
      </c>
      <c r="H1936">
        <v>25907.200000000001</v>
      </c>
      <c r="I1936" s="13">
        <v>0.5</v>
      </c>
      <c r="J1936" t="s">
        <v>6207</v>
      </c>
      <c r="K1936">
        <v>4</v>
      </c>
      <c r="L1936">
        <v>0</v>
      </c>
      <c r="M1936" t="s">
        <v>0</v>
      </c>
      <c r="N1936" s="2">
        <v>0.48</v>
      </c>
      <c r="O1936" s="2">
        <v>0.52</v>
      </c>
      <c r="P1936">
        <v>7</v>
      </c>
      <c r="Q1936">
        <v>18</v>
      </c>
      <c r="R1936">
        <v>5</v>
      </c>
      <c r="S1936">
        <v>5</v>
      </c>
      <c r="T1936">
        <v>15</v>
      </c>
      <c r="U1936">
        <v>7</v>
      </c>
      <c r="V1936">
        <v>0</v>
      </c>
      <c r="W1936">
        <v>2</v>
      </c>
      <c r="X1936">
        <v>0</v>
      </c>
      <c r="Y1936">
        <v>0</v>
      </c>
      <c r="Z1936">
        <v>0</v>
      </c>
    </row>
    <row r="1937" spans="1:26" x14ac:dyDescent="0.2">
      <c r="A1937" t="s">
        <v>2055</v>
      </c>
      <c r="B1937" t="s">
        <v>41</v>
      </c>
      <c r="C1937">
        <v>2014</v>
      </c>
      <c r="D1937" t="s">
        <v>79</v>
      </c>
      <c r="E1937" t="s">
        <v>28</v>
      </c>
      <c r="F1937" t="s">
        <v>20</v>
      </c>
      <c r="G1937">
        <v>25486</v>
      </c>
      <c r="H1937">
        <v>20388.800000000003</v>
      </c>
      <c r="I1937" s="13">
        <v>0.2</v>
      </c>
      <c r="J1937" t="s">
        <v>6207</v>
      </c>
      <c r="K1937">
        <v>0</v>
      </c>
      <c r="L1937">
        <v>0</v>
      </c>
      <c r="M1937" t="s">
        <v>58</v>
      </c>
      <c r="N1937" s="2">
        <v>0.45</v>
      </c>
      <c r="O1937" s="2">
        <v>0.55000000000000004</v>
      </c>
      <c r="P1937">
        <v>11</v>
      </c>
      <c r="Q1937">
        <v>10</v>
      </c>
      <c r="R1937">
        <v>5</v>
      </c>
      <c r="S1937">
        <v>6</v>
      </c>
      <c r="T1937">
        <v>12</v>
      </c>
      <c r="U1937">
        <v>10</v>
      </c>
      <c r="V1937">
        <v>2</v>
      </c>
      <c r="W1937">
        <v>3</v>
      </c>
      <c r="X1937">
        <v>0</v>
      </c>
      <c r="Y1937">
        <v>0</v>
      </c>
      <c r="Z1937">
        <v>1</v>
      </c>
    </row>
    <row r="1938" spans="1:26" x14ac:dyDescent="0.2">
      <c r="A1938" t="s">
        <v>2056</v>
      </c>
      <c r="B1938" t="s">
        <v>60</v>
      </c>
      <c r="C1938">
        <v>2014</v>
      </c>
      <c r="D1938" t="s">
        <v>18</v>
      </c>
      <c r="E1938" t="s">
        <v>71</v>
      </c>
      <c r="F1938" t="s">
        <v>20</v>
      </c>
      <c r="G1938">
        <v>40341</v>
      </c>
      <c r="H1938">
        <v>32272.800000000003</v>
      </c>
      <c r="I1938" s="13">
        <v>0.33333333333333331</v>
      </c>
      <c r="J1938" t="s">
        <v>6208</v>
      </c>
      <c r="K1938">
        <v>4</v>
      </c>
      <c r="L1938">
        <v>2</v>
      </c>
      <c r="M1938" t="s">
        <v>0</v>
      </c>
      <c r="N1938" s="2">
        <v>0.56000000000000005</v>
      </c>
      <c r="O1938" s="2">
        <v>0.44</v>
      </c>
      <c r="P1938">
        <v>9</v>
      </c>
      <c r="Q1938">
        <v>11</v>
      </c>
      <c r="R1938">
        <v>7</v>
      </c>
      <c r="S1938">
        <v>4</v>
      </c>
      <c r="T1938">
        <v>12</v>
      </c>
      <c r="U1938">
        <v>11</v>
      </c>
      <c r="V1938">
        <v>0</v>
      </c>
      <c r="W1938">
        <v>3</v>
      </c>
      <c r="X1938">
        <v>0</v>
      </c>
      <c r="Y1938">
        <v>0</v>
      </c>
      <c r="Z1938">
        <v>0</v>
      </c>
    </row>
    <row r="1939" spans="1:26" x14ac:dyDescent="0.2">
      <c r="A1939" t="s">
        <v>2057</v>
      </c>
      <c r="B1939" t="s">
        <v>50</v>
      </c>
      <c r="C1939">
        <v>2014</v>
      </c>
      <c r="D1939" t="s">
        <v>26</v>
      </c>
      <c r="E1939" t="s">
        <v>42</v>
      </c>
      <c r="F1939" t="s">
        <v>26</v>
      </c>
      <c r="G1939">
        <v>61276</v>
      </c>
      <c r="H1939">
        <v>49020.800000000003</v>
      </c>
      <c r="I1939" s="13">
        <v>0.33333333333333331</v>
      </c>
      <c r="J1939" t="s">
        <v>6207</v>
      </c>
      <c r="K1939">
        <v>0</v>
      </c>
      <c r="L1939">
        <v>1</v>
      </c>
      <c r="M1939" t="s">
        <v>1</v>
      </c>
      <c r="N1939" s="2">
        <v>0.75</v>
      </c>
      <c r="O1939" s="2">
        <v>0.25</v>
      </c>
      <c r="P1939">
        <v>11</v>
      </c>
      <c r="Q1939">
        <v>12</v>
      </c>
      <c r="R1939">
        <v>7</v>
      </c>
      <c r="S1939">
        <v>6</v>
      </c>
      <c r="T1939">
        <v>9</v>
      </c>
      <c r="U1939">
        <v>10</v>
      </c>
      <c r="V1939">
        <v>2</v>
      </c>
      <c r="W1939">
        <v>1</v>
      </c>
      <c r="X1939">
        <v>0</v>
      </c>
      <c r="Y1939">
        <v>0</v>
      </c>
      <c r="Z1939">
        <v>0</v>
      </c>
    </row>
    <row r="1940" spans="1:26" x14ac:dyDescent="0.2">
      <c r="A1940" t="s">
        <v>2058</v>
      </c>
      <c r="B1940" t="s">
        <v>52</v>
      </c>
      <c r="C1940">
        <v>2014</v>
      </c>
      <c r="D1940" t="s">
        <v>48</v>
      </c>
      <c r="E1940" t="s">
        <v>70</v>
      </c>
      <c r="F1940" t="s">
        <v>49</v>
      </c>
      <c r="G1940">
        <v>74197</v>
      </c>
      <c r="H1940">
        <v>59357.600000000006</v>
      </c>
      <c r="I1940" s="13">
        <v>0</v>
      </c>
      <c r="J1940" t="s">
        <v>6207</v>
      </c>
      <c r="K1940">
        <v>4</v>
      </c>
      <c r="L1940">
        <v>0</v>
      </c>
      <c r="M1940" t="s">
        <v>0</v>
      </c>
      <c r="N1940" s="2">
        <v>0.7</v>
      </c>
      <c r="O1940" s="2">
        <v>0.3</v>
      </c>
      <c r="P1940">
        <v>9</v>
      </c>
      <c r="Q1940">
        <v>11</v>
      </c>
      <c r="R1940">
        <v>3</v>
      </c>
      <c r="S1940">
        <v>1</v>
      </c>
      <c r="T1940">
        <v>11</v>
      </c>
      <c r="U1940">
        <v>8</v>
      </c>
      <c r="V1940">
        <v>1</v>
      </c>
      <c r="W1940">
        <v>0</v>
      </c>
      <c r="X1940">
        <v>0</v>
      </c>
      <c r="Y1940">
        <v>0</v>
      </c>
      <c r="Z1940">
        <v>0</v>
      </c>
    </row>
    <row r="1941" spans="1:26" x14ac:dyDescent="0.2">
      <c r="A1941" t="s">
        <v>2059</v>
      </c>
      <c r="B1941" t="s">
        <v>32</v>
      </c>
      <c r="C1941">
        <v>2014</v>
      </c>
      <c r="D1941" t="s">
        <v>19</v>
      </c>
      <c r="E1941" t="s">
        <v>23</v>
      </c>
      <c r="F1941" t="s">
        <v>19</v>
      </c>
      <c r="G1941">
        <v>25586</v>
      </c>
      <c r="H1941">
        <v>20468.800000000003</v>
      </c>
      <c r="I1941" s="13">
        <v>0.25</v>
      </c>
      <c r="J1941" t="s">
        <v>6207</v>
      </c>
      <c r="K1941">
        <v>2</v>
      </c>
      <c r="L1941">
        <v>2</v>
      </c>
      <c r="M1941" t="s">
        <v>58</v>
      </c>
      <c r="N1941" s="2">
        <v>0.41</v>
      </c>
      <c r="O1941" s="2">
        <v>0.59</v>
      </c>
      <c r="P1941">
        <v>9</v>
      </c>
      <c r="Q1941">
        <v>13</v>
      </c>
      <c r="R1941">
        <v>3</v>
      </c>
      <c r="S1941">
        <v>10</v>
      </c>
      <c r="T1941">
        <v>12</v>
      </c>
      <c r="U1941">
        <v>7</v>
      </c>
      <c r="V1941">
        <v>3</v>
      </c>
      <c r="W1941">
        <v>1</v>
      </c>
      <c r="X1941">
        <v>0</v>
      </c>
      <c r="Y1941">
        <v>0</v>
      </c>
      <c r="Z1941">
        <v>0</v>
      </c>
    </row>
    <row r="1942" spans="1:26" x14ac:dyDescent="0.2">
      <c r="A1942" t="s">
        <v>2060</v>
      </c>
      <c r="B1942" t="s">
        <v>32</v>
      </c>
      <c r="C1942">
        <v>2014</v>
      </c>
      <c r="D1942" t="s">
        <v>70</v>
      </c>
      <c r="E1942" t="s">
        <v>27</v>
      </c>
      <c r="F1942" t="s">
        <v>20</v>
      </c>
      <c r="G1942">
        <v>18439</v>
      </c>
      <c r="H1942">
        <v>14751.2</v>
      </c>
      <c r="I1942" s="13">
        <v>0.66666666666666663</v>
      </c>
      <c r="J1942" t="s">
        <v>6207</v>
      </c>
      <c r="K1942">
        <v>2</v>
      </c>
      <c r="L1942">
        <v>2</v>
      </c>
      <c r="M1942" t="s">
        <v>58</v>
      </c>
      <c r="N1942" s="2">
        <v>0.53</v>
      </c>
      <c r="O1942" s="2">
        <v>0.47</v>
      </c>
      <c r="P1942">
        <v>16</v>
      </c>
      <c r="Q1942">
        <v>5</v>
      </c>
      <c r="R1942">
        <v>10</v>
      </c>
      <c r="S1942">
        <v>1</v>
      </c>
      <c r="T1942">
        <v>6</v>
      </c>
      <c r="U1942">
        <v>15</v>
      </c>
      <c r="V1942">
        <v>2</v>
      </c>
      <c r="W1942">
        <v>4</v>
      </c>
      <c r="X1942">
        <v>0</v>
      </c>
      <c r="Y1942">
        <v>0</v>
      </c>
      <c r="Z1942">
        <v>0</v>
      </c>
    </row>
    <row r="1943" spans="1:26" x14ac:dyDescent="0.2">
      <c r="A1943" t="s">
        <v>2061</v>
      </c>
      <c r="B1943" t="s">
        <v>68</v>
      </c>
      <c r="C1943">
        <v>2014</v>
      </c>
      <c r="D1943" t="s">
        <v>71</v>
      </c>
      <c r="E1943" t="s">
        <v>73</v>
      </c>
      <c r="F1943" t="s">
        <v>71</v>
      </c>
      <c r="G1943">
        <v>21088</v>
      </c>
      <c r="H1943">
        <v>16870.400000000001</v>
      </c>
      <c r="I1943" s="13">
        <v>0.66666666666666663</v>
      </c>
      <c r="J1943" t="s">
        <v>6207</v>
      </c>
      <c r="K1943">
        <v>0</v>
      </c>
      <c r="L1943">
        <v>1</v>
      </c>
      <c r="M1943" t="s">
        <v>1</v>
      </c>
      <c r="N1943" s="2">
        <v>0.43</v>
      </c>
      <c r="O1943" s="2">
        <v>0.56999999999999995</v>
      </c>
      <c r="P1943">
        <v>17</v>
      </c>
      <c r="Q1943">
        <v>10</v>
      </c>
      <c r="R1943">
        <v>2</v>
      </c>
      <c r="S1943">
        <v>4</v>
      </c>
      <c r="T1943">
        <v>11</v>
      </c>
      <c r="U1943">
        <v>15</v>
      </c>
      <c r="V1943">
        <v>1</v>
      </c>
      <c r="W1943">
        <v>4</v>
      </c>
      <c r="X1943">
        <v>1</v>
      </c>
      <c r="Y1943">
        <v>0</v>
      </c>
      <c r="Z1943">
        <v>0</v>
      </c>
    </row>
    <row r="1944" spans="1:26" x14ac:dyDescent="0.2">
      <c r="A1944" t="s">
        <v>2062</v>
      </c>
      <c r="B1944" t="s">
        <v>67</v>
      </c>
      <c r="C1944">
        <v>2014</v>
      </c>
      <c r="D1944" t="s">
        <v>64</v>
      </c>
      <c r="E1944" t="s">
        <v>19</v>
      </c>
      <c r="F1944" t="s">
        <v>64</v>
      </c>
      <c r="G1944">
        <v>52264</v>
      </c>
      <c r="H1944">
        <v>41811.200000000004</v>
      </c>
      <c r="I1944" s="13">
        <v>0.83333333333333337</v>
      </c>
      <c r="J1944" t="s">
        <v>6207</v>
      </c>
      <c r="K1944">
        <v>2</v>
      </c>
      <c r="L1944">
        <v>2</v>
      </c>
      <c r="M1944" t="s">
        <v>58</v>
      </c>
      <c r="N1944" s="2">
        <v>0.64</v>
      </c>
      <c r="O1944" s="2">
        <v>0.36</v>
      </c>
      <c r="P1944">
        <v>15</v>
      </c>
      <c r="Q1944">
        <v>12</v>
      </c>
      <c r="R1944">
        <v>4</v>
      </c>
      <c r="S1944">
        <v>2</v>
      </c>
      <c r="T1944">
        <v>11</v>
      </c>
      <c r="U1944">
        <v>11</v>
      </c>
      <c r="V1944">
        <v>4</v>
      </c>
      <c r="W1944">
        <v>2</v>
      </c>
      <c r="X1944">
        <v>0</v>
      </c>
      <c r="Y1944">
        <v>0</v>
      </c>
      <c r="Z1944">
        <v>0</v>
      </c>
    </row>
    <row r="1945" spans="1:26" x14ac:dyDescent="0.2">
      <c r="A1945" t="s">
        <v>2063</v>
      </c>
      <c r="B1945" t="s">
        <v>61</v>
      </c>
      <c r="C1945">
        <v>2014</v>
      </c>
      <c r="D1945" t="s">
        <v>28</v>
      </c>
      <c r="E1945" t="s">
        <v>35</v>
      </c>
      <c r="F1945" t="s">
        <v>28</v>
      </c>
      <c r="G1945">
        <v>21944</v>
      </c>
      <c r="H1945">
        <v>17555.2</v>
      </c>
      <c r="I1945" s="13">
        <v>0.33333333333333331</v>
      </c>
      <c r="J1945" t="s">
        <v>6207</v>
      </c>
      <c r="K1945">
        <v>0</v>
      </c>
      <c r="L1945">
        <v>0</v>
      </c>
      <c r="M1945" t="s">
        <v>58</v>
      </c>
      <c r="N1945" s="2">
        <v>0.44</v>
      </c>
      <c r="O1945" s="2">
        <v>0.56000000000000005</v>
      </c>
      <c r="P1945">
        <v>15</v>
      </c>
      <c r="Q1945">
        <v>16</v>
      </c>
      <c r="R1945">
        <v>5</v>
      </c>
      <c r="S1945">
        <v>1</v>
      </c>
      <c r="T1945">
        <v>14</v>
      </c>
      <c r="U1945">
        <v>14</v>
      </c>
      <c r="V1945">
        <v>1</v>
      </c>
      <c r="W1945">
        <v>2</v>
      </c>
      <c r="X1945">
        <v>0</v>
      </c>
      <c r="Y1945">
        <v>0</v>
      </c>
      <c r="Z1945">
        <v>0</v>
      </c>
    </row>
    <row r="1946" spans="1:26" x14ac:dyDescent="0.2">
      <c r="A1946" t="s">
        <v>2064</v>
      </c>
      <c r="B1946" t="s">
        <v>53</v>
      </c>
      <c r="C1946">
        <v>2014</v>
      </c>
      <c r="D1946" t="s">
        <v>42</v>
      </c>
      <c r="E1946" t="s">
        <v>46</v>
      </c>
      <c r="F1946" t="s">
        <v>38</v>
      </c>
      <c r="G1946">
        <v>42918</v>
      </c>
      <c r="H1946">
        <v>34334.400000000001</v>
      </c>
      <c r="I1946" s="13">
        <v>0.25</v>
      </c>
      <c r="J1946" t="s">
        <v>6207</v>
      </c>
      <c r="K1946">
        <v>0</v>
      </c>
      <c r="L1946">
        <v>3</v>
      </c>
      <c r="M1946" t="s">
        <v>1</v>
      </c>
      <c r="N1946" s="2">
        <v>0.28999999999999998</v>
      </c>
      <c r="O1946" s="2">
        <v>0.71</v>
      </c>
      <c r="P1946">
        <v>12</v>
      </c>
      <c r="Q1946">
        <v>12</v>
      </c>
      <c r="R1946">
        <v>5</v>
      </c>
      <c r="S1946">
        <v>5</v>
      </c>
      <c r="T1946">
        <v>11</v>
      </c>
      <c r="U1946">
        <v>9</v>
      </c>
      <c r="V1946">
        <v>1</v>
      </c>
      <c r="W1946">
        <v>3</v>
      </c>
      <c r="X1946">
        <v>0</v>
      </c>
      <c r="Y1946">
        <v>0</v>
      </c>
      <c r="Z1946">
        <v>0</v>
      </c>
    </row>
    <row r="1947" spans="1:26" x14ac:dyDescent="0.2">
      <c r="A1947" t="s">
        <v>2065</v>
      </c>
      <c r="B1947" t="s">
        <v>76</v>
      </c>
      <c r="C1947">
        <v>2014</v>
      </c>
      <c r="D1947" t="s">
        <v>23</v>
      </c>
      <c r="E1947" t="s">
        <v>26</v>
      </c>
      <c r="F1947" t="s">
        <v>20</v>
      </c>
      <c r="G1947">
        <v>62500</v>
      </c>
      <c r="H1947">
        <v>50000</v>
      </c>
      <c r="I1947" s="13">
        <v>0.8</v>
      </c>
      <c r="J1947" t="s">
        <v>6207</v>
      </c>
      <c r="K1947">
        <v>3</v>
      </c>
      <c r="L1947">
        <v>1</v>
      </c>
      <c r="M1947" t="s">
        <v>0</v>
      </c>
      <c r="N1947" s="2">
        <v>0.37</v>
      </c>
      <c r="O1947" s="2">
        <v>0.63</v>
      </c>
      <c r="P1947">
        <v>11</v>
      </c>
      <c r="Q1947">
        <v>16</v>
      </c>
      <c r="R1947">
        <v>7</v>
      </c>
      <c r="S1947">
        <v>5</v>
      </c>
      <c r="T1947">
        <v>16</v>
      </c>
      <c r="U1947">
        <v>11</v>
      </c>
      <c r="V1947">
        <v>4</v>
      </c>
      <c r="W1947">
        <v>1</v>
      </c>
      <c r="X1947">
        <v>0</v>
      </c>
      <c r="Y1947">
        <v>0</v>
      </c>
      <c r="Z1947">
        <v>0</v>
      </c>
    </row>
    <row r="1948" spans="1:26" x14ac:dyDescent="0.2">
      <c r="A1948" t="s">
        <v>2066</v>
      </c>
      <c r="B1948" t="s">
        <v>60</v>
      </c>
      <c r="C1948">
        <v>2014</v>
      </c>
      <c r="D1948" t="s">
        <v>51</v>
      </c>
      <c r="E1948" t="s">
        <v>63</v>
      </c>
      <c r="F1948" t="s">
        <v>20</v>
      </c>
      <c r="G1948">
        <v>36284</v>
      </c>
      <c r="H1948">
        <v>29027.200000000001</v>
      </c>
      <c r="I1948" s="13">
        <v>0.5</v>
      </c>
      <c r="J1948" t="s">
        <v>6208</v>
      </c>
      <c r="K1948">
        <v>0</v>
      </c>
      <c r="L1948">
        <v>1</v>
      </c>
      <c r="M1948" t="s">
        <v>1</v>
      </c>
      <c r="N1948" s="2">
        <v>0.63</v>
      </c>
      <c r="O1948" s="2">
        <v>0.37</v>
      </c>
      <c r="P1948">
        <v>10</v>
      </c>
      <c r="Q1948">
        <v>12</v>
      </c>
      <c r="R1948">
        <v>9</v>
      </c>
      <c r="S1948">
        <v>7</v>
      </c>
      <c r="T1948">
        <v>12</v>
      </c>
      <c r="U1948">
        <v>7</v>
      </c>
      <c r="V1948">
        <v>2</v>
      </c>
      <c r="W1948">
        <v>2</v>
      </c>
      <c r="X1948">
        <v>0</v>
      </c>
      <c r="Y1948">
        <v>0</v>
      </c>
      <c r="Z1948">
        <v>0</v>
      </c>
    </row>
    <row r="1949" spans="1:26" x14ac:dyDescent="0.2">
      <c r="A1949" t="s">
        <v>2067</v>
      </c>
      <c r="B1949" t="s">
        <v>44</v>
      </c>
      <c r="C1949">
        <v>2014</v>
      </c>
      <c r="D1949" t="s">
        <v>80</v>
      </c>
      <c r="E1949" t="s">
        <v>48</v>
      </c>
      <c r="F1949" t="s">
        <v>80</v>
      </c>
      <c r="G1949">
        <v>32261</v>
      </c>
      <c r="H1949">
        <v>25808.800000000003</v>
      </c>
      <c r="I1949" s="13">
        <v>0.33333333333333331</v>
      </c>
      <c r="J1949" t="s">
        <v>6207</v>
      </c>
      <c r="K1949">
        <v>5</v>
      </c>
      <c r="L1949">
        <v>3</v>
      </c>
      <c r="M1949" t="s">
        <v>0</v>
      </c>
      <c r="N1949" s="2">
        <v>0.42</v>
      </c>
      <c r="O1949" s="2">
        <v>0.57999999999999996</v>
      </c>
      <c r="P1949">
        <v>12</v>
      </c>
      <c r="Q1949">
        <v>15</v>
      </c>
      <c r="R1949">
        <v>2</v>
      </c>
      <c r="S1949">
        <v>4</v>
      </c>
      <c r="T1949">
        <v>11</v>
      </c>
      <c r="U1949">
        <v>9</v>
      </c>
      <c r="V1949">
        <v>1</v>
      </c>
      <c r="W1949">
        <v>1</v>
      </c>
      <c r="X1949">
        <v>0</v>
      </c>
      <c r="Y1949">
        <v>1</v>
      </c>
      <c r="Z1949">
        <v>2</v>
      </c>
    </row>
    <row r="1950" spans="1:26" x14ac:dyDescent="0.2">
      <c r="A1950" t="s">
        <v>2068</v>
      </c>
      <c r="B1950" t="s">
        <v>41</v>
      </c>
      <c r="C1950">
        <v>2014</v>
      </c>
      <c r="D1950" t="s">
        <v>40</v>
      </c>
      <c r="E1950" t="s">
        <v>18</v>
      </c>
      <c r="F1950" t="s">
        <v>49</v>
      </c>
      <c r="G1950">
        <v>53400</v>
      </c>
      <c r="H1950">
        <v>42720</v>
      </c>
      <c r="I1950" s="13">
        <v>0.88888888888888884</v>
      </c>
      <c r="J1950" t="s">
        <v>6207</v>
      </c>
      <c r="K1950">
        <v>1</v>
      </c>
      <c r="L1950">
        <v>1</v>
      </c>
      <c r="M1950" t="s">
        <v>58</v>
      </c>
      <c r="N1950" s="2">
        <v>0.57999999999999996</v>
      </c>
      <c r="O1950" s="2">
        <v>0.42</v>
      </c>
      <c r="P1950">
        <v>13</v>
      </c>
      <c r="Q1950">
        <v>16</v>
      </c>
      <c r="R1950">
        <v>14</v>
      </c>
      <c r="S1950">
        <v>2</v>
      </c>
      <c r="T1950">
        <v>16</v>
      </c>
      <c r="U1950">
        <v>12</v>
      </c>
      <c r="V1950">
        <v>4</v>
      </c>
      <c r="W1950">
        <v>4</v>
      </c>
      <c r="X1950">
        <v>1</v>
      </c>
      <c r="Y1950">
        <v>0</v>
      </c>
      <c r="Z1950">
        <v>0</v>
      </c>
    </row>
    <row r="1951" spans="1:26" x14ac:dyDescent="0.2">
      <c r="A1951" t="s">
        <v>2069</v>
      </c>
      <c r="B1951" t="s">
        <v>66</v>
      </c>
      <c r="C1951">
        <v>2014</v>
      </c>
      <c r="D1951" t="s">
        <v>45</v>
      </c>
      <c r="E1951" t="s">
        <v>79</v>
      </c>
      <c r="F1951" t="s">
        <v>26</v>
      </c>
      <c r="G1951">
        <v>39572</v>
      </c>
      <c r="H1951">
        <v>31657.600000000002</v>
      </c>
      <c r="I1951" s="13">
        <v>0.5</v>
      </c>
      <c r="J1951" t="s">
        <v>6207</v>
      </c>
      <c r="K1951">
        <v>2</v>
      </c>
      <c r="L1951">
        <v>3</v>
      </c>
      <c r="M1951" t="s">
        <v>1</v>
      </c>
      <c r="N1951" s="2">
        <v>0.76</v>
      </c>
      <c r="O1951" s="2">
        <v>0.24</v>
      </c>
      <c r="P1951">
        <v>12</v>
      </c>
      <c r="Q1951">
        <v>9</v>
      </c>
      <c r="R1951">
        <v>8</v>
      </c>
      <c r="S1951">
        <v>1</v>
      </c>
      <c r="T1951">
        <v>8</v>
      </c>
      <c r="U1951">
        <v>13</v>
      </c>
      <c r="V1951">
        <v>2</v>
      </c>
      <c r="W1951">
        <v>2</v>
      </c>
      <c r="X1951">
        <v>0</v>
      </c>
      <c r="Y1951">
        <v>0</v>
      </c>
      <c r="Z1951">
        <v>2</v>
      </c>
    </row>
    <row r="1952" spans="1:26" x14ac:dyDescent="0.2">
      <c r="A1952" t="s">
        <v>2070</v>
      </c>
      <c r="B1952" t="s">
        <v>32</v>
      </c>
      <c r="C1952">
        <v>2014</v>
      </c>
      <c r="D1952" t="s">
        <v>26</v>
      </c>
      <c r="E1952" t="s">
        <v>45</v>
      </c>
      <c r="F1952" t="s">
        <v>26</v>
      </c>
      <c r="G1952">
        <v>61276</v>
      </c>
      <c r="H1952">
        <v>49020.800000000003</v>
      </c>
      <c r="I1952" s="13">
        <v>0.33333333333333331</v>
      </c>
      <c r="J1952" t="s">
        <v>6207</v>
      </c>
      <c r="K1952">
        <v>1</v>
      </c>
      <c r="L1952">
        <v>1</v>
      </c>
      <c r="M1952" t="s">
        <v>58</v>
      </c>
      <c r="N1952" s="2">
        <v>0.46</v>
      </c>
      <c r="O1952" s="2">
        <v>0.54</v>
      </c>
      <c r="P1952">
        <v>11</v>
      </c>
      <c r="Q1952">
        <v>10</v>
      </c>
      <c r="R1952">
        <v>8</v>
      </c>
      <c r="S1952">
        <v>2</v>
      </c>
      <c r="T1952">
        <v>8</v>
      </c>
      <c r="U1952">
        <v>9</v>
      </c>
      <c r="V1952">
        <v>2</v>
      </c>
      <c r="W1952">
        <v>1</v>
      </c>
      <c r="X1952">
        <v>0</v>
      </c>
      <c r="Y1952">
        <v>0</v>
      </c>
      <c r="Z1952">
        <v>0</v>
      </c>
    </row>
    <row r="1953" spans="1:26" x14ac:dyDescent="0.2">
      <c r="A1953" t="s">
        <v>2071</v>
      </c>
      <c r="B1953" t="s">
        <v>25</v>
      </c>
      <c r="C1953">
        <v>2014</v>
      </c>
      <c r="D1953" t="s">
        <v>35</v>
      </c>
      <c r="E1953" t="s">
        <v>71</v>
      </c>
      <c r="F1953" t="s">
        <v>35</v>
      </c>
      <c r="G1953">
        <v>49000</v>
      </c>
      <c r="H1953">
        <v>39200</v>
      </c>
      <c r="I1953" s="13">
        <v>0.4</v>
      </c>
      <c r="J1953" t="s">
        <v>6207</v>
      </c>
      <c r="K1953">
        <v>0</v>
      </c>
      <c r="L1953">
        <v>0</v>
      </c>
      <c r="M1953" t="s">
        <v>58</v>
      </c>
      <c r="N1953" s="2">
        <v>0.49</v>
      </c>
      <c r="O1953" s="2">
        <v>0.51</v>
      </c>
      <c r="P1953">
        <v>17</v>
      </c>
      <c r="Q1953">
        <v>15</v>
      </c>
      <c r="R1953">
        <v>10</v>
      </c>
      <c r="S1953">
        <v>1</v>
      </c>
      <c r="T1953">
        <v>13</v>
      </c>
      <c r="U1953">
        <v>15</v>
      </c>
      <c r="V1953">
        <v>2</v>
      </c>
      <c r="W1953">
        <v>2</v>
      </c>
      <c r="X1953">
        <v>0</v>
      </c>
      <c r="Y1953">
        <v>1</v>
      </c>
      <c r="Z1953">
        <v>0</v>
      </c>
    </row>
    <row r="1954" spans="1:26" x14ac:dyDescent="0.2">
      <c r="A1954" t="s">
        <v>2072</v>
      </c>
      <c r="B1954" t="s">
        <v>44</v>
      </c>
      <c r="C1954">
        <v>2014</v>
      </c>
      <c r="D1954" t="s">
        <v>73</v>
      </c>
      <c r="E1954" t="s">
        <v>70</v>
      </c>
      <c r="F1954" t="s">
        <v>73</v>
      </c>
      <c r="G1954">
        <v>32384</v>
      </c>
      <c r="H1954">
        <v>25907.200000000001</v>
      </c>
      <c r="I1954" s="13">
        <v>0.33333333333333331</v>
      </c>
      <c r="J1954" t="s">
        <v>6207</v>
      </c>
      <c r="K1954">
        <v>2</v>
      </c>
      <c r="L1954">
        <v>1</v>
      </c>
      <c r="M1954" t="s">
        <v>0</v>
      </c>
      <c r="N1954" s="2">
        <v>0.55000000000000004</v>
      </c>
      <c r="O1954" s="2">
        <v>0.45</v>
      </c>
      <c r="P1954">
        <v>12</v>
      </c>
      <c r="Q1954">
        <v>17</v>
      </c>
      <c r="R1954">
        <v>6</v>
      </c>
      <c r="S1954">
        <v>3</v>
      </c>
      <c r="T1954">
        <v>12</v>
      </c>
      <c r="U1954">
        <v>11</v>
      </c>
      <c r="V1954">
        <v>2</v>
      </c>
      <c r="W1954">
        <v>1</v>
      </c>
      <c r="X1954">
        <v>0</v>
      </c>
      <c r="Y1954">
        <v>0</v>
      </c>
      <c r="Z1954">
        <v>0</v>
      </c>
    </row>
    <row r="1955" spans="1:26" x14ac:dyDescent="0.2">
      <c r="A1955" t="s">
        <v>2073</v>
      </c>
      <c r="B1955" t="s">
        <v>50</v>
      </c>
      <c r="C1955">
        <v>2014</v>
      </c>
      <c r="D1955" t="s">
        <v>48</v>
      </c>
      <c r="E1955" t="s">
        <v>23</v>
      </c>
      <c r="F1955" t="s">
        <v>49</v>
      </c>
      <c r="G1955">
        <v>74197</v>
      </c>
      <c r="H1955">
        <v>59357.600000000006</v>
      </c>
      <c r="I1955" s="13">
        <v>0.8</v>
      </c>
      <c r="J1955" t="s">
        <v>6207</v>
      </c>
      <c r="K1955">
        <v>2</v>
      </c>
      <c r="L1955">
        <v>1</v>
      </c>
      <c r="M1955" t="s">
        <v>0</v>
      </c>
      <c r="N1955" s="2">
        <v>0.56999999999999995</v>
      </c>
      <c r="O1955" s="2">
        <v>0.43</v>
      </c>
      <c r="P1955">
        <v>16</v>
      </c>
      <c r="Q1955">
        <v>12</v>
      </c>
      <c r="R1955">
        <v>7</v>
      </c>
      <c r="S1955">
        <v>10</v>
      </c>
      <c r="T1955">
        <v>10</v>
      </c>
      <c r="U1955">
        <v>12</v>
      </c>
      <c r="V1955">
        <v>1</v>
      </c>
      <c r="W1955">
        <v>3</v>
      </c>
      <c r="X1955">
        <v>1</v>
      </c>
      <c r="Y1955">
        <v>0</v>
      </c>
      <c r="Z1955">
        <v>0</v>
      </c>
    </row>
    <row r="1956" spans="1:26" x14ac:dyDescent="0.2">
      <c r="A1956" t="s">
        <v>2074</v>
      </c>
      <c r="B1956" t="s">
        <v>61</v>
      </c>
      <c r="C1956">
        <v>2014</v>
      </c>
      <c r="D1956" t="s">
        <v>19</v>
      </c>
      <c r="E1956" t="s">
        <v>40</v>
      </c>
      <c r="F1956" t="s">
        <v>19</v>
      </c>
      <c r="G1956">
        <v>25586</v>
      </c>
      <c r="H1956">
        <v>20468.800000000003</v>
      </c>
      <c r="I1956" s="13">
        <v>1</v>
      </c>
      <c r="J1956" t="s">
        <v>6207</v>
      </c>
      <c r="K1956">
        <v>2</v>
      </c>
      <c r="L1956">
        <v>4</v>
      </c>
      <c r="M1956" t="s">
        <v>1</v>
      </c>
      <c r="N1956" s="2">
        <v>0.4</v>
      </c>
      <c r="O1956" s="2">
        <v>0.6</v>
      </c>
      <c r="P1956">
        <v>4</v>
      </c>
      <c r="Q1956">
        <v>11</v>
      </c>
      <c r="R1956">
        <v>3</v>
      </c>
      <c r="S1956">
        <v>8</v>
      </c>
      <c r="T1956">
        <v>10</v>
      </c>
      <c r="U1956">
        <v>6</v>
      </c>
      <c r="V1956">
        <v>0</v>
      </c>
      <c r="W1956">
        <v>2</v>
      </c>
      <c r="X1956">
        <v>0</v>
      </c>
      <c r="Y1956">
        <v>0</v>
      </c>
      <c r="Z1956">
        <v>1</v>
      </c>
    </row>
    <row r="1957" spans="1:26" x14ac:dyDescent="0.2">
      <c r="A1957" t="s">
        <v>2075</v>
      </c>
      <c r="B1957" t="s">
        <v>82</v>
      </c>
      <c r="C1957">
        <v>2014</v>
      </c>
      <c r="D1957" t="s">
        <v>79</v>
      </c>
      <c r="E1957" t="s">
        <v>80</v>
      </c>
      <c r="F1957" t="s">
        <v>20</v>
      </c>
      <c r="G1957">
        <v>25486</v>
      </c>
      <c r="H1957">
        <v>20388.800000000003</v>
      </c>
      <c r="I1957" s="13">
        <v>0</v>
      </c>
      <c r="J1957" t="s">
        <v>6209</v>
      </c>
      <c r="K1957">
        <v>2</v>
      </c>
      <c r="L1957">
        <v>0</v>
      </c>
      <c r="M1957" t="s">
        <v>0</v>
      </c>
      <c r="N1957" s="2">
        <v>0.4</v>
      </c>
      <c r="O1957" s="2">
        <v>0.6</v>
      </c>
      <c r="P1957">
        <v>9</v>
      </c>
      <c r="Q1957">
        <v>15</v>
      </c>
      <c r="R1957">
        <v>6</v>
      </c>
      <c r="S1957">
        <v>6</v>
      </c>
      <c r="T1957">
        <v>14</v>
      </c>
      <c r="U1957">
        <v>9</v>
      </c>
      <c r="V1957">
        <v>0</v>
      </c>
      <c r="W1957">
        <v>2</v>
      </c>
      <c r="X1957">
        <v>0</v>
      </c>
      <c r="Y1957">
        <v>0</v>
      </c>
      <c r="Z1957">
        <v>0</v>
      </c>
    </row>
    <row r="1958" spans="1:26" x14ac:dyDescent="0.2">
      <c r="A1958" t="s">
        <v>2076</v>
      </c>
      <c r="B1958" t="s">
        <v>52</v>
      </c>
      <c r="C1958">
        <v>2014</v>
      </c>
      <c r="D1958" t="s">
        <v>18</v>
      </c>
      <c r="E1958" t="s">
        <v>42</v>
      </c>
      <c r="F1958" t="s">
        <v>20</v>
      </c>
      <c r="G1958">
        <v>40341</v>
      </c>
      <c r="H1958">
        <v>32272.800000000003</v>
      </c>
      <c r="I1958" s="13">
        <v>0.5</v>
      </c>
      <c r="J1958" t="s">
        <v>6207</v>
      </c>
      <c r="K1958">
        <v>3</v>
      </c>
      <c r="L1958">
        <v>0</v>
      </c>
      <c r="M1958" t="s">
        <v>0</v>
      </c>
      <c r="N1958" s="2">
        <v>0.63</v>
      </c>
      <c r="O1958" s="2">
        <v>0.37</v>
      </c>
      <c r="P1958">
        <v>9</v>
      </c>
      <c r="Q1958">
        <v>17</v>
      </c>
      <c r="R1958">
        <v>9</v>
      </c>
      <c r="S1958">
        <v>2</v>
      </c>
      <c r="T1958">
        <v>11</v>
      </c>
      <c r="U1958">
        <v>9</v>
      </c>
      <c r="V1958">
        <v>2</v>
      </c>
      <c r="W1958">
        <v>2</v>
      </c>
      <c r="X1958">
        <v>0</v>
      </c>
      <c r="Y1958">
        <v>0</v>
      </c>
      <c r="Z1958">
        <v>0</v>
      </c>
    </row>
    <row r="1959" spans="1:26" x14ac:dyDescent="0.2">
      <c r="A1959" t="s">
        <v>2077</v>
      </c>
      <c r="B1959" t="s">
        <v>66</v>
      </c>
      <c r="C1959">
        <v>2014</v>
      </c>
      <c r="D1959" t="s">
        <v>46</v>
      </c>
      <c r="E1959" t="s">
        <v>51</v>
      </c>
      <c r="F1959" t="s">
        <v>20</v>
      </c>
      <c r="G1959">
        <v>60704</v>
      </c>
      <c r="H1959">
        <v>48563.200000000004</v>
      </c>
      <c r="I1959" s="13">
        <v>0.33333333333333331</v>
      </c>
      <c r="J1959" t="s">
        <v>6207</v>
      </c>
      <c r="K1959">
        <v>1</v>
      </c>
      <c r="L1959">
        <v>1</v>
      </c>
      <c r="M1959" t="s">
        <v>58</v>
      </c>
      <c r="N1959" s="2">
        <v>0.69</v>
      </c>
      <c r="O1959" s="2">
        <v>0.31</v>
      </c>
      <c r="P1959">
        <v>17</v>
      </c>
      <c r="Q1959">
        <v>10</v>
      </c>
      <c r="R1959">
        <v>15</v>
      </c>
      <c r="S1959">
        <v>5</v>
      </c>
      <c r="T1959">
        <v>7</v>
      </c>
      <c r="U1959">
        <v>16</v>
      </c>
      <c r="V1959">
        <v>3</v>
      </c>
      <c r="W1959">
        <v>6</v>
      </c>
      <c r="X1959">
        <v>0</v>
      </c>
      <c r="Y1959">
        <v>0</v>
      </c>
      <c r="Z1959">
        <v>0</v>
      </c>
    </row>
    <row r="1960" spans="1:26" x14ac:dyDescent="0.2">
      <c r="A1960" t="s">
        <v>2078</v>
      </c>
      <c r="B1960" t="s">
        <v>68</v>
      </c>
      <c r="C1960">
        <v>2014</v>
      </c>
      <c r="D1960" t="s">
        <v>63</v>
      </c>
      <c r="E1960" t="s">
        <v>28</v>
      </c>
      <c r="F1960" t="s">
        <v>65</v>
      </c>
      <c r="G1960">
        <v>26804</v>
      </c>
      <c r="H1960">
        <v>21443.200000000001</v>
      </c>
      <c r="I1960" s="13">
        <v>0</v>
      </c>
      <c r="J1960" t="s">
        <v>6207</v>
      </c>
      <c r="K1960">
        <v>4</v>
      </c>
      <c r="L1960">
        <v>0</v>
      </c>
      <c r="M1960" t="s">
        <v>0</v>
      </c>
      <c r="N1960" s="2">
        <v>0.63</v>
      </c>
      <c r="O1960" s="2">
        <v>0.37</v>
      </c>
      <c r="P1960">
        <v>12</v>
      </c>
      <c r="Q1960">
        <v>8</v>
      </c>
      <c r="R1960">
        <v>10</v>
      </c>
      <c r="S1960">
        <v>2</v>
      </c>
      <c r="T1960">
        <v>7</v>
      </c>
      <c r="U1960">
        <v>9</v>
      </c>
      <c r="V1960">
        <v>1</v>
      </c>
      <c r="W1960">
        <v>2</v>
      </c>
      <c r="X1960">
        <v>0</v>
      </c>
      <c r="Y1960">
        <v>0</v>
      </c>
      <c r="Z1960">
        <v>0</v>
      </c>
    </row>
    <row r="1961" spans="1:26" x14ac:dyDescent="0.2">
      <c r="A1961" t="s">
        <v>2079</v>
      </c>
      <c r="B1961" t="s">
        <v>76</v>
      </c>
      <c r="C1961">
        <v>2014</v>
      </c>
      <c r="D1961" t="s">
        <v>27</v>
      </c>
      <c r="E1961" t="s">
        <v>64</v>
      </c>
      <c r="F1961" t="s">
        <v>27</v>
      </c>
      <c r="G1961">
        <v>30089</v>
      </c>
      <c r="H1961">
        <v>24071.200000000001</v>
      </c>
      <c r="I1961" s="13">
        <v>0.66666666666666663</v>
      </c>
      <c r="J1961" t="s">
        <v>6207</v>
      </c>
      <c r="K1961">
        <v>1</v>
      </c>
      <c r="L1961">
        <v>0</v>
      </c>
      <c r="M1961" t="s">
        <v>0</v>
      </c>
      <c r="N1961" s="2">
        <v>0.44</v>
      </c>
      <c r="O1961" s="2">
        <v>0.56000000000000005</v>
      </c>
      <c r="P1961">
        <v>15</v>
      </c>
      <c r="Q1961">
        <v>23</v>
      </c>
      <c r="R1961">
        <v>2</v>
      </c>
      <c r="S1961">
        <v>10</v>
      </c>
      <c r="T1961">
        <v>20</v>
      </c>
      <c r="U1961">
        <v>15</v>
      </c>
      <c r="V1961">
        <v>1</v>
      </c>
      <c r="W1961">
        <v>2</v>
      </c>
      <c r="X1961">
        <v>0</v>
      </c>
      <c r="Y1961">
        <v>0</v>
      </c>
      <c r="Z1961">
        <v>0</v>
      </c>
    </row>
    <row r="1962" spans="1:26" x14ac:dyDescent="0.2">
      <c r="A1962" t="s">
        <v>2080</v>
      </c>
      <c r="B1962" t="s">
        <v>50</v>
      </c>
      <c r="C1962">
        <v>2014</v>
      </c>
      <c r="D1962" t="s">
        <v>71</v>
      </c>
      <c r="E1962" t="s">
        <v>64</v>
      </c>
      <c r="F1962" t="s">
        <v>71</v>
      </c>
      <c r="G1962">
        <v>21088</v>
      </c>
      <c r="H1962">
        <v>16870.400000000001</v>
      </c>
      <c r="I1962" s="13">
        <v>0.5</v>
      </c>
      <c r="J1962" t="s">
        <v>6207</v>
      </c>
      <c r="K1962">
        <v>2</v>
      </c>
      <c r="L1962">
        <v>2</v>
      </c>
      <c r="M1962" t="s">
        <v>58</v>
      </c>
      <c r="N1962" s="2">
        <v>0.64</v>
      </c>
      <c r="O1962" s="2">
        <v>0.36</v>
      </c>
      <c r="P1962">
        <v>17</v>
      </c>
      <c r="Q1962">
        <v>14</v>
      </c>
      <c r="R1962">
        <v>3</v>
      </c>
      <c r="S1962">
        <v>1</v>
      </c>
      <c r="T1962">
        <v>11</v>
      </c>
      <c r="U1962">
        <v>15</v>
      </c>
      <c r="V1962">
        <v>1</v>
      </c>
      <c r="W1962">
        <v>3</v>
      </c>
      <c r="X1962">
        <v>0</v>
      </c>
      <c r="Y1962">
        <v>0</v>
      </c>
      <c r="Z1962">
        <v>0</v>
      </c>
    </row>
    <row r="1963" spans="1:26" x14ac:dyDescent="0.2">
      <c r="A1963" t="s">
        <v>2081</v>
      </c>
      <c r="B1963" t="s">
        <v>67</v>
      </c>
      <c r="C1963">
        <v>2014</v>
      </c>
      <c r="D1963" t="s">
        <v>35</v>
      </c>
      <c r="E1963" t="s">
        <v>27</v>
      </c>
      <c r="F1963" t="s">
        <v>35</v>
      </c>
      <c r="G1963">
        <v>49000</v>
      </c>
      <c r="H1963">
        <v>39200</v>
      </c>
      <c r="I1963" s="13">
        <v>0.5714285714285714</v>
      </c>
      <c r="J1963" t="s">
        <v>6207</v>
      </c>
      <c r="K1963">
        <v>3</v>
      </c>
      <c r="L1963">
        <v>1</v>
      </c>
      <c r="M1963" t="s">
        <v>0</v>
      </c>
      <c r="N1963" s="2">
        <v>0.39</v>
      </c>
      <c r="O1963" s="2">
        <v>0.61</v>
      </c>
      <c r="P1963">
        <v>19</v>
      </c>
      <c r="Q1963">
        <v>14</v>
      </c>
      <c r="R1963">
        <v>7</v>
      </c>
      <c r="S1963">
        <v>4</v>
      </c>
      <c r="T1963">
        <v>10</v>
      </c>
      <c r="U1963">
        <v>17</v>
      </c>
      <c r="V1963">
        <v>3</v>
      </c>
      <c r="W1963">
        <v>4</v>
      </c>
      <c r="X1963">
        <v>0</v>
      </c>
      <c r="Y1963">
        <v>0</v>
      </c>
      <c r="Z1963">
        <v>0</v>
      </c>
    </row>
    <row r="1964" spans="1:26" x14ac:dyDescent="0.2">
      <c r="A1964" t="s">
        <v>2082</v>
      </c>
      <c r="B1964" t="s">
        <v>66</v>
      </c>
      <c r="C1964">
        <v>2014</v>
      </c>
      <c r="D1964" t="s">
        <v>26</v>
      </c>
      <c r="E1964" t="s">
        <v>63</v>
      </c>
      <c r="F1964" t="s">
        <v>26</v>
      </c>
      <c r="G1964">
        <v>61276</v>
      </c>
      <c r="H1964">
        <v>49020.800000000003</v>
      </c>
      <c r="I1964" s="13">
        <v>0.25</v>
      </c>
      <c r="J1964" t="s">
        <v>6207</v>
      </c>
      <c r="K1964">
        <v>2</v>
      </c>
      <c r="L1964">
        <v>1</v>
      </c>
      <c r="M1964" t="s">
        <v>0</v>
      </c>
      <c r="N1964" s="2">
        <v>0.55000000000000004</v>
      </c>
      <c r="O1964" s="2">
        <v>0.45</v>
      </c>
      <c r="P1964">
        <v>17</v>
      </c>
      <c r="Q1964">
        <v>14</v>
      </c>
      <c r="R1964">
        <v>5</v>
      </c>
      <c r="S1964">
        <v>5</v>
      </c>
      <c r="T1964">
        <v>12</v>
      </c>
      <c r="U1964">
        <v>15</v>
      </c>
      <c r="V1964">
        <v>2</v>
      </c>
      <c r="W1964">
        <v>2</v>
      </c>
      <c r="X1964">
        <v>0</v>
      </c>
      <c r="Y1964">
        <v>0</v>
      </c>
      <c r="Z1964">
        <v>1</v>
      </c>
    </row>
    <row r="1965" spans="1:26" x14ac:dyDescent="0.2">
      <c r="A1965" t="s">
        <v>2083</v>
      </c>
      <c r="B1965" t="s">
        <v>52</v>
      </c>
      <c r="C1965">
        <v>2014</v>
      </c>
      <c r="D1965" t="s">
        <v>80</v>
      </c>
      <c r="E1965" t="s">
        <v>28</v>
      </c>
      <c r="F1965" t="s">
        <v>80</v>
      </c>
      <c r="G1965">
        <v>32261</v>
      </c>
      <c r="H1965">
        <v>25808.800000000003</v>
      </c>
      <c r="I1965" s="13">
        <v>0.75</v>
      </c>
      <c r="J1965" t="s">
        <v>6207</v>
      </c>
      <c r="K1965">
        <v>2</v>
      </c>
      <c r="L1965">
        <v>2</v>
      </c>
      <c r="M1965" t="s">
        <v>58</v>
      </c>
      <c r="N1965" s="2">
        <v>0.54</v>
      </c>
      <c r="O1965" s="2">
        <v>0.46</v>
      </c>
      <c r="P1965">
        <v>13</v>
      </c>
      <c r="Q1965">
        <v>13</v>
      </c>
      <c r="R1965">
        <v>9</v>
      </c>
      <c r="S1965">
        <v>3</v>
      </c>
      <c r="T1965">
        <v>16</v>
      </c>
      <c r="U1965">
        <v>12</v>
      </c>
      <c r="V1965">
        <v>2</v>
      </c>
      <c r="W1965">
        <v>2</v>
      </c>
      <c r="X1965">
        <v>0</v>
      </c>
      <c r="Y1965">
        <v>0</v>
      </c>
      <c r="Z1965">
        <v>0</v>
      </c>
    </row>
    <row r="1966" spans="1:26" x14ac:dyDescent="0.2">
      <c r="A1966" t="s">
        <v>2084</v>
      </c>
      <c r="B1966" t="s">
        <v>41</v>
      </c>
      <c r="C1966">
        <v>2014</v>
      </c>
      <c r="D1966" t="s">
        <v>19</v>
      </c>
      <c r="E1966" t="s">
        <v>79</v>
      </c>
      <c r="F1966" t="s">
        <v>19</v>
      </c>
      <c r="G1966">
        <v>25586</v>
      </c>
      <c r="H1966">
        <v>20468.800000000003</v>
      </c>
      <c r="I1966" s="13">
        <v>0.33333333333333331</v>
      </c>
      <c r="J1966" t="s">
        <v>6207</v>
      </c>
      <c r="K1966">
        <v>2</v>
      </c>
      <c r="L1966">
        <v>0</v>
      </c>
      <c r="M1966" t="s">
        <v>0</v>
      </c>
      <c r="N1966" s="2">
        <v>0.59</v>
      </c>
      <c r="O1966" s="2">
        <v>0.41</v>
      </c>
      <c r="P1966">
        <v>12</v>
      </c>
      <c r="Q1966">
        <v>6</v>
      </c>
      <c r="R1966">
        <v>6</v>
      </c>
      <c r="S1966">
        <v>7</v>
      </c>
      <c r="T1966">
        <v>6</v>
      </c>
      <c r="U1966">
        <v>14</v>
      </c>
      <c r="V1966">
        <v>1</v>
      </c>
      <c r="W1966">
        <v>2</v>
      </c>
      <c r="X1966">
        <v>0</v>
      </c>
      <c r="Y1966">
        <v>0</v>
      </c>
      <c r="Z1966">
        <v>0</v>
      </c>
    </row>
    <row r="1967" spans="1:26" x14ac:dyDescent="0.2">
      <c r="A1967" t="s">
        <v>2085</v>
      </c>
      <c r="B1967" t="s">
        <v>25</v>
      </c>
      <c r="C1967">
        <v>2014</v>
      </c>
      <c r="D1967" t="s">
        <v>42</v>
      </c>
      <c r="E1967" t="s">
        <v>40</v>
      </c>
      <c r="F1967" t="s">
        <v>38</v>
      </c>
      <c r="G1967">
        <v>42918</v>
      </c>
      <c r="H1967">
        <v>34334.400000000001</v>
      </c>
      <c r="I1967" s="13">
        <v>1</v>
      </c>
      <c r="J1967" t="s">
        <v>6207</v>
      </c>
      <c r="K1967">
        <v>0</v>
      </c>
      <c r="L1967">
        <v>2</v>
      </c>
      <c r="M1967" t="s">
        <v>1</v>
      </c>
      <c r="N1967" s="2">
        <v>0.32</v>
      </c>
      <c r="O1967" s="2">
        <v>0.68</v>
      </c>
      <c r="P1967">
        <v>9</v>
      </c>
      <c r="Q1967">
        <v>5</v>
      </c>
      <c r="R1967">
        <v>0</v>
      </c>
      <c r="S1967">
        <v>7</v>
      </c>
      <c r="T1967">
        <v>4</v>
      </c>
      <c r="U1967">
        <v>6</v>
      </c>
      <c r="V1967">
        <v>0</v>
      </c>
      <c r="W1967">
        <v>1</v>
      </c>
      <c r="X1967">
        <v>0</v>
      </c>
      <c r="Y1967">
        <v>0</v>
      </c>
      <c r="Z1967">
        <v>0</v>
      </c>
    </row>
    <row r="1968" spans="1:26" x14ac:dyDescent="0.2">
      <c r="A1968" t="s">
        <v>2086</v>
      </c>
      <c r="B1968" t="s">
        <v>60</v>
      </c>
      <c r="C1968">
        <v>2014</v>
      </c>
      <c r="D1968" t="s">
        <v>48</v>
      </c>
      <c r="E1968" t="s">
        <v>45</v>
      </c>
      <c r="F1968" t="s">
        <v>49</v>
      </c>
      <c r="G1968">
        <v>74197</v>
      </c>
      <c r="H1968">
        <v>59357.600000000006</v>
      </c>
      <c r="I1968" s="13">
        <v>0.7142857142857143</v>
      </c>
      <c r="J1968" t="s">
        <v>6208</v>
      </c>
      <c r="K1968">
        <v>2</v>
      </c>
      <c r="L1968">
        <v>1</v>
      </c>
      <c r="M1968" t="s">
        <v>0</v>
      </c>
      <c r="N1968" s="2">
        <v>0.49</v>
      </c>
      <c r="O1968" s="2">
        <v>0.51</v>
      </c>
      <c r="P1968">
        <v>13</v>
      </c>
      <c r="Q1968">
        <v>18</v>
      </c>
      <c r="R1968">
        <v>11</v>
      </c>
      <c r="S1968">
        <v>6</v>
      </c>
      <c r="T1968">
        <v>18</v>
      </c>
      <c r="U1968">
        <v>11</v>
      </c>
      <c r="V1968">
        <v>4</v>
      </c>
      <c r="W1968">
        <v>3</v>
      </c>
      <c r="X1968">
        <v>0</v>
      </c>
      <c r="Y1968">
        <v>0</v>
      </c>
      <c r="Z1968">
        <v>1</v>
      </c>
    </row>
    <row r="1969" spans="1:26" x14ac:dyDescent="0.2">
      <c r="A1969" t="s">
        <v>2087</v>
      </c>
      <c r="B1969" t="s">
        <v>53</v>
      </c>
      <c r="C1969">
        <v>2014</v>
      </c>
      <c r="D1969" t="s">
        <v>51</v>
      </c>
      <c r="E1969" t="s">
        <v>73</v>
      </c>
      <c r="F1969" t="s">
        <v>20</v>
      </c>
      <c r="G1969">
        <v>36284</v>
      </c>
      <c r="H1969">
        <v>29027.200000000001</v>
      </c>
      <c r="I1969" s="13">
        <v>1</v>
      </c>
      <c r="J1969" t="s">
        <v>6207</v>
      </c>
      <c r="K1969">
        <v>1</v>
      </c>
      <c r="L1969">
        <v>0</v>
      </c>
      <c r="M1969" t="s">
        <v>0</v>
      </c>
      <c r="N1969" s="2">
        <v>0.45</v>
      </c>
      <c r="O1969" s="2">
        <v>0.55000000000000004</v>
      </c>
      <c r="P1969">
        <v>11</v>
      </c>
      <c r="Q1969">
        <v>19</v>
      </c>
      <c r="R1969">
        <v>10</v>
      </c>
      <c r="S1969">
        <v>5</v>
      </c>
      <c r="T1969">
        <v>15</v>
      </c>
      <c r="U1969">
        <v>9</v>
      </c>
      <c r="V1969">
        <v>2</v>
      </c>
      <c r="W1969">
        <v>1</v>
      </c>
      <c r="X1969">
        <v>0</v>
      </c>
      <c r="Y1969">
        <v>0</v>
      </c>
      <c r="Z1969">
        <v>0</v>
      </c>
    </row>
    <row r="1970" spans="1:26" x14ac:dyDescent="0.2">
      <c r="A1970" t="s">
        <v>2088</v>
      </c>
      <c r="B1970" t="s">
        <v>32</v>
      </c>
      <c r="C1970">
        <v>2014</v>
      </c>
      <c r="D1970" t="s">
        <v>18</v>
      </c>
      <c r="E1970" t="s">
        <v>46</v>
      </c>
      <c r="F1970" t="s">
        <v>20</v>
      </c>
      <c r="G1970">
        <v>40341</v>
      </c>
      <c r="H1970">
        <v>32272.800000000003</v>
      </c>
      <c r="I1970" s="13">
        <v>0.5714285714285714</v>
      </c>
      <c r="J1970" t="s">
        <v>6207</v>
      </c>
      <c r="K1970">
        <v>2</v>
      </c>
      <c r="L1970">
        <v>0</v>
      </c>
      <c r="M1970" t="s">
        <v>0</v>
      </c>
      <c r="N1970" s="2">
        <v>0.47</v>
      </c>
      <c r="O1970" s="2">
        <v>0.53</v>
      </c>
      <c r="P1970">
        <v>8</v>
      </c>
      <c r="Q1970">
        <v>17</v>
      </c>
      <c r="R1970">
        <v>2</v>
      </c>
      <c r="S1970">
        <v>2</v>
      </c>
      <c r="T1970">
        <v>14</v>
      </c>
      <c r="U1970">
        <v>10</v>
      </c>
      <c r="V1970">
        <v>4</v>
      </c>
      <c r="W1970">
        <v>3</v>
      </c>
      <c r="X1970">
        <v>0</v>
      </c>
      <c r="Y1970">
        <v>0</v>
      </c>
      <c r="Z1970">
        <v>1</v>
      </c>
    </row>
    <row r="1971" spans="1:26" x14ac:dyDescent="0.2">
      <c r="A1971" t="s">
        <v>2089</v>
      </c>
      <c r="B1971" t="s">
        <v>61</v>
      </c>
      <c r="C1971">
        <v>2014</v>
      </c>
      <c r="D1971" t="s">
        <v>23</v>
      </c>
      <c r="E1971" t="s">
        <v>70</v>
      </c>
      <c r="F1971" t="s">
        <v>20</v>
      </c>
      <c r="G1971">
        <v>62500</v>
      </c>
      <c r="H1971">
        <v>50000</v>
      </c>
      <c r="I1971" s="13">
        <v>0.25</v>
      </c>
      <c r="J1971" t="s">
        <v>6207</v>
      </c>
      <c r="K1971">
        <v>2</v>
      </c>
      <c r="L1971">
        <v>0</v>
      </c>
      <c r="M1971" t="s">
        <v>0</v>
      </c>
      <c r="N1971" s="2">
        <v>0.48</v>
      </c>
      <c r="O1971" s="2">
        <v>0.52</v>
      </c>
      <c r="P1971">
        <v>13</v>
      </c>
      <c r="Q1971">
        <v>13</v>
      </c>
      <c r="R1971">
        <v>7</v>
      </c>
      <c r="S1971">
        <v>5</v>
      </c>
      <c r="T1971">
        <v>10</v>
      </c>
      <c r="U1971">
        <v>11</v>
      </c>
      <c r="V1971">
        <v>2</v>
      </c>
      <c r="W1971">
        <v>2</v>
      </c>
      <c r="X1971">
        <v>0</v>
      </c>
      <c r="Y1971">
        <v>0</v>
      </c>
      <c r="Z1971">
        <v>0</v>
      </c>
    </row>
    <row r="1972" spans="1:26" x14ac:dyDescent="0.2">
      <c r="A1972" t="s">
        <v>2090</v>
      </c>
      <c r="B1972" t="s">
        <v>68</v>
      </c>
      <c r="C1972">
        <v>2014</v>
      </c>
      <c r="D1972" t="s">
        <v>40</v>
      </c>
      <c r="E1972" t="s">
        <v>51</v>
      </c>
      <c r="F1972" t="s">
        <v>49</v>
      </c>
      <c r="G1972">
        <v>53400</v>
      </c>
      <c r="H1972">
        <v>42720</v>
      </c>
      <c r="I1972" s="13">
        <v>0.5</v>
      </c>
      <c r="J1972" t="s">
        <v>6207</v>
      </c>
      <c r="K1972">
        <v>4</v>
      </c>
      <c r="L1972">
        <v>1</v>
      </c>
      <c r="M1972" t="s">
        <v>0</v>
      </c>
      <c r="N1972" s="2">
        <v>0.62</v>
      </c>
      <c r="O1972" s="2">
        <v>0.38</v>
      </c>
      <c r="P1972">
        <v>8</v>
      </c>
      <c r="Q1972">
        <v>10</v>
      </c>
      <c r="R1972">
        <v>3</v>
      </c>
      <c r="S1972">
        <v>4</v>
      </c>
      <c r="T1972">
        <v>11</v>
      </c>
      <c r="U1972">
        <v>9</v>
      </c>
      <c r="V1972">
        <v>1</v>
      </c>
      <c r="W1972">
        <v>2</v>
      </c>
      <c r="X1972">
        <v>0</v>
      </c>
      <c r="Y1972">
        <v>1</v>
      </c>
      <c r="Z1972">
        <v>4</v>
      </c>
    </row>
    <row r="1973" spans="1:26" x14ac:dyDescent="0.2">
      <c r="A1973" t="s">
        <v>2091</v>
      </c>
      <c r="B1973" t="s">
        <v>37</v>
      </c>
      <c r="C1973">
        <v>2014</v>
      </c>
      <c r="D1973" t="s">
        <v>73</v>
      </c>
      <c r="E1973" t="s">
        <v>35</v>
      </c>
      <c r="F1973" t="s">
        <v>73</v>
      </c>
      <c r="G1973">
        <v>32384</v>
      </c>
      <c r="H1973">
        <v>25907.200000000001</v>
      </c>
      <c r="I1973" s="13">
        <v>0.25</v>
      </c>
      <c r="J1973" t="s">
        <v>6206</v>
      </c>
      <c r="K1973">
        <v>8</v>
      </c>
      <c r="L1973">
        <v>0</v>
      </c>
      <c r="M1973" t="s">
        <v>0</v>
      </c>
      <c r="N1973" s="2">
        <v>0.53</v>
      </c>
      <c r="O1973" s="2">
        <v>0.47</v>
      </c>
      <c r="P1973">
        <v>8</v>
      </c>
      <c r="Q1973">
        <v>13</v>
      </c>
      <c r="R1973">
        <v>5</v>
      </c>
      <c r="S1973">
        <v>6</v>
      </c>
      <c r="T1973">
        <v>11</v>
      </c>
      <c r="U1973">
        <v>8</v>
      </c>
      <c r="V1973">
        <v>1</v>
      </c>
      <c r="W1973">
        <v>3</v>
      </c>
      <c r="X1973">
        <v>0</v>
      </c>
      <c r="Y1973">
        <v>0</v>
      </c>
      <c r="Z1973">
        <v>0</v>
      </c>
    </row>
    <row r="1974" spans="1:26" x14ac:dyDescent="0.2">
      <c r="A1974" t="s">
        <v>2092</v>
      </c>
      <c r="B1974" t="s">
        <v>32</v>
      </c>
      <c r="C1974">
        <v>2014</v>
      </c>
      <c r="D1974" t="s">
        <v>64</v>
      </c>
      <c r="E1974" t="s">
        <v>80</v>
      </c>
      <c r="F1974" t="s">
        <v>64</v>
      </c>
      <c r="G1974">
        <v>52264</v>
      </c>
      <c r="H1974">
        <v>41811.200000000004</v>
      </c>
      <c r="I1974" s="13">
        <v>1</v>
      </c>
      <c r="J1974" t="s">
        <v>6207</v>
      </c>
      <c r="K1974">
        <v>1</v>
      </c>
      <c r="L1974">
        <v>0</v>
      </c>
      <c r="M1974" t="s">
        <v>0</v>
      </c>
      <c r="N1974" s="2">
        <v>0.5</v>
      </c>
      <c r="O1974" s="2">
        <v>0.5</v>
      </c>
      <c r="P1974">
        <v>15</v>
      </c>
      <c r="Q1974">
        <v>15</v>
      </c>
      <c r="R1974">
        <v>10</v>
      </c>
      <c r="S1974">
        <v>7</v>
      </c>
      <c r="T1974">
        <v>13</v>
      </c>
      <c r="U1974">
        <v>15</v>
      </c>
      <c r="V1974">
        <v>0</v>
      </c>
      <c r="W1974">
        <v>3</v>
      </c>
      <c r="X1974">
        <v>0</v>
      </c>
      <c r="Y1974">
        <v>0</v>
      </c>
      <c r="Z1974">
        <v>0</v>
      </c>
    </row>
    <row r="1975" spans="1:26" x14ac:dyDescent="0.2">
      <c r="A1975" t="s">
        <v>2093</v>
      </c>
      <c r="B1975" t="s">
        <v>61</v>
      </c>
      <c r="C1975">
        <v>2014</v>
      </c>
      <c r="D1975" t="s">
        <v>45</v>
      </c>
      <c r="E1975" t="s">
        <v>42</v>
      </c>
      <c r="F1975" t="s">
        <v>26</v>
      </c>
      <c r="G1975">
        <v>39572</v>
      </c>
      <c r="H1975">
        <v>31657.600000000002</v>
      </c>
      <c r="I1975" s="13">
        <v>0</v>
      </c>
      <c r="J1975" t="s">
        <v>6207</v>
      </c>
      <c r="K1975">
        <v>3</v>
      </c>
      <c r="L1975">
        <v>0</v>
      </c>
      <c r="M1975" t="s">
        <v>0</v>
      </c>
      <c r="N1975" s="2">
        <v>0.61</v>
      </c>
      <c r="O1975" s="2">
        <v>0.39</v>
      </c>
      <c r="P1975">
        <v>15</v>
      </c>
      <c r="Q1975">
        <v>13</v>
      </c>
      <c r="R1975">
        <v>3</v>
      </c>
      <c r="S1975">
        <v>4</v>
      </c>
      <c r="T1975">
        <v>11</v>
      </c>
      <c r="U1975">
        <v>16</v>
      </c>
      <c r="V1975">
        <v>2</v>
      </c>
      <c r="W1975">
        <v>2</v>
      </c>
      <c r="X1975">
        <v>0</v>
      </c>
      <c r="Y1975">
        <v>0</v>
      </c>
      <c r="Z1975">
        <v>0</v>
      </c>
    </row>
    <row r="1976" spans="1:26" x14ac:dyDescent="0.2">
      <c r="A1976" t="s">
        <v>2094</v>
      </c>
      <c r="B1976" t="s">
        <v>76</v>
      </c>
      <c r="C1976">
        <v>2014</v>
      </c>
      <c r="D1976" t="s">
        <v>79</v>
      </c>
      <c r="E1976" t="s">
        <v>18</v>
      </c>
      <c r="F1976" t="s">
        <v>20</v>
      </c>
      <c r="G1976">
        <v>25486</v>
      </c>
      <c r="H1976">
        <v>20388.800000000003</v>
      </c>
      <c r="I1976" s="13">
        <v>0.6</v>
      </c>
      <c r="J1976" t="s">
        <v>6207</v>
      </c>
      <c r="K1976">
        <v>1</v>
      </c>
      <c r="L1976">
        <v>2</v>
      </c>
      <c r="M1976" t="s">
        <v>1</v>
      </c>
      <c r="N1976" s="2">
        <v>0.28000000000000003</v>
      </c>
      <c r="O1976" s="2">
        <v>0.72</v>
      </c>
      <c r="P1976">
        <v>7</v>
      </c>
      <c r="Q1976">
        <v>14</v>
      </c>
      <c r="R1976">
        <v>3</v>
      </c>
      <c r="S1976">
        <v>2</v>
      </c>
      <c r="T1976">
        <v>13</v>
      </c>
      <c r="U1976">
        <v>7</v>
      </c>
      <c r="V1976">
        <v>2</v>
      </c>
      <c r="W1976">
        <v>1</v>
      </c>
      <c r="X1976">
        <v>1</v>
      </c>
      <c r="Y1976">
        <v>1</v>
      </c>
      <c r="Z1976">
        <v>0</v>
      </c>
    </row>
    <row r="1977" spans="1:26" x14ac:dyDescent="0.2">
      <c r="A1977" t="s">
        <v>2095</v>
      </c>
      <c r="B1977" t="s">
        <v>60</v>
      </c>
      <c r="C1977">
        <v>2014</v>
      </c>
      <c r="D1977" t="s">
        <v>28</v>
      </c>
      <c r="E1977" t="s">
        <v>23</v>
      </c>
      <c r="F1977" t="s">
        <v>28</v>
      </c>
      <c r="G1977">
        <v>21944</v>
      </c>
      <c r="H1977">
        <v>17555.2</v>
      </c>
      <c r="I1977" s="13">
        <v>1</v>
      </c>
      <c r="J1977" t="s">
        <v>6208</v>
      </c>
      <c r="K1977">
        <v>1</v>
      </c>
      <c r="L1977">
        <v>3</v>
      </c>
      <c r="M1977" t="s">
        <v>1</v>
      </c>
      <c r="N1977" s="2">
        <v>0.46</v>
      </c>
      <c r="O1977" s="2">
        <v>0.54</v>
      </c>
      <c r="P1977">
        <v>11</v>
      </c>
      <c r="Q1977">
        <v>6</v>
      </c>
      <c r="R1977">
        <v>5</v>
      </c>
      <c r="S1977">
        <v>7</v>
      </c>
      <c r="T1977">
        <v>3</v>
      </c>
      <c r="U1977">
        <v>10</v>
      </c>
      <c r="V1977">
        <v>0</v>
      </c>
      <c r="W1977">
        <v>1</v>
      </c>
      <c r="X1977">
        <v>0</v>
      </c>
      <c r="Y1977">
        <v>0</v>
      </c>
      <c r="Z1977">
        <v>0</v>
      </c>
    </row>
    <row r="1978" spans="1:26" x14ac:dyDescent="0.2">
      <c r="A1978" t="s">
        <v>2096</v>
      </c>
      <c r="B1978" t="s">
        <v>74</v>
      </c>
      <c r="C1978">
        <v>2014</v>
      </c>
      <c r="D1978" t="s">
        <v>46</v>
      </c>
      <c r="E1978" t="s">
        <v>19</v>
      </c>
      <c r="F1978" t="s">
        <v>20</v>
      </c>
      <c r="G1978">
        <v>60704</v>
      </c>
      <c r="H1978">
        <v>48563.200000000004</v>
      </c>
      <c r="I1978" s="13">
        <v>0.25</v>
      </c>
      <c r="J1978" t="s">
        <v>6208</v>
      </c>
      <c r="K1978">
        <v>2</v>
      </c>
      <c r="L1978">
        <v>2</v>
      </c>
      <c r="M1978" t="s">
        <v>58</v>
      </c>
      <c r="N1978" s="2">
        <v>0.67</v>
      </c>
      <c r="O1978" s="2">
        <v>0.33</v>
      </c>
      <c r="P1978">
        <v>13</v>
      </c>
      <c r="Q1978">
        <v>9</v>
      </c>
      <c r="R1978">
        <v>10</v>
      </c>
      <c r="S1978">
        <v>0</v>
      </c>
      <c r="T1978">
        <v>9</v>
      </c>
      <c r="U1978">
        <v>13</v>
      </c>
      <c r="V1978">
        <v>2</v>
      </c>
      <c r="W1978">
        <v>2</v>
      </c>
      <c r="X1978">
        <v>0</v>
      </c>
      <c r="Y1978">
        <v>0</v>
      </c>
      <c r="Z1978">
        <v>0</v>
      </c>
    </row>
    <row r="1979" spans="1:26" x14ac:dyDescent="0.2">
      <c r="A1979" t="s">
        <v>2097</v>
      </c>
      <c r="B1979" t="s">
        <v>52</v>
      </c>
      <c r="C1979">
        <v>2014</v>
      </c>
      <c r="D1979" t="s">
        <v>70</v>
      </c>
      <c r="E1979" t="s">
        <v>26</v>
      </c>
      <c r="F1979" t="s">
        <v>20</v>
      </c>
      <c r="G1979">
        <v>18439</v>
      </c>
      <c r="H1979">
        <v>14751.2</v>
      </c>
      <c r="I1979" s="13">
        <v>0.6</v>
      </c>
      <c r="J1979" t="s">
        <v>6207</v>
      </c>
      <c r="K1979">
        <v>2</v>
      </c>
      <c r="L1979">
        <v>3</v>
      </c>
      <c r="M1979" t="s">
        <v>1</v>
      </c>
      <c r="N1979" s="2">
        <v>0.44</v>
      </c>
      <c r="O1979" s="2">
        <v>0.56000000000000005</v>
      </c>
      <c r="P1979">
        <v>17</v>
      </c>
      <c r="Q1979">
        <v>11</v>
      </c>
      <c r="R1979">
        <v>7</v>
      </c>
      <c r="S1979">
        <v>2</v>
      </c>
      <c r="T1979">
        <v>10</v>
      </c>
      <c r="U1979">
        <v>15</v>
      </c>
      <c r="V1979">
        <v>2</v>
      </c>
      <c r="W1979">
        <v>3</v>
      </c>
      <c r="X1979">
        <v>0</v>
      </c>
      <c r="Y1979">
        <v>0</v>
      </c>
      <c r="Z1979">
        <v>0</v>
      </c>
    </row>
    <row r="1980" spans="1:26" x14ac:dyDescent="0.2">
      <c r="A1980" t="s">
        <v>2098</v>
      </c>
      <c r="B1980" t="s">
        <v>66</v>
      </c>
      <c r="C1980">
        <v>2014</v>
      </c>
      <c r="D1980" t="s">
        <v>27</v>
      </c>
      <c r="E1980" t="s">
        <v>71</v>
      </c>
      <c r="F1980" t="s">
        <v>27</v>
      </c>
      <c r="G1980">
        <v>30089</v>
      </c>
      <c r="H1980">
        <v>24071.200000000001</v>
      </c>
      <c r="I1980" s="13">
        <v>0.6</v>
      </c>
      <c r="J1980" t="s">
        <v>6207</v>
      </c>
      <c r="K1980">
        <v>2</v>
      </c>
      <c r="L1980">
        <v>1</v>
      </c>
      <c r="M1980" t="s">
        <v>0</v>
      </c>
      <c r="N1980" s="2">
        <v>0.43</v>
      </c>
      <c r="O1980" s="2">
        <v>0.56999999999999995</v>
      </c>
      <c r="P1980">
        <v>6</v>
      </c>
      <c r="Q1980">
        <v>16</v>
      </c>
      <c r="R1980">
        <v>3</v>
      </c>
      <c r="S1980">
        <v>5</v>
      </c>
      <c r="T1980">
        <v>17</v>
      </c>
      <c r="U1980">
        <v>7</v>
      </c>
      <c r="V1980">
        <v>4</v>
      </c>
      <c r="W1980">
        <v>1</v>
      </c>
      <c r="X1980">
        <v>0</v>
      </c>
      <c r="Y1980">
        <v>0</v>
      </c>
      <c r="Z1980">
        <v>2</v>
      </c>
    </row>
    <row r="1981" spans="1:26" x14ac:dyDescent="0.2">
      <c r="A1981" t="s">
        <v>2099</v>
      </c>
      <c r="B1981" t="s">
        <v>41</v>
      </c>
      <c r="C1981">
        <v>2014</v>
      </c>
      <c r="D1981" t="s">
        <v>63</v>
      </c>
      <c r="E1981" t="s">
        <v>48</v>
      </c>
      <c r="F1981" t="s">
        <v>65</v>
      </c>
      <c r="G1981">
        <v>26804</v>
      </c>
      <c r="H1981">
        <v>21443.200000000001</v>
      </c>
      <c r="I1981" s="13">
        <v>0.66666666666666663</v>
      </c>
      <c r="J1981" t="s">
        <v>6207</v>
      </c>
      <c r="K1981">
        <v>2</v>
      </c>
      <c r="L1981">
        <v>2</v>
      </c>
      <c r="M1981" t="s">
        <v>58</v>
      </c>
      <c r="N1981" s="2">
        <v>0.36</v>
      </c>
      <c r="O1981" s="2">
        <v>0.64</v>
      </c>
      <c r="P1981">
        <v>9</v>
      </c>
      <c r="Q1981">
        <v>6</v>
      </c>
      <c r="R1981">
        <v>0</v>
      </c>
      <c r="S1981">
        <v>11</v>
      </c>
      <c r="T1981">
        <v>6</v>
      </c>
      <c r="U1981">
        <v>8</v>
      </c>
      <c r="V1981">
        <v>1</v>
      </c>
      <c r="W1981">
        <v>2</v>
      </c>
      <c r="X1981">
        <v>0</v>
      </c>
      <c r="Y1981">
        <v>0</v>
      </c>
      <c r="Z1981">
        <v>0</v>
      </c>
    </row>
    <row r="1982" spans="1:26" x14ac:dyDescent="0.2">
      <c r="A1982" t="s">
        <v>2100</v>
      </c>
      <c r="B1982" t="s">
        <v>32</v>
      </c>
      <c r="C1982">
        <v>2014</v>
      </c>
      <c r="D1982" t="s">
        <v>23</v>
      </c>
      <c r="E1982" t="s">
        <v>40</v>
      </c>
      <c r="F1982" t="s">
        <v>20</v>
      </c>
      <c r="G1982">
        <v>62500</v>
      </c>
      <c r="H1982">
        <v>50000</v>
      </c>
      <c r="I1982" s="13">
        <v>1</v>
      </c>
      <c r="J1982" t="s">
        <v>6207</v>
      </c>
      <c r="K1982">
        <v>2</v>
      </c>
      <c r="L1982">
        <v>1</v>
      </c>
      <c r="M1982" t="s">
        <v>0</v>
      </c>
      <c r="N1982" s="2">
        <v>0.3</v>
      </c>
      <c r="O1982" s="2">
        <v>0.7</v>
      </c>
      <c r="P1982">
        <v>14</v>
      </c>
      <c r="Q1982">
        <v>13</v>
      </c>
      <c r="R1982">
        <v>4</v>
      </c>
      <c r="S1982">
        <v>8</v>
      </c>
      <c r="T1982">
        <v>12</v>
      </c>
      <c r="U1982">
        <v>14</v>
      </c>
      <c r="V1982">
        <v>2</v>
      </c>
      <c r="W1982">
        <v>1</v>
      </c>
      <c r="X1982">
        <v>0</v>
      </c>
      <c r="Y1982">
        <v>0</v>
      </c>
      <c r="Z1982">
        <v>0</v>
      </c>
    </row>
    <row r="1983" spans="1:26" x14ac:dyDescent="0.2">
      <c r="A1983" t="s">
        <v>2101</v>
      </c>
      <c r="B1983" t="s">
        <v>44</v>
      </c>
      <c r="C1983">
        <v>2014</v>
      </c>
      <c r="D1983" t="s">
        <v>63</v>
      </c>
      <c r="E1983" t="s">
        <v>79</v>
      </c>
      <c r="F1983" t="s">
        <v>65</v>
      </c>
      <c r="G1983">
        <v>26804</v>
      </c>
      <c r="H1983">
        <v>21443.200000000001</v>
      </c>
      <c r="I1983" s="13">
        <v>0.75</v>
      </c>
      <c r="J1983" t="s">
        <v>6207</v>
      </c>
      <c r="K1983">
        <v>2</v>
      </c>
      <c r="L1983">
        <v>2</v>
      </c>
      <c r="M1983" t="s">
        <v>58</v>
      </c>
      <c r="N1983" s="2">
        <v>0.69</v>
      </c>
      <c r="O1983" s="2">
        <v>0.31</v>
      </c>
      <c r="P1983">
        <v>10</v>
      </c>
      <c r="Q1983">
        <v>14</v>
      </c>
      <c r="R1983">
        <v>6</v>
      </c>
      <c r="S1983">
        <v>3</v>
      </c>
      <c r="T1983">
        <v>14</v>
      </c>
      <c r="U1983">
        <v>8</v>
      </c>
      <c r="V1983">
        <v>3</v>
      </c>
      <c r="W1983">
        <v>1</v>
      </c>
      <c r="X1983">
        <v>0</v>
      </c>
      <c r="Y1983">
        <v>0</v>
      </c>
      <c r="Z1983">
        <v>2</v>
      </c>
    </row>
    <row r="1984" spans="1:26" x14ac:dyDescent="0.2">
      <c r="A1984" t="s">
        <v>2102</v>
      </c>
      <c r="B1984" t="s">
        <v>60</v>
      </c>
      <c r="C1984">
        <v>2014</v>
      </c>
      <c r="D1984" t="s">
        <v>35</v>
      </c>
      <c r="E1984" t="s">
        <v>46</v>
      </c>
      <c r="F1984" t="s">
        <v>35</v>
      </c>
      <c r="G1984">
        <v>49000</v>
      </c>
      <c r="H1984">
        <v>39200</v>
      </c>
      <c r="I1984" s="13">
        <v>0.33333333333333331</v>
      </c>
      <c r="J1984" t="s">
        <v>6208</v>
      </c>
      <c r="K1984">
        <v>0</v>
      </c>
      <c r="L1984">
        <v>2</v>
      </c>
      <c r="M1984" t="s">
        <v>1</v>
      </c>
      <c r="N1984" s="2">
        <v>0.43</v>
      </c>
      <c r="O1984" s="2">
        <v>0.56999999999999995</v>
      </c>
      <c r="P1984">
        <v>9</v>
      </c>
      <c r="Q1984">
        <v>13</v>
      </c>
      <c r="R1984">
        <v>3</v>
      </c>
      <c r="S1984">
        <v>3</v>
      </c>
      <c r="T1984">
        <v>11</v>
      </c>
      <c r="U1984">
        <v>9</v>
      </c>
      <c r="V1984">
        <v>3</v>
      </c>
      <c r="W1984">
        <v>3</v>
      </c>
      <c r="X1984">
        <v>0</v>
      </c>
      <c r="Y1984">
        <v>0</v>
      </c>
      <c r="Z1984">
        <v>0</v>
      </c>
    </row>
    <row r="1985" spans="1:26" x14ac:dyDescent="0.2">
      <c r="A1985" t="s">
        <v>2103</v>
      </c>
      <c r="B1985" t="s">
        <v>68</v>
      </c>
      <c r="C1985">
        <v>2014</v>
      </c>
      <c r="D1985" t="s">
        <v>73</v>
      </c>
      <c r="E1985" t="s">
        <v>27</v>
      </c>
      <c r="F1985" t="s">
        <v>73</v>
      </c>
      <c r="G1985">
        <v>32384</v>
      </c>
      <c r="H1985">
        <v>25907.200000000001</v>
      </c>
      <c r="I1985" s="13">
        <v>0.5</v>
      </c>
      <c r="J1985" t="s">
        <v>6207</v>
      </c>
      <c r="K1985">
        <v>1</v>
      </c>
      <c r="L1985">
        <v>0</v>
      </c>
      <c r="M1985" t="s">
        <v>0</v>
      </c>
      <c r="N1985" s="2">
        <v>0.61</v>
      </c>
      <c r="O1985" s="2">
        <v>0.39</v>
      </c>
      <c r="P1985">
        <v>13</v>
      </c>
      <c r="Q1985">
        <v>10</v>
      </c>
      <c r="R1985">
        <v>6</v>
      </c>
      <c r="S1985">
        <v>3</v>
      </c>
      <c r="T1985">
        <v>10</v>
      </c>
      <c r="U1985">
        <v>12</v>
      </c>
      <c r="V1985">
        <v>0</v>
      </c>
      <c r="W1985">
        <v>2</v>
      </c>
      <c r="X1985">
        <v>0</v>
      </c>
      <c r="Y1985">
        <v>0</v>
      </c>
      <c r="Z1985">
        <v>0</v>
      </c>
    </row>
    <row r="1986" spans="1:26" x14ac:dyDescent="0.2">
      <c r="A1986" t="s">
        <v>2104</v>
      </c>
      <c r="B1986" t="s">
        <v>67</v>
      </c>
      <c r="C1986">
        <v>2014</v>
      </c>
      <c r="D1986" t="s">
        <v>26</v>
      </c>
      <c r="E1986" t="s">
        <v>19</v>
      </c>
      <c r="F1986" t="s">
        <v>26</v>
      </c>
      <c r="G1986">
        <v>61276</v>
      </c>
      <c r="H1986">
        <v>49020.800000000003</v>
      </c>
      <c r="I1986" s="13">
        <v>0.4</v>
      </c>
      <c r="J1986" t="s">
        <v>6207</v>
      </c>
      <c r="K1986">
        <v>0</v>
      </c>
      <c r="L1986">
        <v>0</v>
      </c>
      <c r="M1986" t="s">
        <v>58</v>
      </c>
      <c r="N1986" s="2">
        <v>0.66</v>
      </c>
      <c r="O1986" s="2">
        <v>0.34</v>
      </c>
      <c r="P1986">
        <v>18</v>
      </c>
      <c r="Q1986">
        <v>13</v>
      </c>
      <c r="R1986">
        <v>14</v>
      </c>
      <c r="S1986">
        <v>1</v>
      </c>
      <c r="T1986">
        <v>12</v>
      </c>
      <c r="U1986">
        <v>17</v>
      </c>
      <c r="V1986">
        <v>3</v>
      </c>
      <c r="W1986">
        <v>2</v>
      </c>
      <c r="X1986">
        <v>0</v>
      </c>
      <c r="Y1986">
        <v>0</v>
      </c>
      <c r="Z1986">
        <v>0</v>
      </c>
    </row>
    <row r="1987" spans="1:26" x14ac:dyDescent="0.2">
      <c r="A1987" t="s">
        <v>2105</v>
      </c>
      <c r="B1987" t="s">
        <v>53</v>
      </c>
      <c r="C1987">
        <v>2014</v>
      </c>
      <c r="D1987" t="s">
        <v>71</v>
      </c>
      <c r="E1987" t="s">
        <v>80</v>
      </c>
      <c r="F1987" t="s">
        <v>71</v>
      </c>
      <c r="G1987">
        <v>21088</v>
      </c>
      <c r="H1987">
        <v>16870.400000000001</v>
      </c>
      <c r="I1987" s="13">
        <v>0</v>
      </c>
      <c r="J1987" t="s">
        <v>6207</v>
      </c>
      <c r="K1987">
        <v>2</v>
      </c>
      <c r="L1987">
        <v>0</v>
      </c>
      <c r="M1987" t="s">
        <v>0</v>
      </c>
      <c r="N1987" s="2">
        <v>0.49</v>
      </c>
      <c r="O1987" s="2">
        <v>0.51</v>
      </c>
      <c r="P1987">
        <v>11</v>
      </c>
      <c r="Q1987">
        <v>8</v>
      </c>
      <c r="R1987">
        <v>2</v>
      </c>
      <c r="S1987">
        <v>2</v>
      </c>
      <c r="T1987">
        <v>7</v>
      </c>
      <c r="U1987">
        <v>10</v>
      </c>
      <c r="V1987">
        <v>0</v>
      </c>
      <c r="W1987">
        <v>0</v>
      </c>
      <c r="X1987">
        <v>0</v>
      </c>
      <c r="Y1987">
        <v>0</v>
      </c>
      <c r="Z1987">
        <v>0</v>
      </c>
    </row>
    <row r="1988" spans="1:26" x14ac:dyDescent="0.2">
      <c r="A1988" t="s">
        <v>2106</v>
      </c>
      <c r="B1988" t="s">
        <v>61</v>
      </c>
      <c r="C1988">
        <v>2014</v>
      </c>
      <c r="D1988" t="s">
        <v>51</v>
      </c>
      <c r="E1988" t="s">
        <v>64</v>
      </c>
      <c r="F1988" t="s">
        <v>20</v>
      </c>
      <c r="G1988">
        <v>36284</v>
      </c>
      <c r="H1988">
        <v>29027.200000000001</v>
      </c>
      <c r="I1988" s="13">
        <v>0.66666666666666663</v>
      </c>
      <c r="J1988" t="s">
        <v>6207</v>
      </c>
      <c r="K1988">
        <v>1</v>
      </c>
      <c r="L1988">
        <v>2</v>
      </c>
      <c r="M1988" t="s">
        <v>1</v>
      </c>
      <c r="N1988" s="2">
        <v>0.67</v>
      </c>
      <c r="O1988" s="2">
        <v>0.33</v>
      </c>
      <c r="P1988">
        <v>14</v>
      </c>
      <c r="Q1988">
        <v>10</v>
      </c>
      <c r="R1988">
        <v>10</v>
      </c>
      <c r="S1988">
        <v>2</v>
      </c>
      <c r="T1988">
        <v>9</v>
      </c>
      <c r="U1988">
        <v>12</v>
      </c>
      <c r="V1988">
        <v>2</v>
      </c>
      <c r="W1988">
        <v>4</v>
      </c>
      <c r="X1988">
        <v>0</v>
      </c>
      <c r="Y1988">
        <v>0</v>
      </c>
      <c r="Z1988">
        <v>0</v>
      </c>
    </row>
    <row r="1989" spans="1:26" x14ac:dyDescent="0.2">
      <c r="A1989" t="s">
        <v>2107</v>
      </c>
      <c r="B1989" t="s">
        <v>37</v>
      </c>
      <c r="C1989">
        <v>2014</v>
      </c>
      <c r="D1989" t="s">
        <v>28</v>
      </c>
      <c r="E1989" t="s">
        <v>45</v>
      </c>
      <c r="F1989" t="s">
        <v>28</v>
      </c>
      <c r="G1989">
        <v>21944</v>
      </c>
      <c r="H1989">
        <v>17555.2</v>
      </c>
      <c r="I1989" s="13">
        <v>0.5</v>
      </c>
      <c r="J1989" t="s">
        <v>6206</v>
      </c>
      <c r="K1989">
        <v>1</v>
      </c>
      <c r="L1989">
        <v>3</v>
      </c>
      <c r="M1989" t="s">
        <v>1</v>
      </c>
      <c r="N1989" s="2">
        <v>0.38</v>
      </c>
      <c r="O1989" s="2">
        <v>0.62</v>
      </c>
      <c r="P1989">
        <v>9</v>
      </c>
      <c r="Q1989">
        <v>14</v>
      </c>
      <c r="R1989">
        <v>5</v>
      </c>
      <c r="S1989">
        <v>4</v>
      </c>
      <c r="T1989">
        <v>12</v>
      </c>
      <c r="U1989">
        <v>7</v>
      </c>
      <c r="V1989">
        <v>4</v>
      </c>
      <c r="W1989">
        <v>2</v>
      </c>
      <c r="X1989">
        <v>0</v>
      </c>
      <c r="Y1989">
        <v>0</v>
      </c>
      <c r="Z1989">
        <v>0</v>
      </c>
    </row>
    <row r="1990" spans="1:26" x14ac:dyDescent="0.2">
      <c r="A1990" t="s">
        <v>2108</v>
      </c>
      <c r="B1990" t="s">
        <v>52</v>
      </c>
      <c r="C1990">
        <v>2014</v>
      </c>
      <c r="D1990" t="s">
        <v>48</v>
      </c>
      <c r="E1990" t="s">
        <v>18</v>
      </c>
      <c r="F1990" t="s">
        <v>49</v>
      </c>
      <c r="G1990">
        <v>74197</v>
      </c>
      <c r="H1990">
        <v>59357.600000000006</v>
      </c>
      <c r="I1990" s="13">
        <v>0.8</v>
      </c>
      <c r="J1990" t="s">
        <v>6207</v>
      </c>
      <c r="K1990">
        <v>1</v>
      </c>
      <c r="L1990">
        <v>1</v>
      </c>
      <c r="M1990" t="s">
        <v>58</v>
      </c>
      <c r="N1990" s="2">
        <v>0.51</v>
      </c>
      <c r="O1990" s="2">
        <v>0.49</v>
      </c>
      <c r="P1990">
        <v>16</v>
      </c>
      <c r="Q1990">
        <v>13</v>
      </c>
      <c r="R1990">
        <v>4</v>
      </c>
      <c r="S1990">
        <v>7</v>
      </c>
      <c r="T1990">
        <v>13</v>
      </c>
      <c r="U1990">
        <v>14</v>
      </c>
      <c r="V1990">
        <v>3</v>
      </c>
      <c r="W1990">
        <v>6</v>
      </c>
      <c r="X1990">
        <v>0</v>
      </c>
      <c r="Y1990">
        <v>1</v>
      </c>
      <c r="Z1990">
        <v>0</v>
      </c>
    </row>
    <row r="1991" spans="1:26" x14ac:dyDescent="0.2">
      <c r="A1991" t="s">
        <v>2109</v>
      </c>
      <c r="B1991" t="s">
        <v>50</v>
      </c>
      <c r="C1991">
        <v>2014</v>
      </c>
      <c r="D1991" t="s">
        <v>70</v>
      </c>
      <c r="E1991" t="s">
        <v>42</v>
      </c>
      <c r="F1991" t="s">
        <v>20</v>
      </c>
      <c r="G1991">
        <v>18439</v>
      </c>
      <c r="H1991">
        <v>14751.2</v>
      </c>
      <c r="I1991" s="13">
        <v>0.5</v>
      </c>
      <c r="J1991" t="s">
        <v>6207</v>
      </c>
      <c r="K1991">
        <v>2</v>
      </c>
      <c r="L1991">
        <v>0</v>
      </c>
      <c r="M1991" t="s">
        <v>0</v>
      </c>
      <c r="N1991" s="2">
        <v>0.35</v>
      </c>
      <c r="O1991" s="2">
        <v>0.65</v>
      </c>
      <c r="P1991">
        <v>19</v>
      </c>
      <c r="Q1991">
        <v>14</v>
      </c>
      <c r="R1991">
        <v>2</v>
      </c>
      <c r="S1991">
        <v>4</v>
      </c>
      <c r="T1991">
        <v>11</v>
      </c>
      <c r="U1991">
        <v>14</v>
      </c>
      <c r="V1991">
        <v>0</v>
      </c>
      <c r="W1991">
        <v>2</v>
      </c>
      <c r="X1991">
        <v>0</v>
      </c>
      <c r="Y1991">
        <v>0</v>
      </c>
      <c r="Z1991">
        <v>0</v>
      </c>
    </row>
    <row r="1992" spans="1:26" x14ac:dyDescent="0.2">
      <c r="A1992" t="s">
        <v>2110</v>
      </c>
      <c r="B1992" t="s">
        <v>37</v>
      </c>
      <c r="C1992">
        <v>2014</v>
      </c>
      <c r="D1992" t="s">
        <v>64</v>
      </c>
      <c r="E1992" t="s">
        <v>26</v>
      </c>
      <c r="F1992" t="s">
        <v>64</v>
      </c>
      <c r="G1992">
        <v>52264</v>
      </c>
      <c r="H1992">
        <v>41811.200000000004</v>
      </c>
      <c r="I1992" s="13">
        <v>0.5714285714285714</v>
      </c>
      <c r="J1992" t="s">
        <v>6206</v>
      </c>
      <c r="K1992">
        <v>1</v>
      </c>
      <c r="L1992">
        <v>0</v>
      </c>
      <c r="M1992" t="s">
        <v>0</v>
      </c>
      <c r="N1992" s="2">
        <v>0.36</v>
      </c>
      <c r="O1992" s="2">
        <v>0.64</v>
      </c>
      <c r="P1992">
        <v>15</v>
      </c>
      <c r="Q1992">
        <v>13</v>
      </c>
      <c r="R1992">
        <v>7</v>
      </c>
      <c r="S1992">
        <v>2</v>
      </c>
      <c r="T1992">
        <v>13</v>
      </c>
      <c r="U1992">
        <v>8</v>
      </c>
      <c r="V1992">
        <v>4</v>
      </c>
      <c r="W1992">
        <v>3</v>
      </c>
      <c r="X1992">
        <v>0</v>
      </c>
      <c r="Y1992">
        <v>0</v>
      </c>
      <c r="Z1992">
        <v>0</v>
      </c>
    </row>
    <row r="1993" spans="1:26" x14ac:dyDescent="0.2">
      <c r="A1993" t="s">
        <v>2111</v>
      </c>
      <c r="B1993" t="s">
        <v>25</v>
      </c>
      <c r="C1993">
        <v>2014</v>
      </c>
      <c r="D1993" t="s">
        <v>27</v>
      </c>
      <c r="E1993" t="s">
        <v>23</v>
      </c>
      <c r="F1993" t="s">
        <v>27</v>
      </c>
      <c r="G1993">
        <v>30089</v>
      </c>
      <c r="H1993">
        <v>24071.200000000001</v>
      </c>
      <c r="I1993" s="13">
        <v>0</v>
      </c>
      <c r="J1993" t="s">
        <v>6207</v>
      </c>
      <c r="K1993">
        <v>2</v>
      </c>
      <c r="L1993">
        <v>2</v>
      </c>
      <c r="M1993" t="s">
        <v>58</v>
      </c>
      <c r="N1993" s="2">
        <v>0.6</v>
      </c>
      <c r="O1993" s="2">
        <v>0.4</v>
      </c>
      <c r="P1993">
        <v>14</v>
      </c>
      <c r="Q1993">
        <v>12</v>
      </c>
      <c r="R1993">
        <v>9</v>
      </c>
      <c r="S1993">
        <v>2</v>
      </c>
      <c r="T1993">
        <v>14</v>
      </c>
      <c r="U1993">
        <v>13</v>
      </c>
      <c r="V1993">
        <v>1</v>
      </c>
      <c r="W1993">
        <v>1</v>
      </c>
      <c r="X1993">
        <v>0</v>
      </c>
      <c r="Y1993">
        <v>0</v>
      </c>
      <c r="Z1993">
        <v>0</v>
      </c>
    </row>
    <row r="1994" spans="1:26" x14ac:dyDescent="0.2">
      <c r="A1994" t="s">
        <v>2112</v>
      </c>
      <c r="B1994" t="s">
        <v>59</v>
      </c>
      <c r="C1994">
        <v>2014</v>
      </c>
      <c r="D1994" t="s">
        <v>80</v>
      </c>
      <c r="E1994" t="s">
        <v>63</v>
      </c>
      <c r="F1994" t="s">
        <v>80</v>
      </c>
      <c r="G1994">
        <v>32261</v>
      </c>
      <c r="H1994">
        <v>25808.800000000003</v>
      </c>
      <c r="I1994" s="13">
        <v>0</v>
      </c>
      <c r="J1994" t="s">
        <v>6206</v>
      </c>
      <c r="K1994">
        <v>0</v>
      </c>
      <c r="L1994">
        <v>1</v>
      </c>
      <c r="M1994" t="s">
        <v>1</v>
      </c>
      <c r="N1994" s="2">
        <v>0.56000000000000005</v>
      </c>
      <c r="O1994" s="2">
        <v>0.44</v>
      </c>
      <c r="P1994">
        <v>18</v>
      </c>
      <c r="Q1994">
        <v>9</v>
      </c>
      <c r="R1994">
        <v>8</v>
      </c>
      <c r="S1994">
        <v>3</v>
      </c>
      <c r="T1994">
        <v>5</v>
      </c>
      <c r="U1994">
        <v>12</v>
      </c>
      <c r="V1994">
        <v>0</v>
      </c>
      <c r="W1994">
        <v>1</v>
      </c>
      <c r="X1994">
        <v>0</v>
      </c>
      <c r="Y1994">
        <v>0</v>
      </c>
      <c r="Z1994">
        <v>0</v>
      </c>
    </row>
    <row r="1995" spans="1:26" x14ac:dyDescent="0.2">
      <c r="A1995" t="s">
        <v>2113</v>
      </c>
      <c r="B1995" t="s">
        <v>32</v>
      </c>
      <c r="C1995">
        <v>2014</v>
      </c>
      <c r="D1995" t="s">
        <v>19</v>
      </c>
      <c r="E1995" t="s">
        <v>73</v>
      </c>
      <c r="F1995" t="s">
        <v>19</v>
      </c>
      <c r="G1995">
        <v>25586</v>
      </c>
      <c r="H1995">
        <v>20468.800000000003</v>
      </c>
      <c r="I1995" s="13">
        <v>1</v>
      </c>
      <c r="J1995" t="s">
        <v>6207</v>
      </c>
      <c r="K1995">
        <v>0</v>
      </c>
      <c r="L1995">
        <v>1</v>
      </c>
      <c r="M1995" t="s">
        <v>1</v>
      </c>
      <c r="N1995" s="2">
        <v>0.47</v>
      </c>
      <c r="O1995" s="2">
        <v>0.53</v>
      </c>
      <c r="P1995">
        <v>9</v>
      </c>
      <c r="Q1995">
        <v>7</v>
      </c>
      <c r="R1995">
        <v>7</v>
      </c>
      <c r="S1995">
        <v>4</v>
      </c>
      <c r="T1995">
        <v>6</v>
      </c>
      <c r="U1995">
        <v>9</v>
      </c>
      <c r="V1995">
        <v>1</v>
      </c>
      <c r="W1995">
        <v>0</v>
      </c>
      <c r="X1995">
        <v>0</v>
      </c>
      <c r="Y1995">
        <v>0</v>
      </c>
      <c r="Z1995">
        <v>0</v>
      </c>
    </row>
    <row r="1996" spans="1:26" x14ac:dyDescent="0.2">
      <c r="A1996" t="s">
        <v>2114</v>
      </c>
      <c r="B1996" t="s">
        <v>60</v>
      </c>
      <c r="C1996">
        <v>2014</v>
      </c>
      <c r="D1996" t="s">
        <v>45</v>
      </c>
      <c r="E1996" t="s">
        <v>71</v>
      </c>
      <c r="F1996" t="s">
        <v>26</v>
      </c>
      <c r="G1996">
        <v>39572</v>
      </c>
      <c r="H1996">
        <v>31657.600000000002</v>
      </c>
      <c r="I1996" s="13">
        <v>0.42857142857142855</v>
      </c>
      <c r="J1996" t="s">
        <v>6208</v>
      </c>
      <c r="K1996">
        <v>0</v>
      </c>
      <c r="L1996">
        <v>0</v>
      </c>
      <c r="M1996" t="s">
        <v>58</v>
      </c>
      <c r="N1996" s="2">
        <v>0.67</v>
      </c>
      <c r="O1996" s="2">
        <v>0.33</v>
      </c>
      <c r="P1996">
        <v>16</v>
      </c>
      <c r="Q1996">
        <v>11</v>
      </c>
      <c r="R1996">
        <v>11</v>
      </c>
      <c r="S1996">
        <v>0</v>
      </c>
      <c r="T1996">
        <v>10</v>
      </c>
      <c r="U1996">
        <v>15</v>
      </c>
      <c r="V1996">
        <v>2</v>
      </c>
      <c r="W1996">
        <v>4</v>
      </c>
      <c r="X1996">
        <v>0</v>
      </c>
      <c r="Y1996">
        <v>1</v>
      </c>
      <c r="Z1996">
        <v>0</v>
      </c>
    </row>
    <row r="1997" spans="1:26" x14ac:dyDescent="0.2">
      <c r="A1997" t="s">
        <v>2115</v>
      </c>
      <c r="B1997" t="s">
        <v>53</v>
      </c>
      <c r="C1997">
        <v>2014</v>
      </c>
      <c r="D1997" t="s">
        <v>18</v>
      </c>
      <c r="E1997" t="s">
        <v>70</v>
      </c>
      <c r="F1997" t="s">
        <v>20</v>
      </c>
      <c r="G1997">
        <v>40341</v>
      </c>
      <c r="H1997">
        <v>32272.800000000003</v>
      </c>
      <c r="I1997" s="13">
        <v>0</v>
      </c>
      <c r="J1997" t="s">
        <v>6207</v>
      </c>
      <c r="K1997">
        <v>2</v>
      </c>
      <c r="L1997">
        <v>1</v>
      </c>
      <c r="M1997" t="s">
        <v>0</v>
      </c>
      <c r="N1997" s="2">
        <v>0.66</v>
      </c>
      <c r="O1997" s="2">
        <v>0.34</v>
      </c>
      <c r="P1997">
        <v>11</v>
      </c>
      <c r="Q1997">
        <v>10</v>
      </c>
      <c r="R1997">
        <v>13</v>
      </c>
      <c r="S1997">
        <v>2</v>
      </c>
      <c r="T1997">
        <v>8</v>
      </c>
      <c r="U1997">
        <v>12</v>
      </c>
      <c r="V1997">
        <v>0</v>
      </c>
      <c r="W1997">
        <v>0</v>
      </c>
      <c r="X1997">
        <v>0</v>
      </c>
      <c r="Y1997">
        <v>0</v>
      </c>
      <c r="Z1997">
        <v>1</v>
      </c>
    </row>
    <row r="1998" spans="1:26" x14ac:dyDescent="0.2">
      <c r="A1998" t="s">
        <v>2116</v>
      </c>
      <c r="B1998" t="s">
        <v>76</v>
      </c>
      <c r="C1998">
        <v>2014</v>
      </c>
      <c r="D1998" t="s">
        <v>46</v>
      </c>
      <c r="E1998" t="s">
        <v>28</v>
      </c>
      <c r="F1998" t="s">
        <v>20</v>
      </c>
      <c r="G1998">
        <v>60704</v>
      </c>
      <c r="H1998">
        <v>48563.200000000004</v>
      </c>
      <c r="I1998" s="13">
        <v>0</v>
      </c>
      <c r="J1998" t="s">
        <v>6207</v>
      </c>
      <c r="K1998">
        <v>3</v>
      </c>
      <c r="L1998">
        <v>0</v>
      </c>
      <c r="M1998" t="s">
        <v>0</v>
      </c>
      <c r="N1998" s="2">
        <v>0.69</v>
      </c>
      <c r="O1998" s="2">
        <v>0.31</v>
      </c>
      <c r="P1998">
        <v>13</v>
      </c>
      <c r="Q1998">
        <v>7</v>
      </c>
      <c r="R1998">
        <v>18</v>
      </c>
      <c r="S1998">
        <v>1</v>
      </c>
      <c r="T1998">
        <v>5</v>
      </c>
      <c r="U1998">
        <v>9</v>
      </c>
      <c r="V1998">
        <v>0</v>
      </c>
      <c r="W1998">
        <v>1</v>
      </c>
      <c r="X1998">
        <v>0</v>
      </c>
      <c r="Y1998">
        <v>0</v>
      </c>
      <c r="Z1998">
        <v>0</v>
      </c>
    </row>
    <row r="1999" spans="1:26" x14ac:dyDescent="0.2">
      <c r="A1999" t="s">
        <v>2117</v>
      </c>
      <c r="B1999" t="s">
        <v>66</v>
      </c>
      <c r="C1999">
        <v>2014</v>
      </c>
      <c r="D1999" t="s">
        <v>40</v>
      </c>
      <c r="E1999" t="s">
        <v>48</v>
      </c>
      <c r="F1999" t="s">
        <v>49</v>
      </c>
      <c r="G1999">
        <v>53400</v>
      </c>
      <c r="H1999">
        <v>42720</v>
      </c>
      <c r="I1999" s="13">
        <v>0.66666666666666663</v>
      </c>
      <c r="J1999" t="s">
        <v>6207</v>
      </c>
      <c r="K1999">
        <v>1</v>
      </c>
      <c r="L1999">
        <v>0</v>
      </c>
      <c r="M1999" t="s">
        <v>0</v>
      </c>
      <c r="N1999" s="2">
        <v>0.52</v>
      </c>
      <c r="O1999" s="2">
        <v>0.48</v>
      </c>
      <c r="P1999">
        <v>12</v>
      </c>
      <c r="Q1999">
        <v>19</v>
      </c>
      <c r="R1999">
        <v>7</v>
      </c>
      <c r="S1999">
        <v>4</v>
      </c>
      <c r="T1999">
        <v>15</v>
      </c>
      <c r="U1999">
        <v>9</v>
      </c>
      <c r="V1999">
        <v>3</v>
      </c>
      <c r="W1999">
        <v>2</v>
      </c>
      <c r="X1999">
        <v>0</v>
      </c>
      <c r="Y1999">
        <v>1</v>
      </c>
      <c r="Z1999">
        <v>0</v>
      </c>
    </row>
    <row r="2000" spans="1:26" x14ac:dyDescent="0.2">
      <c r="A2000" t="s">
        <v>2118</v>
      </c>
      <c r="B2000" t="s">
        <v>67</v>
      </c>
      <c r="C2000">
        <v>2014</v>
      </c>
      <c r="D2000" t="s">
        <v>42</v>
      </c>
      <c r="E2000" t="s">
        <v>51</v>
      </c>
      <c r="F2000" t="s">
        <v>38</v>
      </c>
      <c r="G2000">
        <v>42918</v>
      </c>
      <c r="H2000">
        <v>34334.400000000001</v>
      </c>
      <c r="I2000" s="13">
        <v>1</v>
      </c>
      <c r="J2000" t="s">
        <v>6207</v>
      </c>
      <c r="K2000">
        <v>1</v>
      </c>
      <c r="L2000">
        <v>2</v>
      </c>
      <c r="M2000" t="s">
        <v>1</v>
      </c>
      <c r="N2000" s="2">
        <v>0.43</v>
      </c>
      <c r="O2000" s="2">
        <v>0.56999999999999995</v>
      </c>
      <c r="P2000">
        <v>12</v>
      </c>
      <c r="Q2000">
        <v>14</v>
      </c>
      <c r="R2000">
        <v>3</v>
      </c>
      <c r="S2000">
        <v>9</v>
      </c>
      <c r="T2000">
        <v>12</v>
      </c>
      <c r="U2000">
        <v>11</v>
      </c>
      <c r="V2000">
        <v>3</v>
      </c>
      <c r="W2000">
        <v>3</v>
      </c>
      <c r="X2000">
        <v>1</v>
      </c>
      <c r="Y2000">
        <v>0</v>
      </c>
      <c r="Z2000">
        <v>0</v>
      </c>
    </row>
    <row r="2001" spans="1:26" x14ac:dyDescent="0.2">
      <c r="A2001" t="s">
        <v>2119</v>
      </c>
      <c r="B2001" t="s">
        <v>52</v>
      </c>
      <c r="C2001">
        <v>2014</v>
      </c>
      <c r="D2001" t="s">
        <v>79</v>
      </c>
      <c r="E2001" t="s">
        <v>35</v>
      </c>
      <c r="F2001" t="s">
        <v>20</v>
      </c>
      <c r="G2001">
        <v>25486</v>
      </c>
      <c r="H2001">
        <v>20388.800000000003</v>
      </c>
      <c r="I2001" s="13">
        <v>0.4</v>
      </c>
      <c r="J2001" t="s">
        <v>6207</v>
      </c>
      <c r="K2001">
        <v>1</v>
      </c>
      <c r="L2001">
        <v>3</v>
      </c>
      <c r="M2001" t="s">
        <v>1</v>
      </c>
      <c r="N2001" s="2">
        <v>0.54</v>
      </c>
      <c r="O2001" s="2">
        <v>0.46</v>
      </c>
      <c r="P2001">
        <v>20</v>
      </c>
      <c r="Q2001">
        <v>12</v>
      </c>
      <c r="R2001">
        <v>11</v>
      </c>
      <c r="S2001">
        <v>2</v>
      </c>
      <c r="T2001">
        <v>12</v>
      </c>
      <c r="U2001">
        <v>19</v>
      </c>
      <c r="V2001">
        <v>1</v>
      </c>
      <c r="W2001">
        <v>3</v>
      </c>
      <c r="X2001">
        <v>1</v>
      </c>
      <c r="Y2001">
        <v>0</v>
      </c>
      <c r="Z2001">
        <v>0</v>
      </c>
    </row>
    <row r="2002" spans="1:26" x14ac:dyDescent="0.2">
      <c r="A2002" t="s">
        <v>2120</v>
      </c>
      <c r="B2002" t="s">
        <v>61</v>
      </c>
      <c r="C2002">
        <v>2014</v>
      </c>
      <c r="D2002" t="s">
        <v>26</v>
      </c>
      <c r="E2002" t="s">
        <v>18</v>
      </c>
      <c r="F2002" t="s">
        <v>26</v>
      </c>
      <c r="G2002">
        <v>61276</v>
      </c>
      <c r="H2002">
        <v>49020.800000000003</v>
      </c>
      <c r="I2002" s="13">
        <v>0.8571428571428571</v>
      </c>
      <c r="J2002" t="s">
        <v>6207</v>
      </c>
      <c r="K2002">
        <v>1</v>
      </c>
      <c r="L2002">
        <v>2</v>
      </c>
      <c r="M2002" t="s">
        <v>1</v>
      </c>
      <c r="N2002" s="2">
        <v>0.57999999999999996</v>
      </c>
      <c r="O2002" s="2">
        <v>0.42</v>
      </c>
      <c r="P2002">
        <v>13</v>
      </c>
      <c r="Q2002">
        <v>15</v>
      </c>
      <c r="R2002">
        <v>5</v>
      </c>
      <c r="S2002">
        <v>7</v>
      </c>
      <c r="T2002">
        <v>9</v>
      </c>
      <c r="U2002">
        <v>12</v>
      </c>
      <c r="V2002">
        <v>2</v>
      </c>
      <c r="W2002">
        <v>5</v>
      </c>
      <c r="X2002">
        <v>0</v>
      </c>
      <c r="Y2002">
        <v>0</v>
      </c>
      <c r="Z2002">
        <v>0</v>
      </c>
    </row>
    <row r="2003" spans="1:26" x14ac:dyDescent="0.2">
      <c r="A2003" t="s">
        <v>2121</v>
      </c>
      <c r="B2003" t="s">
        <v>68</v>
      </c>
      <c r="C2003">
        <v>2014</v>
      </c>
      <c r="D2003" t="s">
        <v>23</v>
      </c>
      <c r="E2003" t="s">
        <v>42</v>
      </c>
      <c r="F2003" t="s">
        <v>20</v>
      </c>
      <c r="G2003">
        <v>62500</v>
      </c>
      <c r="H2003">
        <v>50000</v>
      </c>
      <c r="I2003" s="13">
        <v>0.33333333333333331</v>
      </c>
      <c r="J2003" t="s">
        <v>6207</v>
      </c>
      <c r="K2003">
        <v>0</v>
      </c>
      <c r="L2003">
        <v>0</v>
      </c>
      <c r="M2003" t="s">
        <v>58</v>
      </c>
      <c r="N2003" s="2">
        <v>0.59</v>
      </c>
      <c r="O2003" s="2">
        <v>0.41</v>
      </c>
      <c r="P2003">
        <v>11</v>
      </c>
      <c r="Q2003">
        <v>14</v>
      </c>
      <c r="R2003">
        <v>13</v>
      </c>
      <c r="S2003">
        <v>2</v>
      </c>
      <c r="T2003">
        <v>9</v>
      </c>
      <c r="U2003">
        <v>10</v>
      </c>
      <c r="V2003">
        <v>0</v>
      </c>
      <c r="W2003">
        <v>3</v>
      </c>
      <c r="X2003">
        <v>0</v>
      </c>
      <c r="Y2003">
        <v>0</v>
      </c>
      <c r="Z2003">
        <v>0</v>
      </c>
    </row>
    <row r="2004" spans="1:26" x14ac:dyDescent="0.2">
      <c r="A2004" t="s">
        <v>2122</v>
      </c>
      <c r="B2004" t="s">
        <v>66</v>
      </c>
      <c r="C2004">
        <v>2014</v>
      </c>
      <c r="D2004" t="s">
        <v>73</v>
      </c>
      <c r="E2004" t="s">
        <v>80</v>
      </c>
      <c r="F2004" t="s">
        <v>73</v>
      </c>
      <c r="G2004">
        <v>32384</v>
      </c>
      <c r="H2004">
        <v>25907.200000000001</v>
      </c>
      <c r="I2004" s="13">
        <v>1</v>
      </c>
      <c r="J2004" t="s">
        <v>6207</v>
      </c>
      <c r="K2004">
        <v>2</v>
      </c>
      <c r="L2004">
        <v>0</v>
      </c>
      <c r="M2004" t="s">
        <v>0</v>
      </c>
      <c r="N2004" s="2">
        <v>0.65</v>
      </c>
      <c r="O2004" s="2">
        <v>0.35</v>
      </c>
      <c r="P2004">
        <v>14</v>
      </c>
      <c r="Q2004">
        <v>16</v>
      </c>
      <c r="R2004">
        <v>13</v>
      </c>
      <c r="S2004">
        <v>4</v>
      </c>
      <c r="T2004">
        <v>10</v>
      </c>
      <c r="U2004">
        <v>12</v>
      </c>
      <c r="V2004">
        <v>2</v>
      </c>
      <c r="W2004">
        <v>2</v>
      </c>
      <c r="X2004">
        <v>0</v>
      </c>
      <c r="Y2004">
        <v>0</v>
      </c>
      <c r="Z2004">
        <v>0</v>
      </c>
    </row>
    <row r="2005" spans="1:26" x14ac:dyDescent="0.2">
      <c r="A2005" t="s">
        <v>2123</v>
      </c>
      <c r="B2005" t="s">
        <v>25</v>
      </c>
      <c r="C2005">
        <v>2014</v>
      </c>
      <c r="D2005" t="s">
        <v>48</v>
      </c>
      <c r="E2005" t="s">
        <v>79</v>
      </c>
      <c r="F2005" t="s">
        <v>49</v>
      </c>
      <c r="G2005">
        <v>74197</v>
      </c>
      <c r="H2005">
        <v>59357.600000000006</v>
      </c>
      <c r="I2005" s="13">
        <v>0.75</v>
      </c>
      <c r="J2005" t="s">
        <v>6207</v>
      </c>
      <c r="K2005">
        <v>1</v>
      </c>
      <c r="L2005">
        <v>0</v>
      </c>
      <c r="M2005" t="s">
        <v>0</v>
      </c>
      <c r="N2005" s="2">
        <v>0.67</v>
      </c>
      <c r="O2005" s="2">
        <v>0.33</v>
      </c>
      <c r="P2005">
        <v>11</v>
      </c>
      <c r="Q2005">
        <v>8</v>
      </c>
      <c r="R2005">
        <v>11</v>
      </c>
      <c r="S2005">
        <v>4</v>
      </c>
      <c r="T2005">
        <v>8</v>
      </c>
      <c r="U2005">
        <v>12</v>
      </c>
      <c r="V2005">
        <v>1</v>
      </c>
      <c r="W2005">
        <v>3</v>
      </c>
      <c r="X2005">
        <v>0</v>
      </c>
      <c r="Y2005">
        <v>0</v>
      </c>
      <c r="Z2005">
        <v>0</v>
      </c>
    </row>
    <row r="2006" spans="1:26" x14ac:dyDescent="0.2">
      <c r="A2006" t="s">
        <v>2124</v>
      </c>
      <c r="B2006" t="s">
        <v>44</v>
      </c>
      <c r="C2006">
        <v>2014</v>
      </c>
      <c r="D2006" t="s">
        <v>28</v>
      </c>
      <c r="E2006" t="s">
        <v>19</v>
      </c>
      <c r="F2006" t="s">
        <v>28</v>
      </c>
      <c r="G2006">
        <v>21944</v>
      </c>
      <c r="H2006">
        <v>17555.2</v>
      </c>
      <c r="I2006" s="13">
        <v>0.3</v>
      </c>
      <c r="J2006" t="s">
        <v>6207</v>
      </c>
      <c r="K2006">
        <v>1</v>
      </c>
      <c r="L2006">
        <v>0</v>
      </c>
      <c r="M2006" t="s">
        <v>0</v>
      </c>
      <c r="N2006" s="2">
        <v>0.47</v>
      </c>
      <c r="O2006" s="2">
        <v>0.53</v>
      </c>
      <c r="P2006">
        <v>19</v>
      </c>
      <c r="Q2006">
        <v>18</v>
      </c>
      <c r="R2006">
        <v>7</v>
      </c>
      <c r="S2006">
        <v>1</v>
      </c>
      <c r="T2006">
        <v>17</v>
      </c>
      <c r="U2006">
        <v>17</v>
      </c>
      <c r="V2006">
        <v>6</v>
      </c>
      <c r="W2006">
        <v>4</v>
      </c>
      <c r="X2006">
        <v>0</v>
      </c>
      <c r="Y2006">
        <v>0</v>
      </c>
      <c r="Z2006">
        <v>0</v>
      </c>
    </row>
    <row r="2007" spans="1:26" x14ac:dyDescent="0.2">
      <c r="A2007" t="s">
        <v>2125</v>
      </c>
      <c r="B2007" t="s">
        <v>41</v>
      </c>
      <c r="C2007">
        <v>2014</v>
      </c>
      <c r="D2007" t="s">
        <v>70</v>
      </c>
      <c r="E2007" t="s">
        <v>40</v>
      </c>
      <c r="F2007" t="s">
        <v>20</v>
      </c>
      <c r="G2007">
        <v>18439</v>
      </c>
      <c r="H2007">
        <v>14751.2</v>
      </c>
      <c r="I2007" s="13">
        <v>1</v>
      </c>
      <c r="J2007" t="s">
        <v>6207</v>
      </c>
      <c r="K2007">
        <v>2</v>
      </c>
      <c r="L2007">
        <v>2</v>
      </c>
      <c r="M2007" t="s">
        <v>58</v>
      </c>
      <c r="N2007" s="2">
        <v>0.42</v>
      </c>
      <c r="O2007" s="2">
        <v>0.57999999999999996</v>
      </c>
      <c r="P2007">
        <v>10</v>
      </c>
      <c r="Q2007">
        <v>12</v>
      </c>
      <c r="R2007">
        <v>7</v>
      </c>
      <c r="S2007">
        <v>7</v>
      </c>
      <c r="T2007">
        <v>9</v>
      </c>
      <c r="U2007">
        <v>10</v>
      </c>
      <c r="V2007">
        <v>4</v>
      </c>
      <c r="W2007">
        <v>2</v>
      </c>
      <c r="X2007">
        <v>0</v>
      </c>
      <c r="Y2007">
        <v>0</v>
      </c>
      <c r="Z2007">
        <v>0</v>
      </c>
    </row>
    <row r="2008" spans="1:26" x14ac:dyDescent="0.2">
      <c r="A2008" t="s">
        <v>2126</v>
      </c>
      <c r="B2008" t="s">
        <v>76</v>
      </c>
      <c r="C2008">
        <v>2014</v>
      </c>
      <c r="D2008" t="s">
        <v>63</v>
      </c>
      <c r="E2008" t="s">
        <v>64</v>
      </c>
      <c r="F2008" t="s">
        <v>65</v>
      </c>
      <c r="G2008">
        <v>26804</v>
      </c>
      <c r="H2008">
        <v>21443.200000000001</v>
      </c>
      <c r="I2008" s="13">
        <v>0</v>
      </c>
      <c r="J2008" t="s">
        <v>6207</v>
      </c>
      <c r="K2008">
        <v>0</v>
      </c>
      <c r="L2008">
        <v>2</v>
      </c>
      <c r="M2008" t="s">
        <v>1</v>
      </c>
      <c r="N2008" s="2">
        <v>0.57999999999999996</v>
      </c>
      <c r="O2008" s="2">
        <v>0.42</v>
      </c>
      <c r="P2008">
        <v>7</v>
      </c>
      <c r="Q2008">
        <v>14</v>
      </c>
      <c r="R2008">
        <v>7</v>
      </c>
      <c r="S2008">
        <v>4</v>
      </c>
      <c r="T2008">
        <v>12</v>
      </c>
      <c r="U2008">
        <v>6</v>
      </c>
      <c r="V2008">
        <v>0</v>
      </c>
      <c r="W2008">
        <v>0</v>
      </c>
      <c r="X2008">
        <v>0</v>
      </c>
      <c r="Y2008">
        <v>0</v>
      </c>
      <c r="Z2008">
        <v>0</v>
      </c>
    </row>
    <row r="2009" spans="1:26" x14ac:dyDescent="0.2">
      <c r="A2009" t="s">
        <v>2127</v>
      </c>
      <c r="B2009" t="s">
        <v>53</v>
      </c>
      <c r="C2009">
        <v>2014</v>
      </c>
      <c r="D2009" t="s">
        <v>51</v>
      </c>
      <c r="E2009" t="s">
        <v>27</v>
      </c>
      <c r="F2009" t="s">
        <v>20</v>
      </c>
      <c r="G2009">
        <v>36284</v>
      </c>
      <c r="H2009">
        <v>29027.200000000001</v>
      </c>
      <c r="I2009" s="13">
        <v>0.66666666666666663</v>
      </c>
      <c r="J2009" t="s">
        <v>6207</v>
      </c>
      <c r="K2009">
        <v>1</v>
      </c>
      <c r="L2009">
        <v>2</v>
      </c>
      <c r="M2009" t="s">
        <v>1</v>
      </c>
      <c r="N2009" s="2">
        <v>0.6</v>
      </c>
      <c r="O2009" s="2">
        <v>0.4</v>
      </c>
      <c r="P2009">
        <v>16</v>
      </c>
      <c r="Q2009">
        <v>20</v>
      </c>
      <c r="R2009">
        <v>5</v>
      </c>
      <c r="S2009">
        <v>5</v>
      </c>
      <c r="T2009">
        <v>20</v>
      </c>
      <c r="U2009">
        <v>13</v>
      </c>
      <c r="V2009">
        <v>3</v>
      </c>
      <c r="W2009">
        <v>2</v>
      </c>
      <c r="X2009">
        <v>1</v>
      </c>
      <c r="Y2009">
        <v>0</v>
      </c>
      <c r="Z2009">
        <v>0</v>
      </c>
    </row>
    <row r="2010" spans="1:26" x14ac:dyDescent="0.2">
      <c r="A2010" t="s">
        <v>2128</v>
      </c>
      <c r="B2010" t="s">
        <v>50</v>
      </c>
      <c r="C2010">
        <v>2014</v>
      </c>
      <c r="D2010" t="s">
        <v>35</v>
      </c>
      <c r="E2010" t="s">
        <v>45</v>
      </c>
      <c r="F2010" t="s">
        <v>35</v>
      </c>
      <c r="G2010">
        <v>49000</v>
      </c>
      <c r="H2010">
        <v>39200</v>
      </c>
      <c r="I2010" s="13">
        <v>1</v>
      </c>
      <c r="J2010" t="s">
        <v>6207</v>
      </c>
      <c r="K2010">
        <v>1</v>
      </c>
      <c r="L2010">
        <v>1</v>
      </c>
      <c r="M2010" t="s">
        <v>58</v>
      </c>
      <c r="N2010" s="2">
        <v>0.42</v>
      </c>
      <c r="O2010" s="2">
        <v>0.57999999999999996</v>
      </c>
      <c r="P2010">
        <v>14</v>
      </c>
      <c r="Q2010">
        <v>13</v>
      </c>
      <c r="R2010">
        <v>5</v>
      </c>
      <c r="S2010">
        <v>4</v>
      </c>
      <c r="T2010">
        <v>11</v>
      </c>
      <c r="U2010">
        <v>13</v>
      </c>
      <c r="V2010">
        <v>1</v>
      </c>
      <c r="W2010">
        <v>2</v>
      </c>
      <c r="X2010">
        <v>0</v>
      </c>
      <c r="Y2010">
        <v>0</v>
      </c>
      <c r="Z2010">
        <v>1</v>
      </c>
    </row>
    <row r="2011" spans="1:26" x14ac:dyDescent="0.2">
      <c r="A2011" t="s">
        <v>2129</v>
      </c>
      <c r="B2011" t="s">
        <v>52</v>
      </c>
      <c r="C2011">
        <v>2014</v>
      </c>
      <c r="D2011" t="s">
        <v>71</v>
      </c>
      <c r="E2011" t="s">
        <v>46</v>
      </c>
      <c r="F2011" t="s">
        <v>71</v>
      </c>
      <c r="G2011">
        <v>21088</v>
      </c>
      <c r="H2011">
        <v>16870.400000000001</v>
      </c>
      <c r="I2011" s="13">
        <v>0.3</v>
      </c>
      <c r="J2011" t="s">
        <v>6207</v>
      </c>
      <c r="K2011">
        <v>2</v>
      </c>
      <c r="L2011">
        <v>1</v>
      </c>
      <c r="M2011" t="s">
        <v>0</v>
      </c>
      <c r="N2011" s="2">
        <v>0.48</v>
      </c>
      <c r="O2011" s="2">
        <v>0.52</v>
      </c>
      <c r="P2011">
        <v>13</v>
      </c>
      <c r="Q2011">
        <v>13</v>
      </c>
      <c r="R2011">
        <v>6</v>
      </c>
      <c r="S2011">
        <v>10</v>
      </c>
      <c r="T2011">
        <v>10</v>
      </c>
      <c r="U2011">
        <v>16</v>
      </c>
      <c r="V2011">
        <v>5</v>
      </c>
      <c r="W2011">
        <v>5</v>
      </c>
      <c r="X2011">
        <v>0</v>
      </c>
      <c r="Y2011">
        <v>0</v>
      </c>
      <c r="Z2011">
        <v>0</v>
      </c>
    </row>
    <row r="2012" spans="1:26" x14ac:dyDescent="0.2">
      <c r="A2012" t="s">
        <v>2130</v>
      </c>
      <c r="B2012" t="s">
        <v>32</v>
      </c>
      <c r="C2012">
        <v>2014</v>
      </c>
      <c r="D2012" t="s">
        <v>27</v>
      </c>
      <c r="E2012" t="s">
        <v>28</v>
      </c>
      <c r="F2012" t="s">
        <v>27</v>
      </c>
      <c r="G2012">
        <v>30089</v>
      </c>
      <c r="H2012">
        <v>24071.200000000001</v>
      </c>
      <c r="I2012" s="13">
        <v>0.25</v>
      </c>
      <c r="J2012" t="s">
        <v>6207</v>
      </c>
      <c r="K2012">
        <v>1</v>
      </c>
      <c r="L2012">
        <v>2</v>
      </c>
      <c r="M2012" t="s">
        <v>1</v>
      </c>
      <c r="N2012" s="2">
        <v>0.74</v>
      </c>
      <c r="O2012" s="2">
        <v>0.26</v>
      </c>
      <c r="P2012">
        <v>8</v>
      </c>
      <c r="Q2012">
        <v>12</v>
      </c>
      <c r="R2012">
        <v>14</v>
      </c>
      <c r="S2012">
        <v>0</v>
      </c>
      <c r="T2012">
        <v>10</v>
      </c>
      <c r="U2012">
        <v>9</v>
      </c>
      <c r="V2012">
        <v>2</v>
      </c>
      <c r="W2012">
        <v>2</v>
      </c>
      <c r="X2012">
        <v>0</v>
      </c>
      <c r="Y2012">
        <v>0</v>
      </c>
      <c r="Z2012">
        <v>0</v>
      </c>
    </row>
    <row r="2013" spans="1:26" x14ac:dyDescent="0.2">
      <c r="A2013" t="s">
        <v>2131</v>
      </c>
      <c r="B2013" t="s">
        <v>25</v>
      </c>
      <c r="C2013">
        <v>2014</v>
      </c>
      <c r="D2013" t="s">
        <v>64</v>
      </c>
      <c r="E2013" t="s">
        <v>70</v>
      </c>
      <c r="F2013" t="s">
        <v>64</v>
      </c>
      <c r="G2013">
        <v>52264</v>
      </c>
      <c r="H2013">
        <v>41811.200000000004</v>
      </c>
      <c r="I2013" s="13">
        <v>0.4</v>
      </c>
      <c r="J2013" t="s">
        <v>6207</v>
      </c>
      <c r="K2013">
        <v>1</v>
      </c>
      <c r="L2013">
        <v>0</v>
      </c>
      <c r="M2013" t="s">
        <v>0</v>
      </c>
      <c r="N2013" s="2">
        <v>0.54</v>
      </c>
      <c r="O2013" s="2">
        <v>0.46</v>
      </c>
      <c r="P2013">
        <v>17</v>
      </c>
      <c r="Q2013">
        <v>15</v>
      </c>
      <c r="R2013">
        <v>16</v>
      </c>
      <c r="S2013">
        <v>7</v>
      </c>
      <c r="T2013">
        <v>12</v>
      </c>
      <c r="U2013">
        <v>15</v>
      </c>
      <c r="V2013">
        <v>2</v>
      </c>
      <c r="W2013">
        <v>3</v>
      </c>
      <c r="X2013">
        <v>0</v>
      </c>
      <c r="Y2013">
        <v>0</v>
      </c>
      <c r="Z2013">
        <v>0</v>
      </c>
    </row>
    <row r="2014" spans="1:26" x14ac:dyDescent="0.2">
      <c r="A2014" t="s">
        <v>2132</v>
      </c>
      <c r="B2014" t="s">
        <v>67</v>
      </c>
      <c r="C2014">
        <v>2014</v>
      </c>
      <c r="D2014" t="s">
        <v>40</v>
      </c>
      <c r="E2014" t="s">
        <v>71</v>
      </c>
      <c r="F2014" t="s">
        <v>49</v>
      </c>
      <c r="G2014">
        <v>53400</v>
      </c>
      <c r="H2014">
        <v>42720</v>
      </c>
      <c r="I2014" s="13">
        <v>0.66666666666666663</v>
      </c>
      <c r="J2014" t="s">
        <v>6207</v>
      </c>
      <c r="K2014">
        <v>2</v>
      </c>
      <c r="L2014">
        <v>1</v>
      </c>
      <c r="M2014" t="s">
        <v>0</v>
      </c>
      <c r="N2014" s="2">
        <v>0.6</v>
      </c>
      <c r="O2014" s="2">
        <v>0.4</v>
      </c>
      <c r="P2014">
        <v>11</v>
      </c>
      <c r="Q2014">
        <v>11</v>
      </c>
      <c r="R2014">
        <v>7</v>
      </c>
      <c r="S2014">
        <v>3</v>
      </c>
      <c r="T2014">
        <v>13</v>
      </c>
      <c r="U2014">
        <v>9</v>
      </c>
      <c r="V2014">
        <v>2</v>
      </c>
      <c r="W2014">
        <v>1</v>
      </c>
      <c r="X2014">
        <v>0</v>
      </c>
      <c r="Y2014">
        <v>0</v>
      </c>
      <c r="Z2014">
        <v>0</v>
      </c>
    </row>
    <row r="2015" spans="1:26" x14ac:dyDescent="0.2">
      <c r="A2015" t="s">
        <v>2133</v>
      </c>
      <c r="B2015" t="s">
        <v>77</v>
      </c>
      <c r="C2015">
        <v>2014</v>
      </c>
      <c r="D2015" t="s">
        <v>80</v>
      </c>
      <c r="E2015" t="s">
        <v>35</v>
      </c>
      <c r="F2015" t="s">
        <v>80</v>
      </c>
      <c r="G2015">
        <v>32261</v>
      </c>
      <c r="H2015">
        <v>25808.800000000003</v>
      </c>
      <c r="I2015" s="13">
        <v>0.4</v>
      </c>
      <c r="J2015" t="s">
        <v>6207</v>
      </c>
      <c r="K2015">
        <v>0</v>
      </c>
      <c r="L2015">
        <v>0</v>
      </c>
      <c r="M2015" t="s">
        <v>58</v>
      </c>
      <c r="N2015" s="2">
        <v>0.4</v>
      </c>
      <c r="O2015" s="2">
        <v>0.6</v>
      </c>
      <c r="P2015">
        <v>16</v>
      </c>
      <c r="Q2015">
        <v>17</v>
      </c>
      <c r="R2015">
        <v>6</v>
      </c>
      <c r="S2015">
        <v>9</v>
      </c>
      <c r="T2015">
        <v>18</v>
      </c>
      <c r="U2015">
        <v>11</v>
      </c>
      <c r="V2015">
        <v>2</v>
      </c>
      <c r="W2015">
        <v>3</v>
      </c>
      <c r="X2015">
        <v>0</v>
      </c>
      <c r="Y2015">
        <v>0</v>
      </c>
      <c r="Z2015">
        <v>0</v>
      </c>
    </row>
    <row r="2016" spans="1:26" x14ac:dyDescent="0.2">
      <c r="A2016" t="s">
        <v>2134</v>
      </c>
      <c r="B2016" t="s">
        <v>44</v>
      </c>
      <c r="C2016">
        <v>2014</v>
      </c>
      <c r="D2016" t="s">
        <v>45</v>
      </c>
      <c r="E2016" t="s">
        <v>23</v>
      </c>
      <c r="F2016" t="s">
        <v>26</v>
      </c>
      <c r="G2016">
        <v>39572</v>
      </c>
      <c r="H2016">
        <v>31657.600000000002</v>
      </c>
      <c r="I2016" s="13">
        <v>0.6</v>
      </c>
      <c r="J2016" t="s">
        <v>6207</v>
      </c>
      <c r="K2016">
        <v>2</v>
      </c>
      <c r="L2016">
        <v>1</v>
      </c>
      <c r="M2016" t="s">
        <v>0</v>
      </c>
      <c r="N2016" s="2">
        <v>0.56000000000000005</v>
      </c>
      <c r="O2016" s="2">
        <v>0.44</v>
      </c>
      <c r="P2016">
        <v>14</v>
      </c>
      <c r="Q2016">
        <v>13</v>
      </c>
      <c r="R2016">
        <v>1</v>
      </c>
      <c r="S2016">
        <v>5</v>
      </c>
      <c r="T2016">
        <v>10</v>
      </c>
      <c r="U2016">
        <v>13</v>
      </c>
      <c r="V2016">
        <v>2</v>
      </c>
      <c r="W2016">
        <v>3</v>
      </c>
      <c r="X2016">
        <v>0</v>
      </c>
      <c r="Y2016">
        <v>0</v>
      </c>
      <c r="Z2016">
        <v>0</v>
      </c>
    </row>
    <row r="2017" spans="1:26" x14ac:dyDescent="0.2">
      <c r="A2017" t="s">
        <v>2135</v>
      </c>
      <c r="B2017" t="s">
        <v>50</v>
      </c>
      <c r="C2017">
        <v>2014</v>
      </c>
      <c r="D2017" t="s">
        <v>18</v>
      </c>
      <c r="E2017" t="s">
        <v>63</v>
      </c>
      <c r="F2017" t="s">
        <v>20</v>
      </c>
      <c r="G2017">
        <v>40341</v>
      </c>
      <c r="H2017">
        <v>32272.800000000003</v>
      </c>
      <c r="I2017" s="13">
        <v>1</v>
      </c>
      <c r="J2017" t="s">
        <v>6207</v>
      </c>
      <c r="K2017">
        <v>2</v>
      </c>
      <c r="L2017">
        <v>0</v>
      </c>
      <c r="M2017" t="s">
        <v>0</v>
      </c>
      <c r="N2017" s="2">
        <v>0.75</v>
      </c>
      <c r="O2017" s="2">
        <v>0.25</v>
      </c>
      <c r="P2017">
        <v>8</v>
      </c>
      <c r="Q2017">
        <v>11</v>
      </c>
      <c r="R2017">
        <v>15</v>
      </c>
      <c r="S2017">
        <v>0</v>
      </c>
      <c r="T2017">
        <v>7</v>
      </c>
      <c r="U2017">
        <v>9</v>
      </c>
      <c r="V2017">
        <v>1</v>
      </c>
      <c r="W2017">
        <v>0</v>
      </c>
      <c r="X2017">
        <v>0</v>
      </c>
      <c r="Y2017">
        <v>1</v>
      </c>
      <c r="Z2017">
        <v>0</v>
      </c>
    </row>
    <row r="2018" spans="1:26" x14ac:dyDescent="0.2">
      <c r="A2018" t="s">
        <v>2136</v>
      </c>
      <c r="B2018" t="s">
        <v>41</v>
      </c>
      <c r="C2018">
        <v>2014</v>
      </c>
      <c r="D2018" t="s">
        <v>46</v>
      </c>
      <c r="E2018" t="s">
        <v>48</v>
      </c>
      <c r="F2018" t="s">
        <v>20</v>
      </c>
      <c r="G2018">
        <v>60704</v>
      </c>
      <c r="H2018">
        <v>48563.200000000004</v>
      </c>
      <c r="I2018" s="13">
        <v>0.66666666666666663</v>
      </c>
      <c r="J2018" t="s">
        <v>6207</v>
      </c>
      <c r="K2018">
        <v>1</v>
      </c>
      <c r="L2018">
        <v>2</v>
      </c>
      <c r="M2018" t="s">
        <v>1</v>
      </c>
      <c r="N2018" s="2">
        <v>0.62</v>
      </c>
      <c r="O2018" s="2">
        <v>0.38</v>
      </c>
      <c r="P2018">
        <v>11</v>
      </c>
      <c r="Q2018">
        <v>12</v>
      </c>
      <c r="R2018">
        <v>11</v>
      </c>
      <c r="S2018">
        <v>5</v>
      </c>
      <c r="T2018">
        <v>12</v>
      </c>
      <c r="U2018">
        <v>8</v>
      </c>
      <c r="V2018">
        <v>2</v>
      </c>
      <c r="W2018">
        <v>1</v>
      </c>
      <c r="X2018">
        <v>0</v>
      </c>
      <c r="Y2018">
        <v>0</v>
      </c>
      <c r="Z2018">
        <v>0</v>
      </c>
    </row>
    <row r="2019" spans="1:26" x14ac:dyDescent="0.2">
      <c r="A2019" t="s">
        <v>2137</v>
      </c>
      <c r="B2019" t="s">
        <v>68</v>
      </c>
      <c r="C2019">
        <v>2014</v>
      </c>
      <c r="D2019" t="s">
        <v>79</v>
      </c>
      <c r="E2019" t="s">
        <v>26</v>
      </c>
      <c r="F2019" t="s">
        <v>20</v>
      </c>
      <c r="G2019">
        <v>25486</v>
      </c>
      <c r="H2019">
        <v>20388.800000000003</v>
      </c>
      <c r="I2019" s="13">
        <v>1</v>
      </c>
      <c r="J2019" t="s">
        <v>6207</v>
      </c>
      <c r="K2019">
        <v>3</v>
      </c>
      <c r="L2019">
        <v>1</v>
      </c>
      <c r="M2019" t="s">
        <v>0</v>
      </c>
      <c r="N2019" s="2">
        <v>0.36</v>
      </c>
      <c r="O2019" s="2">
        <v>0.64</v>
      </c>
      <c r="P2019">
        <v>9</v>
      </c>
      <c r="Q2019">
        <v>21</v>
      </c>
      <c r="R2019">
        <v>4</v>
      </c>
      <c r="S2019">
        <v>3</v>
      </c>
      <c r="T2019">
        <v>21</v>
      </c>
      <c r="U2019">
        <v>10</v>
      </c>
      <c r="V2019">
        <v>1</v>
      </c>
      <c r="W2019">
        <v>2</v>
      </c>
      <c r="X2019">
        <v>0</v>
      </c>
      <c r="Y2019">
        <v>0</v>
      </c>
      <c r="Z2019">
        <v>0</v>
      </c>
    </row>
    <row r="2020" spans="1:26" x14ac:dyDescent="0.2">
      <c r="A2020" t="s">
        <v>2138</v>
      </c>
      <c r="B2020" t="s">
        <v>76</v>
      </c>
      <c r="C2020">
        <v>2014</v>
      </c>
      <c r="D2020" t="s">
        <v>19</v>
      </c>
      <c r="E2020" t="s">
        <v>51</v>
      </c>
      <c r="F2020" t="s">
        <v>19</v>
      </c>
      <c r="G2020">
        <v>25586</v>
      </c>
      <c r="H2020">
        <v>20468.800000000003</v>
      </c>
      <c r="I2020" s="13">
        <v>0.2</v>
      </c>
      <c r="J2020" t="s">
        <v>6207</v>
      </c>
      <c r="K2020">
        <v>1</v>
      </c>
      <c r="L2020">
        <v>2</v>
      </c>
      <c r="M2020" t="s">
        <v>1</v>
      </c>
      <c r="N2020" s="2">
        <v>0.26</v>
      </c>
      <c r="O2020" s="2">
        <v>0.74</v>
      </c>
      <c r="P2020">
        <v>10</v>
      </c>
      <c r="Q2020">
        <v>17</v>
      </c>
      <c r="R2020">
        <v>3</v>
      </c>
      <c r="S2020">
        <v>9</v>
      </c>
      <c r="T2020">
        <v>15</v>
      </c>
      <c r="U2020">
        <v>9</v>
      </c>
      <c r="V2020">
        <v>3</v>
      </c>
      <c r="W2020">
        <v>1</v>
      </c>
      <c r="X2020">
        <v>1</v>
      </c>
      <c r="Y2020">
        <v>0</v>
      </c>
      <c r="Z2020">
        <v>0</v>
      </c>
    </row>
    <row r="2021" spans="1:26" x14ac:dyDescent="0.2">
      <c r="A2021" t="s">
        <v>2139</v>
      </c>
      <c r="B2021" t="s">
        <v>52</v>
      </c>
      <c r="C2021">
        <v>2014</v>
      </c>
      <c r="D2021" t="s">
        <v>42</v>
      </c>
      <c r="E2021" t="s">
        <v>73</v>
      </c>
      <c r="F2021" t="s">
        <v>38</v>
      </c>
      <c r="G2021">
        <v>42918</v>
      </c>
      <c r="H2021">
        <v>34334.400000000001</v>
      </c>
      <c r="I2021" s="13">
        <v>0.66666666666666663</v>
      </c>
      <c r="J2021" t="s">
        <v>6207</v>
      </c>
      <c r="K2021">
        <v>1</v>
      </c>
      <c r="L2021">
        <v>1</v>
      </c>
      <c r="M2021" t="s">
        <v>58</v>
      </c>
      <c r="N2021" s="2">
        <v>0.39</v>
      </c>
      <c r="O2021" s="2">
        <v>0.61</v>
      </c>
      <c r="P2021">
        <v>19</v>
      </c>
      <c r="Q2021">
        <v>16</v>
      </c>
      <c r="R2021">
        <v>2</v>
      </c>
      <c r="S2021">
        <v>8</v>
      </c>
      <c r="T2021">
        <v>15</v>
      </c>
      <c r="U2021">
        <v>17</v>
      </c>
      <c r="V2021">
        <v>1</v>
      </c>
      <c r="W2021">
        <v>2</v>
      </c>
      <c r="X2021">
        <v>0</v>
      </c>
      <c r="Y2021">
        <v>0</v>
      </c>
      <c r="Z2021">
        <v>0</v>
      </c>
    </row>
    <row r="2022" spans="1:26" x14ac:dyDescent="0.2">
      <c r="A2022" t="s">
        <v>2140</v>
      </c>
      <c r="B2022" t="s">
        <v>25</v>
      </c>
      <c r="C2022">
        <v>2014</v>
      </c>
      <c r="D2022" t="s">
        <v>63</v>
      </c>
      <c r="E2022" t="s">
        <v>46</v>
      </c>
      <c r="F2022" t="s">
        <v>65</v>
      </c>
      <c r="G2022">
        <v>26804</v>
      </c>
      <c r="H2022">
        <v>21443.200000000001</v>
      </c>
      <c r="I2022" s="13">
        <v>0.33333333333333331</v>
      </c>
      <c r="J2022" t="s">
        <v>6207</v>
      </c>
      <c r="K2022">
        <v>0</v>
      </c>
      <c r="L2022">
        <v>1</v>
      </c>
      <c r="M2022" t="s">
        <v>1</v>
      </c>
      <c r="N2022" s="2">
        <v>0.48</v>
      </c>
      <c r="O2022" s="2">
        <v>0.52</v>
      </c>
      <c r="P2022">
        <v>11</v>
      </c>
      <c r="Q2022">
        <v>13</v>
      </c>
      <c r="R2022">
        <v>4</v>
      </c>
      <c r="S2022">
        <v>4</v>
      </c>
      <c r="T2022">
        <v>9</v>
      </c>
      <c r="U2022">
        <v>10</v>
      </c>
      <c r="V2022">
        <v>2</v>
      </c>
      <c r="W2022">
        <v>1</v>
      </c>
      <c r="X2022">
        <v>0</v>
      </c>
      <c r="Y2022">
        <v>0</v>
      </c>
      <c r="Z2022">
        <v>0</v>
      </c>
    </row>
    <row r="2023" spans="1:26" x14ac:dyDescent="0.2">
      <c r="A2023" t="s">
        <v>2141</v>
      </c>
      <c r="B2023" t="s">
        <v>41</v>
      </c>
      <c r="C2023">
        <v>2014</v>
      </c>
      <c r="D2023" t="s">
        <v>23</v>
      </c>
      <c r="E2023" t="s">
        <v>64</v>
      </c>
      <c r="F2023" t="s">
        <v>20</v>
      </c>
      <c r="G2023">
        <v>62500</v>
      </c>
      <c r="H2023">
        <v>50000</v>
      </c>
      <c r="I2023" s="13">
        <v>0.42857142857142855</v>
      </c>
      <c r="J2023" t="s">
        <v>6207</v>
      </c>
      <c r="K2023">
        <v>1</v>
      </c>
      <c r="L2023">
        <v>0</v>
      </c>
      <c r="M2023" t="s">
        <v>0</v>
      </c>
      <c r="N2023" s="2">
        <v>0.48</v>
      </c>
      <c r="O2023" s="2">
        <v>0.52</v>
      </c>
      <c r="P2023">
        <v>18</v>
      </c>
      <c r="Q2023">
        <v>13</v>
      </c>
      <c r="R2023">
        <v>6</v>
      </c>
      <c r="S2023">
        <v>2</v>
      </c>
      <c r="T2023">
        <v>9</v>
      </c>
      <c r="U2023">
        <v>16</v>
      </c>
      <c r="V2023">
        <v>3</v>
      </c>
      <c r="W2023">
        <v>3</v>
      </c>
      <c r="X2023">
        <v>0</v>
      </c>
      <c r="Y2023">
        <v>1</v>
      </c>
      <c r="Z2023">
        <v>0</v>
      </c>
    </row>
    <row r="2024" spans="1:26" x14ac:dyDescent="0.2">
      <c r="A2024" t="s">
        <v>2142</v>
      </c>
      <c r="B2024" t="s">
        <v>32</v>
      </c>
      <c r="C2024">
        <v>2014</v>
      </c>
      <c r="D2024" t="s">
        <v>71</v>
      </c>
      <c r="E2024" t="s">
        <v>79</v>
      </c>
      <c r="F2024" t="s">
        <v>71</v>
      </c>
      <c r="G2024">
        <v>21088</v>
      </c>
      <c r="H2024">
        <v>16870.400000000001</v>
      </c>
      <c r="I2024" s="13">
        <v>0.5</v>
      </c>
      <c r="J2024" t="s">
        <v>6207</v>
      </c>
      <c r="K2024">
        <v>1</v>
      </c>
      <c r="L2024">
        <v>1</v>
      </c>
      <c r="M2024" t="s">
        <v>58</v>
      </c>
      <c r="N2024" s="2">
        <v>0.65</v>
      </c>
      <c r="O2024" s="2">
        <v>0.35</v>
      </c>
      <c r="P2024">
        <v>12</v>
      </c>
      <c r="Q2024">
        <v>5</v>
      </c>
      <c r="R2024">
        <v>4</v>
      </c>
      <c r="S2024">
        <v>6</v>
      </c>
      <c r="T2024">
        <v>6</v>
      </c>
      <c r="U2024">
        <v>12</v>
      </c>
      <c r="V2024">
        <v>0</v>
      </c>
      <c r="W2024">
        <v>2</v>
      </c>
      <c r="X2024">
        <v>0</v>
      </c>
      <c r="Y2024">
        <v>0</v>
      </c>
      <c r="Z2024">
        <v>1</v>
      </c>
    </row>
    <row r="2025" spans="1:26" x14ac:dyDescent="0.2">
      <c r="A2025" t="s">
        <v>2143</v>
      </c>
      <c r="B2025" t="s">
        <v>74</v>
      </c>
      <c r="C2025">
        <v>2014</v>
      </c>
      <c r="D2025" t="s">
        <v>70</v>
      </c>
      <c r="E2025" t="s">
        <v>80</v>
      </c>
      <c r="F2025" t="s">
        <v>20</v>
      </c>
      <c r="G2025">
        <v>18439</v>
      </c>
      <c r="H2025">
        <v>14751.2</v>
      </c>
      <c r="I2025" s="13">
        <v>0</v>
      </c>
      <c r="J2025" t="s">
        <v>6208</v>
      </c>
      <c r="K2025">
        <v>3</v>
      </c>
      <c r="L2025">
        <v>2</v>
      </c>
      <c r="M2025" t="s">
        <v>0</v>
      </c>
      <c r="N2025" s="2">
        <v>0.59</v>
      </c>
      <c r="O2025" s="2">
        <v>0.41</v>
      </c>
      <c r="P2025">
        <v>20</v>
      </c>
      <c r="Q2025">
        <v>11</v>
      </c>
      <c r="R2025">
        <v>11</v>
      </c>
      <c r="S2025">
        <v>5</v>
      </c>
      <c r="T2025">
        <v>8</v>
      </c>
      <c r="U2025">
        <v>17</v>
      </c>
      <c r="V2025">
        <v>3</v>
      </c>
      <c r="W2025">
        <v>2</v>
      </c>
      <c r="X2025">
        <v>0</v>
      </c>
      <c r="Y2025">
        <v>0</v>
      </c>
      <c r="Z2025">
        <v>0</v>
      </c>
    </row>
    <row r="2026" spans="1:26" x14ac:dyDescent="0.2">
      <c r="A2026" t="s">
        <v>2144</v>
      </c>
      <c r="B2026" t="s">
        <v>61</v>
      </c>
      <c r="C2026">
        <v>2014</v>
      </c>
      <c r="D2026" t="s">
        <v>48</v>
      </c>
      <c r="E2026" t="s">
        <v>19</v>
      </c>
      <c r="F2026" t="s">
        <v>49</v>
      </c>
      <c r="G2026">
        <v>74197</v>
      </c>
      <c r="H2026">
        <v>59357.600000000006</v>
      </c>
      <c r="I2026" s="13">
        <v>0.5</v>
      </c>
      <c r="J2026" t="s">
        <v>6207</v>
      </c>
      <c r="K2026">
        <v>3</v>
      </c>
      <c r="L2026">
        <v>0</v>
      </c>
      <c r="M2026" t="s">
        <v>0</v>
      </c>
      <c r="N2026" s="2">
        <v>0.77</v>
      </c>
      <c r="O2026" s="2">
        <v>0.23</v>
      </c>
      <c r="P2026">
        <v>14</v>
      </c>
      <c r="Q2026">
        <v>17</v>
      </c>
      <c r="R2026">
        <v>7</v>
      </c>
      <c r="S2026">
        <v>0</v>
      </c>
      <c r="T2026">
        <v>12</v>
      </c>
      <c r="U2026">
        <v>12</v>
      </c>
      <c r="V2026">
        <v>2</v>
      </c>
      <c r="W2026">
        <v>2</v>
      </c>
      <c r="X2026">
        <v>0</v>
      </c>
      <c r="Y2026">
        <v>0</v>
      </c>
      <c r="Z2026">
        <v>0</v>
      </c>
    </row>
    <row r="2027" spans="1:26" x14ac:dyDescent="0.2">
      <c r="A2027" t="s">
        <v>2145</v>
      </c>
      <c r="B2027" t="s">
        <v>76</v>
      </c>
      <c r="C2027">
        <v>2014</v>
      </c>
      <c r="D2027" t="s">
        <v>26</v>
      </c>
      <c r="E2027" t="s">
        <v>27</v>
      </c>
      <c r="F2027" t="s">
        <v>26</v>
      </c>
      <c r="G2027">
        <v>61276</v>
      </c>
      <c r="H2027">
        <v>49020.800000000003</v>
      </c>
      <c r="I2027" s="13">
        <v>0.66666666666666663</v>
      </c>
      <c r="J2027" t="s">
        <v>6207</v>
      </c>
      <c r="K2027">
        <v>1</v>
      </c>
      <c r="L2027">
        <v>0</v>
      </c>
      <c r="M2027" t="s">
        <v>0</v>
      </c>
      <c r="N2027" s="2">
        <v>0.47</v>
      </c>
      <c r="O2027" s="2">
        <v>0.53</v>
      </c>
      <c r="P2027">
        <v>11</v>
      </c>
      <c r="Q2027">
        <v>11</v>
      </c>
      <c r="R2027">
        <v>5</v>
      </c>
      <c r="S2027">
        <v>5</v>
      </c>
      <c r="T2027">
        <v>11</v>
      </c>
      <c r="U2027">
        <v>9</v>
      </c>
      <c r="V2027">
        <v>0</v>
      </c>
      <c r="W2027">
        <v>3</v>
      </c>
      <c r="X2027">
        <v>0</v>
      </c>
      <c r="Y2027">
        <v>0</v>
      </c>
      <c r="Z2027">
        <v>0</v>
      </c>
    </row>
    <row r="2028" spans="1:26" x14ac:dyDescent="0.2">
      <c r="A2028" t="s">
        <v>2146</v>
      </c>
      <c r="B2028" t="s">
        <v>83</v>
      </c>
      <c r="C2028">
        <v>2014</v>
      </c>
      <c r="D2028" t="s">
        <v>28</v>
      </c>
      <c r="E2028" t="s">
        <v>42</v>
      </c>
      <c r="F2028" t="s">
        <v>28</v>
      </c>
      <c r="G2028">
        <v>21944</v>
      </c>
      <c r="H2028">
        <v>17555.2</v>
      </c>
      <c r="I2028" s="13">
        <v>0.2857142857142857</v>
      </c>
      <c r="J2028" t="s">
        <v>6208</v>
      </c>
      <c r="K2028">
        <v>1</v>
      </c>
      <c r="L2028">
        <v>1</v>
      </c>
      <c r="M2028" t="s">
        <v>58</v>
      </c>
      <c r="N2028" s="2">
        <v>0.47</v>
      </c>
      <c r="O2028" s="2">
        <v>0.53</v>
      </c>
      <c r="P2028">
        <v>9</v>
      </c>
      <c r="Q2028">
        <v>9</v>
      </c>
      <c r="R2028">
        <v>1</v>
      </c>
      <c r="S2028">
        <v>5</v>
      </c>
      <c r="T2028">
        <v>8</v>
      </c>
      <c r="U2028">
        <v>8</v>
      </c>
      <c r="V2028">
        <v>3</v>
      </c>
      <c r="W2028">
        <v>4</v>
      </c>
      <c r="X2028">
        <v>0</v>
      </c>
      <c r="Y2028">
        <v>0</v>
      </c>
      <c r="Z2028">
        <v>1</v>
      </c>
    </row>
    <row r="2029" spans="1:26" x14ac:dyDescent="0.2">
      <c r="A2029" t="s">
        <v>2147</v>
      </c>
      <c r="B2029" t="s">
        <v>60</v>
      </c>
      <c r="C2029">
        <v>2014</v>
      </c>
      <c r="D2029" t="s">
        <v>35</v>
      </c>
      <c r="E2029" t="s">
        <v>18</v>
      </c>
      <c r="F2029" t="s">
        <v>35</v>
      </c>
      <c r="G2029">
        <v>49000</v>
      </c>
      <c r="H2029">
        <v>39200</v>
      </c>
      <c r="I2029" s="13">
        <v>1</v>
      </c>
      <c r="J2029" t="s">
        <v>6208</v>
      </c>
      <c r="K2029">
        <v>0</v>
      </c>
      <c r="L2029">
        <v>0</v>
      </c>
      <c r="M2029" t="s">
        <v>58</v>
      </c>
      <c r="N2029" s="2">
        <v>0.33</v>
      </c>
      <c r="O2029" s="2">
        <v>0.67</v>
      </c>
      <c r="P2029">
        <v>9</v>
      </c>
      <c r="Q2029">
        <v>13</v>
      </c>
      <c r="R2029">
        <v>2</v>
      </c>
      <c r="S2029">
        <v>8</v>
      </c>
      <c r="T2029">
        <v>13</v>
      </c>
      <c r="U2029">
        <v>10</v>
      </c>
      <c r="V2029">
        <v>3</v>
      </c>
      <c r="W2029">
        <v>2</v>
      </c>
      <c r="X2029">
        <v>0</v>
      </c>
      <c r="Y2029">
        <v>0</v>
      </c>
      <c r="Z2029">
        <v>0</v>
      </c>
    </row>
    <row r="2030" spans="1:26" x14ac:dyDescent="0.2">
      <c r="A2030" t="s">
        <v>2148</v>
      </c>
      <c r="B2030" t="s">
        <v>53</v>
      </c>
      <c r="C2030">
        <v>2014</v>
      </c>
      <c r="D2030" t="s">
        <v>73</v>
      </c>
      <c r="E2030" t="s">
        <v>40</v>
      </c>
      <c r="F2030" t="s">
        <v>73</v>
      </c>
      <c r="G2030">
        <v>32384</v>
      </c>
      <c r="H2030">
        <v>25907.200000000001</v>
      </c>
      <c r="I2030" s="13">
        <v>0.8</v>
      </c>
      <c r="J2030" t="s">
        <v>6207</v>
      </c>
      <c r="K2030">
        <v>0</v>
      </c>
      <c r="L2030">
        <v>3</v>
      </c>
      <c r="M2030" t="s">
        <v>1</v>
      </c>
      <c r="N2030" s="2">
        <v>0.52</v>
      </c>
      <c r="O2030" s="2">
        <v>0.48</v>
      </c>
      <c r="P2030">
        <v>14</v>
      </c>
      <c r="Q2030">
        <v>14</v>
      </c>
      <c r="R2030">
        <v>8</v>
      </c>
      <c r="S2030">
        <v>6</v>
      </c>
      <c r="T2030">
        <v>10</v>
      </c>
      <c r="U2030">
        <v>13</v>
      </c>
      <c r="V2030">
        <v>1</v>
      </c>
      <c r="W2030">
        <v>3</v>
      </c>
      <c r="X2030">
        <v>0</v>
      </c>
      <c r="Y2030">
        <v>1</v>
      </c>
      <c r="Z2030">
        <v>0</v>
      </c>
    </row>
    <row r="2031" spans="1:26" x14ac:dyDescent="0.2">
      <c r="A2031" t="s">
        <v>2149</v>
      </c>
      <c r="B2031" t="s">
        <v>66</v>
      </c>
      <c r="C2031">
        <v>2014</v>
      </c>
      <c r="D2031" t="s">
        <v>51</v>
      </c>
      <c r="E2031" t="s">
        <v>45</v>
      </c>
      <c r="F2031" t="s">
        <v>20</v>
      </c>
      <c r="G2031">
        <v>36284</v>
      </c>
      <c r="H2031">
        <v>29027.200000000001</v>
      </c>
      <c r="I2031" s="13">
        <v>0.83333333333333337</v>
      </c>
      <c r="J2031" t="s">
        <v>6207</v>
      </c>
      <c r="K2031">
        <v>2</v>
      </c>
      <c r="L2031">
        <v>1</v>
      </c>
      <c r="M2031" t="s">
        <v>0</v>
      </c>
      <c r="N2031" s="2">
        <v>0.39</v>
      </c>
      <c r="O2031" s="2">
        <v>0.61</v>
      </c>
      <c r="P2031">
        <v>9</v>
      </c>
      <c r="Q2031">
        <v>16</v>
      </c>
      <c r="R2031">
        <v>3</v>
      </c>
      <c r="S2031">
        <v>4</v>
      </c>
      <c r="T2031">
        <v>15</v>
      </c>
      <c r="U2031">
        <v>5</v>
      </c>
      <c r="V2031">
        <v>5</v>
      </c>
      <c r="W2031">
        <v>1</v>
      </c>
      <c r="X2031">
        <v>0</v>
      </c>
      <c r="Y2031">
        <v>0</v>
      </c>
      <c r="Z2031">
        <v>0</v>
      </c>
    </row>
    <row r="2032" spans="1:26" x14ac:dyDescent="0.2">
      <c r="A2032" t="s">
        <v>2150</v>
      </c>
      <c r="B2032" t="s">
        <v>60</v>
      </c>
      <c r="C2032">
        <v>2014</v>
      </c>
      <c r="D2032" t="s">
        <v>71</v>
      </c>
      <c r="E2032" t="s">
        <v>70</v>
      </c>
      <c r="F2032" t="s">
        <v>71</v>
      </c>
      <c r="G2032">
        <v>21088</v>
      </c>
      <c r="H2032">
        <v>16870.400000000001</v>
      </c>
      <c r="I2032" s="13">
        <v>0.25</v>
      </c>
      <c r="J2032" t="s">
        <v>6208</v>
      </c>
      <c r="K2032">
        <v>2</v>
      </c>
      <c r="L2032">
        <v>0</v>
      </c>
      <c r="M2032" t="s">
        <v>0</v>
      </c>
      <c r="N2032" s="2">
        <v>0.59</v>
      </c>
      <c r="O2032" s="2">
        <v>0.41</v>
      </c>
      <c r="P2032">
        <v>12</v>
      </c>
      <c r="Q2032">
        <v>14</v>
      </c>
      <c r="R2032">
        <v>9</v>
      </c>
      <c r="S2032">
        <v>2</v>
      </c>
      <c r="T2032">
        <v>8</v>
      </c>
      <c r="U2032">
        <v>12</v>
      </c>
      <c r="V2032">
        <v>2</v>
      </c>
      <c r="W2032">
        <v>2</v>
      </c>
      <c r="X2032">
        <v>0</v>
      </c>
      <c r="Y2032">
        <v>0</v>
      </c>
      <c r="Z2032">
        <v>0</v>
      </c>
    </row>
    <row r="2033" spans="1:26" x14ac:dyDescent="0.2">
      <c r="A2033" t="s">
        <v>2151</v>
      </c>
      <c r="B2033" t="s">
        <v>68</v>
      </c>
      <c r="C2033">
        <v>2014</v>
      </c>
      <c r="D2033" t="s">
        <v>48</v>
      </c>
      <c r="E2033" t="s">
        <v>27</v>
      </c>
      <c r="F2033" t="s">
        <v>49</v>
      </c>
      <c r="G2033">
        <v>74197</v>
      </c>
      <c r="H2033">
        <v>59357.600000000006</v>
      </c>
      <c r="I2033" s="13">
        <v>0.66666666666666663</v>
      </c>
      <c r="J2033" t="s">
        <v>6207</v>
      </c>
      <c r="K2033">
        <v>2</v>
      </c>
      <c r="L2033">
        <v>1</v>
      </c>
      <c r="M2033" t="s">
        <v>0</v>
      </c>
      <c r="N2033" s="2">
        <v>0.64</v>
      </c>
      <c r="O2033" s="2">
        <v>0.36</v>
      </c>
      <c r="P2033">
        <v>13</v>
      </c>
      <c r="Q2033">
        <v>9</v>
      </c>
      <c r="R2033">
        <v>2</v>
      </c>
      <c r="S2033">
        <v>2</v>
      </c>
      <c r="T2033">
        <v>8</v>
      </c>
      <c r="U2033">
        <v>13</v>
      </c>
      <c r="V2033">
        <v>2</v>
      </c>
      <c r="W2033">
        <v>4</v>
      </c>
      <c r="X2033">
        <v>0</v>
      </c>
      <c r="Y2033">
        <v>0</v>
      </c>
      <c r="Z2033">
        <v>0</v>
      </c>
    </row>
    <row r="2034" spans="1:26" x14ac:dyDescent="0.2">
      <c r="A2034" t="s">
        <v>2152</v>
      </c>
      <c r="B2034" t="s">
        <v>50</v>
      </c>
      <c r="C2034">
        <v>2014</v>
      </c>
      <c r="D2034" t="s">
        <v>80</v>
      </c>
      <c r="E2034" t="s">
        <v>26</v>
      </c>
      <c r="F2034" t="s">
        <v>80</v>
      </c>
      <c r="G2034">
        <v>32261</v>
      </c>
      <c r="H2034">
        <v>25808.800000000003</v>
      </c>
      <c r="I2034" s="13">
        <v>0.5</v>
      </c>
      <c r="J2034" t="s">
        <v>6207</v>
      </c>
      <c r="K2034">
        <v>1</v>
      </c>
      <c r="L2034">
        <v>3</v>
      </c>
      <c r="M2034" t="s">
        <v>1</v>
      </c>
      <c r="N2034" s="2">
        <v>0.46</v>
      </c>
      <c r="O2034" s="2">
        <v>0.54</v>
      </c>
      <c r="P2034">
        <v>14</v>
      </c>
      <c r="Q2034">
        <v>11</v>
      </c>
      <c r="R2034">
        <v>7</v>
      </c>
      <c r="S2034">
        <v>4</v>
      </c>
      <c r="T2034">
        <v>11</v>
      </c>
      <c r="U2034">
        <v>10</v>
      </c>
      <c r="V2034">
        <v>1</v>
      </c>
      <c r="W2034">
        <v>2</v>
      </c>
      <c r="X2034">
        <v>1</v>
      </c>
      <c r="Y2034">
        <v>0</v>
      </c>
      <c r="Z2034">
        <v>0</v>
      </c>
    </row>
    <row r="2035" spans="1:26" x14ac:dyDescent="0.2">
      <c r="A2035" t="s">
        <v>2153</v>
      </c>
      <c r="B2035" t="s">
        <v>52</v>
      </c>
      <c r="C2035">
        <v>2014</v>
      </c>
      <c r="D2035" t="s">
        <v>28</v>
      </c>
      <c r="E2035" t="s">
        <v>64</v>
      </c>
      <c r="F2035" t="s">
        <v>28</v>
      </c>
      <c r="G2035">
        <v>21944</v>
      </c>
      <c r="H2035">
        <v>17555.2</v>
      </c>
      <c r="I2035" s="13">
        <v>0.5</v>
      </c>
      <c r="J2035" t="s">
        <v>6207</v>
      </c>
      <c r="K2035">
        <v>1</v>
      </c>
      <c r="L2035">
        <v>1</v>
      </c>
      <c r="M2035" t="s">
        <v>58</v>
      </c>
      <c r="N2035" s="2">
        <v>0.42</v>
      </c>
      <c r="O2035" s="2">
        <v>0.57999999999999996</v>
      </c>
      <c r="P2035">
        <v>15</v>
      </c>
      <c r="Q2035">
        <v>14</v>
      </c>
      <c r="R2035">
        <v>2</v>
      </c>
      <c r="S2035">
        <v>5</v>
      </c>
      <c r="T2035">
        <v>12</v>
      </c>
      <c r="U2035">
        <v>12</v>
      </c>
      <c r="V2035">
        <v>2</v>
      </c>
      <c r="W2035">
        <v>2</v>
      </c>
      <c r="X2035">
        <v>0</v>
      </c>
      <c r="Y2035">
        <v>0</v>
      </c>
      <c r="Z2035">
        <v>0</v>
      </c>
    </row>
    <row r="2036" spans="1:26" x14ac:dyDescent="0.2">
      <c r="A2036" t="s">
        <v>2154</v>
      </c>
      <c r="B2036" t="s">
        <v>53</v>
      </c>
      <c r="C2036">
        <v>2014</v>
      </c>
      <c r="D2036" t="s">
        <v>63</v>
      </c>
      <c r="E2036" t="s">
        <v>23</v>
      </c>
      <c r="F2036" t="s">
        <v>65</v>
      </c>
      <c r="G2036">
        <v>26804</v>
      </c>
      <c r="H2036">
        <v>21443.200000000001</v>
      </c>
      <c r="I2036" s="13">
        <v>0.33333333333333331</v>
      </c>
      <c r="J2036" t="s">
        <v>6207</v>
      </c>
      <c r="K2036">
        <v>1</v>
      </c>
      <c r="L2036">
        <v>2</v>
      </c>
      <c r="M2036" t="s">
        <v>1</v>
      </c>
      <c r="N2036" s="2">
        <v>0.59</v>
      </c>
      <c r="O2036" s="2">
        <v>0.41</v>
      </c>
      <c r="P2036">
        <v>20</v>
      </c>
      <c r="Q2036">
        <v>11</v>
      </c>
      <c r="R2036">
        <v>7</v>
      </c>
      <c r="S2036">
        <v>3</v>
      </c>
      <c r="T2036">
        <v>11</v>
      </c>
      <c r="U2036">
        <v>17</v>
      </c>
      <c r="V2036">
        <v>2</v>
      </c>
      <c r="W2036">
        <v>1</v>
      </c>
      <c r="X2036">
        <v>0</v>
      </c>
      <c r="Y2036">
        <v>0</v>
      </c>
      <c r="Z2036">
        <v>0</v>
      </c>
    </row>
    <row r="2037" spans="1:26" x14ac:dyDescent="0.2">
      <c r="A2037" t="s">
        <v>2155</v>
      </c>
      <c r="B2037" t="s">
        <v>66</v>
      </c>
      <c r="C2037">
        <v>2014</v>
      </c>
      <c r="D2037" t="s">
        <v>79</v>
      </c>
      <c r="E2037" t="s">
        <v>42</v>
      </c>
      <c r="F2037" t="s">
        <v>20</v>
      </c>
      <c r="G2037">
        <v>25486</v>
      </c>
      <c r="H2037">
        <v>20388.800000000003</v>
      </c>
      <c r="I2037" s="13">
        <v>0.75</v>
      </c>
      <c r="J2037" t="s">
        <v>6207</v>
      </c>
      <c r="K2037">
        <v>0</v>
      </c>
      <c r="L2037">
        <v>1</v>
      </c>
      <c r="M2037" t="s">
        <v>1</v>
      </c>
      <c r="N2037" s="2">
        <v>0.46</v>
      </c>
      <c r="O2037" s="2">
        <v>0.54</v>
      </c>
      <c r="P2037">
        <v>17</v>
      </c>
      <c r="Q2037">
        <v>19</v>
      </c>
      <c r="R2037">
        <v>8</v>
      </c>
      <c r="S2037">
        <v>2</v>
      </c>
      <c r="T2037">
        <v>16</v>
      </c>
      <c r="U2037">
        <v>15</v>
      </c>
      <c r="V2037">
        <v>2</v>
      </c>
      <c r="W2037">
        <v>2</v>
      </c>
      <c r="X2037">
        <v>0</v>
      </c>
      <c r="Y2037">
        <v>0</v>
      </c>
      <c r="Z2037">
        <v>0</v>
      </c>
    </row>
    <row r="2038" spans="1:26" x14ac:dyDescent="0.2">
      <c r="A2038" t="s">
        <v>2156</v>
      </c>
      <c r="B2038" t="s">
        <v>76</v>
      </c>
      <c r="C2038">
        <v>2014</v>
      </c>
      <c r="D2038" t="s">
        <v>35</v>
      </c>
      <c r="E2038" t="s">
        <v>40</v>
      </c>
      <c r="F2038" t="s">
        <v>35</v>
      </c>
      <c r="G2038">
        <v>49000</v>
      </c>
      <c r="H2038">
        <v>39200</v>
      </c>
      <c r="I2038" s="13">
        <v>0.5</v>
      </c>
      <c r="J2038" t="s">
        <v>6207</v>
      </c>
      <c r="K2038">
        <v>1</v>
      </c>
      <c r="L2038">
        <v>4</v>
      </c>
      <c r="M2038" t="s">
        <v>1</v>
      </c>
      <c r="N2038" s="2">
        <v>0.35</v>
      </c>
      <c r="O2038" s="2">
        <v>0.65</v>
      </c>
      <c r="P2038">
        <v>9</v>
      </c>
      <c r="Q2038">
        <v>10</v>
      </c>
      <c r="R2038">
        <v>2</v>
      </c>
      <c r="S2038">
        <v>0</v>
      </c>
      <c r="T2038">
        <v>9</v>
      </c>
      <c r="U2038">
        <v>8</v>
      </c>
      <c r="V2038">
        <v>1</v>
      </c>
      <c r="W2038">
        <v>1</v>
      </c>
      <c r="X2038">
        <v>0</v>
      </c>
      <c r="Y2038">
        <v>0</v>
      </c>
      <c r="Z2038">
        <v>0</v>
      </c>
    </row>
    <row r="2039" spans="1:26" x14ac:dyDescent="0.2">
      <c r="A2039" t="s">
        <v>2157</v>
      </c>
      <c r="B2039" t="s">
        <v>77</v>
      </c>
      <c r="C2039">
        <v>2014</v>
      </c>
      <c r="D2039" t="s">
        <v>45</v>
      </c>
      <c r="E2039" t="s">
        <v>19</v>
      </c>
      <c r="F2039" t="s">
        <v>26</v>
      </c>
      <c r="G2039">
        <v>39572</v>
      </c>
      <c r="H2039">
        <v>31657.600000000002</v>
      </c>
      <c r="I2039" s="13">
        <v>0</v>
      </c>
      <c r="J2039" t="s">
        <v>6207</v>
      </c>
      <c r="K2039">
        <v>1</v>
      </c>
      <c r="L2039">
        <v>1</v>
      </c>
      <c r="M2039" t="s">
        <v>58</v>
      </c>
      <c r="N2039" s="2">
        <v>0.57999999999999996</v>
      </c>
      <c r="O2039" s="2">
        <v>0.42</v>
      </c>
      <c r="P2039">
        <v>12</v>
      </c>
      <c r="Q2039">
        <v>9</v>
      </c>
      <c r="R2039">
        <v>6</v>
      </c>
      <c r="S2039">
        <v>4</v>
      </c>
      <c r="T2039">
        <v>8</v>
      </c>
      <c r="U2039">
        <v>12</v>
      </c>
      <c r="V2039">
        <v>1</v>
      </c>
      <c r="W2039">
        <v>1</v>
      </c>
      <c r="X2039">
        <v>0</v>
      </c>
      <c r="Y2039">
        <v>0</v>
      </c>
      <c r="Z2039">
        <v>0</v>
      </c>
    </row>
    <row r="2040" spans="1:26" x14ac:dyDescent="0.2">
      <c r="A2040" t="s">
        <v>2158</v>
      </c>
      <c r="B2040" t="s">
        <v>41</v>
      </c>
      <c r="C2040">
        <v>2014</v>
      </c>
      <c r="D2040" t="s">
        <v>18</v>
      </c>
      <c r="E2040" t="s">
        <v>51</v>
      </c>
      <c r="F2040" t="s">
        <v>20</v>
      </c>
      <c r="G2040">
        <v>40341</v>
      </c>
      <c r="H2040">
        <v>32272.800000000003</v>
      </c>
      <c r="I2040" s="13">
        <v>1</v>
      </c>
      <c r="J2040" t="s">
        <v>6207</v>
      </c>
      <c r="K2040">
        <v>3</v>
      </c>
      <c r="L2040">
        <v>0</v>
      </c>
      <c r="M2040" t="s">
        <v>0</v>
      </c>
      <c r="N2040" s="2">
        <v>0.38</v>
      </c>
      <c r="O2040" s="2">
        <v>0.62</v>
      </c>
      <c r="P2040">
        <v>11</v>
      </c>
      <c r="Q2040">
        <v>12</v>
      </c>
      <c r="R2040">
        <v>1</v>
      </c>
      <c r="S2040">
        <v>6</v>
      </c>
      <c r="T2040">
        <v>9</v>
      </c>
      <c r="U2040">
        <v>9</v>
      </c>
      <c r="V2040">
        <v>1</v>
      </c>
      <c r="W2040">
        <v>1</v>
      </c>
      <c r="X2040">
        <v>0</v>
      </c>
      <c r="Y2040">
        <v>0</v>
      </c>
      <c r="Z2040">
        <v>0</v>
      </c>
    </row>
    <row r="2041" spans="1:26" x14ac:dyDescent="0.2">
      <c r="A2041" t="s">
        <v>2159</v>
      </c>
      <c r="B2041" t="s">
        <v>37</v>
      </c>
      <c r="C2041">
        <v>2014</v>
      </c>
      <c r="D2041" t="s">
        <v>46</v>
      </c>
      <c r="E2041" t="s">
        <v>73</v>
      </c>
      <c r="F2041" t="s">
        <v>20</v>
      </c>
      <c r="G2041">
        <v>60704</v>
      </c>
      <c r="H2041">
        <v>48563.200000000004</v>
      </c>
      <c r="I2041" s="13">
        <v>1</v>
      </c>
      <c r="J2041" t="s">
        <v>6206</v>
      </c>
      <c r="K2041">
        <v>1</v>
      </c>
      <c r="L2041">
        <v>0</v>
      </c>
      <c r="M2041" t="s">
        <v>0</v>
      </c>
      <c r="N2041" s="2">
        <v>0.59</v>
      </c>
      <c r="O2041" s="2">
        <v>0.41</v>
      </c>
      <c r="P2041">
        <v>15</v>
      </c>
      <c r="Q2041">
        <v>9</v>
      </c>
      <c r="R2041">
        <v>9</v>
      </c>
      <c r="S2041">
        <v>4</v>
      </c>
      <c r="T2041">
        <v>7</v>
      </c>
      <c r="U2041">
        <v>14</v>
      </c>
      <c r="V2041">
        <v>0</v>
      </c>
      <c r="W2041">
        <v>2</v>
      </c>
      <c r="X2041">
        <v>0</v>
      </c>
      <c r="Y2041">
        <v>0</v>
      </c>
      <c r="Z2041">
        <v>0</v>
      </c>
    </row>
    <row r="2042" spans="1:26" x14ac:dyDescent="0.2">
      <c r="A2042" t="s">
        <v>2160</v>
      </c>
      <c r="B2042" t="s">
        <v>32</v>
      </c>
      <c r="C2042">
        <v>2014</v>
      </c>
      <c r="D2042" t="s">
        <v>64</v>
      </c>
      <c r="E2042" t="s">
        <v>18</v>
      </c>
      <c r="F2042" t="s">
        <v>64</v>
      </c>
      <c r="G2042">
        <v>52264</v>
      </c>
      <c r="H2042">
        <v>41811.200000000004</v>
      </c>
      <c r="I2042" s="13">
        <v>0.7142857142857143</v>
      </c>
      <c r="J2042" t="s">
        <v>6207</v>
      </c>
      <c r="K2042">
        <v>2</v>
      </c>
      <c r="L2042">
        <v>1</v>
      </c>
      <c r="M2042" t="s">
        <v>0</v>
      </c>
      <c r="N2042" s="2">
        <v>0.32</v>
      </c>
      <c r="O2042" s="2">
        <v>0.68</v>
      </c>
      <c r="P2042">
        <v>10</v>
      </c>
      <c r="Q2042">
        <v>9</v>
      </c>
      <c r="R2042">
        <v>1</v>
      </c>
      <c r="S2042">
        <v>10</v>
      </c>
      <c r="T2042">
        <v>8</v>
      </c>
      <c r="U2042">
        <v>6</v>
      </c>
      <c r="V2042">
        <v>3</v>
      </c>
      <c r="W2042">
        <v>3</v>
      </c>
      <c r="X2042">
        <v>1</v>
      </c>
      <c r="Y2042">
        <v>0</v>
      </c>
      <c r="Z2042">
        <v>0</v>
      </c>
    </row>
    <row r="2043" spans="1:26" x14ac:dyDescent="0.2">
      <c r="A2043" t="s">
        <v>2161</v>
      </c>
      <c r="B2043" t="s">
        <v>50</v>
      </c>
      <c r="C2043">
        <v>2014</v>
      </c>
      <c r="D2043" t="s">
        <v>51</v>
      </c>
      <c r="E2043" t="s">
        <v>79</v>
      </c>
      <c r="F2043" t="s">
        <v>20</v>
      </c>
      <c r="G2043">
        <v>36284</v>
      </c>
      <c r="H2043">
        <v>29027.200000000001</v>
      </c>
      <c r="I2043" s="13">
        <v>1</v>
      </c>
      <c r="J2043" t="s">
        <v>6207</v>
      </c>
      <c r="K2043">
        <v>0</v>
      </c>
      <c r="L2043">
        <v>0</v>
      </c>
      <c r="M2043" t="s">
        <v>58</v>
      </c>
      <c r="N2043" s="2">
        <v>0.68</v>
      </c>
      <c r="O2043" s="2">
        <v>0.32</v>
      </c>
      <c r="P2043">
        <v>14</v>
      </c>
      <c r="Q2043">
        <v>12</v>
      </c>
      <c r="R2043">
        <v>2</v>
      </c>
      <c r="S2043">
        <v>12</v>
      </c>
      <c r="T2043">
        <v>11</v>
      </c>
      <c r="U2043">
        <v>10</v>
      </c>
      <c r="V2043">
        <v>1</v>
      </c>
      <c r="W2043">
        <v>0</v>
      </c>
      <c r="X2043">
        <v>0</v>
      </c>
      <c r="Y2043">
        <v>0</v>
      </c>
      <c r="Z2043">
        <v>0</v>
      </c>
    </row>
    <row r="2044" spans="1:26" x14ac:dyDescent="0.2">
      <c r="A2044" t="s">
        <v>2162</v>
      </c>
      <c r="B2044" t="s">
        <v>61</v>
      </c>
      <c r="C2044">
        <v>2014</v>
      </c>
      <c r="D2044" t="s">
        <v>27</v>
      </c>
      <c r="E2044" t="s">
        <v>46</v>
      </c>
      <c r="F2044" t="s">
        <v>27</v>
      </c>
      <c r="G2044">
        <v>30089</v>
      </c>
      <c r="H2044">
        <v>24071.200000000001</v>
      </c>
      <c r="I2044" s="13">
        <v>0.14285714285714285</v>
      </c>
      <c r="J2044" t="s">
        <v>6207</v>
      </c>
      <c r="K2044">
        <v>3</v>
      </c>
      <c r="L2044">
        <v>2</v>
      </c>
      <c r="M2044" t="s">
        <v>0</v>
      </c>
      <c r="N2044" s="2">
        <v>0.42</v>
      </c>
      <c r="O2044" s="2">
        <v>0.57999999999999996</v>
      </c>
      <c r="P2044">
        <v>18</v>
      </c>
      <c r="Q2044">
        <v>17</v>
      </c>
      <c r="R2044">
        <v>3</v>
      </c>
      <c r="S2044">
        <v>9</v>
      </c>
      <c r="T2044">
        <v>17</v>
      </c>
      <c r="U2044">
        <v>14</v>
      </c>
      <c r="V2044">
        <v>3</v>
      </c>
      <c r="W2044">
        <v>3</v>
      </c>
      <c r="X2044">
        <v>0</v>
      </c>
      <c r="Y2044">
        <v>1</v>
      </c>
      <c r="Z2044">
        <v>1</v>
      </c>
    </row>
    <row r="2045" spans="1:26" x14ac:dyDescent="0.2">
      <c r="A2045" t="s">
        <v>2163</v>
      </c>
      <c r="B2045" t="s">
        <v>68</v>
      </c>
      <c r="C2045">
        <v>2014</v>
      </c>
      <c r="D2045" t="s">
        <v>70</v>
      </c>
      <c r="E2045" t="s">
        <v>28</v>
      </c>
      <c r="F2045" t="s">
        <v>20</v>
      </c>
      <c r="G2045">
        <v>18439</v>
      </c>
      <c r="H2045">
        <v>14751.2</v>
      </c>
      <c r="I2045" s="13">
        <v>0.25</v>
      </c>
      <c r="J2045" t="s">
        <v>6207</v>
      </c>
      <c r="K2045">
        <v>2</v>
      </c>
      <c r="L2045">
        <v>0</v>
      </c>
      <c r="M2045" t="s">
        <v>0</v>
      </c>
      <c r="N2045" s="2">
        <v>0.51</v>
      </c>
      <c r="O2045" s="2">
        <v>0.49</v>
      </c>
      <c r="P2045">
        <v>14</v>
      </c>
      <c r="Q2045">
        <v>14</v>
      </c>
      <c r="R2045">
        <v>3</v>
      </c>
      <c r="S2045">
        <v>11</v>
      </c>
      <c r="T2045">
        <v>12</v>
      </c>
      <c r="U2045">
        <v>12</v>
      </c>
      <c r="V2045">
        <v>2</v>
      </c>
      <c r="W2045">
        <v>1</v>
      </c>
      <c r="X2045">
        <v>1</v>
      </c>
      <c r="Y2045">
        <v>0</v>
      </c>
      <c r="Z2045">
        <v>0</v>
      </c>
    </row>
    <row r="2046" spans="1:26" x14ac:dyDescent="0.2">
      <c r="A2046" t="s">
        <v>2164</v>
      </c>
      <c r="B2046" t="s">
        <v>67</v>
      </c>
      <c r="C2046">
        <v>2014</v>
      </c>
      <c r="D2046" t="s">
        <v>26</v>
      </c>
      <c r="E2046" t="s">
        <v>35</v>
      </c>
      <c r="F2046" t="s">
        <v>26</v>
      </c>
      <c r="G2046">
        <v>61276</v>
      </c>
      <c r="H2046">
        <v>49020.800000000003</v>
      </c>
      <c r="I2046" s="13">
        <v>0.5</v>
      </c>
      <c r="J2046" t="s">
        <v>6207</v>
      </c>
      <c r="K2046">
        <v>0</v>
      </c>
      <c r="L2046">
        <v>0</v>
      </c>
      <c r="M2046" t="s">
        <v>58</v>
      </c>
      <c r="N2046" s="2">
        <v>0.53</v>
      </c>
      <c r="O2046" s="2">
        <v>0.47</v>
      </c>
      <c r="P2046">
        <v>17</v>
      </c>
      <c r="Q2046">
        <v>13</v>
      </c>
      <c r="R2046">
        <v>5</v>
      </c>
      <c r="S2046">
        <v>7</v>
      </c>
      <c r="T2046">
        <v>12</v>
      </c>
      <c r="U2046">
        <v>15</v>
      </c>
      <c r="V2046">
        <v>1</v>
      </c>
      <c r="W2046">
        <v>3</v>
      </c>
      <c r="X2046">
        <v>0</v>
      </c>
      <c r="Y2046">
        <v>0</v>
      </c>
      <c r="Z2046">
        <v>0</v>
      </c>
    </row>
    <row r="2047" spans="1:26" x14ac:dyDescent="0.2">
      <c r="A2047" t="s">
        <v>2165</v>
      </c>
      <c r="B2047" t="s">
        <v>66</v>
      </c>
      <c r="C2047">
        <v>2014</v>
      </c>
      <c r="D2047" t="s">
        <v>19</v>
      </c>
      <c r="E2047" t="s">
        <v>63</v>
      </c>
      <c r="F2047" t="s">
        <v>19</v>
      </c>
      <c r="G2047">
        <v>25586</v>
      </c>
      <c r="H2047">
        <v>20468.800000000003</v>
      </c>
      <c r="I2047" s="13">
        <v>1</v>
      </c>
      <c r="J2047" t="s">
        <v>6207</v>
      </c>
      <c r="K2047">
        <v>0</v>
      </c>
      <c r="L2047">
        <v>0</v>
      </c>
      <c r="M2047" t="s">
        <v>58</v>
      </c>
      <c r="N2047" s="2">
        <v>0.49</v>
      </c>
      <c r="O2047" s="2">
        <v>0.51</v>
      </c>
      <c r="P2047">
        <v>17</v>
      </c>
      <c r="Q2047">
        <v>13</v>
      </c>
      <c r="R2047">
        <v>3</v>
      </c>
      <c r="S2047">
        <v>2</v>
      </c>
      <c r="T2047">
        <v>10</v>
      </c>
      <c r="U2047">
        <v>16</v>
      </c>
      <c r="V2047">
        <v>1</v>
      </c>
      <c r="W2047">
        <v>1</v>
      </c>
      <c r="X2047">
        <v>0</v>
      </c>
      <c r="Y2047">
        <v>0</v>
      </c>
      <c r="Z2047">
        <v>1</v>
      </c>
    </row>
    <row r="2048" spans="1:26" x14ac:dyDescent="0.2">
      <c r="A2048" t="s">
        <v>2166</v>
      </c>
      <c r="B2048" t="s">
        <v>37</v>
      </c>
      <c r="C2048">
        <v>2014</v>
      </c>
      <c r="D2048" t="s">
        <v>40</v>
      </c>
      <c r="E2048" t="s">
        <v>45</v>
      </c>
      <c r="F2048" t="s">
        <v>49</v>
      </c>
      <c r="G2048">
        <v>53400</v>
      </c>
      <c r="H2048">
        <v>42720</v>
      </c>
      <c r="I2048" s="13">
        <v>0.66666666666666663</v>
      </c>
      <c r="J2048" t="s">
        <v>6206</v>
      </c>
      <c r="K2048">
        <v>1</v>
      </c>
      <c r="L2048">
        <v>0</v>
      </c>
      <c r="M2048" t="s">
        <v>0</v>
      </c>
      <c r="N2048" s="2">
        <v>0.52</v>
      </c>
      <c r="O2048" s="2">
        <v>0.48</v>
      </c>
      <c r="P2048">
        <v>14</v>
      </c>
      <c r="Q2048">
        <v>8</v>
      </c>
      <c r="R2048">
        <v>11</v>
      </c>
      <c r="S2048">
        <v>7</v>
      </c>
      <c r="T2048">
        <v>8</v>
      </c>
      <c r="U2048">
        <v>11</v>
      </c>
      <c r="V2048">
        <v>3</v>
      </c>
      <c r="W2048">
        <v>3</v>
      </c>
      <c r="X2048">
        <v>0</v>
      </c>
      <c r="Y2048">
        <v>0</v>
      </c>
      <c r="Z2048">
        <v>1</v>
      </c>
    </row>
    <row r="2049" spans="1:26" x14ac:dyDescent="0.2">
      <c r="A2049" t="s">
        <v>2167</v>
      </c>
      <c r="B2049" t="s">
        <v>25</v>
      </c>
      <c r="C2049">
        <v>2014</v>
      </c>
      <c r="D2049" t="s">
        <v>23</v>
      </c>
      <c r="E2049" t="s">
        <v>71</v>
      </c>
      <c r="F2049" t="s">
        <v>20</v>
      </c>
      <c r="G2049">
        <v>62500</v>
      </c>
      <c r="H2049">
        <v>50000</v>
      </c>
      <c r="I2049" s="13">
        <v>0.5</v>
      </c>
      <c r="J2049" t="s">
        <v>6207</v>
      </c>
      <c r="K2049">
        <v>3</v>
      </c>
      <c r="L2049">
        <v>1</v>
      </c>
      <c r="M2049" t="s">
        <v>0</v>
      </c>
      <c r="N2049" s="2">
        <v>0.56000000000000005</v>
      </c>
      <c r="O2049" s="2">
        <v>0.44</v>
      </c>
      <c r="P2049">
        <v>19</v>
      </c>
      <c r="Q2049">
        <v>14</v>
      </c>
      <c r="R2049">
        <v>7</v>
      </c>
      <c r="S2049">
        <v>4</v>
      </c>
      <c r="T2049">
        <v>11</v>
      </c>
      <c r="U2049">
        <v>18</v>
      </c>
      <c r="V2049">
        <v>0</v>
      </c>
      <c r="W2049">
        <v>1</v>
      </c>
      <c r="X2049">
        <v>0</v>
      </c>
      <c r="Y2049">
        <v>1</v>
      </c>
      <c r="Z2049">
        <v>0</v>
      </c>
    </row>
    <row r="2050" spans="1:26" x14ac:dyDescent="0.2">
      <c r="A2050" t="s">
        <v>2168</v>
      </c>
      <c r="B2050" t="s">
        <v>76</v>
      </c>
      <c r="C2050">
        <v>2014</v>
      </c>
      <c r="D2050" t="s">
        <v>42</v>
      </c>
      <c r="E2050" t="s">
        <v>80</v>
      </c>
      <c r="F2050" t="s">
        <v>38</v>
      </c>
      <c r="G2050">
        <v>42918</v>
      </c>
      <c r="H2050">
        <v>34334.400000000001</v>
      </c>
      <c r="I2050" s="13">
        <v>0.55555555555555558</v>
      </c>
      <c r="J2050" t="s">
        <v>6207</v>
      </c>
      <c r="K2050">
        <v>2</v>
      </c>
      <c r="L2050">
        <v>1</v>
      </c>
      <c r="M2050" t="s">
        <v>0</v>
      </c>
      <c r="N2050" s="2">
        <v>0.65</v>
      </c>
      <c r="O2050" s="2">
        <v>0.35</v>
      </c>
      <c r="P2050">
        <v>15</v>
      </c>
      <c r="Q2050">
        <v>15</v>
      </c>
      <c r="R2050">
        <v>5</v>
      </c>
      <c r="S2050">
        <v>5</v>
      </c>
      <c r="T2050">
        <v>9</v>
      </c>
      <c r="U2050">
        <v>14</v>
      </c>
      <c r="V2050">
        <v>4</v>
      </c>
      <c r="W2050">
        <v>4</v>
      </c>
      <c r="X2050">
        <v>0</v>
      </c>
      <c r="Y2050">
        <v>1</v>
      </c>
      <c r="Z2050">
        <v>0</v>
      </c>
    </row>
    <row r="2051" spans="1:26" x14ac:dyDescent="0.2">
      <c r="A2051" t="s">
        <v>2169</v>
      </c>
      <c r="B2051" t="s">
        <v>60</v>
      </c>
      <c r="C2051">
        <v>2014</v>
      </c>
      <c r="D2051" t="s">
        <v>73</v>
      </c>
      <c r="E2051" t="s">
        <v>48</v>
      </c>
      <c r="F2051" t="s">
        <v>73</v>
      </c>
      <c r="G2051">
        <v>32384</v>
      </c>
      <c r="H2051">
        <v>25907.200000000001</v>
      </c>
      <c r="I2051" s="13">
        <v>0.66666666666666663</v>
      </c>
      <c r="J2051" t="s">
        <v>6208</v>
      </c>
      <c r="K2051">
        <v>1</v>
      </c>
      <c r="L2051">
        <v>2</v>
      </c>
      <c r="M2051" t="s">
        <v>1</v>
      </c>
      <c r="N2051" s="2">
        <v>0.55000000000000004</v>
      </c>
      <c r="O2051" s="2">
        <v>0.45</v>
      </c>
      <c r="P2051">
        <v>10</v>
      </c>
      <c r="Q2051">
        <v>16</v>
      </c>
      <c r="R2051">
        <v>5</v>
      </c>
      <c r="S2051">
        <v>1</v>
      </c>
      <c r="T2051">
        <v>12</v>
      </c>
      <c r="U2051">
        <v>9</v>
      </c>
      <c r="V2051">
        <v>2</v>
      </c>
      <c r="W2051">
        <v>1</v>
      </c>
      <c r="X2051">
        <v>0</v>
      </c>
      <c r="Y2051">
        <v>0</v>
      </c>
      <c r="Z2051">
        <v>0</v>
      </c>
    </row>
    <row r="2052" spans="1:26" x14ac:dyDescent="0.2">
      <c r="A2052" t="s">
        <v>2170</v>
      </c>
      <c r="B2052" t="s">
        <v>41</v>
      </c>
      <c r="C2052">
        <v>2014</v>
      </c>
      <c r="D2052" t="s">
        <v>63</v>
      </c>
      <c r="E2052" t="s">
        <v>42</v>
      </c>
      <c r="F2052" t="s">
        <v>65</v>
      </c>
      <c r="G2052">
        <v>26804</v>
      </c>
      <c r="H2052">
        <v>21443.200000000001</v>
      </c>
      <c r="I2052" s="13">
        <v>0.2857142857142857</v>
      </c>
      <c r="J2052" t="s">
        <v>6207</v>
      </c>
      <c r="K2052">
        <v>1</v>
      </c>
      <c r="L2052">
        <v>0</v>
      </c>
      <c r="M2052" t="s">
        <v>0</v>
      </c>
      <c r="N2052" s="2">
        <v>0.49</v>
      </c>
      <c r="O2052" s="2">
        <v>0.51</v>
      </c>
      <c r="P2052">
        <v>14</v>
      </c>
      <c r="Q2052">
        <v>18</v>
      </c>
      <c r="R2052">
        <v>4</v>
      </c>
      <c r="S2052">
        <v>2</v>
      </c>
      <c r="T2052">
        <v>17</v>
      </c>
      <c r="U2052">
        <v>12</v>
      </c>
      <c r="V2052">
        <v>4</v>
      </c>
      <c r="W2052">
        <v>2</v>
      </c>
      <c r="X2052">
        <v>0</v>
      </c>
      <c r="Y2052">
        <v>1</v>
      </c>
      <c r="Z2052">
        <v>0</v>
      </c>
    </row>
    <row r="2053" spans="1:26" x14ac:dyDescent="0.2">
      <c r="A2053" t="s">
        <v>2171</v>
      </c>
      <c r="B2053" t="s">
        <v>52</v>
      </c>
      <c r="C2053">
        <v>2014</v>
      </c>
      <c r="D2053" t="s">
        <v>35</v>
      </c>
      <c r="E2053" t="s">
        <v>23</v>
      </c>
      <c r="F2053" t="s">
        <v>35</v>
      </c>
      <c r="G2053">
        <v>49000</v>
      </c>
      <c r="H2053">
        <v>39200</v>
      </c>
      <c r="I2053" s="13">
        <v>0.5</v>
      </c>
      <c r="J2053" t="s">
        <v>6207</v>
      </c>
      <c r="K2053">
        <v>1</v>
      </c>
      <c r="L2053">
        <v>1</v>
      </c>
      <c r="M2053" t="s">
        <v>58</v>
      </c>
      <c r="N2053" s="2">
        <v>0.56999999999999995</v>
      </c>
      <c r="O2053" s="2">
        <v>0.43</v>
      </c>
      <c r="P2053">
        <v>18</v>
      </c>
      <c r="Q2053">
        <v>14</v>
      </c>
      <c r="R2053">
        <v>6</v>
      </c>
      <c r="S2053">
        <v>8</v>
      </c>
      <c r="T2053">
        <v>11</v>
      </c>
      <c r="U2053">
        <v>18</v>
      </c>
      <c r="V2053">
        <v>2</v>
      </c>
      <c r="W2053">
        <v>2</v>
      </c>
      <c r="X2053">
        <v>0</v>
      </c>
      <c r="Y2053">
        <v>0</v>
      </c>
      <c r="Z2053">
        <v>1</v>
      </c>
    </row>
    <row r="2054" spans="1:26" x14ac:dyDescent="0.2">
      <c r="A2054" t="s">
        <v>2172</v>
      </c>
      <c r="B2054" t="s">
        <v>68</v>
      </c>
      <c r="C2054">
        <v>2014</v>
      </c>
      <c r="D2054" t="s">
        <v>80</v>
      </c>
      <c r="E2054" t="s">
        <v>40</v>
      </c>
      <c r="F2054" t="s">
        <v>80</v>
      </c>
      <c r="G2054">
        <v>32261</v>
      </c>
      <c r="H2054">
        <v>25808.800000000003</v>
      </c>
      <c r="I2054" s="13">
        <v>0.5</v>
      </c>
      <c r="J2054" t="s">
        <v>6207</v>
      </c>
      <c r="K2054">
        <v>0</v>
      </c>
      <c r="L2054">
        <v>1</v>
      </c>
      <c r="M2054" t="s">
        <v>1</v>
      </c>
      <c r="N2054" s="2">
        <v>0.42</v>
      </c>
      <c r="O2054" s="2">
        <v>0.57999999999999996</v>
      </c>
      <c r="P2054">
        <v>22</v>
      </c>
      <c r="Q2054">
        <v>17</v>
      </c>
      <c r="R2054">
        <v>8</v>
      </c>
      <c r="S2054">
        <v>2</v>
      </c>
      <c r="T2054">
        <v>15</v>
      </c>
      <c r="U2054">
        <v>13</v>
      </c>
      <c r="V2054">
        <v>0</v>
      </c>
      <c r="W2054">
        <v>2</v>
      </c>
      <c r="X2054">
        <v>0</v>
      </c>
      <c r="Y2054">
        <v>0</v>
      </c>
      <c r="Z2054">
        <v>0</v>
      </c>
    </row>
    <row r="2055" spans="1:26" x14ac:dyDescent="0.2">
      <c r="A2055" t="s">
        <v>2173</v>
      </c>
      <c r="B2055" t="s">
        <v>60</v>
      </c>
      <c r="C2055">
        <v>2014</v>
      </c>
      <c r="D2055" t="s">
        <v>79</v>
      </c>
      <c r="E2055" t="s">
        <v>27</v>
      </c>
      <c r="F2055" t="s">
        <v>20</v>
      </c>
      <c r="G2055">
        <v>25486</v>
      </c>
      <c r="H2055">
        <v>20388.800000000003</v>
      </c>
      <c r="I2055" s="13">
        <v>0.5</v>
      </c>
      <c r="J2055" t="s">
        <v>6208</v>
      </c>
      <c r="K2055">
        <v>1</v>
      </c>
      <c r="L2055">
        <v>1</v>
      </c>
      <c r="M2055" t="s">
        <v>58</v>
      </c>
      <c r="N2055" s="2">
        <v>0.45</v>
      </c>
      <c r="O2055" s="2">
        <v>0.55000000000000004</v>
      </c>
      <c r="P2055">
        <v>11</v>
      </c>
      <c r="Q2055">
        <v>13</v>
      </c>
      <c r="R2055">
        <v>9</v>
      </c>
      <c r="S2055">
        <v>8</v>
      </c>
      <c r="T2055">
        <v>12</v>
      </c>
      <c r="U2055">
        <v>11</v>
      </c>
      <c r="V2055">
        <v>2</v>
      </c>
      <c r="W2055">
        <v>0</v>
      </c>
      <c r="X2055">
        <v>0</v>
      </c>
      <c r="Y2055">
        <v>0</v>
      </c>
      <c r="Z2055">
        <v>0</v>
      </c>
    </row>
    <row r="2056" spans="1:26" x14ac:dyDescent="0.2">
      <c r="A2056" t="s">
        <v>2174</v>
      </c>
      <c r="B2056" t="s">
        <v>25</v>
      </c>
      <c r="C2056">
        <v>2014</v>
      </c>
      <c r="D2056" t="s">
        <v>18</v>
      </c>
      <c r="E2056" t="s">
        <v>19</v>
      </c>
      <c r="F2056" t="s">
        <v>20</v>
      </c>
      <c r="G2056">
        <v>40341</v>
      </c>
      <c r="H2056">
        <v>32272.800000000003</v>
      </c>
      <c r="I2056" s="13">
        <v>0.375</v>
      </c>
      <c r="J2056" t="s">
        <v>6207</v>
      </c>
      <c r="K2056">
        <v>2</v>
      </c>
      <c r="L2056">
        <v>0</v>
      </c>
      <c r="M2056" t="s">
        <v>0</v>
      </c>
      <c r="N2056" s="2">
        <v>0.6</v>
      </c>
      <c r="O2056" s="2">
        <v>0.4</v>
      </c>
      <c r="P2056">
        <v>14</v>
      </c>
      <c r="Q2056">
        <v>13</v>
      </c>
      <c r="R2056">
        <v>5</v>
      </c>
      <c r="S2056">
        <v>4</v>
      </c>
      <c r="T2056">
        <v>13</v>
      </c>
      <c r="U2056">
        <v>13</v>
      </c>
      <c r="V2056">
        <v>3</v>
      </c>
      <c r="W2056">
        <v>4</v>
      </c>
      <c r="X2056">
        <v>0</v>
      </c>
      <c r="Y2056">
        <v>1</v>
      </c>
      <c r="Z2056">
        <v>0</v>
      </c>
    </row>
    <row r="2057" spans="1:26" x14ac:dyDescent="0.2">
      <c r="A2057" t="s">
        <v>2175</v>
      </c>
      <c r="B2057" t="s">
        <v>44</v>
      </c>
      <c r="C2057">
        <v>2014</v>
      </c>
      <c r="D2057" t="s">
        <v>28</v>
      </c>
      <c r="E2057" t="s">
        <v>73</v>
      </c>
      <c r="F2057" t="s">
        <v>28</v>
      </c>
      <c r="G2057">
        <v>21944</v>
      </c>
      <c r="H2057">
        <v>17555.2</v>
      </c>
      <c r="I2057" s="13">
        <v>0.5</v>
      </c>
      <c r="J2057" t="s">
        <v>6207</v>
      </c>
      <c r="K2057">
        <v>1</v>
      </c>
      <c r="L2057">
        <v>0</v>
      </c>
      <c r="M2057" t="s">
        <v>0</v>
      </c>
      <c r="N2057" s="2">
        <v>0.4</v>
      </c>
      <c r="O2057" s="2">
        <v>0.6</v>
      </c>
      <c r="P2057">
        <v>12</v>
      </c>
      <c r="Q2057">
        <v>16</v>
      </c>
      <c r="R2057">
        <v>2</v>
      </c>
      <c r="S2057">
        <v>4</v>
      </c>
      <c r="T2057">
        <v>15</v>
      </c>
      <c r="U2057">
        <v>11</v>
      </c>
      <c r="V2057">
        <v>1</v>
      </c>
      <c r="W2057">
        <v>3</v>
      </c>
      <c r="X2057">
        <v>0</v>
      </c>
      <c r="Y2057">
        <v>0</v>
      </c>
      <c r="Z2057">
        <v>1</v>
      </c>
    </row>
    <row r="2058" spans="1:26" x14ac:dyDescent="0.2">
      <c r="A2058" t="s">
        <v>2176</v>
      </c>
      <c r="B2058" t="s">
        <v>50</v>
      </c>
      <c r="C2058">
        <v>2014</v>
      </c>
      <c r="D2058" t="s">
        <v>46</v>
      </c>
      <c r="E2058" t="s">
        <v>64</v>
      </c>
      <c r="F2058" t="s">
        <v>20</v>
      </c>
      <c r="G2058">
        <v>60704</v>
      </c>
      <c r="H2058">
        <v>48563.200000000004</v>
      </c>
      <c r="I2058" s="13">
        <v>0.75</v>
      </c>
      <c r="J2058" t="s">
        <v>6207</v>
      </c>
      <c r="K2058">
        <v>4</v>
      </c>
      <c r="L2058">
        <v>1</v>
      </c>
      <c r="M2058" t="s">
        <v>0</v>
      </c>
      <c r="N2058" s="2">
        <v>0.52</v>
      </c>
      <c r="O2058" s="2">
        <v>0.48</v>
      </c>
      <c r="P2058">
        <v>15</v>
      </c>
      <c r="Q2058">
        <v>17</v>
      </c>
      <c r="R2058">
        <v>9</v>
      </c>
      <c r="S2058">
        <v>6</v>
      </c>
      <c r="T2058">
        <v>14</v>
      </c>
      <c r="U2058">
        <v>15</v>
      </c>
      <c r="V2058">
        <v>2</v>
      </c>
      <c r="W2058">
        <v>2</v>
      </c>
      <c r="X2058">
        <v>0</v>
      </c>
      <c r="Y2058">
        <v>0</v>
      </c>
      <c r="Z2058">
        <v>1</v>
      </c>
    </row>
    <row r="2059" spans="1:26" x14ac:dyDescent="0.2">
      <c r="A2059" t="s">
        <v>2177</v>
      </c>
      <c r="B2059" t="s">
        <v>32</v>
      </c>
      <c r="C2059">
        <v>2014</v>
      </c>
      <c r="D2059" t="s">
        <v>48</v>
      </c>
      <c r="E2059" t="s">
        <v>26</v>
      </c>
      <c r="F2059" t="s">
        <v>49</v>
      </c>
      <c r="G2059">
        <v>74197</v>
      </c>
      <c r="H2059">
        <v>59357.600000000006</v>
      </c>
      <c r="I2059" s="13">
        <v>0.2857142857142857</v>
      </c>
      <c r="J2059" t="s">
        <v>6207</v>
      </c>
      <c r="K2059">
        <v>3</v>
      </c>
      <c r="L2059">
        <v>0</v>
      </c>
      <c r="M2059" t="s">
        <v>0</v>
      </c>
      <c r="N2059" s="2">
        <v>0.55000000000000004</v>
      </c>
      <c r="O2059" s="2">
        <v>0.45</v>
      </c>
      <c r="P2059">
        <v>16</v>
      </c>
      <c r="Q2059">
        <v>15</v>
      </c>
      <c r="R2059">
        <v>2</v>
      </c>
      <c r="S2059">
        <v>7</v>
      </c>
      <c r="T2059">
        <v>13</v>
      </c>
      <c r="U2059">
        <v>14</v>
      </c>
      <c r="V2059">
        <v>4</v>
      </c>
      <c r="W2059">
        <v>3</v>
      </c>
      <c r="X2059">
        <v>0</v>
      </c>
      <c r="Y2059">
        <v>0</v>
      </c>
      <c r="Z2059">
        <v>0</v>
      </c>
    </row>
    <row r="2060" spans="1:26" x14ac:dyDescent="0.2">
      <c r="A2060" t="s">
        <v>2178</v>
      </c>
      <c r="B2060" t="s">
        <v>77</v>
      </c>
      <c r="C2060">
        <v>2014</v>
      </c>
      <c r="D2060" t="s">
        <v>71</v>
      </c>
      <c r="E2060" t="s">
        <v>51</v>
      </c>
      <c r="F2060" t="s">
        <v>71</v>
      </c>
      <c r="G2060">
        <v>21088</v>
      </c>
      <c r="H2060">
        <v>16870.400000000001</v>
      </c>
      <c r="I2060" s="13">
        <v>0.2857142857142857</v>
      </c>
      <c r="J2060" t="s">
        <v>6207</v>
      </c>
      <c r="K2060">
        <v>1</v>
      </c>
      <c r="L2060">
        <v>2</v>
      </c>
      <c r="M2060" t="s">
        <v>1</v>
      </c>
      <c r="N2060" s="2">
        <v>0.53</v>
      </c>
      <c r="O2060" s="2">
        <v>0.47</v>
      </c>
      <c r="P2060">
        <v>17</v>
      </c>
      <c r="Q2060">
        <v>13</v>
      </c>
      <c r="R2060">
        <v>7</v>
      </c>
      <c r="S2060">
        <v>9</v>
      </c>
      <c r="T2060">
        <v>7</v>
      </c>
      <c r="U2060">
        <v>17</v>
      </c>
      <c r="V2060">
        <v>3</v>
      </c>
      <c r="W2060">
        <v>4</v>
      </c>
      <c r="X2060">
        <v>0</v>
      </c>
      <c r="Y2060">
        <v>0</v>
      </c>
      <c r="Z2060">
        <v>0</v>
      </c>
    </row>
    <row r="2061" spans="1:26" x14ac:dyDescent="0.2">
      <c r="A2061" t="s">
        <v>2179</v>
      </c>
      <c r="B2061" t="s">
        <v>67</v>
      </c>
      <c r="C2061">
        <v>2014</v>
      </c>
      <c r="D2061" t="s">
        <v>45</v>
      </c>
      <c r="E2061" t="s">
        <v>70</v>
      </c>
      <c r="F2061" t="s">
        <v>26</v>
      </c>
      <c r="G2061">
        <v>39572</v>
      </c>
      <c r="H2061">
        <v>31657.600000000002</v>
      </c>
      <c r="I2061" s="13">
        <v>0</v>
      </c>
      <c r="J2061" t="s">
        <v>6207</v>
      </c>
      <c r="K2061">
        <v>3</v>
      </c>
      <c r="L2061">
        <v>1</v>
      </c>
      <c r="M2061" t="s">
        <v>0</v>
      </c>
      <c r="N2061" s="2">
        <v>0.5</v>
      </c>
      <c r="O2061" s="2">
        <v>0.5</v>
      </c>
      <c r="P2061">
        <v>16</v>
      </c>
      <c r="Q2061">
        <v>15</v>
      </c>
      <c r="R2061">
        <v>1</v>
      </c>
      <c r="S2061">
        <v>8</v>
      </c>
      <c r="T2061">
        <v>11</v>
      </c>
      <c r="U2061">
        <v>12</v>
      </c>
      <c r="V2061">
        <v>1</v>
      </c>
      <c r="W2061">
        <v>1</v>
      </c>
      <c r="X2061">
        <v>0</v>
      </c>
      <c r="Y2061">
        <v>0</v>
      </c>
      <c r="Z2061">
        <v>0</v>
      </c>
    </row>
    <row r="2062" spans="1:26" x14ac:dyDescent="0.2">
      <c r="A2062" t="s">
        <v>2180</v>
      </c>
      <c r="B2062" t="s">
        <v>52</v>
      </c>
      <c r="C2062">
        <v>2014</v>
      </c>
      <c r="D2062" t="s">
        <v>40</v>
      </c>
      <c r="E2062" t="s">
        <v>79</v>
      </c>
      <c r="F2062" t="s">
        <v>49</v>
      </c>
      <c r="G2062">
        <v>53400</v>
      </c>
      <c r="H2062">
        <v>42720</v>
      </c>
      <c r="I2062" s="13">
        <v>0.33333333333333331</v>
      </c>
      <c r="J2062" t="s">
        <v>6207</v>
      </c>
      <c r="K2062">
        <v>3</v>
      </c>
      <c r="L2062">
        <v>0</v>
      </c>
      <c r="M2062" t="s">
        <v>0</v>
      </c>
      <c r="N2062" s="2">
        <v>0.73</v>
      </c>
      <c r="O2062" s="2">
        <v>0.27</v>
      </c>
      <c r="P2062">
        <v>6</v>
      </c>
      <c r="Q2062">
        <v>20</v>
      </c>
      <c r="R2062">
        <v>8</v>
      </c>
      <c r="S2062">
        <v>6</v>
      </c>
      <c r="T2062">
        <v>17</v>
      </c>
      <c r="U2062">
        <v>5</v>
      </c>
      <c r="V2062">
        <v>2</v>
      </c>
      <c r="W2062">
        <v>1</v>
      </c>
      <c r="X2062">
        <v>0</v>
      </c>
      <c r="Y2062">
        <v>0</v>
      </c>
      <c r="Z2062">
        <v>0</v>
      </c>
    </row>
    <row r="2063" spans="1:26" x14ac:dyDescent="0.2">
      <c r="A2063" t="s">
        <v>2181</v>
      </c>
      <c r="B2063" t="s">
        <v>32</v>
      </c>
      <c r="C2063">
        <v>2014</v>
      </c>
      <c r="D2063" t="s">
        <v>23</v>
      </c>
      <c r="E2063" t="s">
        <v>80</v>
      </c>
      <c r="F2063" t="s">
        <v>20</v>
      </c>
      <c r="G2063">
        <v>62500</v>
      </c>
      <c r="H2063">
        <v>50000</v>
      </c>
      <c r="I2063" s="13">
        <v>0.33333333333333331</v>
      </c>
      <c r="J2063" t="s">
        <v>6207</v>
      </c>
      <c r="K2063">
        <v>2</v>
      </c>
      <c r="L2063">
        <v>0</v>
      </c>
      <c r="M2063" t="s">
        <v>0</v>
      </c>
      <c r="N2063" s="2">
        <v>0.47</v>
      </c>
      <c r="O2063" s="2">
        <v>0.53</v>
      </c>
      <c r="P2063">
        <v>17</v>
      </c>
      <c r="Q2063">
        <v>11</v>
      </c>
      <c r="R2063">
        <v>9</v>
      </c>
      <c r="S2063">
        <v>4</v>
      </c>
      <c r="T2063">
        <v>8</v>
      </c>
      <c r="U2063">
        <v>17</v>
      </c>
      <c r="V2063">
        <v>0</v>
      </c>
      <c r="W2063">
        <v>3</v>
      </c>
      <c r="X2063">
        <v>0</v>
      </c>
      <c r="Y2063">
        <v>0</v>
      </c>
      <c r="Z2063">
        <v>0</v>
      </c>
    </row>
    <row r="2064" spans="1:26" x14ac:dyDescent="0.2">
      <c r="A2064" t="s">
        <v>2182</v>
      </c>
      <c r="B2064" t="s">
        <v>53</v>
      </c>
      <c r="C2064">
        <v>2014</v>
      </c>
      <c r="D2064" t="s">
        <v>51</v>
      </c>
      <c r="E2064" t="s">
        <v>28</v>
      </c>
      <c r="F2064" t="s">
        <v>20</v>
      </c>
      <c r="G2064">
        <v>36284</v>
      </c>
      <c r="H2064">
        <v>29027.200000000001</v>
      </c>
      <c r="I2064" s="13">
        <v>0</v>
      </c>
      <c r="J2064" t="s">
        <v>6207</v>
      </c>
      <c r="K2064">
        <v>2</v>
      </c>
      <c r="L2064">
        <v>1</v>
      </c>
      <c r="M2064" t="s">
        <v>0</v>
      </c>
      <c r="N2064" s="2">
        <v>0.66</v>
      </c>
      <c r="O2064" s="2">
        <v>0.34</v>
      </c>
      <c r="P2064">
        <v>14</v>
      </c>
      <c r="Q2064">
        <v>11</v>
      </c>
      <c r="R2064">
        <v>9</v>
      </c>
      <c r="S2064">
        <v>6</v>
      </c>
      <c r="T2064">
        <v>9</v>
      </c>
      <c r="U2064">
        <v>8</v>
      </c>
      <c r="V2064">
        <v>1</v>
      </c>
      <c r="W2064">
        <v>0</v>
      </c>
      <c r="X2064">
        <v>0</v>
      </c>
      <c r="Y2064">
        <v>0</v>
      </c>
      <c r="Z2064">
        <v>0</v>
      </c>
    </row>
    <row r="2065" spans="1:26" x14ac:dyDescent="0.2">
      <c r="A2065" t="s">
        <v>2183</v>
      </c>
      <c r="B2065" t="s">
        <v>68</v>
      </c>
      <c r="C2065">
        <v>2014</v>
      </c>
      <c r="D2065" t="s">
        <v>73</v>
      </c>
      <c r="E2065" t="s">
        <v>45</v>
      </c>
      <c r="F2065" t="s">
        <v>73</v>
      </c>
      <c r="G2065">
        <v>32384</v>
      </c>
      <c r="H2065">
        <v>25907.200000000001</v>
      </c>
      <c r="I2065" s="13">
        <v>1</v>
      </c>
      <c r="J2065" t="s">
        <v>6207</v>
      </c>
      <c r="K2065">
        <v>3</v>
      </c>
      <c r="L2065">
        <v>0</v>
      </c>
      <c r="M2065" t="s">
        <v>0</v>
      </c>
      <c r="N2065" s="2">
        <v>0.44</v>
      </c>
      <c r="O2065" s="2">
        <v>0.56000000000000005</v>
      </c>
      <c r="P2065">
        <v>12</v>
      </c>
      <c r="Q2065">
        <v>15</v>
      </c>
      <c r="R2065">
        <v>4</v>
      </c>
      <c r="S2065">
        <v>6</v>
      </c>
      <c r="T2065">
        <v>11</v>
      </c>
      <c r="U2065">
        <v>10</v>
      </c>
      <c r="V2065">
        <v>1</v>
      </c>
      <c r="W2065">
        <v>1</v>
      </c>
      <c r="X2065">
        <v>0</v>
      </c>
      <c r="Y2065">
        <v>0</v>
      </c>
      <c r="Z2065">
        <v>0</v>
      </c>
    </row>
    <row r="2066" spans="1:26" x14ac:dyDescent="0.2">
      <c r="A2066" t="s">
        <v>2184</v>
      </c>
      <c r="B2066" t="s">
        <v>76</v>
      </c>
      <c r="C2066">
        <v>2014</v>
      </c>
      <c r="D2066" t="s">
        <v>70</v>
      </c>
      <c r="E2066" t="s">
        <v>63</v>
      </c>
      <c r="F2066" t="s">
        <v>20</v>
      </c>
      <c r="G2066">
        <v>18439</v>
      </c>
      <c r="H2066">
        <v>14751.2</v>
      </c>
      <c r="I2066" s="13">
        <v>1</v>
      </c>
      <c r="J2066" t="s">
        <v>6207</v>
      </c>
      <c r="K2066">
        <v>3</v>
      </c>
      <c r="L2066">
        <v>2</v>
      </c>
      <c r="M2066" t="s">
        <v>0</v>
      </c>
      <c r="N2066" s="2">
        <v>0.42</v>
      </c>
      <c r="O2066" s="2">
        <v>0.57999999999999996</v>
      </c>
      <c r="P2066">
        <v>7</v>
      </c>
      <c r="Q2066">
        <v>20</v>
      </c>
      <c r="R2066">
        <v>5</v>
      </c>
      <c r="S2066">
        <v>11</v>
      </c>
      <c r="T2066">
        <v>16</v>
      </c>
      <c r="U2066">
        <v>8</v>
      </c>
      <c r="V2066">
        <v>1</v>
      </c>
      <c r="W2066">
        <v>0</v>
      </c>
      <c r="X2066">
        <v>0</v>
      </c>
      <c r="Y2066">
        <v>0</v>
      </c>
      <c r="Z2066">
        <v>1</v>
      </c>
    </row>
    <row r="2067" spans="1:26" x14ac:dyDescent="0.2">
      <c r="A2067" t="s">
        <v>2185</v>
      </c>
      <c r="B2067" t="s">
        <v>44</v>
      </c>
      <c r="C2067">
        <v>2014</v>
      </c>
      <c r="D2067" t="s">
        <v>19</v>
      </c>
      <c r="E2067" t="s">
        <v>71</v>
      </c>
      <c r="F2067" t="s">
        <v>19</v>
      </c>
      <c r="G2067">
        <v>25586</v>
      </c>
      <c r="H2067">
        <v>20468.800000000003</v>
      </c>
      <c r="I2067" s="13">
        <v>0.25</v>
      </c>
      <c r="J2067" t="s">
        <v>6207</v>
      </c>
      <c r="K2067">
        <v>0</v>
      </c>
      <c r="L2067">
        <v>1</v>
      </c>
      <c r="M2067" t="s">
        <v>1</v>
      </c>
      <c r="N2067" s="2">
        <v>0.57999999999999996</v>
      </c>
      <c r="O2067" s="2">
        <v>0.42</v>
      </c>
      <c r="P2067">
        <v>21</v>
      </c>
      <c r="Q2067">
        <v>16</v>
      </c>
      <c r="R2067">
        <v>4</v>
      </c>
      <c r="S2067">
        <v>5</v>
      </c>
      <c r="T2067">
        <v>14</v>
      </c>
      <c r="U2067">
        <v>16</v>
      </c>
      <c r="V2067">
        <v>2</v>
      </c>
      <c r="W2067">
        <v>2</v>
      </c>
      <c r="X2067">
        <v>0</v>
      </c>
      <c r="Y2067">
        <v>0</v>
      </c>
      <c r="Z2067">
        <v>0</v>
      </c>
    </row>
    <row r="2068" spans="1:26" x14ac:dyDescent="0.2">
      <c r="A2068" t="s">
        <v>2186</v>
      </c>
      <c r="B2068" t="s">
        <v>50</v>
      </c>
      <c r="C2068">
        <v>2014</v>
      </c>
      <c r="D2068" t="s">
        <v>42</v>
      </c>
      <c r="E2068" t="s">
        <v>48</v>
      </c>
      <c r="F2068" t="s">
        <v>38</v>
      </c>
      <c r="G2068">
        <v>42918</v>
      </c>
      <c r="H2068">
        <v>34334.400000000001</v>
      </c>
      <c r="I2068" s="13">
        <v>0.33333333333333331</v>
      </c>
      <c r="J2068" t="s">
        <v>6207</v>
      </c>
      <c r="K2068">
        <v>1</v>
      </c>
      <c r="L2068">
        <v>1</v>
      </c>
      <c r="M2068" t="s">
        <v>58</v>
      </c>
      <c r="N2068" s="2">
        <v>0.34</v>
      </c>
      <c r="O2068" s="2">
        <v>0.66</v>
      </c>
      <c r="P2068">
        <v>12</v>
      </c>
      <c r="Q2068">
        <v>11</v>
      </c>
      <c r="R2068">
        <v>3</v>
      </c>
      <c r="S2068">
        <v>9</v>
      </c>
      <c r="T2068">
        <v>9</v>
      </c>
      <c r="U2068">
        <v>10</v>
      </c>
      <c r="V2068">
        <v>1</v>
      </c>
      <c r="W2068">
        <v>1</v>
      </c>
      <c r="X2068">
        <v>1</v>
      </c>
      <c r="Y2068">
        <v>0</v>
      </c>
      <c r="Z2068">
        <v>0</v>
      </c>
    </row>
    <row r="2069" spans="1:26" x14ac:dyDescent="0.2">
      <c r="A2069" t="s">
        <v>2187</v>
      </c>
      <c r="B2069" t="s">
        <v>61</v>
      </c>
      <c r="C2069">
        <v>2014</v>
      </c>
      <c r="D2069" t="s">
        <v>64</v>
      </c>
      <c r="E2069" t="s">
        <v>35</v>
      </c>
      <c r="F2069" t="s">
        <v>64</v>
      </c>
      <c r="G2069">
        <v>52264</v>
      </c>
      <c r="H2069">
        <v>41811.200000000004</v>
      </c>
      <c r="I2069" s="13">
        <v>0.5</v>
      </c>
      <c r="J2069" t="s">
        <v>6207</v>
      </c>
      <c r="K2069">
        <v>0</v>
      </c>
      <c r="L2069">
        <v>1</v>
      </c>
      <c r="M2069" t="s">
        <v>1</v>
      </c>
      <c r="N2069" s="2">
        <v>0.52</v>
      </c>
      <c r="O2069" s="2">
        <v>0.48</v>
      </c>
      <c r="P2069">
        <v>18</v>
      </c>
      <c r="Q2069">
        <v>17</v>
      </c>
      <c r="R2069">
        <v>7</v>
      </c>
      <c r="S2069">
        <v>1</v>
      </c>
      <c r="T2069">
        <v>15</v>
      </c>
      <c r="U2069">
        <v>15</v>
      </c>
      <c r="V2069">
        <v>4</v>
      </c>
      <c r="W2069">
        <v>4</v>
      </c>
      <c r="X2069">
        <v>0</v>
      </c>
      <c r="Y2069">
        <v>0</v>
      </c>
      <c r="Z2069">
        <v>0</v>
      </c>
    </row>
    <row r="2070" spans="1:26" x14ac:dyDescent="0.2">
      <c r="A2070" t="s">
        <v>2188</v>
      </c>
      <c r="B2070" t="s">
        <v>66</v>
      </c>
      <c r="C2070">
        <v>2014</v>
      </c>
      <c r="D2070" t="s">
        <v>26</v>
      </c>
      <c r="E2070" t="s">
        <v>46</v>
      </c>
      <c r="F2070" t="s">
        <v>26</v>
      </c>
      <c r="G2070">
        <v>61276</v>
      </c>
      <c r="H2070">
        <v>49020.800000000003</v>
      </c>
      <c r="I2070" s="13">
        <v>0.8</v>
      </c>
      <c r="J2070" t="s">
        <v>6207</v>
      </c>
      <c r="K2070">
        <v>2</v>
      </c>
      <c r="L2070">
        <v>2</v>
      </c>
      <c r="M2070" t="s">
        <v>58</v>
      </c>
      <c r="N2070" s="2">
        <v>0.64</v>
      </c>
      <c r="O2070" s="2">
        <v>0.36</v>
      </c>
      <c r="P2070">
        <v>16</v>
      </c>
      <c r="Q2070">
        <v>5</v>
      </c>
      <c r="R2070">
        <v>10</v>
      </c>
      <c r="S2070">
        <v>6</v>
      </c>
      <c r="T2070">
        <v>6</v>
      </c>
      <c r="U2070">
        <v>14</v>
      </c>
      <c r="V2070">
        <v>1</v>
      </c>
      <c r="W2070">
        <v>3</v>
      </c>
      <c r="X2070">
        <v>1</v>
      </c>
      <c r="Y2070">
        <v>0</v>
      </c>
      <c r="Z2070">
        <v>0</v>
      </c>
    </row>
    <row r="2071" spans="1:26" x14ac:dyDescent="0.2">
      <c r="A2071" t="s">
        <v>2189</v>
      </c>
      <c r="B2071" t="s">
        <v>67</v>
      </c>
      <c r="C2071">
        <v>2014</v>
      </c>
      <c r="D2071" t="s">
        <v>27</v>
      </c>
      <c r="E2071" t="s">
        <v>18</v>
      </c>
      <c r="F2071" t="s">
        <v>27</v>
      </c>
      <c r="G2071">
        <v>30089</v>
      </c>
      <c r="H2071">
        <v>24071.200000000001</v>
      </c>
      <c r="I2071" s="13">
        <v>0.66666666666666663</v>
      </c>
      <c r="J2071" t="s">
        <v>6207</v>
      </c>
      <c r="K2071">
        <v>0</v>
      </c>
      <c r="L2071">
        <v>2</v>
      </c>
      <c r="M2071" t="s">
        <v>1</v>
      </c>
      <c r="N2071" s="2">
        <v>0.5</v>
      </c>
      <c r="O2071" s="2">
        <v>0.5</v>
      </c>
      <c r="P2071">
        <v>6</v>
      </c>
      <c r="Q2071">
        <v>11</v>
      </c>
      <c r="R2071">
        <v>6</v>
      </c>
      <c r="S2071">
        <v>5</v>
      </c>
      <c r="T2071">
        <v>11</v>
      </c>
      <c r="U2071">
        <v>4</v>
      </c>
      <c r="V2071">
        <v>3</v>
      </c>
      <c r="W2071">
        <v>0</v>
      </c>
      <c r="X2071">
        <v>0</v>
      </c>
      <c r="Y2071">
        <v>0</v>
      </c>
      <c r="Z2071">
        <v>0</v>
      </c>
    </row>
    <row r="2072" spans="1:26" x14ac:dyDescent="0.2">
      <c r="A2072" t="s">
        <v>2190</v>
      </c>
      <c r="B2072" t="s">
        <v>66</v>
      </c>
      <c r="C2072">
        <v>2014</v>
      </c>
      <c r="D2072" t="s">
        <v>18</v>
      </c>
      <c r="E2072" t="s">
        <v>23</v>
      </c>
      <c r="F2072" t="s">
        <v>20</v>
      </c>
      <c r="G2072">
        <v>40341</v>
      </c>
      <c r="H2072">
        <v>32272.800000000003</v>
      </c>
      <c r="I2072" s="13">
        <v>0.33333333333333331</v>
      </c>
      <c r="J2072" t="s">
        <v>6207</v>
      </c>
      <c r="K2072">
        <v>2</v>
      </c>
      <c r="L2072">
        <v>0</v>
      </c>
      <c r="M2072" t="s">
        <v>0</v>
      </c>
      <c r="N2072" s="2">
        <v>0.66</v>
      </c>
      <c r="O2072" s="2">
        <v>0.34</v>
      </c>
      <c r="P2072">
        <v>16</v>
      </c>
      <c r="Q2072">
        <v>10</v>
      </c>
      <c r="R2072">
        <v>8</v>
      </c>
      <c r="S2072">
        <v>6</v>
      </c>
      <c r="T2072">
        <v>8</v>
      </c>
      <c r="U2072">
        <v>14</v>
      </c>
      <c r="V2072">
        <v>0</v>
      </c>
      <c r="W2072">
        <v>3</v>
      </c>
      <c r="X2072">
        <v>0</v>
      </c>
      <c r="Y2072">
        <v>0</v>
      </c>
      <c r="Z2072">
        <v>0</v>
      </c>
    </row>
    <row r="2073" spans="1:26" x14ac:dyDescent="0.2">
      <c r="A2073" t="s">
        <v>2191</v>
      </c>
      <c r="B2073" t="s">
        <v>44</v>
      </c>
      <c r="C2073">
        <v>2014</v>
      </c>
      <c r="D2073" t="s">
        <v>63</v>
      </c>
      <c r="E2073" t="s">
        <v>40</v>
      </c>
      <c r="F2073" t="s">
        <v>65</v>
      </c>
      <c r="G2073">
        <v>26804</v>
      </c>
      <c r="H2073">
        <v>21443.200000000001</v>
      </c>
      <c r="I2073" s="13">
        <v>1</v>
      </c>
      <c r="J2073" t="s">
        <v>6207</v>
      </c>
      <c r="K2073">
        <v>1</v>
      </c>
      <c r="L2073">
        <v>3</v>
      </c>
      <c r="M2073" t="s">
        <v>1</v>
      </c>
      <c r="N2073" s="2">
        <v>0.48</v>
      </c>
      <c r="O2073" s="2">
        <v>0.52</v>
      </c>
      <c r="P2073">
        <v>13</v>
      </c>
      <c r="Q2073">
        <v>8</v>
      </c>
      <c r="R2073">
        <v>10</v>
      </c>
      <c r="S2073">
        <v>6</v>
      </c>
      <c r="T2073">
        <v>5</v>
      </c>
      <c r="U2073">
        <v>9</v>
      </c>
      <c r="V2073">
        <v>0</v>
      </c>
      <c r="W2073">
        <v>1</v>
      </c>
      <c r="X2073">
        <v>0</v>
      </c>
      <c r="Y2073">
        <v>0</v>
      </c>
      <c r="Z2073">
        <v>1</v>
      </c>
    </row>
    <row r="2074" spans="1:26" x14ac:dyDescent="0.2">
      <c r="A2074" t="s">
        <v>2192</v>
      </c>
      <c r="B2074" t="s">
        <v>74</v>
      </c>
      <c r="C2074">
        <v>2014</v>
      </c>
      <c r="D2074" t="s">
        <v>71</v>
      </c>
      <c r="E2074" t="s">
        <v>42</v>
      </c>
      <c r="F2074" t="s">
        <v>71</v>
      </c>
      <c r="G2074">
        <v>21088</v>
      </c>
      <c r="H2074">
        <v>16870.400000000001</v>
      </c>
      <c r="I2074" s="13">
        <v>0.6</v>
      </c>
      <c r="J2074" t="s">
        <v>6208</v>
      </c>
      <c r="K2074">
        <v>1</v>
      </c>
      <c r="L2074">
        <v>0</v>
      </c>
      <c r="M2074" t="s">
        <v>0</v>
      </c>
      <c r="N2074" s="2">
        <v>0.43</v>
      </c>
      <c r="O2074" s="2">
        <v>0.56999999999999995</v>
      </c>
      <c r="P2074">
        <v>14</v>
      </c>
      <c r="Q2074">
        <v>19</v>
      </c>
      <c r="R2074">
        <v>4</v>
      </c>
      <c r="S2074">
        <v>0</v>
      </c>
      <c r="T2074">
        <v>17</v>
      </c>
      <c r="U2074">
        <v>12</v>
      </c>
      <c r="V2074">
        <v>1</v>
      </c>
      <c r="W2074">
        <v>4</v>
      </c>
      <c r="X2074">
        <v>0</v>
      </c>
      <c r="Y2074">
        <v>0</v>
      </c>
      <c r="Z2074">
        <v>0</v>
      </c>
    </row>
    <row r="2075" spans="1:26" x14ac:dyDescent="0.2">
      <c r="A2075" t="s">
        <v>2193</v>
      </c>
      <c r="B2075" t="s">
        <v>37</v>
      </c>
      <c r="C2075">
        <v>2014</v>
      </c>
      <c r="D2075" t="s">
        <v>35</v>
      </c>
      <c r="E2075" t="s">
        <v>19</v>
      </c>
      <c r="F2075" t="s">
        <v>35</v>
      </c>
      <c r="G2075">
        <v>49000</v>
      </c>
      <c r="H2075">
        <v>39200</v>
      </c>
      <c r="I2075" s="13">
        <v>0.7142857142857143</v>
      </c>
      <c r="J2075" t="s">
        <v>6206</v>
      </c>
      <c r="K2075">
        <v>1</v>
      </c>
      <c r="L2075">
        <v>3</v>
      </c>
      <c r="M2075" t="s">
        <v>1</v>
      </c>
      <c r="N2075" s="2">
        <v>0.47</v>
      </c>
      <c r="O2075" s="2">
        <v>0.53</v>
      </c>
      <c r="P2075">
        <v>6</v>
      </c>
      <c r="Q2075">
        <v>12</v>
      </c>
      <c r="R2075">
        <v>10</v>
      </c>
      <c r="S2075">
        <v>4</v>
      </c>
      <c r="T2075">
        <v>12</v>
      </c>
      <c r="U2075">
        <v>6</v>
      </c>
      <c r="V2075">
        <v>5</v>
      </c>
      <c r="W2075">
        <v>2</v>
      </c>
      <c r="X2075">
        <v>0</v>
      </c>
      <c r="Y2075">
        <v>0</v>
      </c>
      <c r="Z2075">
        <v>0</v>
      </c>
    </row>
    <row r="2076" spans="1:26" x14ac:dyDescent="0.2">
      <c r="A2076" t="s">
        <v>2194</v>
      </c>
      <c r="B2076" t="s">
        <v>53</v>
      </c>
      <c r="C2076">
        <v>2014</v>
      </c>
      <c r="D2076" t="s">
        <v>48</v>
      </c>
      <c r="E2076" t="s">
        <v>64</v>
      </c>
      <c r="F2076" t="s">
        <v>49</v>
      </c>
      <c r="G2076">
        <v>74197</v>
      </c>
      <c r="H2076">
        <v>59357.600000000006</v>
      </c>
      <c r="I2076" s="13">
        <v>0.33333333333333331</v>
      </c>
      <c r="J2076" t="s">
        <v>6207</v>
      </c>
      <c r="K2076">
        <v>3</v>
      </c>
      <c r="L2076">
        <v>1</v>
      </c>
      <c r="M2076" t="s">
        <v>0</v>
      </c>
      <c r="N2076" s="2">
        <v>0.62</v>
      </c>
      <c r="O2076" s="2">
        <v>0.38</v>
      </c>
      <c r="P2076">
        <v>10</v>
      </c>
      <c r="Q2076">
        <v>19</v>
      </c>
      <c r="R2076">
        <v>4</v>
      </c>
      <c r="S2076">
        <v>5</v>
      </c>
      <c r="T2076">
        <v>16</v>
      </c>
      <c r="U2076">
        <v>9</v>
      </c>
      <c r="V2076">
        <v>1</v>
      </c>
      <c r="W2076">
        <v>2</v>
      </c>
      <c r="X2076">
        <v>0</v>
      </c>
      <c r="Y2076">
        <v>0</v>
      </c>
      <c r="Z2076">
        <v>1</v>
      </c>
    </row>
    <row r="2077" spans="1:26" x14ac:dyDescent="0.2">
      <c r="A2077" t="s">
        <v>2195</v>
      </c>
      <c r="B2077" t="s">
        <v>67</v>
      </c>
      <c r="C2077">
        <v>2014</v>
      </c>
      <c r="D2077" t="s">
        <v>80</v>
      </c>
      <c r="E2077" t="s">
        <v>51</v>
      </c>
      <c r="F2077" t="s">
        <v>80</v>
      </c>
      <c r="G2077">
        <v>32261</v>
      </c>
      <c r="H2077">
        <v>25808.800000000003</v>
      </c>
      <c r="I2077" s="13">
        <v>0.33333333333333331</v>
      </c>
      <c r="J2077" t="s">
        <v>6207</v>
      </c>
      <c r="K2077">
        <v>1</v>
      </c>
      <c r="L2077">
        <v>2</v>
      </c>
      <c r="M2077" t="s">
        <v>1</v>
      </c>
      <c r="N2077" s="2">
        <v>0.5</v>
      </c>
      <c r="O2077" s="2">
        <v>0.5</v>
      </c>
      <c r="P2077">
        <v>18</v>
      </c>
      <c r="Q2077">
        <v>10</v>
      </c>
      <c r="R2077">
        <v>11</v>
      </c>
      <c r="S2077">
        <v>1</v>
      </c>
      <c r="T2077">
        <v>10</v>
      </c>
      <c r="U2077">
        <v>14</v>
      </c>
      <c r="V2077">
        <v>1</v>
      </c>
      <c r="W2077">
        <v>2</v>
      </c>
      <c r="X2077">
        <v>0</v>
      </c>
      <c r="Y2077">
        <v>0</v>
      </c>
      <c r="Z2077">
        <v>0</v>
      </c>
    </row>
    <row r="2078" spans="1:26" x14ac:dyDescent="0.2">
      <c r="A2078" t="s">
        <v>2196</v>
      </c>
      <c r="B2078" t="s">
        <v>50</v>
      </c>
      <c r="C2078">
        <v>2014</v>
      </c>
      <c r="D2078" t="s">
        <v>45</v>
      </c>
      <c r="E2078" t="s">
        <v>27</v>
      </c>
      <c r="F2078" t="s">
        <v>26</v>
      </c>
      <c r="G2078">
        <v>39572</v>
      </c>
      <c r="H2078">
        <v>31657.600000000002</v>
      </c>
      <c r="I2078" s="13">
        <v>0.4</v>
      </c>
      <c r="J2078" t="s">
        <v>6207</v>
      </c>
      <c r="K2078">
        <v>0</v>
      </c>
      <c r="L2078">
        <v>1</v>
      </c>
      <c r="M2078" t="s">
        <v>1</v>
      </c>
      <c r="N2078" s="2">
        <v>0.62</v>
      </c>
      <c r="O2078" s="2">
        <v>0.38</v>
      </c>
      <c r="P2078">
        <v>18</v>
      </c>
      <c r="Q2078">
        <v>11</v>
      </c>
      <c r="R2078">
        <v>9</v>
      </c>
      <c r="S2078">
        <v>3</v>
      </c>
      <c r="T2078">
        <v>9</v>
      </c>
      <c r="U2078">
        <v>15</v>
      </c>
      <c r="V2078">
        <v>2</v>
      </c>
      <c r="W2078">
        <v>3</v>
      </c>
      <c r="X2078">
        <v>0</v>
      </c>
      <c r="Y2078">
        <v>0</v>
      </c>
      <c r="Z2078">
        <v>1</v>
      </c>
    </row>
    <row r="2079" spans="1:26" x14ac:dyDescent="0.2">
      <c r="A2079" t="s">
        <v>2197</v>
      </c>
      <c r="B2079" t="s">
        <v>41</v>
      </c>
      <c r="C2079">
        <v>2014</v>
      </c>
      <c r="D2079" t="s">
        <v>79</v>
      </c>
      <c r="E2079" t="s">
        <v>73</v>
      </c>
      <c r="F2079" t="s">
        <v>20</v>
      </c>
      <c r="G2079">
        <v>25486</v>
      </c>
      <c r="H2079">
        <v>20388.800000000003</v>
      </c>
      <c r="I2079" s="13">
        <v>1</v>
      </c>
      <c r="J2079" t="s">
        <v>6207</v>
      </c>
      <c r="K2079">
        <v>1</v>
      </c>
      <c r="L2079">
        <v>3</v>
      </c>
      <c r="M2079" t="s">
        <v>1</v>
      </c>
      <c r="N2079" s="2">
        <v>0.43</v>
      </c>
      <c r="O2079" s="2">
        <v>0.56999999999999995</v>
      </c>
      <c r="P2079">
        <v>12</v>
      </c>
      <c r="Q2079">
        <v>17</v>
      </c>
      <c r="R2079">
        <v>8</v>
      </c>
      <c r="S2079">
        <v>4</v>
      </c>
      <c r="T2079">
        <v>15</v>
      </c>
      <c r="U2079">
        <v>10</v>
      </c>
      <c r="V2079">
        <v>1</v>
      </c>
      <c r="W2079">
        <v>0</v>
      </c>
      <c r="X2079">
        <v>0</v>
      </c>
      <c r="Y2079">
        <v>0</v>
      </c>
      <c r="Z2079">
        <v>0</v>
      </c>
    </row>
    <row r="2080" spans="1:26" x14ac:dyDescent="0.2">
      <c r="A2080" t="s">
        <v>2198</v>
      </c>
      <c r="B2080" t="s">
        <v>61</v>
      </c>
      <c r="C2080">
        <v>2014</v>
      </c>
      <c r="D2080" t="s">
        <v>28</v>
      </c>
      <c r="E2080" t="s">
        <v>26</v>
      </c>
      <c r="F2080" t="s">
        <v>28</v>
      </c>
      <c r="G2080">
        <v>21944</v>
      </c>
      <c r="H2080">
        <v>17555.2</v>
      </c>
      <c r="I2080" s="13">
        <v>1</v>
      </c>
      <c r="J2080" t="s">
        <v>6207</v>
      </c>
      <c r="K2080">
        <v>0</v>
      </c>
      <c r="L2080">
        <v>1</v>
      </c>
      <c r="M2080" t="s">
        <v>1</v>
      </c>
      <c r="N2080" s="2">
        <v>0.48</v>
      </c>
      <c r="O2080" s="2">
        <v>0.52</v>
      </c>
      <c r="P2080">
        <v>9</v>
      </c>
      <c r="Q2080">
        <v>7</v>
      </c>
      <c r="R2080">
        <v>8</v>
      </c>
      <c r="S2080">
        <v>2</v>
      </c>
      <c r="T2080">
        <v>7</v>
      </c>
      <c r="U2080">
        <v>5</v>
      </c>
      <c r="V2080">
        <v>0</v>
      </c>
      <c r="W2080">
        <v>1</v>
      </c>
      <c r="X2080">
        <v>0</v>
      </c>
      <c r="Y2080">
        <v>0</v>
      </c>
      <c r="Z2080">
        <v>0</v>
      </c>
    </row>
    <row r="2081" spans="1:26" x14ac:dyDescent="0.2">
      <c r="A2081" t="s">
        <v>2199</v>
      </c>
      <c r="B2081" t="s">
        <v>32</v>
      </c>
      <c r="C2081">
        <v>2014</v>
      </c>
      <c r="D2081" t="s">
        <v>46</v>
      </c>
      <c r="E2081" t="s">
        <v>70</v>
      </c>
      <c r="F2081" t="s">
        <v>20</v>
      </c>
      <c r="G2081">
        <v>60704</v>
      </c>
      <c r="H2081">
        <v>48563.200000000004</v>
      </c>
      <c r="I2081" s="13">
        <v>0.66666666666666663</v>
      </c>
      <c r="J2081" t="s">
        <v>6207</v>
      </c>
      <c r="K2081">
        <v>2</v>
      </c>
      <c r="L2081">
        <v>1</v>
      </c>
      <c r="M2081" t="s">
        <v>0</v>
      </c>
      <c r="N2081" s="2">
        <v>0.56000000000000005</v>
      </c>
      <c r="O2081" s="2">
        <v>0.44</v>
      </c>
      <c r="P2081">
        <v>14</v>
      </c>
      <c r="Q2081">
        <v>8</v>
      </c>
      <c r="R2081">
        <v>6</v>
      </c>
      <c r="S2081">
        <v>2</v>
      </c>
      <c r="T2081">
        <v>6</v>
      </c>
      <c r="U2081">
        <v>15</v>
      </c>
      <c r="V2081">
        <v>1</v>
      </c>
      <c r="W2081">
        <v>4</v>
      </c>
      <c r="X2081">
        <v>1</v>
      </c>
      <c r="Y2081">
        <v>0</v>
      </c>
      <c r="Z2081">
        <v>2</v>
      </c>
    </row>
    <row r="2082" spans="1:26" x14ac:dyDescent="0.2">
      <c r="A2082" t="s">
        <v>2200</v>
      </c>
      <c r="B2082" t="s">
        <v>68</v>
      </c>
      <c r="C2082">
        <v>2014</v>
      </c>
      <c r="D2082" t="s">
        <v>51</v>
      </c>
      <c r="E2082" t="s">
        <v>48</v>
      </c>
      <c r="F2082" t="s">
        <v>20</v>
      </c>
      <c r="G2082">
        <v>36284</v>
      </c>
      <c r="H2082">
        <v>29027.200000000001</v>
      </c>
      <c r="I2082" s="13">
        <v>0.66666666666666663</v>
      </c>
      <c r="J2082" t="s">
        <v>6207</v>
      </c>
      <c r="K2082">
        <v>0</v>
      </c>
      <c r="L2082">
        <v>0</v>
      </c>
      <c r="M2082" t="s">
        <v>58</v>
      </c>
      <c r="N2082" s="2">
        <v>0.49</v>
      </c>
      <c r="O2082" s="2">
        <v>0.51</v>
      </c>
      <c r="P2082">
        <v>25</v>
      </c>
      <c r="Q2082">
        <v>12</v>
      </c>
      <c r="R2082">
        <v>3</v>
      </c>
      <c r="S2082">
        <v>6</v>
      </c>
      <c r="T2082">
        <v>11</v>
      </c>
      <c r="U2082">
        <v>19</v>
      </c>
      <c r="V2082">
        <v>2</v>
      </c>
      <c r="W2082">
        <v>4</v>
      </c>
      <c r="X2082">
        <v>0</v>
      </c>
      <c r="Y2082">
        <v>0</v>
      </c>
      <c r="Z2082">
        <v>0</v>
      </c>
    </row>
    <row r="2083" spans="1:26" x14ac:dyDescent="0.2">
      <c r="A2083" t="s">
        <v>2201</v>
      </c>
      <c r="B2083" t="s">
        <v>61</v>
      </c>
      <c r="C2083">
        <v>2014</v>
      </c>
      <c r="D2083" t="s">
        <v>73</v>
      </c>
      <c r="E2083" t="s">
        <v>18</v>
      </c>
      <c r="F2083" t="s">
        <v>73</v>
      </c>
      <c r="G2083">
        <v>32384</v>
      </c>
      <c r="H2083">
        <v>25907.200000000001</v>
      </c>
      <c r="I2083" s="13">
        <v>0.83333333333333337</v>
      </c>
      <c r="J2083" t="s">
        <v>6207</v>
      </c>
      <c r="K2083">
        <v>1</v>
      </c>
      <c r="L2083">
        <v>1</v>
      </c>
      <c r="M2083" t="s">
        <v>58</v>
      </c>
      <c r="N2083" s="2">
        <v>0.39</v>
      </c>
      <c r="O2083" s="2">
        <v>0.61</v>
      </c>
      <c r="P2083">
        <v>17</v>
      </c>
      <c r="Q2083">
        <v>25</v>
      </c>
      <c r="R2083">
        <v>4</v>
      </c>
      <c r="S2083">
        <v>6</v>
      </c>
      <c r="T2083">
        <v>23</v>
      </c>
      <c r="U2083">
        <v>14</v>
      </c>
      <c r="V2083">
        <v>3</v>
      </c>
      <c r="W2083">
        <v>2</v>
      </c>
      <c r="X2083">
        <v>1</v>
      </c>
      <c r="Y2083">
        <v>0</v>
      </c>
      <c r="Z2083">
        <v>0</v>
      </c>
    </row>
    <row r="2084" spans="1:26" x14ac:dyDescent="0.2">
      <c r="A2084" t="s">
        <v>2202</v>
      </c>
      <c r="B2084" t="s">
        <v>67</v>
      </c>
      <c r="C2084">
        <v>2014</v>
      </c>
      <c r="D2084" t="s">
        <v>23</v>
      </c>
      <c r="E2084" t="s">
        <v>46</v>
      </c>
      <c r="F2084" t="s">
        <v>20</v>
      </c>
      <c r="G2084">
        <v>62500</v>
      </c>
      <c r="H2084">
        <v>50000</v>
      </c>
      <c r="I2084" s="13">
        <v>0.66666666666666663</v>
      </c>
      <c r="J2084" t="s">
        <v>6207</v>
      </c>
      <c r="K2084">
        <v>1</v>
      </c>
      <c r="L2084">
        <v>2</v>
      </c>
      <c r="M2084" t="s">
        <v>1</v>
      </c>
      <c r="N2084" s="2">
        <v>0.57999999999999996</v>
      </c>
      <c r="O2084" s="2">
        <v>0.42</v>
      </c>
      <c r="P2084">
        <v>14</v>
      </c>
      <c r="Q2084">
        <v>11</v>
      </c>
      <c r="R2084">
        <v>7</v>
      </c>
      <c r="S2084">
        <v>8</v>
      </c>
      <c r="T2084">
        <v>12</v>
      </c>
      <c r="U2084">
        <v>13</v>
      </c>
      <c r="V2084">
        <v>3</v>
      </c>
      <c r="W2084">
        <v>3</v>
      </c>
      <c r="X2084">
        <v>0</v>
      </c>
      <c r="Y2084">
        <v>0</v>
      </c>
      <c r="Z2084">
        <v>1</v>
      </c>
    </row>
    <row r="2085" spans="1:26" x14ac:dyDescent="0.2">
      <c r="A2085" t="s">
        <v>2203</v>
      </c>
      <c r="B2085" t="s">
        <v>74</v>
      </c>
      <c r="C2085">
        <v>2014</v>
      </c>
      <c r="D2085" t="s">
        <v>27</v>
      </c>
      <c r="E2085" t="s">
        <v>63</v>
      </c>
      <c r="F2085" t="s">
        <v>27</v>
      </c>
      <c r="G2085">
        <v>30089</v>
      </c>
      <c r="H2085">
        <v>24071.200000000001</v>
      </c>
      <c r="I2085" s="13">
        <v>0</v>
      </c>
      <c r="J2085" t="s">
        <v>6208</v>
      </c>
      <c r="K2085">
        <v>2</v>
      </c>
      <c r="L2085">
        <v>0</v>
      </c>
      <c r="M2085" t="s">
        <v>0</v>
      </c>
      <c r="N2085" s="2">
        <v>0.51</v>
      </c>
      <c r="O2085" s="2">
        <v>0.49</v>
      </c>
      <c r="P2085">
        <v>17</v>
      </c>
      <c r="Q2085">
        <v>15</v>
      </c>
      <c r="R2085">
        <v>5</v>
      </c>
      <c r="S2085">
        <v>3</v>
      </c>
      <c r="T2085">
        <v>11</v>
      </c>
      <c r="U2085">
        <v>14</v>
      </c>
      <c r="V2085">
        <v>0</v>
      </c>
      <c r="W2085">
        <v>2</v>
      </c>
      <c r="X2085">
        <v>0</v>
      </c>
      <c r="Y2085">
        <v>0</v>
      </c>
      <c r="Z2085">
        <v>0</v>
      </c>
    </row>
    <row r="2086" spans="1:26" x14ac:dyDescent="0.2">
      <c r="A2086" t="s">
        <v>2204</v>
      </c>
      <c r="B2086" t="s">
        <v>53</v>
      </c>
      <c r="C2086">
        <v>2014</v>
      </c>
      <c r="D2086" t="s">
        <v>70</v>
      </c>
      <c r="E2086" t="s">
        <v>79</v>
      </c>
      <c r="F2086" t="s">
        <v>20</v>
      </c>
      <c r="G2086">
        <v>18439</v>
      </c>
      <c r="H2086">
        <v>14751.2</v>
      </c>
      <c r="I2086" s="13">
        <v>0</v>
      </c>
      <c r="J2086" t="s">
        <v>6207</v>
      </c>
      <c r="K2086">
        <v>0</v>
      </c>
      <c r="L2086">
        <v>0</v>
      </c>
      <c r="M2086" t="s">
        <v>58</v>
      </c>
      <c r="N2086" s="2">
        <v>0.54</v>
      </c>
      <c r="O2086" s="2">
        <v>0.46</v>
      </c>
      <c r="P2086">
        <v>17</v>
      </c>
      <c r="Q2086">
        <v>12</v>
      </c>
      <c r="R2086">
        <v>9</v>
      </c>
      <c r="S2086">
        <v>4</v>
      </c>
      <c r="T2086">
        <v>11</v>
      </c>
      <c r="U2086">
        <v>17</v>
      </c>
      <c r="V2086">
        <v>2</v>
      </c>
      <c r="W2086">
        <v>1</v>
      </c>
      <c r="X2086">
        <v>0</v>
      </c>
      <c r="Y2086">
        <v>0</v>
      </c>
      <c r="Z2086">
        <v>0</v>
      </c>
    </row>
    <row r="2087" spans="1:26" x14ac:dyDescent="0.2">
      <c r="A2087" t="s">
        <v>2205</v>
      </c>
      <c r="B2087" t="s">
        <v>60</v>
      </c>
      <c r="C2087">
        <v>2014</v>
      </c>
      <c r="D2087" t="s">
        <v>40</v>
      </c>
      <c r="E2087" t="s">
        <v>28</v>
      </c>
      <c r="F2087" t="s">
        <v>49</v>
      </c>
      <c r="G2087">
        <v>53400</v>
      </c>
      <c r="H2087">
        <v>42720</v>
      </c>
      <c r="I2087" s="13">
        <v>0.8</v>
      </c>
      <c r="J2087" t="s">
        <v>6208</v>
      </c>
      <c r="K2087">
        <v>2</v>
      </c>
      <c r="L2087">
        <v>2</v>
      </c>
      <c r="M2087" t="s">
        <v>58</v>
      </c>
      <c r="N2087" s="2">
        <v>0.63</v>
      </c>
      <c r="O2087" s="2">
        <v>0.37</v>
      </c>
      <c r="P2087">
        <v>15</v>
      </c>
      <c r="Q2087">
        <v>21</v>
      </c>
      <c r="R2087">
        <v>10</v>
      </c>
      <c r="S2087">
        <v>3</v>
      </c>
      <c r="T2087">
        <v>18</v>
      </c>
      <c r="U2087">
        <v>9</v>
      </c>
      <c r="V2087">
        <v>4</v>
      </c>
      <c r="W2087">
        <v>1</v>
      </c>
      <c r="X2087">
        <v>0</v>
      </c>
      <c r="Y2087">
        <v>0</v>
      </c>
      <c r="Z2087">
        <v>0</v>
      </c>
    </row>
    <row r="2088" spans="1:26" x14ac:dyDescent="0.2">
      <c r="A2088" t="s">
        <v>2206</v>
      </c>
      <c r="B2088" t="s">
        <v>52</v>
      </c>
      <c r="C2088">
        <v>2014</v>
      </c>
      <c r="D2088" t="s">
        <v>19</v>
      </c>
      <c r="E2088" t="s">
        <v>80</v>
      </c>
      <c r="F2088" t="s">
        <v>19</v>
      </c>
      <c r="G2088">
        <v>25586</v>
      </c>
      <c r="H2088">
        <v>20468.800000000003</v>
      </c>
      <c r="I2088" s="13">
        <v>0.25</v>
      </c>
      <c r="J2088" t="s">
        <v>6207</v>
      </c>
      <c r="K2088">
        <v>0</v>
      </c>
      <c r="L2088">
        <v>1</v>
      </c>
      <c r="M2088" t="s">
        <v>1</v>
      </c>
      <c r="N2088" s="2">
        <v>0.62</v>
      </c>
      <c r="O2088" s="2">
        <v>0.38</v>
      </c>
      <c r="P2088">
        <v>13</v>
      </c>
      <c r="Q2088">
        <v>13</v>
      </c>
      <c r="R2088">
        <v>7</v>
      </c>
      <c r="S2088">
        <v>1</v>
      </c>
      <c r="T2088">
        <v>12</v>
      </c>
      <c r="U2088">
        <v>12</v>
      </c>
      <c r="V2088">
        <v>0</v>
      </c>
      <c r="W2088">
        <v>2</v>
      </c>
      <c r="X2088">
        <v>1</v>
      </c>
      <c r="Y2088">
        <v>1</v>
      </c>
      <c r="Z2088">
        <v>0</v>
      </c>
    </row>
    <row r="2089" spans="1:26" x14ac:dyDescent="0.2">
      <c r="A2089" t="s">
        <v>2207</v>
      </c>
      <c r="B2089" t="s">
        <v>32</v>
      </c>
      <c r="C2089">
        <v>2014</v>
      </c>
      <c r="D2089" t="s">
        <v>42</v>
      </c>
      <c r="E2089" t="s">
        <v>35</v>
      </c>
      <c r="F2089" t="s">
        <v>38</v>
      </c>
      <c r="G2089">
        <v>42918</v>
      </c>
      <c r="H2089">
        <v>34334.400000000001</v>
      </c>
      <c r="I2089" s="13">
        <v>0.33333333333333331</v>
      </c>
      <c r="J2089" t="s">
        <v>6207</v>
      </c>
      <c r="K2089">
        <v>0</v>
      </c>
      <c r="L2089">
        <v>0</v>
      </c>
      <c r="M2089" t="s">
        <v>58</v>
      </c>
      <c r="N2089" s="2">
        <v>0.48</v>
      </c>
      <c r="O2089" s="2">
        <v>0.52</v>
      </c>
      <c r="P2089">
        <v>15</v>
      </c>
      <c r="Q2089">
        <v>4</v>
      </c>
      <c r="R2089">
        <v>4</v>
      </c>
      <c r="S2089">
        <v>4</v>
      </c>
      <c r="T2089">
        <v>4</v>
      </c>
      <c r="U2089">
        <v>11</v>
      </c>
      <c r="V2089">
        <v>1</v>
      </c>
      <c r="W2089">
        <v>4</v>
      </c>
      <c r="X2089">
        <v>1</v>
      </c>
      <c r="Y2089">
        <v>0</v>
      </c>
      <c r="Z2089">
        <v>0</v>
      </c>
    </row>
    <row r="2090" spans="1:26" x14ac:dyDescent="0.2">
      <c r="A2090" t="s">
        <v>2208</v>
      </c>
      <c r="B2090" t="s">
        <v>76</v>
      </c>
      <c r="C2090">
        <v>2014</v>
      </c>
      <c r="D2090" t="s">
        <v>64</v>
      </c>
      <c r="E2090" t="s">
        <v>45</v>
      </c>
      <c r="F2090" t="s">
        <v>64</v>
      </c>
      <c r="G2090">
        <v>52264</v>
      </c>
      <c r="H2090">
        <v>41811.200000000004</v>
      </c>
      <c r="I2090" s="13">
        <v>0.75</v>
      </c>
      <c r="J2090" t="s">
        <v>6207</v>
      </c>
      <c r="K2090">
        <v>3</v>
      </c>
      <c r="L2090">
        <v>2</v>
      </c>
      <c r="M2090" t="s">
        <v>0</v>
      </c>
      <c r="N2090" s="2">
        <v>0.53</v>
      </c>
      <c r="O2090" s="2">
        <v>0.47</v>
      </c>
      <c r="P2090">
        <v>10</v>
      </c>
      <c r="Q2090">
        <v>16</v>
      </c>
      <c r="R2090">
        <v>8</v>
      </c>
      <c r="S2090">
        <v>3</v>
      </c>
      <c r="T2090">
        <v>13</v>
      </c>
      <c r="U2090">
        <v>8</v>
      </c>
      <c r="V2090">
        <v>2</v>
      </c>
      <c r="W2090">
        <v>2</v>
      </c>
      <c r="X2090">
        <v>0</v>
      </c>
      <c r="Y2090">
        <v>0</v>
      </c>
      <c r="Z2090">
        <v>0</v>
      </c>
    </row>
    <row r="2091" spans="1:26" x14ac:dyDescent="0.2">
      <c r="A2091" t="s">
        <v>2209</v>
      </c>
      <c r="B2091" t="s">
        <v>37</v>
      </c>
      <c r="C2091">
        <v>2014</v>
      </c>
      <c r="D2091" t="s">
        <v>26</v>
      </c>
      <c r="E2091" t="s">
        <v>71</v>
      </c>
      <c r="F2091" t="s">
        <v>26</v>
      </c>
      <c r="G2091">
        <v>61276</v>
      </c>
      <c r="H2091">
        <v>49020.800000000003</v>
      </c>
      <c r="I2091" s="13">
        <v>1</v>
      </c>
      <c r="J2091" t="s">
        <v>6206</v>
      </c>
      <c r="K2091">
        <v>4</v>
      </c>
      <c r="L2091">
        <v>1</v>
      </c>
      <c r="M2091" t="s">
        <v>0</v>
      </c>
      <c r="N2091" s="2">
        <v>0.44</v>
      </c>
      <c r="O2091" s="2">
        <v>0.56000000000000005</v>
      </c>
      <c r="P2091">
        <v>6</v>
      </c>
      <c r="Q2091">
        <v>10</v>
      </c>
      <c r="R2091">
        <v>6</v>
      </c>
      <c r="S2091">
        <v>3</v>
      </c>
      <c r="T2091">
        <v>8</v>
      </c>
      <c r="U2091">
        <v>5</v>
      </c>
      <c r="V2091">
        <v>1</v>
      </c>
      <c r="W2091">
        <v>0</v>
      </c>
      <c r="X2091">
        <v>0</v>
      </c>
      <c r="Y2091">
        <v>0</v>
      </c>
      <c r="Z2091">
        <v>0</v>
      </c>
    </row>
    <row r="2092" spans="1:26" x14ac:dyDescent="0.2">
      <c r="A2092" t="s">
        <v>2210</v>
      </c>
      <c r="B2092" t="s">
        <v>66</v>
      </c>
      <c r="C2092">
        <v>2014</v>
      </c>
      <c r="D2092" t="s">
        <v>27</v>
      </c>
      <c r="E2092" t="s">
        <v>48</v>
      </c>
      <c r="F2092" t="s">
        <v>27</v>
      </c>
      <c r="G2092">
        <v>30089</v>
      </c>
      <c r="H2092">
        <v>24071.200000000001</v>
      </c>
      <c r="I2092" s="13">
        <v>0</v>
      </c>
      <c r="J2092" t="s">
        <v>6207</v>
      </c>
      <c r="K2092">
        <v>1</v>
      </c>
      <c r="L2092">
        <v>1</v>
      </c>
      <c r="M2092" t="s">
        <v>58</v>
      </c>
      <c r="N2092" s="2">
        <v>0.34</v>
      </c>
      <c r="O2092" s="2">
        <v>0.66</v>
      </c>
      <c r="P2092">
        <v>14</v>
      </c>
      <c r="Q2092">
        <v>10</v>
      </c>
      <c r="R2092">
        <v>11</v>
      </c>
      <c r="S2092">
        <v>7</v>
      </c>
      <c r="T2092">
        <v>8</v>
      </c>
      <c r="U2092">
        <v>12</v>
      </c>
      <c r="V2092">
        <v>0</v>
      </c>
      <c r="W2092">
        <v>0</v>
      </c>
      <c r="X2092">
        <v>0</v>
      </c>
      <c r="Y2092">
        <v>0</v>
      </c>
      <c r="Z2092">
        <v>0</v>
      </c>
    </row>
    <row r="2093" spans="1:26" x14ac:dyDescent="0.2">
      <c r="A2093" t="s">
        <v>2211</v>
      </c>
      <c r="B2093" t="s">
        <v>68</v>
      </c>
      <c r="C2093">
        <v>2014</v>
      </c>
      <c r="D2093" t="s">
        <v>23</v>
      </c>
      <c r="E2093" t="s">
        <v>63</v>
      </c>
      <c r="F2093" t="s">
        <v>20</v>
      </c>
      <c r="G2093">
        <v>62500</v>
      </c>
      <c r="H2093">
        <v>50000</v>
      </c>
      <c r="I2093" s="13">
        <v>1</v>
      </c>
      <c r="J2093" t="s">
        <v>6207</v>
      </c>
      <c r="K2093">
        <v>1</v>
      </c>
      <c r="L2093">
        <v>1</v>
      </c>
      <c r="M2093" t="s">
        <v>58</v>
      </c>
      <c r="N2093" s="2">
        <v>0.46</v>
      </c>
      <c r="O2093" s="2">
        <v>0.54</v>
      </c>
      <c r="P2093">
        <v>13</v>
      </c>
      <c r="Q2093">
        <v>13</v>
      </c>
      <c r="R2093">
        <v>0</v>
      </c>
      <c r="S2093">
        <v>1</v>
      </c>
      <c r="T2093">
        <v>6</v>
      </c>
      <c r="U2093">
        <v>13</v>
      </c>
      <c r="V2093">
        <v>1</v>
      </c>
      <c r="W2093">
        <v>0</v>
      </c>
      <c r="X2093">
        <v>0</v>
      </c>
      <c r="Y2093">
        <v>0</v>
      </c>
      <c r="Z2093">
        <v>0</v>
      </c>
    </row>
    <row r="2094" spans="1:26" x14ac:dyDescent="0.2">
      <c r="A2094" t="s">
        <v>2212</v>
      </c>
      <c r="B2094" t="s">
        <v>76</v>
      </c>
      <c r="C2094">
        <v>2014</v>
      </c>
      <c r="D2094" t="s">
        <v>73</v>
      </c>
      <c r="E2094" t="s">
        <v>46</v>
      </c>
      <c r="F2094" t="s">
        <v>73</v>
      </c>
      <c r="G2094">
        <v>32384</v>
      </c>
      <c r="H2094">
        <v>25907.200000000001</v>
      </c>
      <c r="I2094" s="13">
        <v>1</v>
      </c>
      <c r="J2094" t="s">
        <v>6207</v>
      </c>
      <c r="K2094">
        <v>2</v>
      </c>
      <c r="L2094">
        <v>0</v>
      </c>
      <c r="M2094" t="s">
        <v>0</v>
      </c>
      <c r="N2094" s="2">
        <v>0.41</v>
      </c>
      <c r="O2094" s="2">
        <v>0.59</v>
      </c>
      <c r="P2094">
        <v>8</v>
      </c>
      <c r="Q2094">
        <v>15</v>
      </c>
      <c r="R2094">
        <v>2</v>
      </c>
      <c r="S2094">
        <v>7</v>
      </c>
      <c r="T2094">
        <v>14</v>
      </c>
      <c r="U2094">
        <v>7</v>
      </c>
      <c r="V2094">
        <v>2</v>
      </c>
      <c r="W2094">
        <v>1</v>
      </c>
      <c r="X2094">
        <v>0</v>
      </c>
      <c r="Y2094">
        <v>0</v>
      </c>
      <c r="Z2094">
        <v>0</v>
      </c>
    </row>
    <row r="2095" spans="1:26" x14ac:dyDescent="0.2">
      <c r="A2095" t="s">
        <v>2213</v>
      </c>
      <c r="B2095" t="s">
        <v>61</v>
      </c>
      <c r="C2095">
        <v>2014</v>
      </c>
      <c r="D2095" t="s">
        <v>70</v>
      </c>
      <c r="E2095" t="s">
        <v>71</v>
      </c>
      <c r="F2095" t="s">
        <v>20</v>
      </c>
      <c r="G2095">
        <v>18439</v>
      </c>
      <c r="H2095">
        <v>14751.2</v>
      </c>
      <c r="I2095" s="13">
        <v>0.4</v>
      </c>
      <c r="J2095" t="s">
        <v>6207</v>
      </c>
      <c r="K2095">
        <v>1</v>
      </c>
      <c r="L2095">
        <v>1</v>
      </c>
      <c r="M2095" t="s">
        <v>58</v>
      </c>
      <c r="N2095" s="2">
        <v>0.43</v>
      </c>
      <c r="O2095" s="2">
        <v>0.56999999999999995</v>
      </c>
      <c r="P2095">
        <v>8</v>
      </c>
      <c r="Q2095">
        <v>24</v>
      </c>
      <c r="R2095">
        <v>4</v>
      </c>
      <c r="S2095">
        <v>9</v>
      </c>
      <c r="T2095">
        <v>22</v>
      </c>
      <c r="U2095">
        <v>5</v>
      </c>
      <c r="V2095">
        <v>4</v>
      </c>
      <c r="W2095">
        <v>0</v>
      </c>
      <c r="X2095">
        <v>0</v>
      </c>
      <c r="Y2095">
        <v>1</v>
      </c>
      <c r="Z2095">
        <v>0</v>
      </c>
    </row>
    <row r="2096" spans="1:26" x14ac:dyDescent="0.2">
      <c r="A2096" t="s">
        <v>2214</v>
      </c>
      <c r="B2096" t="s">
        <v>41</v>
      </c>
      <c r="C2096">
        <v>2014</v>
      </c>
      <c r="D2096" t="s">
        <v>64</v>
      </c>
      <c r="E2096" t="s">
        <v>28</v>
      </c>
      <c r="F2096" t="s">
        <v>64</v>
      </c>
      <c r="G2096">
        <v>52264</v>
      </c>
      <c r="H2096">
        <v>41811.200000000004</v>
      </c>
      <c r="I2096" s="13">
        <v>0.16666666666666666</v>
      </c>
      <c r="J2096" t="s">
        <v>6207</v>
      </c>
      <c r="K2096">
        <v>3</v>
      </c>
      <c r="L2096">
        <v>3</v>
      </c>
      <c r="M2096" t="s">
        <v>58</v>
      </c>
      <c r="N2096" s="2">
        <v>0.52</v>
      </c>
      <c r="O2096" s="2">
        <v>0.48</v>
      </c>
      <c r="P2096">
        <v>13</v>
      </c>
      <c r="Q2096">
        <v>12</v>
      </c>
      <c r="R2096">
        <v>5</v>
      </c>
      <c r="S2096">
        <v>5</v>
      </c>
      <c r="T2096">
        <v>12</v>
      </c>
      <c r="U2096">
        <v>13</v>
      </c>
      <c r="V2096">
        <v>2</v>
      </c>
      <c r="W2096">
        <v>4</v>
      </c>
      <c r="X2096">
        <v>0</v>
      </c>
      <c r="Y2096">
        <v>0</v>
      </c>
      <c r="Z2096">
        <v>0</v>
      </c>
    </row>
    <row r="2097" spans="1:26" x14ac:dyDescent="0.2">
      <c r="A2097" t="s">
        <v>2215</v>
      </c>
      <c r="B2097" t="s">
        <v>74</v>
      </c>
      <c r="C2097">
        <v>2014</v>
      </c>
      <c r="D2097" t="s">
        <v>40</v>
      </c>
      <c r="E2097" t="s">
        <v>35</v>
      </c>
      <c r="F2097" t="s">
        <v>49</v>
      </c>
      <c r="G2097">
        <v>53400</v>
      </c>
      <c r="H2097">
        <v>42720</v>
      </c>
      <c r="I2097" s="13">
        <v>0.8</v>
      </c>
      <c r="J2097" t="s">
        <v>6208</v>
      </c>
      <c r="K2097">
        <v>3</v>
      </c>
      <c r="L2097">
        <v>2</v>
      </c>
      <c r="M2097" t="s">
        <v>0</v>
      </c>
      <c r="N2097" s="2">
        <v>0.65</v>
      </c>
      <c r="O2097" s="2">
        <v>0.35</v>
      </c>
      <c r="P2097">
        <v>11</v>
      </c>
      <c r="Q2097">
        <v>14</v>
      </c>
      <c r="R2097">
        <v>10</v>
      </c>
      <c r="S2097">
        <v>4</v>
      </c>
      <c r="T2097">
        <v>14</v>
      </c>
      <c r="U2097">
        <v>7</v>
      </c>
      <c r="V2097">
        <v>2</v>
      </c>
      <c r="W2097">
        <v>3</v>
      </c>
      <c r="X2097">
        <v>0</v>
      </c>
      <c r="Y2097">
        <v>0</v>
      </c>
      <c r="Z2097">
        <v>1</v>
      </c>
    </row>
    <row r="2098" spans="1:26" x14ac:dyDescent="0.2">
      <c r="A2098" t="s">
        <v>2216</v>
      </c>
      <c r="B2098" t="s">
        <v>53</v>
      </c>
      <c r="C2098">
        <v>2014</v>
      </c>
      <c r="D2098" t="s">
        <v>26</v>
      </c>
      <c r="E2098" t="s">
        <v>80</v>
      </c>
      <c r="F2098" t="s">
        <v>26</v>
      </c>
      <c r="G2098">
        <v>61276</v>
      </c>
      <c r="H2098">
        <v>49020.800000000003</v>
      </c>
      <c r="I2098" s="13">
        <v>0.5</v>
      </c>
      <c r="J2098" t="s">
        <v>6207</v>
      </c>
      <c r="K2098">
        <v>2</v>
      </c>
      <c r="L2098">
        <v>2</v>
      </c>
      <c r="M2098" t="s">
        <v>58</v>
      </c>
      <c r="N2098" s="2">
        <v>0.59</v>
      </c>
      <c r="O2098" s="2">
        <v>0.41</v>
      </c>
      <c r="P2098">
        <v>8</v>
      </c>
      <c r="Q2098">
        <v>15</v>
      </c>
      <c r="R2098">
        <v>4</v>
      </c>
      <c r="S2098">
        <v>5</v>
      </c>
      <c r="T2098">
        <v>13</v>
      </c>
      <c r="U2098">
        <v>10</v>
      </c>
      <c r="V2098">
        <v>2</v>
      </c>
      <c r="W2098">
        <v>2</v>
      </c>
      <c r="X2098">
        <v>0</v>
      </c>
      <c r="Y2098">
        <v>0</v>
      </c>
      <c r="Z2098">
        <v>2</v>
      </c>
    </row>
    <row r="2099" spans="1:26" x14ac:dyDescent="0.2">
      <c r="A2099" t="s">
        <v>2217</v>
      </c>
      <c r="B2099" t="s">
        <v>60</v>
      </c>
      <c r="C2099">
        <v>2014</v>
      </c>
      <c r="D2099" t="s">
        <v>19</v>
      </c>
      <c r="E2099" t="s">
        <v>45</v>
      </c>
      <c r="F2099" t="s">
        <v>19</v>
      </c>
      <c r="G2099">
        <v>25586</v>
      </c>
      <c r="H2099">
        <v>20468.800000000003</v>
      </c>
      <c r="I2099" s="13">
        <v>0.5</v>
      </c>
      <c r="J2099" t="s">
        <v>6208</v>
      </c>
      <c r="K2099">
        <v>2</v>
      </c>
      <c r="L2099">
        <v>0</v>
      </c>
      <c r="M2099" t="s">
        <v>0</v>
      </c>
      <c r="N2099" s="2">
        <v>0.44</v>
      </c>
      <c r="O2099" s="2">
        <v>0.56000000000000005</v>
      </c>
      <c r="P2099">
        <v>16</v>
      </c>
      <c r="Q2099">
        <v>17</v>
      </c>
      <c r="R2099">
        <v>4</v>
      </c>
      <c r="S2099">
        <v>8</v>
      </c>
      <c r="T2099">
        <v>16</v>
      </c>
      <c r="U2099">
        <v>15</v>
      </c>
      <c r="V2099">
        <v>3</v>
      </c>
      <c r="W2099">
        <v>4</v>
      </c>
      <c r="X2099">
        <v>0</v>
      </c>
      <c r="Y2099">
        <v>1</v>
      </c>
      <c r="Z2099">
        <v>0</v>
      </c>
    </row>
    <row r="2100" spans="1:26" x14ac:dyDescent="0.2">
      <c r="A2100" t="s">
        <v>2218</v>
      </c>
      <c r="B2100" t="s">
        <v>77</v>
      </c>
      <c r="C2100">
        <v>2014</v>
      </c>
      <c r="D2100" t="s">
        <v>42</v>
      </c>
      <c r="E2100" t="s">
        <v>79</v>
      </c>
      <c r="F2100" t="s">
        <v>38</v>
      </c>
      <c r="G2100">
        <v>42918</v>
      </c>
      <c r="H2100">
        <v>34334.400000000001</v>
      </c>
      <c r="I2100" s="13">
        <v>1</v>
      </c>
      <c r="J2100" t="s">
        <v>6207</v>
      </c>
      <c r="K2100">
        <v>0</v>
      </c>
      <c r="L2100">
        <v>0</v>
      </c>
      <c r="M2100" t="s">
        <v>58</v>
      </c>
      <c r="N2100" s="2">
        <v>0.7</v>
      </c>
      <c r="O2100" s="2">
        <v>0.3</v>
      </c>
      <c r="P2100">
        <v>15</v>
      </c>
      <c r="Q2100">
        <v>12</v>
      </c>
      <c r="R2100">
        <v>5</v>
      </c>
      <c r="S2100">
        <v>2</v>
      </c>
      <c r="T2100">
        <v>11</v>
      </c>
      <c r="U2100">
        <v>12</v>
      </c>
      <c r="V2100">
        <v>1</v>
      </c>
      <c r="W2100">
        <v>1</v>
      </c>
      <c r="X2100">
        <v>0</v>
      </c>
      <c r="Y2100">
        <v>0</v>
      </c>
      <c r="Z2100">
        <v>0</v>
      </c>
    </row>
    <row r="2101" spans="1:26" x14ac:dyDescent="0.2">
      <c r="A2101" t="s">
        <v>2219</v>
      </c>
      <c r="B2101" t="s">
        <v>52</v>
      </c>
      <c r="C2101">
        <v>2014</v>
      </c>
      <c r="D2101" t="s">
        <v>51</v>
      </c>
      <c r="E2101" t="s">
        <v>18</v>
      </c>
      <c r="F2101" t="s">
        <v>20</v>
      </c>
      <c r="G2101">
        <v>36284</v>
      </c>
      <c r="H2101">
        <v>29027.200000000001</v>
      </c>
      <c r="I2101" s="13">
        <v>0.75</v>
      </c>
      <c r="J2101" t="s">
        <v>6207</v>
      </c>
      <c r="K2101">
        <v>5</v>
      </c>
      <c r="L2101">
        <v>3</v>
      </c>
      <c r="M2101" t="s">
        <v>0</v>
      </c>
      <c r="N2101" s="2">
        <v>0.46</v>
      </c>
      <c r="O2101" s="2">
        <v>0.54</v>
      </c>
      <c r="P2101">
        <v>8</v>
      </c>
      <c r="Q2101">
        <v>14</v>
      </c>
      <c r="R2101">
        <v>5</v>
      </c>
      <c r="S2101">
        <v>3</v>
      </c>
      <c r="T2101">
        <v>14</v>
      </c>
      <c r="U2101">
        <v>10</v>
      </c>
      <c r="V2101">
        <v>3</v>
      </c>
      <c r="W2101">
        <v>1</v>
      </c>
      <c r="X2101">
        <v>0</v>
      </c>
      <c r="Y2101">
        <v>0</v>
      </c>
      <c r="Z2101">
        <v>1</v>
      </c>
    </row>
    <row r="2102" spans="1:26" x14ac:dyDescent="0.2">
      <c r="A2102" t="s">
        <v>2220</v>
      </c>
      <c r="B2102" t="s">
        <v>76</v>
      </c>
      <c r="C2102">
        <v>2014</v>
      </c>
      <c r="D2102" t="s">
        <v>35</v>
      </c>
      <c r="E2102" t="s">
        <v>26</v>
      </c>
      <c r="F2102" t="s">
        <v>35</v>
      </c>
      <c r="G2102">
        <v>49000</v>
      </c>
      <c r="H2102">
        <v>39200</v>
      </c>
      <c r="I2102" s="13">
        <v>0.5714285714285714</v>
      </c>
      <c r="J2102" t="s">
        <v>6207</v>
      </c>
      <c r="K2102">
        <v>0</v>
      </c>
      <c r="L2102">
        <v>1</v>
      </c>
      <c r="M2102" t="s">
        <v>1</v>
      </c>
      <c r="N2102" s="2">
        <v>0.47</v>
      </c>
      <c r="O2102" s="2">
        <v>0.53</v>
      </c>
      <c r="P2102">
        <v>11</v>
      </c>
      <c r="Q2102">
        <v>14</v>
      </c>
      <c r="R2102">
        <v>6</v>
      </c>
      <c r="S2102">
        <v>6</v>
      </c>
      <c r="T2102">
        <v>12</v>
      </c>
      <c r="U2102">
        <v>11</v>
      </c>
      <c r="V2102">
        <v>2</v>
      </c>
      <c r="W2102">
        <v>4</v>
      </c>
      <c r="X2102">
        <v>1</v>
      </c>
      <c r="Y2102">
        <v>0</v>
      </c>
      <c r="Z2102">
        <v>0</v>
      </c>
    </row>
    <row r="2103" spans="1:26" x14ac:dyDescent="0.2">
      <c r="A2103" t="s">
        <v>2221</v>
      </c>
      <c r="B2103" t="s">
        <v>67</v>
      </c>
      <c r="C2103">
        <v>2014</v>
      </c>
      <c r="D2103" t="s">
        <v>63</v>
      </c>
      <c r="E2103" t="s">
        <v>19</v>
      </c>
      <c r="F2103" t="s">
        <v>65</v>
      </c>
      <c r="G2103">
        <v>26804</v>
      </c>
      <c r="H2103">
        <v>21443.200000000001</v>
      </c>
      <c r="I2103" s="13">
        <v>1</v>
      </c>
      <c r="J2103" t="s">
        <v>6207</v>
      </c>
      <c r="K2103">
        <v>1</v>
      </c>
      <c r="L2103">
        <v>0</v>
      </c>
      <c r="M2103" t="s">
        <v>0</v>
      </c>
      <c r="N2103" s="2">
        <v>0.52</v>
      </c>
      <c r="O2103" s="2">
        <v>0.48</v>
      </c>
      <c r="P2103">
        <v>15</v>
      </c>
      <c r="Q2103">
        <v>7</v>
      </c>
      <c r="R2103">
        <v>5</v>
      </c>
      <c r="S2103">
        <v>2</v>
      </c>
      <c r="T2103">
        <v>5</v>
      </c>
      <c r="U2103">
        <v>13</v>
      </c>
      <c r="V2103">
        <v>1</v>
      </c>
      <c r="W2103">
        <v>0</v>
      </c>
      <c r="X2103">
        <v>0</v>
      </c>
      <c r="Y2103">
        <v>0</v>
      </c>
      <c r="Z2103">
        <v>0</v>
      </c>
    </row>
    <row r="2104" spans="1:26" x14ac:dyDescent="0.2">
      <c r="A2104" t="s">
        <v>2222</v>
      </c>
      <c r="B2104" t="s">
        <v>41</v>
      </c>
      <c r="C2104">
        <v>2014</v>
      </c>
      <c r="D2104" t="s">
        <v>71</v>
      </c>
      <c r="E2104" t="s">
        <v>23</v>
      </c>
      <c r="F2104" t="s">
        <v>71</v>
      </c>
      <c r="G2104">
        <v>21088</v>
      </c>
      <c r="H2104">
        <v>16870.400000000001</v>
      </c>
      <c r="I2104" s="13">
        <v>1</v>
      </c>
      <c r="J2104" t="s">
        <v>6207</v>
      </c>
      <c r="K2104">
        <v>1</v>
      </c>
      <c r="L2104">
        <v>1</v>
      </c>
      <c r="M2104" t="s">
        <v>58</v>
      </c>
      <c r="N2104" s="2">
        <v>0.61</v>
      </c>
      <c r="O2104" s="2">
        <v>0.39</v>
      </c>
      <c r="P2104">
        <v>7</v>
      </c>
      <c r="Q2104">
        <v>12</v>
      </c>
      <c r="R2104">
        <v>4</v>
      </c>
      <c r="S2104">
        <v>5</v>
      </c>
      <c r="T2104">
        <v>9</v>
      </c>
      <c r="U2104">
        <v>7</v>
      </c>
      <c r="V2104">
        <v>0</v>
      </c>
      <c r="W2104">
        <v>1</v>
      </c>
      <c r="X2104">
        <v>0</v>
      </c>
      <c r="Y2104">
        <v>0</v>
      </c>
      <c r="Z2104">
        <v>0</v>
      </c>
    </row>
    <row r="2105" spans="1:26" x14ac:dyDescent="0.2">
      <c r="A2105" t="s">
        <v>2223</v>
      </c>
      <c r="B2105" t="s">
        <v>66</v>
      </c>
      <c r="C2105">
        <v>2014</v>
      </c>
      <c r="D2105" t="s">
        <v>80</v>
      </c>
      <c r="E2105" t="s">
        <v>42</v>
      </c>
      <c r="F2105" t="s">
        <v>80</v>
      </c>
      <c r="G2105">
        <v>32261</v>
      </c>
      <c r="H2105">
        <v>25808.800000000003</v>
      </c>
      <c r="I2105" s="13">
        <v>0.4</v>
      </c>
      <c r="J2105" t="s">
        <v>6207</v>
      </c>
      <c r="K2105">
        <v>1</v>
      </c>
      <c r="L2105">
        <v>0</v>
      </c>
      <c r="M2105" t="s">
        <v>0</v>
      </c>
      <c r="N2105" s="2">
        <v>0.38</v>
      </c>
      <c r="O2105" s="2">
        <v>0.62</v>
      </c>
      <c r="P2105">
        <v>12</v>
      </c>
      <c r="Q2105">
        <v>21</v>
      </c>
      <c r="R2105">
        <v>6</v>
      </c>
      <c r="S2105">
        <v>6</v>
      </c>
      <c r="T2105">
        <v>18</v>
      </c>
      <c r="U2105">
        <v>6</v>
      </c>
      <c r="V2105">
        <v>1</v>
      </c>
      <c r="W2105">
        <v>2</v>
      </c>
      <c r="X2105">
        <v>1</v>
      </c>
      <c r="Y2105">
        <v>1</v>
      </c>
      <c r="Z2105">
        <v>0</v>
      </c>
    </row>
    <row r="2106" spans="1:26" x14ac:dyDescent="0.2">
      <c r="A2106" t="s">
        <v>2224</v>
      </c>
      <c r="B2106" t="s">
        <v>32</v>
      </c>
      <c r="C2106">
        <v>2014</v>
      </c>
      <c r="D2106" t="s">
        <v>45</v>
      </c>
      <c r="E2106" t="s">
        <v>40</v>
      </c>
      <c r="F2106" t="s">
        <v>26</v>
      </c>
      <c r="G2106">
        <v>39572</v>
      </c>
      <c r="H2106">
        <v>31657.600000000002</v>
      </c>
      <c r="I2106" s="13">
        <v>0.66666666666666663</v>
      </c>
      <c r="J2106" t="s">
        <v>6207</v>
      </c>
      <c r="K2106">
        <v>1</v>
      </c>
      <c r="L2106">
        <v>1</v>
      </c>
      <c r="M2106" t="s">
        <v>58</v>
      </c>
      <c r="N2106" s="2">
        <v>0.38</v>
      </c>
      <c r="O2106" s="2">
        <v>0.62</v>
      </c>
      <c r="P2106">
        <v>11</v>
      </c>
      <c r="Q2106">
        <v>12</v>
      </c>
      <c r="R2106">
        <v>4</v>
      </c>
      <c r="S2106">
        <v>9</v>
      </c>
      <c r="T2106">
        <v>9</v>
      </c>
      <c r="U2106">
        <v>10</v>
      </c>
      <c r="V2106">
        <v>1</v>
      </c>
      <c r="W2106">
        <v>2</v>
      </c>
      <c r="X2106">
        <v>0</v>
      </c>
      <c r="Y2106">
        <v>0</v>
      </c>
      <c r="Z2106">
        <v>0</v>
      </c>
    </row>
    <row r="2107" spans="1:26" x14ac:dyDescent="0.2">
      <c r="A2107" t="s">
        <v>2225</v>
      </c>
      <c r="B2107" t="s">
        <v>74</v>
      </c>
      <c r="C2107">
        <v>2014</v>
      </c>
      <c r="D2107" t="s">
        <v>18</v>
      </c>
      <c r="E2107" t="s">
        <v>64</v>
      </c>
      <c r="F2107" t="s">
        <v>20</v>
      </c>
      <c r="G2107">
        <v>40341</v>
      </c>
      <c r="H2107">
        <v>32272.800000000003</v>
      </c>
      <c r="I2107" s="13">
        <v>0.4</v>
      </c>
      <c r="J2107" t="s">
        <v>6208</v>
      </c>
      <c r="K2107">
        <v>2</v>
      </c>
      <c r="L2107">
        <v>0</v>
      </c>
      <c r="M2107" t="s">
        <v>0</v>
      </c>
      <c r="N2107" s="2">
        <v>0.64</v>
      </c>
      <c r="O2107" s="2">
        <v>0.36</v>
      </c>
      <c r="P2107">
        <v>13</v>
      </c>
      <c r="Q2107">
        <v>20</v>
      </c>
      <c r="R2107">
        <v>7</v>
      </c>
      <c r="S2107">
        <v>4</v>
      </c>
      <c r="T2107">
        <v>13</v>
      </c>
      <c r="U2107">
        <v>13</v>
      </c>
      <c r="V2107">
        <v>2</v>
      </c>
      <c r="W2107">
        <v>3</v>
      </c>
      <c r="X2107">
        <v>0</v>
      </c>
      <c r="Y2107">
        <v>0</v>
      </c>
      <c r="Z2107">
        <v>0</v>
      </c>
    </row>
    <row r="2108" spans="1:26" x14ac:dyDescent="0.2">
      <c r="A2108" t="s">
        <v>2226</v>
      </c>
      <c r="B2108" t="s">
        <v>37</v>
      </c>
      <c r="C2108">
        <v>2014</v>
      </c>
      <c r="D2108" t="s">
        <v>28</v>
      </c>
      <c r="E2108" t="s">
        <v>70</v>
      </c>
      <c r="F2108" t="s">
        <v>28</v>
      </c>
      <c r="G2108">
        <v>21944</v>
      </c>
      <c r="H2108">
        <v>17555.2</v>
      </c>
      <c r="I2108" s="13">
        <v>0.25</v>
      </c>
      <c r="J2108" t="s">
        <v>6206</v>
      </c>
      <c r="K2108">
        <v>2</v>
      </c>
      <c r="L2108">
        <v>1</v>
      </c>
      <c r="M2108" t="s">
        <v>0</v>
      </c>
      <c r="N2108" s="2">
        <v>0.45</v>
      </c>
      <c r="O2108" s="2">
        <v>0.55000000000000004</v>
      </c>
      <c r="P2108">
        <v>11</v>
      </c>
      <c r="Q2108">
        <v>14</v>
      </c>
      <c r="R2108">
        <v>10</v>
      </c>
      <c r="S2108">
        <v>6</v>
      </c>
      <c r="T2108">
        <v>14</v>
      </c>
      <c r="U2108">
        <v>9</v>
      </c>
      <c r="V2108">
        <v>2</v>
      </c>
      <c r="W2108">
        <v>2</v>
      </c>
      <c r="X2108">
        <v>0</v>
      </c>
      <c r="Y2108">
        <v>0</v>
      </c>
      <c r="Z2108">
        <v>1</v>
      </c>
    </row>
    <row r="2109" spans="1:26" x14ac:dyDescent="0.2">
      <c r="A2109" t="s">
        <v>2227</v>
      </c>
      <c r="B2109" t="s">
        <v>61</v>
      </c>
      <c r="C2109">
        <v>2014</v>
      </c>
      <c r="D2109" t="s">
        <v>79</v>
      </c>
      <c r="E2109" t="s">
        <v>51</v>
      </c>
      <c r="F2109" t="s">
        <v>20</v>
      </c>
      <c r="G2109">
        <v>25486</v>
      </c>
      <c r="H2109">
        <v>20388.800000000003</v>
      </c>
      <c r="I2109" s="13">
        <v>0.5</v>
      </c>
      <c r="J2109" t="s">
        <v>6207</v>
      </c>
      <c r="K2109">
        <v>2</v>
      </c>
      <c r="L2109">
        <v>1</v>
      </c>
      <c r="M2109" t="s">
        <v>0</v>
      </c>
      <c r="N2109" s="2">
        <v>0.41</v>
      </c>
      <c r="O2109" s="2">
        <v>0.59</v>
      </c>
      <c r="P2109">
        <v>14</v>
      </c>
      <c r="Q2109">
        <v>12</v>
      </c>
      <c r="R2109">
        <v>4</v>
      </c>
      <c r="S2109">
        <v>6</v>
      </c>
      <c r="T2109">
        <v>9</v>
      </c>
      <c r="U2109">
        <v>14</v>
      </c>
      <c r="V2109">
        <v>5</v>
      </c>
      <c r="W2109">
        <v>3</v>
      </c>
      <c r="X2109">
        <v>0</v>
      </c>
      <c r="Y2109">
        <v>0</v>
      </c>
      <c r="Z2109">
        <v>1</v>
      </c>
    </row>
    <row r="2110" spans="1:26" x14ac:dyDescent="0.2">
      <c r="A2110" t="s">
        <v>2228</v>
      </c>
      <c r="B2110" t="s">
        <v>68</v>
      </c>
      <c r="C2110">
        <v>2014</v>
      </c>
      <c r="D2110" t="s">
        <v>46</v>
      </c>
      <c r="E2110" t="s">
        <v>27</v>
      </c>
      <c r="F2110" t="s">
        <v>20</v>
      </c>
      <c r="G2110">
        <v>60704</v>
      </c>
      <c r="H2110">
        <v>48563.200000000004</v>
      </c>
      <c r="I2110" s="13">
        <v>0.66666666666666663</v>
      </c>
      <c r="J2110" t="s">
        <v>6207</v>
      </c>
      <c r="K2110">
        <v>3</v>
      </c>
      <c r="L2110">
        <v>0</v>
      </c>
      <c r="M2110" t="s">
        <v>0</v>
      </c>
      <c r="N2110" s="2">
        <v>0.54</v>
      </c>
      <c r="O2110" s="2">
        <v>0.46</v>
      </c>
      <c r="P2110">
        <v>14</v>
      </c>
      <c r="Q2110">
        <v>15</v>
      </c>
      <c r="R2110">
        <v>9</v>
      </c>
      <c r="S2110">
        <v>1</v>
      </c>
      <c r="T2110">
        <v>11</v>
      </c>
      <c r="U2110">
        <v>11</v>
      </c>
      <c r="V2110">
        <v>0</v>
      </c>
      <c r="W2110">
        <v>3</v>
      </c>
      <c r="X2110">
        <v>0</v>
      </c>
      <c r="Y2110">
        <v>0</v>
      </c>
      <c r="Z2110">
        <v>0</v>
      </c>
    </row>
    <row r="2111" spans="1:26" x14ac:dyDescent="0.2">
      <c r="A2111" t="s">
        <v>2229</v>
      </c>
      <c r="B2111" t="s">
        <v>52</v>
      </c>
      <c r="C2111">
        <v>2014</v>
      </c>
      <c r="D2111" t="s">
        <v>48</v>
      </c>
      <c r="E2111" t="s">
        <v>73</v>
      </c>
      <c r="F2111" t="s">
        <v>49</v>
      </c>
      <c r="G2111">
        <v>74197</v>
      </c>
      <c r="H2111">
        <v>59357.600000000006</v>
      </c>
      <c r="I2111" s="13">
        <v>0.4</v>
      </c>
      <c r="J2111" t="s">
        <v>6207</v>
      </c>
      <c r="K2111">
        <v>0</v>
      </c>
      <c r="L2111">
        <v>1</v>
      </c>
      <c r="M2111" t="s">
        <v>1</v>
      </c>
      <c r="N2111" s="2">
        <v>0.61</v>
      </c>
      <c r="O2111" s="2">
        <v>0.39</v>
      </c>
      <c r="P2111">
        <v>12</v>
      </c>
      <c r="Q2111">
        <v>11</v>
      </c>
      <c r="R2111">
        <v>3</v>
      </c>
      <c r="S2111">
        <v>5</v>
      </c>
      <c r="T2111">
        <v>9</v>
      </c>
      <c r="U2111">
        <v>10</v>
      </c>
      <c r="V2111">
        <v>2</v>
      </c>
      <c r="W2111">
        <v>3</v>
      </c>
      <c r="X2111">
        <v>0</v>
      </c>
      <c r="Y2111">
        <v>0</v>
      </c>
      <c r="Z2111">
        <v>0</v>
      </c>
    </row>
    <row r="2112" spans="1:26" x14ac:dyDescent="0.2">
      <c r="A2112" t="s">
        <v>2230</v>
      </c>
      <c r="B2112" t="s">
        <v>25</v>
      </c>
      <c r="C2112">
        <v>2014</v>
      </c>
      <c r="D2112" t="s">
        <v>51</v>
      </c>
      <c r="E2112" t="s">
        <v>35</v>
      </c>
      <c r="F2112" t="s">
        <v>20</v>
      </c>
      <c r="G2112">
        <v>36284</v>
      </c>
      <c r="H2112">
        <v>29027.200000000001</v>
      </c>
      <c r="I2112" s="13">
        <v>0.66666666666666663</v>
      </c>
      <c r="J2112" t="s">
        <v>6207</v>
      </c>
      <c r="K2112">
        <v>2</v>
      </c>
      <c r="L2112">
        <v>1</v>
      </c>
      <c r="M2112" t="s">
        <v>0</v>
      </c>
      <c r="N2112" s="2">
        <v>0.66</v>
      </c>
      <c r="O2112" s="2">
        <v>0.34</v>
      </c>
      <c r="P2112">
        <v>12</v>
      </c>
      <c r="Q2112">
        <v>16</v>
      </c>
      <c r="R2112">
        <v>6</v>
      </c>
      <c r="S2112">
        <v>6</v>
      </c>
      <c r="T2112">
        <v>14</v>
      </c>
      <c r="U2112">
        <v>8</v>
      </c>
      <c r="V2112">
        <v>1</v>
      </c>
      <c r="W2112">
        <v>2</v>
      </c>
      <c r="X2112">
        <v>0</v>
      </c>
      <c r="Y2112">
        <v>0</v>
      </c>
      <c r="Z2112">
        <v>0</v>
      </c>
    </row>
    <row r="2113" spans="1:26" x14ac:dyDescent="0.2">
      <c r="A2113" t="s">
        <v>2231</v>
      </c>
      <c r="B2113" t="s">
        <v>68</v>
      </c>
      <c r="C2113">
        <v>2014</v>
      </c>
      <c r="D2113" t="s">
        <v>71</v>
      </c>
      <c r="E2113" t="s">
        <v>18</v>
      </c>
      <c r="F2113" t="s">
        <v>71</v>
      </c>
      <c r="G2113">
        <v>21088</v>
      </c>
      <c r="H2113">
        <v>16870.400000000001</v>
      </c>
      <c r="I2113" s="13">
        <v>0</v>
      </c>
      <c r="J2113" t="s">
        <v>6207</v>
      </c>
      <c r="K2113">
        <v>0</v>
      </c>
      <c r="L2113">
        <v>5</v>
      </c>
      <c r="M2113" t="s">
        <v>1</v>
      </c>
      <c r="N2113" s="2">
        <v>0.45</v>
      </c>
      <c r="O2113" s="2">
        <v>0.55000000000000004</v>
      </c>
      <c r="P2113">
        <v>16</v>
      </c>
      <c r="Q2113">
        <v>9</v>
      </c>
      <c r="R2113">
        <v>1</v>
      </c>
      <c r="S2113">
        <v>2</v>
      </c>
      <c r="T2113">
        <v>9</v>
      </c>
      <c r="U2113">
        <v>13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1:26" x14ac:dyDescent="0.2">
      <c r="A2114" t="s">
        <v>2232</v>
      </c>
      <c r="B2114" t="s">
        <v>67</v>
      </c>
      <c r="C2114">
        <v>2014</v>
      </c>
      <c r="D2114" t="s">
        <v>70</v>
      </c>
      <c r="E2114" t="s">
        <v>48</v>
      </c>
      <c r="F2114" t="s">
        <v>20</v>
      </c>
      <c r="G2114">
        <v>18439</v>
      </c>
      <c r="H2114">
        <v>14751.2</v>
      </c>
      <c r="I2114" s="13">
        <v>0.6</v>
      </c>
      <c r="J2114" t="s">
        <v>6207</v>
      </c>
      <c r="K2114">
        <v>0</v>
      </c>
      <c r="L2114">
        <v>2</v>
      </c>
      <c r="M2114" t="s">
        <v>1</v>
      </c>
      <c r="N2114" s="2">
        <v>0.38</v>
      </c>
      <c r="O2114" s="2">
        <v>0.62</v>
      </c>
      <c r="P2114">
        <v>12</v>
      </c>
      <c r="Q2114">
        <v>13</v>
      </c>
      <c r="R2114">
        <v>3</v>
      </c>
      <c r="S2114">
        <v>3</v>
      </c>
      <c r="T2114">
        <v>12</v>
      </c>
      <c r="U2114">
        <v>10</v>
      </c>
      <c r="V2114">
        <v>3</v>
      </c>
      <c r="W2114">
        <v>2</v>
      </c>
      <c r="X2114">
        <v>0</v>
      </c>
      <c r="Y2114">
        <v>0</v>
      </c>
      <c r="Z2114">
        <v>0</v>
      </c>
    </row>
    <row r="2115" spans="1:26" x14ac:dyDescent="0.2">
      <c r="A2115" t="s">
        <v>2233</v>
      </c>
      <c r="B2115" t="s">
        <v>37</v>
      </c>
      <c r="C2115">
        <v>2014</v>
      </c>
      <c r="D2115" t="s">
        <v>80</v>
      </c>
      <c r="E2115" t="s">
        <v>27</v>
      </c>
      <c r="F2115" t="s">
        <v>80</v>
      </c>
      <c r="G2115">
        <v>32261</v>
      </c>
      <c r="H2115">
        <v>25808.800000000003</v>
      </c>
      <c r="I2115" s="13">
        <v>1</v>
      </c>
      <c r="J2115" t="s">
        <v>6206</v>
      </c>
      <c r="K2115">
        <v>0</v>
      </c>
      <c r="L2115">
        <v>1</v>
      </c>
      <c r="M2115" t="s">
        <v>1</v>
      </c>
      <c r="N2115" s="2">
        <v>0.43</v>
      </c>
      <c r="O2115" s="2">
        <v>0.56999999999999995</v>
      </c>
      <c r="P2115">
        <v>9</v>
      </c>
      <c r="Q2115">
        <v>8</v>
      </c>
      <c r="R2115">
        <v>6</v>
      </c>
      <c r="S2115">
        <v>5</v>
      </c>
      <c r="T2115">
        <v>9</v>
      </c>
      <c r="U2115">
        <v>6</v>
      </c>
      <c r="V2115">
        <v>1</v>
      </c>
      <c r="W2115">
        <v>0</v>
      </c>
      <c r="X2115">
        <v>0</v>
      </c>
      <c r="Y2115">
        <v>0</v>
      </c>
      <c r="Z2115">
        <v>0</v>
      </c>
    </row>
    <row r="2116" spans="1:26" x14ac:dyDescent="0.2">
      <c r="A2116" t="s">
        <v>2234</v>
      </c>
      <c r="B2116" t="s">
        <v>52</v>
      </c>
      <c r="C2116">
        <v>2014</v>
      </c>
      <c r="D2116" t="s">
        <v>28</v>
      </c>
      <c r="E2116" t="s">
        <v>79</v>
      </c>
      <c r="F2116" t="s">
        <v>28</v>
      </c>
      <c r="G2116">
        <v>21944</v>
      </c>
      <c r="H2116">
        <v>17555.2</v>
      </c>
      <c r="I2116" s="13">
        <v>0.25</v>
      </c>
      <c r="J2116" t="s">
        <v>6207</v>
      </c>
      <c r="K2116">
        <v>2</v>
      </c>
      <c r="L2116">
        <v>3</v>
      </c>
      <c r="M2116" t="s">
        <v>1</v>
      </c>
      <c r="N2116" s="2">
        <v>0.5</v>
      </c>
      <c r="O2116" s="2">
        <v>0.5</v>
      </c>
      <c r="P2116">
        <v>21</v>
      </c>
      <c r="Q2116">
        <v>10</v>
      </c>
      <c r="R2116">
        <v>5</v>
      </c>
      <c r="S2116">
        <v>7</v>
      </c>
      <c r="T2116">
        <v>10</v>
      </c>
      <c r="U2116">
        <v>20</v>
      </c>
      <c r="V2116">
        <v>1</v>
      </c>
      <c r="W2116">
        <v>3</v>
      </c>
      <c r="X2116">
        <v>0</v>
      </c>
      <c r="Y2116">
        <v>0</v>
      </c>
      <c r="Z2116">
        <v>0</v>
      </c>
    </row>
    <row r="2117" spans="1:26" x14ac:dyDescent="0.2">
      <c r="A2117" t="s">
        <v>2235</v>
      </c>
      <c r="B2117" t="s">
        <v>44</v>
      </c>
      <c r="C2117">
        <v>2014</v>
      </c>
      <c r="D2117" t="s">
        <v>42</v>
      </c>
      <c r="E2117" t="s">
        <v>26</v>
      </c>
      <c r="F2117" t="s">
        <v>38</v>
      </c>
      <c r="G2117">
        <v>42918</v>
      </c>
      <c r="H2117">
        <v>34334.400000000001</v>
      </c>
      <c r="I2117" s="13">
        <v>0.5</v>
      </c>
      <c r="J2117" t="s">
        <v>6207</v>
      </c>
      <c r="K2117">
        <v>0</v>
      </c>
      <c r="L2117">
        <v>2</v>
      </c>
      <c r="M2117" t="s">
        <v>1</v>
      </c>
      <c r="N2117" s="2">
        <v>0.48</v>
      </c>
      <c r="O2117" s="2">
        <v>0.52</v>
      </c>
      <c r="P2117">
        <v>16</v>
      </c>
      <c r="Q2117">
        <v>14</v>
      </c>
      <c r="R2117">
        <v>9</v>
      </c>
      <c r="S2117">
        <v>5</v>
      </c>
      <c r="T2117">
        <v>13</v>
      </c>
      <c r="U2117">
        <v>11</v>
      </c>
      <c r="V2117">
        <v>1</v>
      </c>
      <c r="W2117">
        <v>1</v>
      </c>
      <c r="X2117">
        <v>0</v>
      </c>
      <c r="Y2117">
        <v>0</v>
      </c>
      <c r="Z2117">
        <v>0</v>
      </c>
    </row>
    <row r="2118" spans="1:26" x14ac:dyDescent="0.2">
      <c r="A2118" t="s">
        <v>2236</v>
      </c>
      <c r="B2118" t="s">
        <v>77</v>
      </c>
      <c r="C2118">
        <v>2014</v>
      </c>
      <c r="D2118" t="s">
        <v>64</v>
      </c>
      <c r="E2118" t="s">
        <v>73</v>
      </c>
      <c r="F2118" t="s">
        <v>64</v>
      </c>
      <c r="G2118">
        <v>52264</v>
      </c>
      <c r="H2118">
        <v>41811.200000000004</v>
      </c>
      <c r="I2118" s="13">
        <v>0.5</v>
      </c>
      <c r="J2118" t="s">
        <v>6207</v>
      </c>
      <c r="K2118">
        <v>1</v>
      </c>
      <c r="L2118">
        <v>2</v>
      </c>
      <c r="M2118" t="s">
        <v>1</v>
      </c>
      <c r="N2118" s="2">
        <v>0.57999999999999996</v>
      </c>
      <c r="O2118" s="2">
        <v>0.42</v>
      </c>
      <c r="P2118">
        <v>11</v>
      </c>
      <c r="Q2118">
        <v>9</v>
      </c>
      <c r="R2118">
        <v>9</v>
      </c>
      <c r="S2118">
        <v>0</v>
      </c>
      <c r="T2118">
        <v>9</v>
      </c>
      <c r="U2118">
        <v>8</v>
      </c>
      <c r="V2118">
        <v>0</v>
      </c>
      <c r="W2118">
        <v>2</v>
      </c>
      <c r="X2118">
        <v>0</v>
      </c>
      <c r="Y2118">
        <v>0</v>
      </c>
      <c r="Z2118">
        <v>0</v>
      </c>
    </row>
    <row r="2119" spans="1:26" x14ac:dyDescent="0.2">
      <c r="A2119" t="s">
        <v>2237</v>
      </c>
      <c r="B2119" t="s">
        <v>32</v>
      </c>
      <c r="C2119">
        <v>2014</v>
      </c>
      <c r="D2119" t="s">
        <v>23</v>
      </c>
      <c r="E2119" t="s">
        <v>19</v>
      </c>
      <c r="F2119" t="s">
        <v>20</v>
      </c>
      <c r="G2119">
        <v>62500</v>
      </c>
      <c r="H2119">
        <v>50000</v>
      </c>
      <c r="I2119" s="13">
        <v>0.75</v>
      </c>
      <c r="J2119" t="s">
        <v>6207</v>
      </c>
      <c r="K2119">
        <v>3</v>
      </c>
      <c r="L2119">
        <v>0</v>
      </c>
      <c r="M2119" t="s">
        <v>0</v>
      </c>
      <c r="N2119" s="2">
        <v>0.54</v>
      </c>
      <c r="O2119" s="2">
        <v>0.46</v>
      </c>
      <c r="P2119">
        <v>15</v>
      </c>
      <c r="Q2119">
        <v>6</v>
      </c>
      <c r="R2119">
        <v>4</v>
      </c>
      <c r="S2119">
        <v>7</v>
      </c>
      <c r="T2119">
        <v>5</v>
      </c>
      <c r="U2119">
        <v>14</v>
      </c>
      <c r="V2119">
        <v>1</v>
      </c>
      <c r="W2119">
        <v>3</v>
      </c>
      <c r="X2119">
        <v>0</v>
      </c>
      <c r="Y2119">
        <v>0</v>
      </c>
      <c r="Z2119">
        <v>0</v>
      </c>
    </row>
    <row r="2120" spans="1:26" x14ac:dyDescent="0.2">
      <c r="A2120" t="s">
        <v>2238</v>
      </c>
      <c r="B2120" t="s">
        <v>41</v>
      </c>
      <c r="C2120">
        <v>2014</v>
      </c>
      <c r="D2120" t="s">
        <v>40</v>
      </c>
      <c r="E2120" t="s">
        <v>46</v>
      </c>
      <c r="F2120" t="s">
        <v>49</v>
      </c>
      <c r="G2120">
        <v>53400</v>
      </c>
      <c r="H2120">
        <v>42720</v>
      </c>
      <c r="I2120" s="13">
        <v>0.83333333333333337</v>
      </c>
      <c r="J2120" t="s">
        <v>6207</v>
      </c>
      <c r="K2120">
        <v>0</v>
      </c>
      <c r="L2120">
        <v>2</v>
      </c>
      <c r="M2120" t="s">
        <v>1</v>
      </c>
      <c r="N2120" s="2">
        <v>0.65</v>
      </c>
      <c r="O2120" s="2">
        <v>0.35</v>
      </c>
      <c r="P2120">
        <v>5</v>
      </c>
      <c r="Q2120">
        <v>13</v>
      </c>
      <c r="R2120">
        <v>16</v>
      </c>
      <c r="S2120">
        <v>3</v>
      </c>
      <c r="T2120">
        <v>12</v>
      </c>
      <c r="U2120">
        <v>5</v>
      </c>
      <c r="V2120">
        <v>3</v>
      </c>
      <c r="W2120">
        <v>3</v>
      </c>
      <c r="X2120">
        <v>0</v>
      </c>
      <c r="Y2120">
        <v>0</v>
      </c>
      <c r="Z2120">
        <v>1</v>
      </c>
    </row>
    <row r="2121" spans="1:26" x14ac:dyDescent="0.2">
      <c r="A2121" t="s">
        <v>2239</v>
      </c>
      <c r="B2121" t="s">
        <v>66</v>
      </c>
      <c r="C2121">
        <v>2014</v>
      </c>
      <c r="D2121" t="s">
        <v>45</v>
      </c>
      <c r="E2121" t="s">
        <v>63</v>
      </c>
      <c r="F2121" t="s">
        <v>26</v>
      </c>
      <c r="G2121">
        <v>39572</v>
      </c>
      <c r="H2121">
        <v>31657.600000000002</v>
      </c>
      <c r="I2121" s="13">
        <v>0.4</v>
      </c>
      <c r="J2121" t="s">
        <v>6207</v>
      </c>
      <c r="K2121">
        <v>0</v>
      </c>
      <c r="L2121">
        <v>0</v>
      </c>
      <c r="M2121" t="s">
        <v>58</v>
      </c>
      <c r="N2121" s="2">
        <v>0.69</v>
      </c>
      <c r="O2121" s="2">
        <v>0.31</v>
      </c>
      <c r="P2121">
        <v>14</v>
      </c>
      <c r="Q2121">
        <v>15</v>
      </c>
      <c r="R2121">
        <v>8</v>
      </c>
      <c r="S2121">
        <v>1</v>
      </c>
      <c r="T2121">
        <v>11</v>
      </c>
      <c r="U2121">
        <v>12</v>
      </c>
      <c r="V2121">
        <v>3</v>
      </c>
      <c r="W2121">
        <v>2</v>
      </c>
      <c r="X2121">
        <v>0</v>
      </c>
      <c r="Y2121">
        <v>0</v>
      </c>
      <c r="Z2121">
        <v>1</v>
      </c>
    </row>
    <row r="2122" spans="1:26" x14ac:dyDescent="0.2">
      <c r="A2122" t="s">
        <v>2240</v>
      </c>
      <c r="B2122" t="s">
        <v>52</v>
      </c>
      <c r="C2122">
        <v>2014</v>
      </c>
      <c r="D2122" t="s">
        <v>19</v>
      </c>
      <c r="E2122" t="s">
        <v>64</v>
      </c>
      <c r="F2122" t="s">
        <v>19</v>
      </c>
      <c r="G2122">
        <v>25586</v>
      </c>
      <c r="H2122">
        <v>20468.800000000003</v>
      </c>
      <c r="I2122" s="13">
        <v>0.6</v>
      </c>
      <c r="J2122" t="s">
        <v>6207</v>
      </c>
      <c r="K2122">
        <v>0</v>
      </c>
      <c r="L2122">
        <v>3</v>
      </c>
      <c r="M2122" t="s">
        <v>1</v>
      </c>
      <c r="N2122" s="2">
        <v>0.53</v>
      </c>
      <c r="O2122" s="2">
        <v>0.47</v>
      </c>
      <c r="P2122">
        <v>13</v>
      </c>
      <c r="Q2122">
        <v>19</v>
      </c>
      <c r="R2122">
        <v>3</v>
      </c>
      <c r="S2122">
        <v>3</v>
      </c>
      <c r="T2122">
        <v>15</v>
      </c>
      <c r="U2122">
        <v>13</v>
      </c>
      <c r="V2122">
        <v>4</v>
      </c>
      <c r="W2122">
        <v>1</v>
      </c>
      <c r="X2122">
        <v>0</v>
      </c>
      <c r="Y2122">
        <v>0</v>
      </c>
      <c r="Z2122">
        <v>0</v>
      </c>
    </row>
    <row r="2123" spans="1:26" x14ac:dyDescent="0.2">
      <c r="A2123" t="s">
        <v>2241</v>
      </c>
      <c r="B2123" t="s">
        <v>60</v>
      </c>
      <c r="C2123">
        <v>2014</v>
      </c>
      <c r="D2123" t="s">
        <v>63</v>
      </c>
      <c r="E2123" t="s">
        <v>51</v>
      </c>
      <c r="F2123" t="s">
        <v>65</v>
      </c>
      <c r="G2123">
        <v>26804</v>
      </c>
      <c r="H2123">
        <v>21443.200000000001</v>
      </c>
      <c r="I2123" s="13">
        <v>1</v>
      </c>
      <c r="J2123" t="s">
        <v>6208</v>
      </c>
      <c r="K2123">
        <v>0</v>
      </c>
      <c r="L2123">
        <v>3</v>
      </c>
      <c r="M2123" t="s">
        <v>1</v>
      </c>
      <c r="N2123" s="2">
        <v>0.37</v>
      </c>
      <c r="O2123" s="2">
        <v>0.63</v>
      </c>
      <c r="P2123">
        <v>14</v>
      </c>
      <c r="Q2123">
        <v>7</v>
      </c>
      <c r="R2123">
        <v>6</v>
      </c>
      <c r="S2123">
        <v>3</v>
      </c>
      <c r="T2123">
        <v>8</v>
      </c>
      <c r="U2123">
        <v>13</v>
      </c>
      <c r="V2123">
        <v>2</v>
      </c>
      <c r="W2123">
        <v>1</v>
      </c>
      <c r="X2123">
        <v>0</v>
      </c>
      <c r="Y2123">
        <v>0</v>
      </c>
      <c r="Z2123">
        <v>1</v>
      </c>
    </row>
    <row r="2124" spans="1:26" x14ac:dyDescent="0.2">
      <c r="A2124" t="s">
        <v>2242</v>
      </c>
      <c r="B2124" t="s">
        <v>50</v>
      </c>
      <c r="C2124">
        <v>2014</v>
      </c>
      <c r="D2124" t="s">
        <v>35</v>
      </c>
      <c r="E2124" t="s">
        <v>28</v>
      </c>
      <c r="F2124" t="s">
        <v>35</v>
      </c>
      <c r="G2124">
        <v>49000</v>
      </c>
      <c r="H2124">
        <v>39200</v>
      </c>
      <c r="I2124" s="13">
        <v>0.5</v>
      </c>
      <c r="J2124" t="s">
        <v>6207</v>
      </c>
      <c r="K2124">
        <v>2</v>
      </c>
      <c r="L2124">
        <v>0</v>
      </c>
      <c r="M2124" t="s">
        <v>0</v>
      </c>
      <c r="N2124" s="2">
        <v>0.49</v>
      </c>
      <c r="O2124" s="2">
        <v>0.51</v>
      </c>
      <c r="P2124">
        <v>13</v>
      </c>
      <c r="Q2124">
        <v>15</v>
      </c>
      <c r="R2124">
        <v>6</v>
      </c>
      <c r="S2124">
        <v>3</v>
      </c>
      <c r="T2124">
        <v>12</v>
      </c>
      <c r="U2124">
        <v>12</v>
      </c>
      <c r="V2124">
        <v>3</v>
      </c>
      <c r="W2124">
        <v>1</v>
      </c>
      <c r="X2124">
        <v>0</v>
      </c>
      <c r="Y2124">
        <v>0</v>
      </c>
      <c r="Z2124">
        <v>0</v>
      </c>
    </row>
    <row r="2125" spans="1:26" x14ac:dyDescent="0.2">
      <c r="A2125" t="s">
        <v>2243</v>
      </c>
      <c r="B2125" t="s">
        <v>41</v>
      </c>
      <c r="C2125">
        <v>2014</v>
      </c>
      <c r="D2125" t="s">
        <v>27</v>
      </c>
      <c r="E2125" t="s">
        <v>70</v>
      </c>
      <c r="F2125" t="s">
        <v>27</v>
      </c>
      <c r="G2125">
        <v>30089</v>
      </c>
      <c r="H2125">
        <v>24071.200000000001</v>
      </c>
      <c r="I2125" s="13">
        <v>0.75</v>
      </c>
      <c r="J2125" t="s">
        <v>6207</v>
      </c>
      <c r="K2125">
        <v>3</v>
      </c>
      <c r="L2125">
        <v>1</v>
      </c>
      <c r="M2125" t="s">
        <v>0</v>
      </c>
      <c r="N2125" s="2">
        <v>0.52</v>
      </c>
      <c r="O2125" s="2">
        <v>0.48</v>
      </c>
      <c r="P2125">
        <v>10</v>
      </c>
      <c r="Q2125">
        <v>13</v>
      </c>
      <c r="R2125">
        <v>3</v>
      </c>
      <c r="S2125">
        <v>5</v>
      </c>
      <c r="T2125">
        <v>11</v>
      </c>
      <c r="U2125">
        <v>12</v>
      </c>
      <c r="V2125">
        <v>2</v>
      </c>
      <c r="W2125">
        <v>2</v>
      </c>
      <c r="X2125">
        <v>0</v>
      </c>
      <c r="Y2125">
        <v>0</v>
      </c>
      <c r="Z2125">
        <v>0</v>
      </c>
    </row>
    <row r="2126" spans="1:26" x14ac:dyDescent="0.2">
      <c r="A2126" t="s">
        <v>2244</v>
      </c>
      <c r="B2126" t="s">
        <v>32</v>
      </c>
      <c r="C2126">
        <v>2014</v>
      </c>
      <c r="D2126" t="s">
        <v>48</v>
      </c>
      <c r="E2126" t="s">
        <v>80</v>
      </c>
      <c r="F2126" t="s">
        <v>49</v>
      </c>
      <c r="G2126">
        <v>74197</v>
      </c>
      <c r="H2126">
        <v>59357.600000000006</v>
      </c>
      <c r="I2126" s="13">
        <v>0</v>
      </c>
      <c r="J2126" t="s">
        <v>6207</v>
      </c>
      <c r="K2126">
        <v>3</v>
      </c>
      <c r="L2126">
        <v>1</v>
      </c>
      <c r="M2126" t="s">
        <v>0</v>
      </c>
      <c r="N2126" s="2">
        <v>0.72</v>
      </c>
      <c r="O2126" s="2">
        <v>0.28000000000000003</v>
      </c>
      <c r="P2126">
        <v>13</v>
      </c>
      <c r="Q2126">
        <v>12</v>
      </c>
      <c r="R2126">
        <v>4</v>
      </c>
      <c r="S2126">
        <v>3</v>
      </c>
      <c r="T2126">
        <v>8</v>
      </c>
      <c r="U2126">
        <v>12</v>
      </c>
      <c r="V2126">
        <v>0</v>
      </c>
      <c r="W2126">
        <v>1</v>
      </c>
      <c r="X2126">
        <v>0</v>
      </c>
      <c r="Y2126">
        <v>0</v>
      </c>
      <c r="Z2126">
        <v>0</v>
      </c>
    </row>
    <row r="2127" spans="1:26" x14ac:dyDescent="0.2">
      <c r="A2127" t="s">
        <v>2245</v>
      </c>
      <c r="B2127" t="s">
        <v>37</v>
      </c>
      <c r="C2127">
        <v>2014</v>
      </c>
      <c r="D2127" t="s">
        <v>26</v>
      </c>
      <c r="E2127" t="s">
        <v>23</v>
      </c>
      <c r="F2127" t="s">
        <v>26</v>
      </c>
      <c r="G2127">
        <v>61276</v>
      </c>
      <c r="H2127">
        <v>49020.800000000003</v>
      </c>
      <c r="I2127" s="13">
        <v>0</v>
      </c>
      <c r="J2127" t="s">
        <v>6206</v>
      </c>
      <c r="K2127">
        <v>2</v>
      </c>
      <c r="L2127">
        <v>0</v>
      </c>
      <c r="M2127" t="s">
        <v>0</v>
      </c>
      <c r="N2127" s="2">
        <v>0.67</v>
      </c>
      <c r="O2127" s="2">
        <v>0.33</v>
      </c>
      <c r="P2127">
        <v>13</v>
      </c>
      <c r="Q2127">
        <v>13</v>
      </c>
      <c r="R2127">
        <v>5</v>
      </c>
      <c r="S2127">
        <v>7</v>
      </c>
      <c r="T2127">
        <v>12</v>
      </c>
      <c r="U2127">
        <v>12</v>
      </c>
      <c r="V2127">
        <v>1</v>
      </c>
      <c r="W2127">
        <v>1</v>
      </c>
      <c r="X2127">
        <v>0</v>
      </c>
      <c r="Y2127">
        <v>0</v>
      </c>
      <c r="Z2127">
        <v>0</v>
      </c>
    </row>
    <row r="2128" spans="1:26" x14ac:dyDescent="0.2">
      <c r="A2128" t="s">
        <v>2246</v>
      </c>
      <c r="B2128" t="s">
        <v>74</v>
      </c>
      <c r="C2128">
        <v>2014</v>
      </c>
      <c r="D2128" t="s">
        <v>79</v>
      </c>
      <c r="E2128" t="s">
        <v>45</v>
      </c>
      <c r="F2128" t="s">
        <v>20</v>
      </c>
      <c r="G2128">
        <v>25486</v>
      </c>
      <c r="H2128">
        <v>20388.800000000003</v>
      </c>
      <c r="I2128" s="13">
        <v>0.66666666666666663</v>
      </c>
      <c r="J2128" t="s">
        <v>6208</v>
      </c>
      <c r="K2128">
        <v>0</v>
      </c>
      <c r="L2128">
        <v>1</v>
      </c>
      <c r="M2128" t="s">
        <v>1</v>
      </c>
      <c r="N2128" s="2">
        <v>0.55000000000000004</v>
      </c>
      <c r="O2128" s="2">
        <v>0.45</v>
      </c>
      <c r="P2128">
        <v>14</v>
      </c>
      <c r="Q2128">
        <v>12</v>
      </c>
      <c r="R2128">
        <v>6</v>
      </c>
      <c r="S2128">
        <v>1</v>
      </c>
      <c r="T2128">
        <v>12</v>
      </c>
      <c r="U2128">
        <v>14</v>
      </c>
      <c r="V2128">
        <v>0</v>
      </c>
      <c r="W2128">
        <v>3</v>
      </c>
      <c r="X2128">
        <v>0</v>
      </c>
      <c r="Y2128">
        <v>0</v>
      </c>
      <c r="Z2128">
        <v>0</v>
      </c>
    </row>
    <row r="2129" spans="1:26" x14ac:dyDescent="0.2">
      <c r="A2129" t="s">
        <v>2247</v>
      </c>
      <c r="B2129" t="s">
        <v>44</v>
      </c>
      <c r="C2129">
        <v>2014</v>
      </c>
      <c r="D2129" t="s">
        <v>18</v>
      </c>
      <c r="E2129" t="s">
        <v>40</v>
      </c>
      <c r="F2129" t="s">
        <v>20</v>
      </c>
      <c r="G2129">
        <v>40341</v>
      </c>
      <c r="H2129">
        <v>32272.800000000003</v>
      </c>
      <c r="I2129" s="13">
        <v>1</v>
      </c>
      <c r="J2129" t="s">
        <v>6207</v>
      </c>
      <c r="K2129">
        <v>1</v>
      </c>
      <c r="L2129">
        <v>1</v>
      </c>
      <c r="M2129" t="s">
        <v>58</v>
      </c>
      <c r="N2129" s="2">
        <v>0.43</v>
      </c>
      <c r="O2129" s="2">
        <v>0.56999999999999995</v>
      </c>
      <c r="P2129">
        <v>17</v>
      </c>
      <c r="Q2129">
        <v>14</v>
      </c>
      <c r="R2129">
        <v>1</v>
      </c>
      <c r="S2129">
        <v>8</v>
      </c>
      <c r="T2129">
        <v>12</v>
      </c>
      <c r="U2129">
        <v>14</v>
      </c>
      <c r="V2129">
        <v>0</v>
      </c>
      <c r="W2129">
        <v>2</v>
      </c>
      <c r="X2129">
        <v>0</v>
      </c>
      <c r="Y2129">
        <v>0</v>
      </c>
      <c r="Z2129">
        <v>0</v>
      </c>
    </row>
    <row r="2130" spans="1:26" x14ac:dyDescent="0.2">
      <c r="A2130" t="s">
        <v>2248</v>
      </c>
      <c r="B2130" t="s">
        <v>61</v>
      </c>
      <c r="C2130">
        <v>2014</v>
      </c>
      <c r="D2130" t="s">
        <v>46</v>
      </c>
      <c r="E2130" t="s">
        <v>42</v>
      </c>
      <c r="F2130" t="s">
        <v>20</v>
      </c>
      <c r="G2130">
        <v>60704</v>
      </c>
      <c r="H2130">
        <v>48563.200000000004</v>
      </c>
      <c r="I2130" s="13">
        <v>1</v>
      </c>
      <c r="J2130" t="s">
        <v>6207</v>
      </c>
      <c r="K2130">
        <v>5</v>
      </c>
      <c r="L2130">
        <v>0</v>
      </c>
      <c r="M2130" t="s">
        <v>0</v>
      </c>
      <c r="N2130" s="2">
        <v>0.48</v>
      </c>
      <c r="O2130" s="2">
        <v>0.52</v>
      </c>
      <c r="P2130">
        <v>9</v>
      </c>
      <c r="Q2130">
        <v>8</v>
      </c>
      <c r="R2130">
        <v>7</v>
      </c>
      <c r="S2130">
        <v>7</v>
      </c>
      <c r="T2130">
        <v>6</v>
      </c>
      <c r="U2130">
        <v>10</v>
      </c>
      <c r="V2130">
        <v>0</v>
      </c>
      <c r="W2130">
        <v>2</v>
      </c>
      <c r="X2130">
        <v>0</v>
      </c>
      <c r="Y2130">
        <v>0</v>
      </c>
      <c r="Z2130">
        <v>1</v>
      </c>
    </row>
    <row r="2131" spans="1:26" x14ac:dyDescent="0.2">
      <c r="A2131" t="s">
        <v>2249</v>
      </c>
      <c r="B2131" t="s">
        <v>66</v>
      </c>
      <c r="C2131">
        <v>2014</v>
      </c>
      <c r="D2131" t="s">
        <v>73</v>
      </c>
      <c r="E2131" t="s">
        <v>71</v>
      </c>
      <c r="F2131" t="s">
        <v>73</v>
      </c>
      <c r="G2131">
        <v>32384</v>
      </c>
      <c r="H2131">
        <v>25907.200000000001</v>
      </c>
      <c r="I2131" s="13">
        <v>0.33333333333333331</v>
      </c>
      <c r="J2131" t="s">
        <v>6207</v>
      </c>
      <c r="K2131">
        <v>0</v>
      </c>
      <c r="L2131">
        <v>1</v>
      </c>
      <c r="M2131" t="s">
        <v>1</v>
      </c>
      <c r="N2131" s="2">
        <v>0.64</v>
      </c>
      <c r="O2131" s="2">
        <v>0.36</v>
      </c>
      <c r="P2131">
        <v>12</v>
      </c>
      <c r="Q2131">
        <v>9</v>
      </c>
      <c r="R2131">
        <v>9</v>
      </c>
      <c r="S2131">
        <v>0</v>
      </c>
      <c r="T2131">
        <v>11</v>
      </c>
      <c r="U2131">
        <v>9</v>
      </c>
      <c r="V2131">
        <v>1</v>
      </c>
      <c r="W2131">
        <v>1</v>
      </c>
      <c r="X2131">
        <v>1</v>
      </c>
      <c r="Y2131">
        <v>0</v>
      </c>
      <c r="Z2131">
        <v>0</v>
      </c>
    </row>
    <row r="2132" spans="1:26" x14ac:dyDescent="0.2">
      <c r="A2132" t="s">
        <v>2250</v>
      </c>
      <c r="B2132" t="s">
        <v>32</v>
      </c>
      <c r="C2132">
        <v>2014</v>
      </c>
      <c r="D2132" t="s">
        <v>51</v>
      </c>
      <c r="E2132" t="s">
        <v>46</v>
      </c>
      <c r="F2132" t="s">
        <v>20</v>
      </c>
      <c r="G2132">
        <v>36284</v>
      </c>
      <c r="H2132">
        <v>29027.200000000001</v>
      </c>
      <c r="I2132" s="13">
        <v>0.5</v>
      </c>
      <c r="J2132" t="s">
        <v>6207</v>
      </c>
      <c r="K2132">
        <v>2</v>
      </c>
      <c r="L2132">
        <v>1</v>
      </c>
      <c r="M2132" t="s">
        <v>0</v>
      </c>
      <c r="N2132" s="2">
        <v>0.56000000000000005</v>
      </c>
      <c r="O2132" s="2">
        <v>0.44</v>
      </c>
      <c r="P2132">
        <v>14</v>
      </c>
      <c r="Q2132">
        <v>14</v>
      </c>
      <c r="R2132">
        <v>10</v>
      </c>
      <c r="S2132">
        <v>3</v>
      </c>
      <c r="T2132">
        <v>8</v>
      </c>
      <c r="U2132">
        <v>12</v>
      </c>
      <c r="V2132">
        <v>3</v>
      </c>
      <c r="W2132">
        <v>5</v>
      </c>
      <c r="X2132">
        <v>0</v>
      </c>
      <c r="Y2132">
        <v>0</v>
      </c>
      <c r="Z2132">
        <v>0</v>
      </c>
    </row>
    <row r="2133" spans="1:26" x14ac:dyDescent="0.2">
      <c r="A2133" t="s">
        <v>2251</v>
      </c>
      <c r="B2133" t="s">
        <v>52</v>
      </c>
      <c r="C2133">
        <v>2014</v>
      </c>
      <c r="D2133" t="s">
        <v>71</v>
      </c>
      <c r="E2133" t="s">
        <v>35</v>
      </c>
      <c r="F2133" t="s">
        <v>71</v>
      </c>
      <c r="G2133">
        <v>21088</v>
      </c>
      <c r="H2133">
        <v>16870.400000000001</v>
      </c>
      <c r="I2133" s="13">
        <v>0.2857142857142857</v>
      </c>
      <c r="J2133" t="s">
        <v>6207</v>
      </c>
      <c r="K2133">
        <v>1</v>
      </c>
      <c r="L2133">
        <v>1</v>
      </c>
      <c r="M2133" t="s">
        <v>58</v>
      </c>
      <c r="N2133" s="2">
        <v>0.6</v>
      </c>
      <c r="O2133" s="2">
        <v>0.4</v>
      </c>
      <c r="P2133">
        <v>12</v>
      </c>
      <c r="Q2133">
        <v>11</v>
      </c>
      <c r="R2133">
        <v>7</v>
      </c>
      <c r="S2133">
        <v>1</v>
      </c>
      <c r="T2133">
        <v>11</v>
      </c>
      <c r="U2133">
        <v>13</v>
      </c>
      <c r="V2133">
        <v>3</v>
      </c>
      <c r="W2133">
        <v>4</v>
      </c>
      <c r="X2133">
        <v>0</v>
      </c>
      <c r="Y2133">
        <v>0</v>
      </c>
      <c r="Z2133">
        <v>0</v>
      </c>
    </row>
    <row r="2134" spans="1:26" x14ac:dyDescent="0.2">
      <c r="A2134" t="s">
        <v>2252</v>
      </c>
      <c r="B2134" t="s">
        <v>74</v>
      </c>
      <c r="C2134">
        <v>2014</v>
      </c>
      <c r="D2134" t="s">
        <v>70</v>
      </c>
      <c r="E2134" t="s">
        <v>73</v>
      </c>
      <c r="F2134" t="s">
        <v>20</v>
      </c>
      <c r="G2134">
        <v>18439</v>
      </c>
      <c r="H2134">
        <v>14751.2</v>
      </c>
      <c r="I2134" s="13">
        <v>0.25</v>
      </c>
      <c r="J2134" t="s">
        <v>6208</v>
      </c>
      <c r="K2134">
        <v>0</v>
      </c>
      <c r="L2134">
        <v>1</v>
      </c>
      <c r="M2134" t="s">
        <v>1</v>
      </c>
      <c r="N2134" s="2">
        <v>0.45</v>
      </c>
      <c r="O2134" s="2">
        <v>0.55000000000000004</v>
      </c>
      <c r="P2134">
        <v>19</v>
      </c>
      <c r="Q2134">
        <v>14</v>
      </c>
      <c r="R2134">
        <v>3</v>
      </c>
      <c r="S2134">
        <v>4</v>
      </c>
      <c r="T2134">
        <v>13</v>
      </c>
      <c r="U2134">
        <v>16</v>
      </c>
      <c r="V2134">
        <v>2</v>
      </c>
      <c r="W2134">
        <v>2</v>
      </c>
      <c r="X2134">
        <v>0</v>
      </c>
      <c r="Y2134">
        <v>0</v>
      </c>
      <c r="Z2134">
        <v>0</v>
      </c>
    </row>
    <row r="2135" spans="1:26" x14ac:dyDescent="0.2">
      <c r="A2135" t="s">
        <v>2253</v>
      </c>
      <c r="B2135" t="s">
        <v>68</v>
      </c>
      <c r="C2135">
        <v>2014</v>
      </c>
      <c r="D2135" t="s">
        <v>40</v>
      </c>
      <c r="E2135" t="s">
        <v>19</v>
      </c>
      <c r="F2135" t="s">
        <v>49</v>
      </c>
      <c r="G2135">
        <v>53400</v>
      </c>
      <c r="H2135">
        <v>42720</v>
      </c>
      <c r="I2135" s="13">
        <v>0.5</v>
      </c>
      <c r="J2135" t="s">
        <v>6207</v>
      </c>
      <c r="K2135">
        <v>1</v>
      </c>
      <c r="L2135">
        <v>1</v>
      </c>
      <c r="M2135" t="s">
        <v>58</v>
      </c>
      <c r="N2135" s="2">
        <v>0.74</v>
      </c>
      <c r="O2135" s="2">
        <v>0.26</v>
      </c>
      <c r="P2135">
        <v>6</v>
      </c>
      <c r="Q2135">
        <v>11</v>
      </c>
      <c r="R2135">
        <v>13</v>
      </c>
      <c r="S2135">
        <v>1</v>
      </c>
      <c r="T2135">
        <v>9</v>
      </c>
      <c r="U2135">
        <v>8</v>
      </c>
      <c r="V2135">
        <v>2</v>
      </c>
      <c r="W2135">
        <v>4</v>
      </c>
      <c r="X2135">
        <v>0</v>
      </c>
      <c r="Y2135">
        <v>0</v>
      </c>
      <c r="Z2135">
        <v>0</v>
      </c>
    </row>
    <row r="2136" spans="1:26" x14ac:dyDescent="0.2">
      <c r="A2136" t="s">
        <v>2254</v>
      </c>
      <c r="B2136" t="s">
        <v>50</v>
      </c>
      <c r="C2136">
        <v>2014</v>
      </c>
      <c r="D2136" t="s">
        <v>80</v>
      </c>
      <c r="E2136" t="s">
        <v>79</v>
      </c>
      <c r="F2136" t="s">
        <v>80</v>
      </c>
      <c r="G2136">
        <v>32261</v>
      </c>
      <c r="H2136">
        <v>25808.800000000003</v>
      </c>
      <c r="I2136" s="13">
        <v>0.4</v>
      </c>
      <c r="J2136" t="s">
        <v>6207</v>
      </c>
      <c r="K2136">
        <v>0</v>
      </c>
      <c r="L2136">
        <v>1</v>
      </c>
      <c r="M2136" t="s">
        <v>1</v>
      </c>
      <c r="N2136" s="2">
        <v>0.62</v>
      </c>
      <c r="O2136" s="2">
        <v>0.38</v>
      </c>
      <c r="P2136">
        <v>10</v>
      </c>
      <c r="Q2136">
        <v>13</v>
      </c>
      <c r="R2136">
        <v>8</v>
      </c>
      <c r="S2136">
        <v>6</v>
      </c>
      <c r="T2136">
        <v>15</v>
      </c>
      <c r="U2136">
        <v>6</v>
      </c>
      <c r="V2136">
        <v>4</v>
      </c>
      <c r="W2136">
        <v>1</v>
      </c>
      <c r="X2136">
        <v>0</v>
      </c>
      <c r="Y2136">
        <v>0</v>
      </c>
      <c r="Z2136">
        <v>0</v>
      </c>
    </row>
    <row r="2137" spans="1:26" x14ac:dyDescent="0.2">
      <c r="A2137" t="s">
        <v>2255</v>
      </c>
      <c r="B2137" t="s">
        <v>67</v>
      </c>
      <c r="C2137">
        <v>2014</v>
      </c>
      <c r="D2137" t="s">
        <v>42</v>
      </c>
      <c r="E2137" t="s">
        <v>18</v>
      </c>
      <c r="F2137" t="s">
        <v>38</v>
      </c>
      <c r="G2137">
        <v>42918</v>
      </c>
      <c r="H2137">
        <v>34334.400000000001</v>
      </c>
      <c r="I2137" s="13">
        <v>0.6</v>
      </c>
      <c r="J2137" t="s">
        <v>6207</v>
      </c>
      <c r="K2137">
        <v>1</v>
      </c>
      <c r="L2137">
        <v>2</v>
      </c>
      <c r="M2137" t="s">
        <v>1</v>
      </c>
      <c r="N2137" s="2">
        <v>0.51</v>
      </c>
      <c r="O2137" s="2">
        <v>0.49</v>
      </c>
      <c r="P2137">
        <v>11</v>
      </c>
      <c r="Q2137">
        <v>10</v>
      </c>
      <c r="R2137">
        <v>7</v>
      </c>
      <c r="S2137">
        <v>7</v>
      </c>
      <c r="T2137">
        <v>8</v>
      </c>
      <c r="U2137">
        <v>7</v>
      </c>
      <c r="V2137">
        <v>3</v>
      </c>
      <c r="W2137">
        <v>2</v>
      </c>
      <c r="X2137">
        <v>0</v>
      </c>
      <c r="Y2137">
        <v>0</v>
      </c>
      <c r="Z2137">
        <v>0</v>
      </c>
    </row>
    <row r="2138" spans="1:26" x14ac:dyDescent="0.2">
      <c r="A2138" t="s">
        <v>2256</v>
      </c>
      <c r="B2138" t="s">
        <v>61</v>
      </c>
      <c r="C2138">
        <v>2014</v>
      </c>
      <c r="D2138" t="s">
        <v>45</v>
      </c>
      <c r="E2138" t="s">
        <v>26</v>
      </c>
      <c r="F2138" t="s">
        <v>26</v>
      </c>
      <c r="G2138">
        <v>39572</v>
      </c>
      <c r="H2138">
        <v>31657.600000000002</v>
      </c>
      <c r="I2138" s="13">
        <v>0.6</v>
      </c>
      <c r="J2138" t="s">
        <v>6207</v>
      </c>
      <c r="K2138">
        <v>0</v>
      </c>
      <c r="L2138">
        <v>0</v>
      </c>
      <c r="M2138" t="s">
        <v>58</v>
      </c>
      <c r="N2138" s="2">
        <v>0.45</v>
      </c>
      <c r="O2138" s="2">
        <v>0.55000000000000004</v>
      </c>
      <c r="P2138">
        <v>8</v>
      </c>
      <c r="Q2138">
        <v>15</v>
      </c>
      <c r="R2138">
        <v>3</v>
      </c>
      <c r="S2138">
        <v>6</v>
      </c>
      <c r="T2138">
        <v>11</v>
      </c>
      <c r="U2138">
        <v>7</v>
      </c>
      <c r="V2138">
        <v>4</v>
      </c>
      <c r="W2138">
        <v>1</v>
      </c>
      <c r="X2138">
        <v>0</v>
      </c>
      <c r="Y2138">
        <v>0</v>
      </c>
      <c r="Z2138">
        <v>0</v>
      </c>
    </row>
    <row r="2139" spans="1:26" x14ac:dyDescent="0.2">
      <c r="A2139" t="s">
        <v>2257</v>
      </c>
      <c r="B2139" t="s">
        <v>41</v>
      </c>
      <c r="C2139">
        <v>2014</v>
      </c>
      <c r="D2139" t="s">
        <v>28</v>
      </c>
      <c r="E2139" t="s">
        <v>63</v>
      </c>
      <c r="F2139" t="s">
        <v>28</v>
      </c>
      <c r="G2139">
        <v>21944</v>
      </c>
      <c r="H2139">
        <v>17555.2</v>
      </c>
      <c r="I2139" s="13">
        <v>0.5</v>
      </c>
      <c r="J2139" t="s">
        <v>6207</v>
      </c>
      <c r="K2139">
        <v>2</v>
      </c>
      <c r="L2139">
        <v>2</v>
      </c>
      <c r="M2139" t="s">
        <v>58</v>
      </c>
      <c r="N2139" s="2">
        <v>0.56000000000000005</v>
      </c>
      <c r="O2139" s="2">
        <v>0.44</v>
      </c>
      <c r="P2139">
        <v>17</v>
      </c>
      <c r="Q2139">
        <v>13</v>
      </c>
      <c r="R2139">
        <v>5</v>
      </c>
      <c r="S2139">
        <v>6</v>
      </c>
      <c r="T2139">
        <v>10</v>
      </c>
      <c r="U2139">
        <v>15</v>
      </c>
      <c r="V2139">
        <v>0</v>
      </c>
      <c r="W2139">
        <v>4</v>
      </c>
      <c r="X2139">
        <v>0</v>
      </c>
      <c r="Y2139">
        <v>0</v>
      </c>
      <c r="Z2139">
        <v>0</v>
      </c>
    </row>
    <row r="2140" spans="1:26" x14ac:dyDescent="0.2">
      <c r="A2140" t="s">
        <v>2258</v>
      </c>
      <c r="B2140" t="s">
        <v>60</v>
      </c>
      <c r="C2140">
        <v>2014</v>
      </c>
      <c r="D2140" t="s">
        <v>64</v>
      </c>
      <c r="E2140" t="s">
        <v>27</v>
      </c>
      <c r="F2140" t="s">
        <v>64</v>
      </c>
      <c r="G2140">
        <v>52264</v>
      </c>
      <c r="H2140">
        <v>41811.200000000004</v>
      </c>
      <c r="I2140" s="13">
        <v>0.83333333333333337</v>
      </c>
      <c r="J2140" t="s">
        <v>6208</v>
      </c>
      <c r="K2140">
        <v>1</v>
      </c>
      <c r="L2140">
        <v>1</v>
      </c>
      <c r="M2140" t="s">
        <v>58</v>
      </c>
      <c r="N2140" s="2">
        <v>0.42</v>
      </c>
      <c r="O2140" s="2">
        <v>0.57999999999999996</v>
      </c>
      <c r="P2140">
        <v>17</v>
      </c>
      <c r="Q2140">
        <v>16</v>
      </c>
      <c r="R2140">
        <v>5</v>
      </c>
      <c r="S2140">
        <v>8</v>
      </c>
      <c r="T2140">
        <v>14</v>
      </c>
      <c r="U2140">
        <v>17</v>
      </c>
      <c r="V2140">
        <v>2</v>
      </c>
      <c r="W2140">
        <v>4</v>
      </c>
      <c r="X2140">
        <v>0</v>
      </c>
      <c r="Y2140">
        <v>0</v>
      </c>
      <c r="Z2140">
        <v>0</v>
      </c>
    </row>
    <row r="2141" spans="1:26" x14ac:dyDescent="0.2">
      <c r="A2141" t="s">
        <v>2259</v>
      </c>
      <c r="B2141" t="s">
        <v>44</v>
      </c>
      <c r="C2141">
        <v>2014</v>
      </c>
      <c r="D2141" t="s">
        <v>23</v>
      </c>
      <c r="E2141" t="s">
        <v>48</v>
      </c>
      <c r="F2141" t="s">
        <v>20</v>
      </c>
      <c r="G2141">
        <v>62500</v>
      </c>
      <c r="H2141">
        <v>50000</v>
      </c>
      <c r="I2141" s="13">
        <v>0.5</v>
      </c>
      <c r="J2141" t="s">
        <v>6207</v>
      </c>
      <c r="K2141">
        <v>1</v>
      </c>
      <c r="L2141">
        <v>1</v>
      </c>
      <c r="M2141" t="s">
        <v>58</v>
      </c>
      <c r="N2141" s="2">
        <v>0.41</v>
      </c>
      <c r="O2141" s="2">
        <v>0.59</v>
      </c>
      <c r="P2141">
        <v>14</v>
      </c>
      <c r="Q2141">
        <v>7</v>
      </c>
      <c r="R2141">
        <v>9</v>
      </c>
      <c r="S2141">
        <v>9</v>
      </c>
      <c r="T2141">
        <v>7</v>
      </c>
      <c r="U2141">
        <v>13</v>
      </c>
      <c r="V2141">
        <v>2</v>
      </c>
      <c r="W2141">
        <v>3</v>
      </c>
      <c r="X2141">
        <v>0</v>
      </c>
      <c r="Y2141">
        <v>1</v>
      </c>
      <c r="Z2141">
        <v>0</v>
      </c>
    </row>
    <row r="2142" spans="1:26" x14ac:dyDescent="0.2">
      <c r="A2142" t="s">
        <v>2260</v>
      </c>
      <c r="B2142" t="s">
        <v>32</v>
      </c>
      <c r="C2142">
        <v>2014</v>
      </c>
      <c r="D2142" t="s">
        <v>35</v>
      </c>
      <c r="E2142" t="s">
        <v>70</v>
      </c>
      <c r="F2142" t="s">
        <v>35</v>
      </c>
      <c r="G2142">
        <v>49000</v>
      </c>
      <c r="H2142">
        <v>39200</v>
      </c>
      <c r="I2142" s="13">
        <v>0.4</v>
      </c>
      <c r="J2142" t="s">
        <v>6207</v>
      </c>
      <c r="K2142">
        <v>0</v>
      </c>
      <c r="L2142">
        <v>2</v>
      </c>
      <c r="M2142" t="s">
        <v>1</v>
      </c>
      <c r="N2142" s="2">
        <v>0.52</v>
      </c>
      <c r="O2142" s="2">
        <v>0.48</v>
      </c>
      <c r="P2142">
        <v>14</v>
      </c>
      <c r="Q2142">
        <v>9</v>
      </c>
      <c r="R2142">
        <v>8</v>
      </c>
      <c r="S2142">
        <v>4</v>
      </c>
      <c r="T2142">
        <v>8</v>
      </c>
      <c r="U2142">
        <v>12</v>
      </c>
      <c r="V2142">
        <v>2</v>
      </c>
      <c r="W2142">
        <v>3</v>
      </c>
      <c r="X2142">
        <v>0</v>
      </c>
      <c r="Y2142">
        <v>0</v>
      </c>
      <c r="Z2142">
        <v>0</v>
      </c>
    </row>
    <row r="2143" spans="1:26" x14ac:dyDescent="0.2">
      <c r="A2143" t="s">
        <v>2261</v>
      </c>
      <c r="B2143" t="s">
        <v>66</v>
      </c>
      <c r="C2143">
        <v>2014</v>
      </c>
      <c r="D2143" t="s">
        <v>19</v>
      </c>
      <c r="E2143" t="s">
        <v>42</v>
      </c>
      <c r="F2143" t="s">
        <v>19</v>
      </c>
      <c r="G2143">
        <v>25586</v>
      </c>
      <c r="H2143">
        <v>20468.800000000003</v>
      </c>
      <c r="I2143" s="13">
        <v>0</v>
      </c>
      <c r="J2143" t="s">
        <v>6207</v>
      </c>
      <c r="K2143">
        <v>2</v>
      </c>
      <c r="L2143">
        <v>0</v>
      </c>
      <c r="M2143" t="s">
        <v>0</v>
      </c>
      <c r="N2143" s="2">
        <v>0.38</v>
      </c>
      <c r="O2143" s="2">
        <v>0.62</v>
      </c>
      <c r="P2143">
        <v>12</v>
      </c>
      <c r="Q2143">
        <v>17</v>
      </c>
      <c r="R2143">
        <v>3</v>
      </c>
      <c r="S2143">
        <v>7</v>
      </c>
      <c r="T2143">
        <v>16</v>
      </c>
      <c r="U2143">
        <v>11</v>
      </c>
      <c r="V2143">
        <v>1</v>
      </c>
      <c r="W2143">
        <v>2</v>
      </c>
      <c r="X2143">
        <v>0</v>
      </c>
      <c r="Y2143">
        <v>0</v>
      </c>
      <c r="Z2143">
        <v>0</v>
      </c>
    </row>
    <row r="2144" spans="1:26" x14ac:dyDescent="0.2">
      <c r="A2144" t="s">
        <v>2262</v>
      </c>
      <c r="B2144" t="s">
        <v>53</v>
      </c>
      <c r="C2144">
        <v>2014</v>
      </c>
      <c r="D2144" t="s">
        <v>46</v>
      </c>
      <c r="E2144" t="s">
        <v>80</v>
      </c>
      <c r="F2144" t="s">
        <v>20</v>
      </c>
      <c r="G2144">
        <v>60704</v>
      </c>
      <c r="H2144">
        <v>48563.200000000004</v>
      </c>
      <c r="I2144" s="13">
        <v>0.75</v>
      </c>
      <c r="J2144" t="s">
        <v>6207</v>
      </c>
      <c r="K2144">
        <v>2</v>
      </c>
      <c r="L2144">
        <v>1</v>
      </c>
      <c r="M2144" t="s">
        <v>0</v>
      </c>
      <c r="N2144" s="2">
        <v>0.56999999999999995</v>
      </c>
      <c r="O2144" s="2">
        <v>0.43</v>
      </c>
      <c r="P2144">
        <v>16</v>
      </c>
      <c r="Q2144">
        <v>13</v>
      </c>
      <c r="R2144">
        <v>6</v>
      </c>
      <c r="S2144">
        <v>6</v>
      </c>
      <c r="T2144">
        <v>13</v>
      </c>
      <c r="U2144">
        <v>14</v>
      </c>
      <c r="V2144">
        <v>2</v>
      </c>
      <c r="W2144">
        <v>2</v>
      </c>
      <c r="X2144">
        <v>0</v>
      </c>
      <c r="Y2144">
        <v>0</v>
      </c>
      <c r="Z2144">
        <v>0</v>
      </c>
    </row>
    <row r="2145" spans="1:26" x14ac:dyDescent="0.2">
      <c r="A2145" t="s">
        <v>2263</v>
      </c>
      <c r="B2145" t="s">
        <v>52</v>
      </c>
      <c r="C2145">
        <v>2014</v>
      </c>
      <c r="D2145" t="s">
        <v>26</v>
      </c>
      <c r="E2145" t="s">
        <v>51</v>
      </c>
      <c r="F2145" t="s">
        <v>26</v>
      </c>
      <c r="G2145">
        <v>61276</v>
      </c>
      <c r="H2145">
        <v>49020.800000000003</v>
      </c>
      <c r="I2145" s="13">
        <v>0.55555555555555558</v>
      </c>
      <c r="J2145" t="s">
        <v>6207</v>
      </c>
      <c r="K2145">
        <v>3</v>
      </c>
      <c r="L2145">
        <v>2</v>
      </c>
      <c r="M2145" t="s">
        <v>0</v>
      </c>
      <c r="N2145" s="2">
        <v>0.5</v>
      </c>
      <c r="O2145" s="2">
        <v>0.5</v>
      </c>
      <c r="P2145">
        <v>16</v>
      </c>
      <c r="Q2145">
        <v>13</v>
      </c>
      <c r="R2145">
        <v>5</v>
      </c>
      <c r="S2145">
        <v>7</v>
      </c>
      <c r="T2145">
        <v>13</v>
      </c>
      <c r="U2145">
        <v>17</v>
      </c>
      <c r="V2145">
        <v>3</v>
      </c>
      <c r="W2145">
        <v>6</v>
      </c>
      <c r="X2145">
        <v>0</v>
      </c>
      <c r="Y2145">
        <v>0</v>
      </c>
      <c r="Z2145">
        <v>1</v>
      </c>
    </row>
    <row r="2146" spans="1:26" x14ac:dyDescent="0.2">
      <c r="A2146" t="s">
        <v>2264</v>
      </c>
      <c r="B2146" t="s">
        <v>50</v>
      </c>
      <c r="C2146">
        <v>2014</v>
      </c>
      <c r="D2146" t="s">
        <v>27</v>
      </c>
      <c r="E2146" t="s">
        <v>40</v>
      </c>
      <c r="F2146" t="s">
        <v>27</v>
      </c>
      <c r="G2146">
        <v>30089</v>
      </c>
      <c r="H2146">
        <v>24071.200000000001</v>
      </c>
      <c r="I2146" s="13">
        <v>0.66666666666666663</v>
      </c>
      <c r="J2146" t="s">
        <v>6207</v>
      </c>
      <c r="K2146">
        <v>1</v>
      </c>
      <c r="L2146">
        <v>4</v>
      </c>
      <c r="M2146" t="s">
        <v>1</v>
      </c>
      <c r="N2146" s="2">
        <v>0.51</v>
      </c>
      <c r="O2146" s="2">
        <v>0.49</v>
      </c>
      <c r="P2146">
        <v>13</v>
      </c>
      <c r="Q2146">
        <v>7</v>
      </c>
      <c r="R2146">
        <v>3</v>
      </c>
      <c r="S2146">
        <v>2</v>
      </c>
      <c r="T2146">
        <v>6</v>
      </c>
      <c r="U2146">
        <v>11</v>
      </c>
      <c r="V2146">
        <v>1</v>
      </c>
      <c r="W2146">
        <v>2</v>
      </c>
      <c r="X2146">
        <v>0</v>
      </c>
      <c r="Y2146">
        <v>0</v>
      </c>
      <c r="Z2146">
        <v>1</v>
      </c>
    </row>
    <row r="2147" spans="1:26" x14ac:dyDescent="0.2">
      <c r="A2147" t="s">
        <v>2265</v>
      </c>
      <c r="B2147" t="s">
        <v>76</v>
      </c>
      <c r="C2147">
        <v>2014</v>
      </c>
      <c r="D2147" t="s">
        <v>73</v>
      </c>
      <c r="E2147" t="s">
        <v>23</v>
      </c>
      <c r="F2147" t="s">
        <v>73</v>
      </c>
      <c r="G2147">
        <v>32384</v>
      </c>
      <c r="H2147">
        <v>25907.200000000001</v>
      </c>
      <c r="I2147" s="13">
        <v>0.75</v>
      </c>
      <c r="J2147" t="s">
        <v>6207</v>
      </c>
      <c r="K2147">
        <v>0</v>
      </c>
      <c r="L2147">
        <v>0</v>
      </c>
      <c r="M2147" t="s">
        <v>58</v>
      </c>
      <c r="N2147" s="2">
        <v>0.68</v>
      </c>
      <c r="O2147" s="2">
        <v>0.32</v>
      </c>
      <c r="P2147">
        <v>9</v>
      </c>
      <c r="Q2147">
        <v>15</v>
      </c>
      <c r="R2147">
        <v>8</v>
      </c>
      <c r="S2147">
        <v>2</v>
      </c>
      <c r="T2147">
        <v>12</v>
      </c>
      <c r="U2147">
        <v>11</v>
      </c>
      <c r="V2147">
        <v>2</v>
      </c>
      <c r="W2147">
        <v>1</v>
      </c>
      <c r="X2147">
        <v>0</v>
      </c>
      <c r="Y2147">
        <v>1</v>
      </c>
      <c r="Z2147">
        <v>0</v>
      </c>
    </row>
    <row r="2148" spans="1:26" x14ac:dyDescent="0.2">
      <c r="A2148" t="s">
        <v>2266</v>
      </c>
      <c r="B2148" t="s">
        <v>60</v>
      </c>
      <c r="C2148">
        <v>2014</v>
      </c>
      <c r="D2148" t="s">
        <v>48</v>
      </c>
      <c r="E2148" t="s">
        <v>28</v>
      </c>
      <c r="F2148" t="s">
        <v>49</v>
      </c>
      <c r="G2148">
        <v>74197</v>
      </c>
      <c r="H2148">
        <v>59357.600000000006</v>
      </c>
      <c r="I2148" s="13">
        <v>0.42857142857142855</v>
      </c>
      <c r="J2148" t="s">
        <v>6208</v>
      </c>
      <c r="K2148">
        <v>3</v>
      </c>
      <c r="L2148">
        <v>1</v>
      </c>
      <c r="M2148" t="s">
        <v>0</v>
      </c>
      <c r="N2148" s="2">
        <v>0.56999999999999995</v>
      </c>
      <c r="O2148" s="2">
        <v>0.43</v>
      </c>
      <c r="P2148">
        <v>7</v>
      </c>
      <c r="Q2148">
        <v>17</v>
      </c>
      <c r="R2148">
        <v>5</v>
      </c>
      <c r="S2148">
        <v>8</v>
      </c>
      <c r="T2148">
        <v>15</v>
      </c>
      <c r="U2148">
        <v>8</v>
      </c>
      <c r="V2148">
        <v>4</v>
      </c>
      <c r="W2148">
        <v>3</v>
      </c>
      <c r="X2148">
        <v>0</v>
      </c>
      <c r="Y2148">
        <v>0</v>
      </c>
      <c r="Z2148">
        <v>1</v>
      </c>
    </row>
    <row r="2149" spans="1:26" x14ac:dyDescent="0.2">
      <c r="A2149" t="s">
        <v>2267</v>
      </c>
      <c r="B2149" t="s">
        <v>68</v>
      </c>
      <c r="C2149">
        <v>2014</v>
      </c>
      <c r="D2149" t="s">
        <v>18</v>
      </c>
      <c r="E2149" t="s">
        <v>45</v>
      </c>
      <c r="F2149" t="s">
        <v>20</v>
      </c>
      <c r="G2149">
        <v>40341</v>
      </c>
      <c r="H2149">
        <v>32272.800000000003</v>
      </c>
      <c r="I2149" s="13">
        <v>0.75</v>
      </c>
      <c r="J2149" t="s">
        <v>6207</v>
      </c>
      <c r="K2149">
        <v>1</v>
      </c>
      <c r="L2149">
        <v>0</v>
      </c>
      <c r="M2149" t="s">
        <v>0</v>
      </c>
      <c r="N2149" s="2">
        <v>0.56000000000000005</v>
      </c>
      <c r="O2149" s="2">
        <v>0.44</v>
      </c>
      <c r="P2149">
        <v>14</v>
      </c>
      <c r="Q2149">
        <v>10</v>
      </c>
      <c r="R2149">
        <v>10</v>
      </c>
      <c r="S2149">
        <v>2</v>
      </c>
      <c r="T2149">
        <v>8</v>
      </c>
      <c r="U2149">
        <v>13</v>
      </c>
      <c r="V2149">
        <v>3</v>
      </c>
      <c r="W2149">
        <v>4</v>
      </c>
      <c r="X2149">
        <v>0</v>
      </c>
      <c r="Y2149">
        <v>1</v>
      </c>
      <c r="Z2149">
        <v>0</v>
      </c>
    </row>
    <row r="2150" spans="1:26" x14ac:dyDescent="0.2">
      <c r="A2150" t="s">
        <v>2268</v>
      </c>
      <c r="B2150" t="s">
        <v>77</v>
      </c>
      <c r="C2150">
        <v>2014</v>
      </c>
      <c r="D2150" t="s">
        <v>63</v>
      </c>
      <c r="E2150" t="s">
        <v>71</v>
      </c>
      <c r="F2150" t="s">
        <v>65</v>
      </c>
      <c r="G2150">
        <v>26804</v>
      </c>
      <c r="H2150">
        <v>21443.200000000001</v>
      </c>
      <c r="I2150" s="13">
        <v>0.33333333333333331</v>
      </c>
      <c r="J2150" t="s">
        <v>6207</v>
      </c>
      <c r="K2150">
        <v>2</v>
      </c>
      <c r="L2150">
        <v>0</v>
      </c>
      <c r="M2150" t="s">
        <v>0</v>
      </c>
      <c r="N2150" s="2">
        <v>0.35</v>
      </c>
      <c r="O2150" s="2">
        <v>0.65</v>
      </c>
      <c r="P2150">
        <v>13</v>
      </c>
      <c r="Q2150">
        <v>11</v>
      </c>
      <c r="R2150">
        <v>5</v>
      </c>
      <c r="S2150">
        <v>4</v>
      </c>
      <c r="T2150">
        <v>11</v>
      </c>
      <c r="U2150">
        <v>12</v>
      </c>
      <c r="V2150">
        <v>2</v>
      </c>
      <c r="W2150">
        <v>1</v>
      </c>
      <c r="X2150">
        <v>0</v>
      </c>
      <c r="Y2150">
        <v>0</v>
      </c>
      <c r="Z2150">
        <v>0</v>
      </c>
    </row>
    <row r="2151" spans="1:26" x14ac:dyDescent="0.2">
      <c r="A2151" t="s">
        <v>2269</v>
      </c>
      <c r="B2151" t="s">
        <v>37</v>
      </c>
      <c r="C2151">
        <v>2014</v>
      </c>
      <c r="D2151" t="s">
        <v>79</v>
      </c>
      <c r="E2151" t="s">
        <v>64</v>
      </c>
      <c r="F2151" t="s">
        <v>20</v>
      </c>
      <c r="G2151">
        <v>25486</v>
      </c>
      <c r="H2151">
        <v>20388.800000000003</v>
      </c>
      <c r="I2151" s="13">
        <v>0.33333333333333331</v>
      </c>
      <c r="J2151" t="s">
        <v>6206</v>
      </c>
      <c r="K2151">
        <v>1</v>
      </c>
      <c r="L2151">
        <v>1</v>
      </c>
      <c r="M2151" t="s">
        <v>58</v>
      </c>
      <c r="N2151" s="2">
        <v>0.54</v>
      </c>
      <c r="O2151" s="2">
        <v>0.46</v>
      </c>
      <c r="P2151">
        <v>11</v>
      </c>
      <c r="Q2151">
        <v>16</v>
      </c>
      <c r="R2151">
        <v>5</v>
      </c>
      <c r="S2151">
        <v>2</v>
      </c>
      <c r="T2151">
        <v>10</v>
      </c>
      <c r="U2151">
        <v>11</v>
      </c>
      <c r="V2151">
        <v>1</v>
      </c>
      <c r="W2151">
        <v>2</v>
      </c>
      <c r="X2151">
        <v>0</v>
      </c>
      <c r="Y2151">
        <v>0</v>
      </c>
      <c r="Z2151">
        <v>0</v>
      </c>
    </row>
    <row r="2152" spans="1:26" x14ac:dyDescent="0.2">
      <c r="A2152" t="s">
        <v>2270</v>
      </c>
      <c r="B2152" t="s">
        <v>67</v>
      </c>
      <c r="C2152">
        <v>2014</v>
      </c>
      <c r="D2152" t="s">
        <v>71</v>
      </c>
      <c r="E2152" t="s">
        <v>48</v>
      </c>
      <c r="F2152" t="s">
        <v>71</v>
      </c>
      <c r="G2152">
        <v>21088</v>
      </c>
      <c r="H2152">
        <v>16870.400000000001</v>
      </c>
      <c r="I2152" s="13">
        <v>0.33333333333333331</v>
      </c>
      <c r="J2152" t="s">
        <v>6207</v>
      </c>
      <c r="K2152">
        <v>2</v>
      </c>
      <c r="L2152">
        <v>1</v>
      </c>
      <c r="M2152" t="s">
        <v>0</v>
      </c>
      <c r="N2152" s="2">
        <v>0.36</v>
      </c>
      <c r="O2152" s="2">
        <v>0.64</v>
      </c>
      <c r="P2152">
        <v>14</v>
      </c>
      <c r="Q2152">
        <v>7</v>
      </c>
      <c r="R2152">
        <v>4</v>
      </c>
      <c r="S2152">
        <v>10</v>
      </c>
      <c r="T2152">
        <v>6</v>
      </c>
      <c r="U2152">
        <v>15</v>
      </c>
      <c r="V2152">
        <v>2</v>
      </c>
      <c r="W2152">
        <v>4</v>
      </c>
      <c r="X2152">
        <v>0</v>
      </c>
      <c r="Y2152">
        <v>0</v>
      </c>
      <c r="Z2152">
        <v>0</v>
      </c>
    </row>
    <row r="2153" spans="1:26" x14ac:dyDescent="0.2">
      <c r="A2153" t="s">
        <v>2271</v>
      </c>
      <c r="B2153" t="s">
        <v>53</v>
      </c>
      <c r="C2153">
        <v>2014</v>
      </c>
      <c r="D2153" t="s">
        <v>35</v>
      </c>
      <c r="E2153" t="s">
        <v>63</v>
      </c>
      <c r="F2153" t="s">
        <v>35</v>
      </c>
      <c r="G2153">
        <v>49000</v>
      </c>
      <c r="H2153">
        <v>39200</v>
      </c>
      <c r="I2153" s="13">
        <v>0.33333333333333331</v>
      </c>
      <c r="J2153" t="s">
        <v>6207</v>
      </c>
      <c r="K2153">
        <v>0</v>
      </c>
      <c r="L2153">
        <v>0</v>
      </c>
      <c r="M2153" t="s">
        <v>58</v>
      </c>
      <c r="N2153" s="2">
        <v>0.62</v>
      </c>
      <c r="O2153" s="2">
        <v>0.38</v>
      </c>
      <c r="P2153">
        <v>14</v>
      </c>
      <c r="Q2153">
        <v>14</v>
      </c>
      <c r="R2153">
        <v>11</v>
      </c>
      <c r="S2153">
        <v>2</v>
      </c>
      <c r="T2153">
        <v>11</v>
      </c>
      <c r="U2153">
        <v>12</v>
      </c>
      <c r="V2153">
        <v>1</v>
      </c>
      <c r="W2153">
        <v>2</v>
      </c>
      <c r="X2153">
        <v>0</v>
      </c>
      <c r="Y2153">
        <v>0</v>
      </c>
      <c r="Z2153">
        <v>0</v>
      </c>
    </row>
    <row r="2154" spans="1:26" x14ac:dyDescent="0.2">
      <c r="A2154" t="s">
        <v>2272</v>
      </c>
      <c r="B2154" t="s">
        <v>61</v>
      </c>
      <c r="C2154">
        <v>2014</v>
      </c>
      <c r="D2154" t="s">
        <v>19</v>
      </c>
      <c r="E2154" t="s">
        <v>70</v>
      </c>
      <c r="F2154" t="s">
        <v>19</v>
      </c>
      <c r="G2154">
        <v>25586</v>
      </c>
      <c r="H2154">
        <v>20468.800000000003</v>
      </c>
      <c r="I2154" s="13">
        <v>0.2</v>
      </c>
      <c r="J2154" t="s">
        <v>6207</v>
      </c>
      <c r="K2154">
        <v>2</v>
      </c>
      <c r="L2154">
        <v>1</v>
      </c>
      <c r="M2154" t="s">
        <v>0</v>
      </c>
      <c r="N2154" s="2">
        <v>0.54</v>
      </c>
      <c r="O2154" s="2">
        <v>0.46</v>
      </c>
      <c r="P2154">
        <v>19</v>
      </c>
      <c r="Q2154">
        <v>26</v>
      </c>
      <c r="R2154">
        <v>5</v>
      </c>
      <c r="S2154">
        <v>7</v>
      </c>
      <c r="T2154">
        <v>18</v>
      </c>
      <c r="U2154">
        <v>16</v>
      </c>
      <c r="V2154">
        <v>0</v>
      </c>
      <c r="W2154">
        <v>4</v>
      </c>
      <c r="X2154">
        <v>0</v>
      </c>
      <c r="Y2154">
        <v>1</v>
      </c>
      <c r="Z2154">
        <v>0</v>
      </c>
    </row>
    <row r="2155" spans="1:26" x14ac:dyDescent="0.2">
      <c r="A2155" t="s">
        <v>2273</v>
      </c>
      <c r="B2155" t="s">
        <v>44</v>
      </c>
      <c r="C2155">
        <v>2014</v>
      </c>
      <c r="D2155" t="s">
        <v>79</v>
      </c>
      <c r="E2155" t="s">
        <v>46</v>
      </c>
      <c r="F2155" t="s">
        <v>20</v>
      </c>
      <c r="G2155">
        <v>25486</v>
      </c>
      <c r="H2155">
        <v>20388.800000000003</v>
      </c>
      <c r="I2155" s="13">
        <v>0.5</v>
      </c>
      <c r="J2155" t="s">
        <v>6207</v>
      </c>
      <c r="K2155">
        <v>1</v>
      </c>
      <c r="L2155">
        <v>2</v>
      </c>
      <c r="M2155" t="s">
        <v>1</v>
      </c>
      <c r="N2155" s="2">
        <v>0.53</v>
      </c>
      <c r="O2155" s="2">
        <v>0.47</v>
      </c>
      <c r="P2155">
        <v>18</v>
      </c>
      <c r="Q2155">
        <v>16</v>
      </c>
      <c r="R2155">
        <v>10</v>
      </c>
      <c r="S2155">
        <v>1</v>
      </c>
      <c r="T2155">
        <v>15</v>
      </c>
      <c r="U2155">
        <v>14</v>
      </c>
      <c r="V2155">
        <v>1</v>
      </c>
      <c r="W2155">
        <v>3</v>
      </c>
      <c r="X2155">
        <v>0</v>
      </c>
      <c r="Y2155">
        <v>0</v>
      </c>
      <c r="Z2155">
        <v>1</v>
      </c>
    </row>
    <row r="2156" spans="1:26" x14ac:dyDescent="0.2">
      <c r="A2156" t="s">
        <v>2274</v>
      </c>
      <c r="B2156" t="s">
        <v>32</v>
      </c>
      <c r="C2156">
        <v>2014</v>
      </c>
      <c r="D2156" t="s">
        <v>18</v>
      </c>
      <c r="E2156" t="s">
        <v>28</v>
      </c>
      <c r="F2156" t="s">
        <v>20</v>
      </c>
      <c r="G2156">
        <v>40341</v>
      </c>
      <c r="H2156">
        <v>32272.800000000003</v>
      </c>
      <c r="I2156" s="13">
        <v>0.5</v>
      </c>
      <c r="J2156" t="s">
        <v>6207</v>
      </c>
      <c r="K2156">
        <v>1</v>
      </c>
      <c r="L2156">
        <v>1</v>
      </c>
      <c r="M2156" t="s">
        <v>58</v>
      </c>
      <c r="N2156" s="2">
        <v>0.61</v>
      </c>
      <c r="O2156" s="2">
        <v>0.39</v>
      </c>
      <c r="P2156">
        <v>11</v>
      </c>
      <c r="Q2156">
        <v>12</v>
      </c>
      <c r="R2156">
        <v>7</v>
      </c>
      <c r="S2156">
        <v>7</v>
      </c>
      <c r="T2156">
        <v>9</v>
      </c>
      <c r="U2156">
        <v>9</v>
      </c>
      <c r="V2156">
        <v>1</v>
      </c>
      <c r="W2156">
        <v>2</v>
      </c>
      <c r="X2156">
        <v>1</v>
      </c>
      <c r="Y2156">
        <v>0</v>
      </c>
      <c r="Z2156">
        <v>0</v>
      </c>
    </row>
    <row r="2157" spans="1:26" x14ac:dyDescent="0.2">
      <c r="A2157" t="s">
        <v>2275</v>
      </c>
      <c r="B2157" t="s">
        <v>74</v>
      </c>
      <c r="C2157">
        <v>2014</v>
      </c>
      <c r="D2157" t="s">
        <v>42</v>
      </c>
      <c r="E2157" t="s">
        <v>27</v>
      </c>
      <c r="F2157" t="s">
        <v>38</v>
      </c>
      <c r="G2157">
        <v>42918</v>
      </c>
      <c r="H2157">
        <v>34334.400000000001</v>
      </c>
      <c r="I2157" s="13">
        <v>0.83333333333333337</v>
      </c>
      <c r="J2157" t="s">
        <v>6208</v>
      </c>
      <c r="K2157">
        <v>1</v>
      </c>
      <c r="L2157">
        <v>2</v>
      </c>
      <c r="M2157" t="s">
        <v>1</v>
      </c>
      <c r="N2157" s="2">
        <v>0.52</v>
      </c>
      <c r="O2157" s="2">
        <v>0.48</v>
      </c>
      <c r="P2157">
        <v>19</v>
      </c>
      <c r="Q2157">
        <v>11</v>
      </c>
      <c r="R2157">
        <v>11</v>
      </c>
      <c r="S2157">
        <v>3</v>
      </c>
      <c r="T2157">
        <v>11</v>
      </c>
      <c r="U2157">
        <v>14</v>
      </c>
      <c r="V2157">
        <v>2</v>
      </c>
      <c r="W2157">
        <v>3</v>
      </c>
      <c r="X2157">
        <v>1</v>
      </c>
      <c r="Y2157">
        <v>0</v>
      </c>
      <c r="Z2157">
        <v>1</v>
      </c>
    </row>
    <row r="2158" spans="1:26" x14ac:dyDescent="0.2">
      <c r="A2158" t="s">
        <v>2276</v>
      </c>
      <c r="B2158" t="s">
        <v>25</v>
      </c>
      <c r="C2158">
        <v>2014</v>
      </c>
      <c r="D2158" t="s">
        <v>40</v>
      </c>
      <c r="E2158" t="s">
        <v>64</v>
      </c>
      <c r="F2158" t="s">
        <v>49</v>
      </c>
      <c r="G2158">
        <v>53400</v>
      </c>
      <c r="H2158">
        <v>42720</v>
      </c>
      <c r="I2158" s="13">
        <v>0.8</v>
      </c>
      <c r="J2158" t="s">
        <v>6207</v>
      </c>
      <c r="K2158">
        <v>5</v>
      </c>
      <c r="L2158">
        <v>0</v>
      </c>
      <c r="M2158" t="s">
        <v>0</v>
      </c>
      <c r="N2158" s="2">
        <v>0.56999999999999995</v>
      </c>
      <c r="O2158" s="2">
        <v>0.43</v>
      </c>
      <c r="P2158">
        <v>9</v>
      </c>
      <c r="Q2158">
        <v>10</v>
      </c>
      <c r="R2158">
        <v>7</v>
      </c>
      <c r="S2158">
        <v>3</v>
      </c>
      <c r="T2158">
        <v>9</v>
      </c>
      <c r="U2158">
        <v>8</v>
      </c>
      <c r="V2158">
        <v>3</v>
      </c>
      <c r="W2158">
        <v>2</v>
      </c>
      <c r="X2158">
        <v>0</v>
      </c>
      <c r="Y2158">
        <v>0</v>
      </c>
      <c r="Z2158">
        <v>1</v>
      </c>
    </row>
    <row r="2159" spans="1:26" x14ac:dyDescent="0.2">
      <c r="A2159" t="s">
        <v>2277</v>
      </c>
      <c r="B2159" t="s">
        <v>68</v>
      </c>
      <c r="C2159">
        <v>2014</v>
      </c>
      <c r="D2159" t="s">
        <v>51</v>
      </c>
      <c r="E2159" t="s">
        <v>23</v>
      </c>
      <c r="F2159" t="s">
        <v>20</v>
      </c>
      <c r="G2159">
        <v>36284</v>
      </c>
      <c r="H2159">
        <v>29027.200000000001</v>
      </c>
      <c r="I2159" s="13">
        <v>0</v>
      </c>
      <c r="J2159" t="s">
        <v>6207</v>
      </c>
      <c r="K2159">
        <v>2</v>
      </c>
      <c r="L2159">
        <v>2</v>
      </c>
      <c r="M2159" t="s">
        <v>58</v>
      </c>
      <c r="N2159" s="2">
        <v>0.65</v>
      </c>
      <c r="O2159" s="2">
        <v>0.35</v>
      </c>
      <c r="P2159">
        <v>16</v>
      </c>
      <c r="Q2159">
        <v>8</v>
      </c>
      <c r="R2159">
        <v>7</v>
      </c>
      <c r="S2159">
        <v>9</v>
      </c>
      <c r="T2159">
        <v>6</v>
      </c>
      <c r="U2159">
        <v>12</v>
      </c>
      <c r="V2159">
        <v>0</v>
      </c>
      <c r="W2159">
        <v>2</v>
      </c>
      <c r="X2159">
        <v>0</v>
      </c>
      <c r="Y2159">
        <v>0</v>
      </c>
      <c r="Z2159">
        <v>1</v>
      </c>
    </row>
    <row r="2160" spans="1:26" x14ac:dyDescent="0.2">
      <c r="A2160" t="s">
        <v>2278</v>
      </c>
      <c r="B2160" t="s">
        <v>52</v>
      </c>
      <c r="C2160">
        <v>2014</v>
      </c>
      <c r="D2160" t="s">
        <v>45</v>
      </c>
      <c r="E2160" t="s">
        <v>80</v>
      </c>
      <c r="F2160" t="s">
        <v>26</v>
      </c>
      <c r="G2160">
        <v>39572</v>
      </c>
      <c r="H2160">
        <v>31657.600000000002</v>
      </c>
      <c r="I2160" s="13">
        <v>1</v>
      </c>
      <c r="J2160" t="s">
        <v>6207</v>
      </c>
      <c r="K2160">
        <v>2</v>
      </c>
      <c r="L2160">
        <v>2</v>
      </c>
      <c r="M2160" t="s">
        <v>58</v>
      </c>
      <c r="N2160" s="2">
        <v>0.57999999999999996</v>
      </c>
      <c r="O2160" s="2">
        <v>0.42</v>
      </c>
      <c r="P2160">
        <v>7</v>
      </c>
      <c r="Q2160">
        <v>8</v>
      </c>
      <c r="R2160">
        <v>4</v>
      </c>
      <c r="S2160">
        <v>7</v>
      </c>
      <c r="T2160">
        <v>7</v>
      </c>
      <c r="U2160">
        <v>6</v>
      </c>
      <c r="V2160">
        <v>0</v>
      </c>
      <c r="W2160">
        <v>1</v>
      </c>
      <c r="X2160">
        <v>0</v>
      </c>
      <c r="Y2160">
        <v>0</v>
      </c>
      <c r="Z2160">
        <v>0</v>
      </c>
    </row>
    <row r="2161" spans="1:26" x14ac:dyDescent="0.2">
      <c r="A2161" t="s">
        <v>2279</v>
      </c>
      <c r="B2161" t="s">
        <v>60</v>
      </c>
      <c r="C2161">
        <v>2014</v>
      </c>
      <c r="D2161" t="s">
        <v>73</v>
      </c>
      <c r="E2161" t="s">
        <v>26</v>
      </c>
      <c r="F2161" t="s">
        <v>73</v>
      </c>
      <c r="G2161">
        <v>32384</v>
      </c>
      <c r="H2161">
        <v>25907.200000000001</v>
      </c>
      <c r="I2161" s="13">
        <v>0.8</v>
      </c>
      <c r="J2161" t="s">
        <v>6208</v>
      </c>
      <c r="K2161">
        <v>0</v>
      </c>
      <c r="L2161">
        <v>2</v>
      </c>
      <c r="M2161" t="s">
        <v>1</v>
      </c>
      <c r="N2161" s="2">
        <v>0.6</v>
      </c>
      <c r="O2161" s="2">
        <v>0.4</v>
      </c>
      <c r="P2161">
        <v>16</v>
      </c>
      <c r="Q2161">
        <v>12</v>
      </c>
      <c r="R2161">
        <v>6</v>
      </c>
      <c r="S2161">
        <v>1</v>
      </c>
      <c r="T2161">
        <v>11</v>
      </c>
      <c r="U2161">
        <v>14</v>
      </c>
      <c r="V2161">
        <v>2</v>
      </c>
      <c r="W2161">
        <v>3</v>
      </c>
      <c r="X2161">
        <v>0</v>
      </c>
      <c r="Y2161">
        <v>0</v>
      </c>
      <c r="Z2161">
        <v>0</v>
      </c>
    </row>
    <row r="2162" spans="1:26" x14ac:dyDescent="0.2">
      <c r="A2162" t="s">
        <v>2280</v>
      </c>
      <c r="B2162" t="s">
        <v>41</v>
      </c>
      <c r="C2162">
        <v>2014</v>
      </c>
      <c r="D2162" t="s">
        <v>23</v>
      </c>
      <c r="E2162" t="s">
        <v>79</v>
      </c>
      <c r="F2162" t="s">
        <v>20</v>
      </c>
      <c r="G2162">
        <v>62500</v>
      </c>
      <c r="H2162">
        <v>50000</v>
      </c>
      <c r="I2162" s="13">
        <v>0.33333333333333331</v>
      </c>
      <c r="J2162" t="s">
        <v>6207</v>
      </c>
      <c r="K2162">
        <v>1</v>
      </c>
      <c r="L2162">
        <v>3</v>
      </c>
      <c r="M2162" t="s">
        <v>1</v>
      </c>
      <c r="N2162" s="2">
        <v>0.67</v>
      </c>
      <c r="O2162" s="2">
        <v>0.33</v>
      </c>
      <c r="P2162">
        <v>24</v>
      </c>
      <c r="Q2162">
        <v>11</v>
      </c>
      <c r="R2162">
        <v>11</v>
      </c>
      <c r="S2162">
        <v>7</v>
      </c>
      <c r="T2162">
        <v>12</v>
      </c>
      <c r="U2162">
        <v>19</v>
      </c>
      <c r="V2162">
        <v>2</v>
      </c>
      <c r="W2162">
        <v>3</v>
      </c>
      <c r="X2162">
        <v>0</v>
      </c>
      <c r="Y2162">
        <v>1</v>
      </c>
      <c r="Z2162">
        <v>0</v>
      </c>
    </row>
    <row r="2163" spans="1:26" x14ac:dyDescent="0.2">
      <c r="A2163" t="s">
        <v>2281</v>
      </c>
      <c r="B2163" t="s">
        <v>52</v>
      </c>
      <c r="C2163">
        <v>2014</v>
      </c>
      <c r="D2163" t="s">
        <v>63</v>
      </c>
      <c r="E2163" t="s">
        <v>73</v>
      </c>
      <c r="F2163" t="s">
        <v>65</v>
      </c>
      <c r="G2163">
        <v>26804</v>
      </c>
      <c r="H2163">
        <v>21443.200000000001</v>
      </c>
      <c r="I2163" s="13">
        <v>0.66666666666666663</v>
      </c>
      <c r="J2163" t="s">
        <v>6207</v>
      </c>
      <c r="K2163">
        <v>1</v>
      </c>
      <c r="L2163">
        <v>0</v>
      </c>
      <c r="M2163" t="s">
        <v>0</v>
      </c>
      <c r="N2163" s="2">
        <v>0.36</v>
      </c>
      <c r="O2163" s="2">
        <v>0.64</v>
      </c>
      <c r="P2163">
        <v>18</v>
      </c>
      <c r="Q2163">
        <v>10</v>
      </c>
      <c r="R2163">
        <v>2</v>
      </c>
      <c r="S2163">
        <v>3</v>
      </c>
      <c r="T2163">
        <v>10</v>
      </c>
      <c r="U2163">
        <v>17</v>
      </c>
      <c r="V2163">
        <v>2</v>
      </c>
      <c r="W2163">
        <v>1</v>
      </c>
      <c r="X2163">
        <v>0</v>
      </c>
      <c r="Y2163">
        <v>0</v>
      </c>
      <c r="Z2163">
        <v>0</v>
      </c>
    </row>
    <row r="2164" spans="1:26" x14ac:dyDescent="0.2">
      <c r="A2164" t="s">
        <v>2282</v>
      </c>
      <c r="B2164" t="s">
        <v>67</v>
      </c>
      <c r="C2164">
        <v>2014</v>
      </c>
      <c r="D2164" t="s">
        <v>27</v>
      </c>
      <c r="E2164" t="s">
        <v>19</v>
      </c>
      <c r="F2164" t="s">
        <v>27</v>
      </c>
      <c r="G2164">
        <v>30089</v>
      </c>
      <c r="H2164">
        <v>24071.200000000001</v>
      </c>
      <c r="I2164" s="13">
        <v>0.75</v>
      </c>
      <c r="J2164" t="s">
        <v>6207</v>
      </c>
      <c r="K2164">
        <v>1</v>
      </c>
      <c r="L2164">
        <v>0</v>
      </c>
      <c r="M2164" t="s">
        <v>0</v>
      </c>
      <c r="N2164" s="2">
        <v>0.59</v>
      </c>
      <c r="O2164" s="2">
        <v>0.41</v>
      </c>
      <c r="P2164">
        <v>9</v>
      </c>
      <c r="Q2164">
        <v>10</v>
      </c>
      <c r="R2164">
        <v>5</v>
      </c>
      <c r="S2164">
        <v>2</v>
      </c>
      <c r="T2164">
        <v>9</v>
      </c>
      <c r="U2164">
        <v>10</v>
      </c>
      <c r="V2164">
        <v>2</v>
      </c>
      <c r="W2164">
        <v>2</v>
      </c>
      <c r="X2164">
        <v>0</v>
      </c>
      <c r="Y2164">
        <v>0</v>
      </c>
      <c r="Z2164">
        <v>0</v>
      </c>
    </row>
    <row r="2165" spans="1:26" x14ac:dyDescent="0.2">
      <c r="A2165" t="s">
        <v>2283</v>
      </c>
      <c r="B2165" t="s">
        <v>50</v>
      </c>
      <c r="C2165">
        <v>2014</v>
      </c>
      <c r="D2165" t="s">
        <v>64</v>
      </c>
      <c r="E2165" t="s">
        <v>42</v>
      </c>
      <c r="F2165" t="s">
        <v>64</v>
      </c>
      <c r="G2165">
        <v>52264</v>
      </c>
      <c r="H2165">
        <v>41811.200000000004</v>
      </c>
      <c r="I2165" s="13">
        <v>0.16666666666666666</v>
      </c>
      <c r="J2165" t="s">
        <v>6207</v>
      </c>
      <c r="K2165">
        <v>1</v>
      </c>
      <c r="L2165">
        <v>0</v>
      </c>
      <c r="M2165" t="s">
        <v>0</v>
      </c>
      <c r="N2165" s="2">
        <v>0.5</v>
      </c>
      <c r="O2165" s="2">
        <v>0.5</v>
      </c>
      <c r="P2165">
        <v>17</v>
      </c>
      <c r="Q2165">
        <v>6</v>
      </c>
      <c r="R2165">
        <v>9</v>
      </c>
      <c r="S2165">
        <v>5</v>
      </c>
      <c r="T2165">
        <v>6</v>
      </c>
      <c r="U2165">
        <v>16</v>
      </c>
      <c r="V2165">
        <v>1</v>
      </c>
      <c r="W2165">
        <v>5</v>
      </c>
      <c r="X2165">
        <v>0</v>
      </c>
      <c r="Y2165">
        <v>0</v>
      </c>
      <c r="Z2165">
        <v>0</v>
      </c>
    </row>
    <row r="2166" spans="1:26" x14ac:dyDescent="0.2">
      <c r="A2166" t="s">
        <v>2284</v>
      </c>
      <c r="B2166" t="s">
        <v>74</v>
      </c>
      <c r="C2166">
        <v>2014</v>
      </c>
      <c r="D2166" t="s">
        <v>48</v>
      </c>
      <c r="E2166" t="s">
        <v>35</v>
      </c>
      <c r="F2166" t="s">
        <v>49</v>
      </c>
      <c r="G2166">
        <v>74197</v>
      </c>
      <c r="H2166">
        <v>59357.600000000006</v>
      </c>
      <c r="I2166" s="13">
        <v>0.33333333333333331</v>
      </c>
      <c r="J2166" t="s">
        <v>6208</v>
      </c>
      <c r="K2166">
        <v>2</v>
      </c>
      <c r="L2166">
        <v>0</v>
      </c>
      <c r="M2166" t="s">
        <v>0</v>
      </c>
      <c r="N2166" s="2">
        <v>0.75</v>
      </c>
      <c r="O2166" s="2">
        <v>0.25</v>
      </c>
      <c r="P2166">
        <v>10</v>
      </c>
      <c r="Q2166">
        <v>7</v>
      </c>
      <c r="R2166">
        <v>13</v>
      </c>
      <c r="S2166">
        <v>1</v>
      </c>
      <c r="T2166">
        <v>6</v>
      </c>
      <c r="U2166">
        <v>11</v>
      </c>
      <c r="V2166">
        <v>1</v>
      </c>
      <c r="W2166">
        <v>1</v>
      </c>
      <c r="X2166">
        <v>0</v>
      </c>
      <c r="Y2166">
        <v>1</v>
      </c>
      <c r="Z2166">
        <v>1</v>
      </c>
    </row>
    <row r="2167" spans="1:26" x14ac:dyDescent="0.2">
      <c r="A2167" t="s">
        <v>2285</v>
      </c>
      <c r="B2167" t="s">
        <v>68</v>
      </c>
      <c r="C2167">
        <v>2014</v>
      </c>
      <c r="D2167" t="s">
        <v>28</v>
      </c>
      <c r="E2167" t="s">
        <v>71</v>
      </c>
      <c r="F2167" t="s">
        <v>28</v>
      </c>
      <c r="G2167">
        <v>21944</v>
      </c>
      <c r="H2167">
        <v>17555.2</v>
      </c>
      <c r="I2167" s="13">
        <v>0</v>
      </c>
      <c r="J2167" t="s">
        <v>6207</v>
      </c>
      <c r="K2167">
        <v>0</v>
      </c>
      <c r="L2167">
        <v>1</v>
      </c>
      <c r="M2167" t="s">
        <v>1</v>
      </c>
      <c r="N2167" s="2">
        <v>0.46</v>
      </c>
      <c r="O2167" s="2">
        <v>0.54</v>
      </c>
      <c r="P2167">
        <v>10</v>
      </c>
      <c r="Q2167">
        <v>15</v>
      </c>
      <c r="R2167">
        <v>6</v>
      </c>
      <c r="S2167">
        <v>4</v>
      </c>
      <c r="T2167">
        <v>14</v>
      </c>
      <c r="U2167">
        <v>8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1:26" x14ac:dyDescent="0.2">
      <c r="A2168" t="s">
        <v>2286</v>
      </c>
      <c r="B2168" t="s">
        <v>44</v>
      </c>
      <c r="C2168">
        <v>2014</v>
      </c>
      <c r="D2168" t="s">
        <v>26</v>
      </c>
      <c r="E2168" t="s">
        <v>40</v>
      </c>
      <c r="F2168" t="s">
        <v>26</v>
      </c>
      <c r="G2168">
        <v>61276</v>
      </c>
      <c r="H2168">
        <v>49020.800000000003</v>
      </c>
      <c r="I2168" s="13">
        <v>0.5</v>
      </c>
      <c r="J2168" t="s">
        <v>6207</v>
      </c>
      <c r="K2168">
        <v>2</v>
      </c>
      <c r="L2168">
        <v>1</v>
      </c>
      <c r="M2168" t="s">
        <v>0</v>
      </c>
      <c r="N2168" s="2">
        <v>0.48</v>
      </c>
      <c r="O2168" s="2">
        <v>0.52</v>
      </c>
      <c r="P2168">
        <v>21</v>
      </c>
      <c r="Q2168">
        <v>11</v>
      </c>
      <c r="R2168">
        <v>3</v>
      </c>
      <c r="S2168">
        <v>0</v>
      </c>
      <c r="T2168">
        <v>8</v>
      </c>
      <c r="U2168">
        <v>16</v>
      </c>
      <c r="V2168">
        <v>1</v>
      </c>
      <c r="W2168">
        <v>3</v>
      </c>
      <c r="X2168">
        <v>0</v>
      </c>
      <c r="Y2168">
        <v>0</v>
      </c>
      <c r="Z2168">
        <v>0</v>
      </c>
    </row>
    <row r="2169" spans="1:26" x14ac:dyDescent="0.2">
      <c r="A2169" t="s">
        <v>2287</v>
      </c>
      <c r="B2169" t="s">
        <v>37</v>
      </c>
      <c r="C2169">
        <v>2014</v>
      </c>
      <c r="D2169" t="s">
        <v>46</v>
      </c>
      <c r="E2169" t="s">
        <v>45</v>
      </c>
      <c r="F2169" t="s">
        <v>20</v>
      </c>
      <c r="G2169">
        <v>60704</v>
      </c>
      <c r="H2169">
        <v>48563.200000000004</v>
      </c>
      <c r="I2169" s="13">
        <v>1</v>
      </c>
      <c r="J2169" t="s">
        <v>6206</v>
      </c>
      <c r="K2169">
        <v>2</v>
      </c>
      <c r="L2169">
        <v>0</v>
      </c>
      <c r="M2169" t="s">
        <v>0</v>
      </c>
      <c r="N2169" s="2">
        <v>0.48</v>
      </c>
      <c r="O2169" s="2">
        <v>0.52</v>
      </c>
      <c r="P2169">
        <v>6</v>
      </c>
      <c r="Q2169">
        <v>14</v>
      </c>
      <c r="R2169">
        <v>8</v>
      </c>
      <c r="S2169">
        <v>9</v>
      </c>
      <c r="T2169">
        <v>12</v>
      </c>
      <c r="U2169">
        <v>5</v>
      </c>
      <c r="V2169">
        <v>2</v>
      </c>
      <c r="W2169">
        <v>0</v>
      </c>
      <c r="X2169">
        <v>0</v>
      </c>
      <c r="Y2169">
        <v>0</v>
      </c>
      <c r="Z2169">
        <v>0</v>
      </c>
    </row>
    <row r="2170" spans="1:26" x14ac:dyDescent="0.2">
      <c r="A2170" t="s">
        <v>2288</v>
      </c>
      <c r="B2170" t="s">
        <v>32</v>
      </c>
      <c r="C2170">
        <v>2014</v>
      </c>
      <c r="D2170" t="s">
        <v>73</v>
      </c>
      <c r="E2170" t="s">
        <v>79</v>
      </c>
      <c r="F2170" t="s">
        <v>73</v>
      </c>
      <c r="G2170">
        <v>32384</v>
      </c>
      <c r="H2170">
        <v>25907.200000000001</v>
      </c>
      <c r="I2170" s="13">
        <v>0.5</v>
      </c>
      <c r="J2170" t="s">
        <v>6207</v>
      </c>
      <c r="K2170">
        <v>1</v>
      </c>
      <c r="L2170">
        <v>0</v>
      </c>
      <c r="M2170" t="s">
        <v>0</v>
      </c>
      <c r="N2170" s="2">
        <v>0.63</v>
      </c>
      <c r="O2170" s="2">
        <v>0.37</v>
      </c>
      <c r="P2170">
        <v>10</v>
      </c>
      <c r="Q2170">
        <v>11</v>
      </c>
      <c r="R2170">
        <v>10</v>
      </c>
      <c r="S2170">
        <v>2</v>
      </c>
      <c r="T2170">
        <v>11</v>
      </c>
      <c r="U2170">
        <v>10</v>
      </c>
      <c r="V2170">
        <v>0</v>
      </c>
      <c r="W2170">
        <v>2</v>
      </c>
      <c r="X2170">
        <v>0</v>
      </c>
      <c r="Y2170">
        <v>0</v>
      </c>
      <c r="Z2170">
        <v>0</v>
      </c>
    </row>
    <row r="2171" spans="1:26" x14ac:dyDescent="0.2">
      <c r="A2171" t="s">
        <v>2289</v>
      </c>
      <c r="B2171" t="s">
        <v>41</v>
      </c>
      <c r="C2171">
        <v>2014</v>
      </c>
      <c r="D2171" t="s">
        <v>19</v>
      </c>
      <c r="E2171" t="s">
        <v>35</v>
      </c>
      <c r="F2171" t="s">
        <v>19</v>
      </c>
      <c r="G2171">
        <v>25586</v>
      </c>
      <c r="H2171">
        <v>20468.800000000003</v>
      </c>
      <c r="I2171" s="13">
        <v>0.375</v>
      </c>
      <c r="J2171" t="s">
        <v>6207</v>
      </c>
      <c r="K2171">
        <v>1</v>
      </c>
      <c r="L2171">
        <v>1</v>
      </c>
      <c r="M2171" t="s">
        <v>58</v>
      </c>
      <c r="N2171" s="2">
        <v>0.42</v>
      </c>
      <c r="O2171" s="2">
        <v>0.57999999999999996</v>
      </c>
      <c r="P2171">
        <v>16</v>
      </c>
      <c r="Q2171">
        <v>11</v>
      </c>
      <c r="R2171">
        <v>6</v>
      </c>
      <c r="S2171">
        <v>4</v>
      </c>
      <c r="T2171">
        <v>9</v>
      </c>
      <c r="U2171">
        <v>15</v>
      </c>
      <c r="V2171">
        <v>2</v>
      </c>
      <c r="W2171">
        <v>6</v>
      </c>
      <c r="X2171">
        <v>0</v>
      </c>
      <c r="Y2171">
        <v>0</v>
      </c>
      <c r="Z2171">
        <v>0</v>
      </c>
    </row>
    <row r="2172" spans="1:26" x14ac:dyDescent="0.2">
      <c r="A2172" t="s">
        <v>2290</v>
      </c>
      <c r="B2172" t="s">
        <v>68</v>
      </c>
      <c r="C2172">
        <v>2014</v>
      </c>
      <c r="D2172" t="s">
        <v>42</v>
      </c>
      <c r="E2172" t="s">
        <v>63</v>
      </c>
      <c r="F2172" t="s">
        <v>38</v>
      </c>
      <c r="G2172">
        <v>42918</v>
      </c>
      <c r="H2172">
        <v>34334.400000000001</v>
      </c>
      <c r="I2172" s="13">
        <v>0.5</v>
      </c>
      <c r="J2172" t="s">
        <v>6207</v>
      </c>
      <c r="K2172">
        <v>2</v>
      </c>
      <c r="L2172">
        <v>1</v>
      </c>
      <c r="M2172" t="s">
        <v>0</v>
      </c>
      <c r="N2172" s="2">
        <v>0.57999999999999996</v>
      </c>
      <c r="O2172" s="2">
        <v>0.42</v>
      </c>
      <c r="P2172">
        <v>14</v>
      </c>
      <c r="Q2172">
        <v>19</v>
      </c>
      <c r="R2172">
        <v>0</v>
      </c>
      <c r="S2172">
        <v>3</v>
      </c>
      <c r="T2172">
        <v>15</v>
      </c>
      <c r="U2172">
        <v>13</v>
      </c>
      <c r="V2172">
        <v>2</v>
      </c>
      <c r="W2172">
        <v>4</v>
      </c>
      <c r="X2172">
        <v>0</v>
      </c>
      <c r="Y2172">
        <v>0</v>
      </c>
      <c r="Z2172">
        <v>1</v>
      </c>
    </row>
    <row r="2173" spans="1:26" x14ac:dyDescent="0.2">
      <c r="A2173" t="s">
        <v>2291</v>
      </c>
      <c r="B2173" t="s">
        <v>37</v>
      </c>
      <c r="C2173">
        <v>2014</v>
      </c>
      <c r="D2173" t="s">
        <v>23</v>
      </c>
      <c r="E2173" t="s">
        <v>18</v>
      </c>
      <c r="F2173" t="s">
        <v>20</v>
      </c>
      <c r="G2173">
        <v>62500</v>
      </c>
      <c r="H2173">
        <v>50000</v>
      </c>
      <c r="I2173" s="13">
        <v>0.5714285714285714</v>
      </c>
      <c r="J2173" t="s">
        <v>6206</v>
      </c>
      <c r="K2173">
        <v>0</v>
      </c>
      <c r="L2173">
        <v>1</v>
      </c>
      <c r="M2173" t="s">
        <v>1</v>
      </c>
      <c r="N2173" s="2">
        <v>0.45</v>
      </c>
      <c r="O2173" s="2">
        <v>0.55000000000000004</v>
      </c>
      <c r="P2173">
        <v>11</v>
      </c>
      <c r="Q2173">
        <v>14</v>
      </c>
      <c r="R2173">
        <v>5</v>
      </c>
      <c r="S2173">
        <v>4</v>
      </c>
      <c r="T2173">
        <v>10</v>
      </c>
      <c r="U2173">
        <v>10</v>
      </c>
      <c r="V2173">
        <v>3</v>
      </c>
      <c r="W2173">
        <v>4</v>
      </c>
      <c r="X2173">
        <v>0</v>
      </c>
      <c r="Y2173">
        <v>0</v>
      </c>
      <c r="Z2173">
        <v>0</v>
      </c>
    </row>
    <row r="2174" spans="1:26" x14ac:dyDescent="0.2">
      <c r="A2174" t="s">
        <v>2292</v>
      </c>
      <c r="B2174" t="s">
        <v>66</v>
      </c>
      <c r="C2174">
        <v>2014</v>
      </c>
      <c r="D2174" t="s">
        <v>51</v>
      </c>
      <c r="E2174" t="s">
        <v>71</v>
      </c>
      <c r="F2174" t="s">
        <v>20</v>
      </c>
      <c r="G2174">
        <v>36284</v>
      </c>
      <c r="H2174">
        <v>29027.200000000001</v>
      </c>
      <c r="I2174" s="13">
        <v>0</v>
      </c>
      <c r="J2174" t="s">
        <v>6207</v>
      </c>
      <c r="K2174">
        <v>3</v>
      </c>
      <c r="L2174">
        <v>2</v>
      </c>
      <c r="M2174" t="s">
        <v>0</v>
      </c>
      <c r="N2174" s="2">
        <v>0.61</v>
      </c>
      <c r="O2174" s="2">
        <v>0.39</v>
      </c>
      <c r="P2174">
        <v>13</v>
      </c>
      <c r="Q2174">
        <v>16</v>
      </c>
      <c r="R2174">
        <v>6</v>
      </c>
      <c r="S2174">
        <v>4</v>
      </c>
      <c r="T2174">
        <v>14</v>
      </c>
      <c r="U2174">
        <v>7</v>
      </c>
      <c r="V2174">
        <v>1</v>
      </c>
      <c r="W2174">
        <v>0</v>
      </c>
      <c r="X2174">
        <v>0</v>
      </c>
      <c r="Y2174">
        <v>0</v>
      </c>
      <c r="Z2174">
        <v>0</v>
      </c>
    </row>
    <row r="2175" spans="1:26" x14ac:dyDescent="0.2">
      <c r="A2175" t="s">
        <v>2293</v>
      </c>
      <c r="B2175" t="s">
        <v>44</v>
      </c>
      <c r="C2175">
        <v>2014</v>
      </c>
      <c r="D2175" t="s">
        <v>27</v>
      </c>
      <c r="E2175" t="s">
        <v>45</v>
      </c>
      <c r="F2175" t="s">
        <v>27</v>
      </c>
      <c r="G2175">
        <v>30089</v>
      </c>
      <c r="H2175">
        <v>24071.200000000001</v>
      </c>
      <c r="I2175" s="13">
        <v>0.5</v>
      </c>
      <c r="J2175" t="s">
        <v>6207</v>
      </c>
      <c r="K2175">
        <v>2</v>
      </c>
      <c r="L2175">
        <v>0</v>
      </c>
      <c r="M2175" t="s">
        <v>0</v>
      </c>
      <c r="N2175" s="2">
        <v>0.44</v>
      </c>
      <c r="O2175" s="2">
        <v>0.56000000000000005</v>
      </c>
      <c r="P2175">
        <v>15</v>
      </c>
      <c r="Q2175">
        <v>11</v>
      </c>
      <c r="R2175">
        <v>5</v>
      </c>
      <c r="S2175">
        <v>6</v>
      </c>
      <c r="T2175">
        <v>11</v>
      </c>
      <c r="U2175">
        <v>14</v>
      </c>
      <c r="V2175">
        <v>2</v>
      </c>
      <c r="W2175">
        <v>2</v>
      </c>
      <c r="X2175">
        <v>0</v>
      </c>
      <c r="Y2175">
        <v>0</v>
      </c>
      <c r="Z2175">
        <v>0</v>
      </c>
    </row>
    <row r="2176" spans="1:26" x14ac:dyDescent="0.2">
      <c r="A2176" t="s">
        <v>2294</v>
      </c>
      <c r="B2176" t="s">
        <v>60</v>
      </c>
      <c r="C2176">
        <v>2014</v>
      </c>
      <c r="D2176" t="s">
        <v>70</v>
      </c>
      <c r="E2176" t="s">
        <v>46</v>
      </c>
      <c r="F2176" t="s">
        <v>20</v>
      </c>
      <c r="G2176">
        <v>18439</v>
      </c>
      <c r="H2176">
        <v>14751.2</v>
      </c>
      <c r="I2176" s="13">
        <v>0.33333333333333331</v>
      </c>
      <c r="J2176" t="s">
        <v>6208</v>
      </c>
      <c r="K2176">
        <v>1</v>
      </c>
      <c r="L2176">
        <v>2</v>
      </c>
      <c r="M2176" t="s">
        <v>1</v>
      </c>
      <c r="N2176" s="2">
        <v>0.43</v>
      </c>
      <c r="O2176" s="2">
        <v>0.56999999999999995</v>
      </c>
      <c r="P2176">
        <v>10</v>
      </c>
      <c r="Q2176">
        <v>15</v>
      </c>
      <c r="R2176">
        <v>1</v>
      </c>
      <c r="S2176">
        <v>6</v>
      </c>
      <c r="T2176">
        <v>10</v>
      </c>
      <c r="U2176">
        <v>8</v>
      </c>
      <c r="V2176">
        <v>2</v>
      </c>
      <c r="W2176">
        <v>1</v>
      </c>
      <c r="X2176">
        <v>0</v>
      </c>
      <c r="Y2176">
        <v>0</v>
      </c>
      <c r="Z2176">
        <v>0</v>
      </c>
    </row>
    <row r="2177" spans="1:26" x14ac:dyDescent="0.2">
      <c r="A2177" t="s">
        <v>2295</v>
      </c>
      <c r="B2177" t="s">
        <v>61</v>
      </c>
      <c r="C2177">
        <v>2014</v>
      </c>
      <c r="D2177" t="s">
        <v>64</v>
      </c>
      <c r="E2177" t="s">
        <v>48</v>
      </c>
      <c r="F2177" t="s">
        <v>64</v>
      </c>
      <c r="G2177">
        <v>52264</v>
      </c>
      <c r="H2177">
        <v>41811.200000000004</v>
      </c>
      <c r="I2177" s="13">
        <v>1</v>
      </c>
      <c r="J2177" t="s">
        <v>6207</v>
      </c>
      <c r="K2177">
        <v>0</v>
      </c>
      <c r="L2177">
        <v>1</v>
      </c>
      <c r="M2177" t="s">
        <v>1</v>
      </c>
      <c r="N2177" s="2">
        <v>0.32</v>
      </c>
      <c r="O2177" s="2">
        <v>0.68</v>
      </c>
      <c r="P2177">
        <v>20</v>
      </c>
      <c r="Q2177">
        <v>7</v>
      </c>
      <c r="R2177">
        <v>4</v>
      </c>
      <c r="S2177">
        <v>1</v>
      </c>
      <c r="T2177">
        <v>6</v>
      </c>
      <c r="U2177">
        <v>14</v>
      </c>
      <c r="V2177">
        <v>1</v>
      </c>
      <c r="W2177">
        <v>2</v>
      </c>
      <c r="X2177">
        <v>0</v>
      </c>
      <c r="Y2177">
        <v>0</v>
      </c>
      <c r="Z2177">
        <v>0</v>
      </c>
    </row>
    <row r="2178" spans="1:26" x14ac:dyDescent="0.2">
      <c r="A2178" t="s">
        <v>2296</v>
      </c>
      <c r="B2178" t="s">
        <v>77</v>
      </c>
      <c r="C2178">
        <v>2014</v>
      </c>
      <c r="D2178" t="s">
        <v>40</v>
      </c>
      <c r="E2178" t="s">
        <v>80</v>
      </c>
      <c r="F2178" t="s">
        <v>49</v>
      </c>
      <c r="G2178">
        <v>53400</v>
      </c>
      <c r="H2178">
        <v>42720</v>
      </c>
      <c r="I2178" s="13">
        <v>0</v>
      </c>
      <c r="J2178" t="s">
        <v>6207</v>
      </c>
      <c r="K2178">
        <v>2</v>
      </c>
      <c r="L2178">
        <v>0</v>
      </c>
      <c r="M2178" t="s">
        <v>0</v>
      </c>
      <c r="N2178" s="2">
        <v>0.7</v>
      </c>
      <c r="O2178" s="2">
        <v>0.3</v>
      </c>
      <c r="P2178">
        <v>6</v>
      </c>
      <c r="Q2178">
        <v>15</v>
      </c>
      <c r="R2178">
        <v>10</v>
      </c>
      <c r="S2178">
        <v>3</v>
      </c>
      <c r="T2178">
        <v>11</v>
      </c>
      <c r="U2178">
        <v>3</v>
      </c>
      <c r="V2178">
        <v>0</v>
      </c>
      <c r="W2178">
        <v>1</v>
      </c>
      <c r="X2178">
        <v>0</v>
      </c>
      <c r="Y2178">
        <v>0</v>
      </c>
      <c r="Z2178">
        <v>0</v>
      </c>
    </row>
    <row r="2179" spans="1:26" x14ac:dyDescent="0.2">
      <c r="A2179" t="s">
        <v>2297</v>
      </c>
      <c r="B2179" t="s">
        <v>50</v>
      </c>
      <c r="C2179">
        <v>2014</v>
      </c>
      <c r="D2179" t="s">
        <v>26</v>
      </c>
      <c r="E2179" t="s">
        <v>28</v>
      </c>
      <c r="F2179" t="s">
        <v>26</v>
      </c>
      <c r="G2179">
        <v>61276</v>
      </c>
      <c r="H2179">
        <v>49020.800000000003</v>
      </c>
      <c r="I2179" s="13">
        <v>0</v>
      </c>
      <c r="J2179" t="s">
        <v>6207</v>
      </c>
      <c r="K2179">
        <v>2</v>
      </c>
      <c r="L2179">
        <v>0</v>
      </c>
      <c r="M2179" t="s">
        <v>0</v>
      </c>
      <c r="N2179" s="2">
        <v>0.64</v>
      </c>
      <c r="O2179" s="2">
        <v>0.36</v>
      </c>
      <c r="P2179">
        <v>15</v>
      </c>
      <c r="Q2179">
        <v>8</v>
      </c>
      <c r="R2179">
        <v>6</v>
      </c>
      <c r="S2179">
        <v>5</v>
      </c>
      <c r="T2179">
        <v>8</v>
      </c>
      <c r="U2179">
        <v>14</v>
      </c>
      <c r="V2179">
        <v>0</v>
      </c>
      <c r="W2179">
        <v>1</v>
      </c>
      <c r="X2179">
        <v>0</v>
      </c>
      <c r="Y2179">
        <v>0</v>
      </c>
      <c r="Z2179">
        <v>0</v>
      </c>
    </row>
    <row r="2180" spans="1:26" x14ac:dyDescent="0.2">
      <c r="A2180" t="s">
        <v>2298</v>
      </c>
      <c r="B2180" t="s">
        <v>76</v>
      </c>
      <c r="C2180">
        <v>2014</v>
      </c>
      <c r="D2180" t="s">
        <v>70</v>
      </c>
      <c r="E2180" t="s">
        <v>51</v>
      </c>
      <c r="F2180" t="s">
        <v>20</v>
      </c>
      <c r="G2180">
        <v>18439</v>
      </c>
      <c r="H2180">
        <v>14751.2</v>
      </c>
      <c r="I2180" s="13">
        <v>0.33333333333333331</v>
      </c>
      <c r="J2180" t="s">
        <v>6207</v>
      </c>
      <c r="K2180">
        <v>1</v>
      </c>
      <c r="L2180">
        <v>2</v>
      </c>
      <c r="M2180" t="s">
        <v>1</v>
      </c>
      <c r="N2180" s="2">
        <v>0.37</v>
      </c>
      <c r="O2180" s="2">
        <v>0.63</v>
      </c>
      <c r="P2180">
        <v>15</v>
      </c>
      <c r="Q2180">
        <v>18</v>
      </c>
      <c r="R2180">
        <v>3</v>
      </c>
      <c r="S2180">
        <v>5</v>
      </c>
      <c r="T2180">
        <v>15</v>
      </c>
      <c r="U2180">
        <v>12</v>
      </c>
      <c r="V2180">
        <v>1</v>
      </c>
      <c r="W2180">
        <v>2</v>
      </c>
      <c r="X2180">
        <v>0</v>
      </c>
      <c r="Y2180">
        <v>0</v>
      </c>
      <c r="Z2180">
        <v>0</v>
      </c>
    </row>
    <row r="2181" spans="1:26" x14ac:dyDescent="0.2">
      <c r="A2181" t="s">
        <v>2299</v>
      </c>
      <c r="B2181" t="s">
        <v>50</v>
      </c>
      <c r="C2181">
        <v>2014</v>
      </c>
      <c r="D2181" t="s">
        <v>79</v>
      </c>
      <c r="E2181" t="s">
        <v>70</v>
      </c>
      <c r="F2181" t="s">
        <v>20</v>
      </c>
      <c r="G2181">
        <v>25486</v>
      </c>
      <c r="H2181">
        <v>20388.800000000003</v>
      </c>
      <c r="I2181" s="13">
        <v>0.25</v>
      </c>
      <c r="J2181" t="s">
        <v>6207</v>
      </c>
      <c r="K2181">
        <v>3</v>
      </c>
      <c r="L2181">
        <v>1</v>
      </c>
      <c r="M2181" t="s">
        <v>0</v>
      </c>
      <c r="N2181" s="2">
        <v>0.43</v>
      </c>
      <c r="O2181" s="2">
        <v>0.56999999999999995</v>
      </c>
      <c r="P2181">
        <v>16</v>
      </c>
      <c r="Q2181">
        <v>23</v>
      </c>
      <c r="R2181">
        <v>6</v>
      </c>
      <c r="S2181">
        <v>3</v>
      </c>
      <c r="T2181">
        <v>17</v>
      </c>
      <c r="U2181">
        <v>16</v>
      </c>
      <c r="V2181">
        <v>1</v>
      </c>
      <c r="W2181">
        <v>3</v>
      </c>
      <c r="X2181">
        <v>0</v>
      </c>
      <c r="Y2181">
        <v>0</v>
      </c>
      <c r="Z2181">
        <v>0</v>
      </c>
    </row>
    <row r="2182" spans="1:26" x14ac:dyDescent="0.2">
      <c r="A2182" t="s">
        <v>2300</v>
      </c>
      <c r="B2182" t="s">
        <v>66</v>
      </c>
      <c r="C2182">
        <v>2014</v>
      </c>
      <c r="D2182" t="s">
        <v>63</v>
      </c>
      <c r="E2182" t="s">
        <v>27</v>
      </c>
      <c r="F2182" t="s">
        <v>65</v>
      </c>
      <c r="G2182">
        <v>26804</v>
      </c>
      <c r="H2182">
        <v>21443.200000000001</v>
      </c>
      <c r="I2182" s="13">
        <v>0.66666666666666663</v>
      </c>
      <c r="J2182" t="s">
        <v>6207</v>
      </c>
      <c r="K2182">
        <v>1</v>
      </c>
      <c r="L2182">
        <v>0</v>
      </c>
      <c r="M2182" t="s">
        <v>0</v>
      </c>
      <c r="N2182" s="2">
        <v>0.43</v>
      </c>
      <c r="O2182" s="2">
        <v>0.56999999999999995</v>
      </c>
      <c r="P2182">
        <v>19</v>
      </c>
      <c r="Q2182">
        <v>8</v>
      </c>
      <c r="R2182">
        <v>7</v>
      </c>
      <c r="S2182">
        <v>5</v>
      </c>
      <c r="T2182">
        <v>7</v>
      </c>
      <c r="U2182">
        <v>16</v>
      </c>
      <c r="V2182">
        <v>1</v>
      </c>
      <c r="W2182">
        <v>2</v>
      </c>
      <c r="X2182">
        <v>0</v>
      </c>
      <c r="Y2182">
        <v>0</v>
      </c>
      <c r="Z2182">
        <v>0</v>
      </c>
    </row>
    <row r="2183" spans="1:26" x14ac:dyDescent="0.2">
      <c r="A2183" t="s">
        <v>2301</v>
      </c>
      <c r="B2183" t="s">
        <v>67</v>
      </c>
      <c r="C2183">
        <v>2014</v>
      </c>
      <c r="D2183" t="s">
        <v>35</v>
      </c>
      <c r="E2183" t="s">
        <v>42</v>
      </c>
      <c r="F2183" t="s">
        <v>35</v>
      </c>
      <c r="G2183">
        <v>49000</v>
      </c>
      <c r="H2183">
        <v>39200</v>
      </c>
      <c r="I2183" s="13">
        <v>0.5</v>
      </c>
      <c r="J2183" t="s">
        <v>6207</v>
      </c>
      <c r="K2183">
        <v>0</v>
      </c>
      <c r="L2183">
        <v>4</v>
      </c>
      <c r="M2183" t="s">
        <v>1</v>
      </c>
      <c r="N2183" s="2">
        <v>0.4</v>
      </c>
      <c r="O2183" s="2">
        <v>0.6</v>
      </c>
      <c r="P2183">
        <v>9</v>
      </c>
      <c r="Q2183">
        <v>12</v>
      </c>
      <c r="R2183">
        <v>2</v>
      </c>
      <c r="S2183">
        <v>5</v>
      </c>
      <c r="T2183">
        <v>10</v>
      </c>
      <c r="U2183">
        <v>9</v>
      </c>
      <c r="V2183">
        <v>1</v>
      </c>
      <c r="W2183">
        <v>1</v>
      </c>
      <c r="X2183">
        <v>0</v>
      </c>
      <c r="Y2183">
        <v>0</v>
      </c>
      <c r="Z2183">
        <v>0</v>
      </c>
    </row>
    <row r="2184" spans="1:26" x14ac:dyDescent="0.2">
      <c r="A2184" t="s">
        <v>2302</v>
      </c>
      <c r="B2184" t="s">
        <v>68</v>
      </c>
      <c r="C2184">
        <v>2014</v>
      </c>
      <c r="D2184" t="s">
        <v>80</v>
      </c>
      <c r="E2184" t="s">
        <v>19</v>
      </c>
      <c r="F2184" t="s">
        <v>80</v>
      </c>
      <c r="G2184">
        <v>32261</v>
      </c>
      <c r="H2184">
        <v>25808.800000000003</v>
      </c>
      <c r="I2184" s="13">
        <v>0.16666666666666666</v>
      </c>
      <c r="J2184" t="s">
        <v>6207</v>
      </c>
      <c r="K2184">
        <v>0</v>
      </c>
      <c r="L2184">
        <v>0</v>
      </c>
      <c r="M2184" t="s">
        <v>58</v>
      </c>
      <c r="N2184" s="2">
        <v>0.51</v>
      </c>
      <c r="O2184" s="2">
        <v>0.49</v>
      </c>
      <c r="P2184">
        <v>15</v>
      </c>
      <c r="Q2184">
        <v>10</v>
      </c>
      <c r="R2184">
        <v>7</v>
      </c>
      <c r="S2184">
        <v>5</v>
      </c>
      <c r="T2184">
        <v>10</v>
      </c>
      <c r="U2184">
        <v>15</v>
      </c>
      <c r="V2184">
        <v>0</v>
      </c>
      <c r="W2184">
        <v>5</v>
      </c>
      <c r="X2184">
        <v>0</v>
      </c>
      <c r="Y2184">
        <v>1</v>
      </c>
      <c r="Z2184">
        <v>0</v>
      </c>
    </row>
    <row r="2185" spans="1:26" x14ac:dyDescent="0.2">
      <c r="A2185" t="s">
        <v>2303</v>
      </c>
      <c r="B2185" t="s">
        <v>25</v>
      </c>
      <c r="C2185">
        <v>2014</v>
      </c>
      <c r="D2185" t="s">
        <v>46</v>
      </c>
      <c r="E2185" t="s">
        <v>23</v>
      </c>
      <c r="F2185" t="s">
        <v>20</v>
      </c>
      <c r="G2185">
        <v>60704</v>
      </c>
      <c r="H2185">
        <v>48563.200000000004</v>
      </c>
      <c r="I2185" s="13">
        <v>1</v>
      </c>
      <c r="J2185" t="s">
        <v>6207</v>
      </c>
      <c r="K2185">
        <v>3</v>
      </c>
      <c r="L2185">
        <v>0</v>
      </c>
      <c r="M2185" t="s">
        <v>0</v>
      </c>
      <c r="N2185" s="2">
        <v>0.68</v>
      </c>
      <c r="O2185" s="2">
        <v>0.32</v>
      </c>
      <c r="P2185">
        <v>10</v>
      </c>
      <c r="Q2185">
        <v>13</v>
      </c>
      <c r="R2185">
        <v>7</v>
      </c>
      <c r="S2185">
        <v>5</v>
      </c>
      <c r="T2185">
        <v>10</v>
      </c>
      <c r="U2185">
        <v>9</v>
      </c>
      <c r="V2185">
        <v>1</v>
      </c>
      <c r="W2185">
        <v>1</v>
      </c>
      <c r="X2185">
        <v>0</v>
      </c>
      <c r="Y2185">
        <v>0</v>
      </c>
      <c r="Z2185">
        <v>0</v>
      </c>
    </row>
    <row r="2186" spans="1:26" x14ac:dyDescent="0.2">
      <c r="A2186" t="s">
        <v>2304</v>
      </c>
      <c r="B2186" t="s">
        <v>37</v>
      </c>
      <c r="C2186">
        <v>2014</v>
      </c>
      <c r="D2186" t="s">
        <v>28</v>
      </c>
      <c r="E2186" t="s">
        <v>40</v>
      </c>
      <c r="F2186" t="s">
        <v>28</v>
      </c>
      <c r="G2186">
        <v>21944</v>
      </c>
      <c r="H2186">
        <v>17555.2</v>
      </c>
      <c r="I2186" s="13">
        <v>0.33333333333333331</v>
      </c>
      <c r="J2186" t="s">
        <v>6206</v>
      </c>
      <c r="K2186">
        <v>1</v>
      </c>
      <c r="L2186">
        <v>0</v>
      </c>
      <c r="M2186" t="s">
        <v>0</v>
      </c>
      <c r="N2186" s="2">
        <v>0.28999999999999998</v>
      </c>
      <c r="O2186" s="2">
        <v>0.71</v>
      </c>
      <c r="P2186">
        <v>9</v>
      </c>
      <c r="Q2186">
        <v>8</v>
      </c>
      <c r="R2186">
        <v>2</v>
      </c>
      <c r="S2186">
        <v>6</v>
      </c>
      <c r="T2186">
        <v>6</v>
      </c>
      <c r="U2186">
        <v>9</v>
      </c>
      <c r="V2186">
        <v>2</v>
      </c>
      <c r="W2186">
        <v>1</v>
      </c>
      <c r="X2186">
        <v>0</v>
      </c>
      <c r="Y2186">
        <v>0</v>
      </c>
      <c r="Z2186">
        <v>0</v>
      </c>
    </row>
    <row r="2187" spans="1:26" x14ac:dyDescent="0.2">
      <c r="A2187" t="s">
        <v>2305</v>
      </c>
      <c r="B2187" t="s">
        <v>41</v>
      </c>
      <c r="C2187">
        <v>2014</v>
      </c>
      <c r="D2187" t="s">
        <v>18</v>
      </c>
      <c r="E2187" t="s">
        <v>73</v>
      </c>
      <c r="F2187" t="s">
        <v>20</v>
      </c>
      <c r="G2187">
        <v>40341</v>
      </c>
      <c r="H2187">
        <v>32272.800000000003</v>
      </c>
      <c r="I2187" s="13">
        <v>0.83333333333333337</v>
      </c>
      <c r="J2187" t="s">
        <v>6207</v>
      </c>
      <c r="K2187">
        <v>1</v>
      </c>
      <c r="L2187">
        <v>1</v>
      </c>
      <c r="M2187" t="s">
        <v>58</v>
      </c>
      <c r="N2187" s="2">
        <v>0.61</v>
      </c>
      <c r="O2187" s="2">
        <v>0.39</v>
      </c>
      <c r="P2187">
        <v>14</v>
      </c>
      <c r="Q2187">
        <v>11</v>
      </c>
      <c r="R2187">
        <v>9</v>
      </c>
      <c r="S2187">
        <v>2</v>
      </c>
      <c r="T2187">
        <v>10</v>
      </c>
      <c r="U2187">
        <v>11</v>
      </c>
      <c r="V2187">
        <v>3</v>
      </c>
      <c r="W2187">
        <v>3</v>
      </c>
      <c r="X2187">
        <v>0</v>
      </c>
      <c r="Y2187">
        <v>0</v>
      </c>
      <c r="Z2187">
        <v>1</v>
      </c>
    </row>
    <row r="2188" spans="1:26" x14ac:dyDescent="0.2">
      <c r="A2188" t="s">
        <v>2306</v>
      </c>
      <c r="B2188" t="s">
        <v>44</v>
      </c>
      <c r="C2188">
        <v>2014</v>
      </c>
      <c r="D2188" t="s">
        <v>48</v>
      </c>
      <c r="E2188" t="s">
        <v>51</v>
      </c>
      <c r="F2188" t="s">
        <v>49</v>
      </c>
      <c r="G2188">
        <v>74197</v>
      </c>
      <c r="H2188">
        <v>59357.600000000006</v>
      </c>
      <c r="I2188" s="13">
        <v>0.5</v>
      </c>
      <c r="J2188" t="s">
        <v>6207</v>
      </c>
      <c r="K2188">
        <v>3</v>
      </c>
      <c r="L2188">
        <v>0</v>
      </c>
      <c r="M2188" t="s">
        <v>0</v>
      </c>
      <c r="N2188" s="2">
        <v>0.52</v>
      </c>
      <c r="O2188" s="2">
        <v>0.48</v>
      </c>
      <c r="P2188">
        <v>14</v>
      </c>
      <c r="Q2188">
        <v>17</v>
      </c>
      <c r="R2188">
        <v>4</v>
      </c>
      <c r="S2188">
        <v>2</v>
      </c>
      <c r="T2188">
        <v>12</v>
      </c>
      <c r="U2188">
        <v>10</v>
      </c>
      <c r="V2188">
        <v>1</v>
      </c>
      <c r="W2188">
        <v>1</v>
      </c>
      <c r="X2188">
        <v>0</v>
      </c>
      <c r="Y2188">
        <v>0</v>
      </c>
      <c r="Z2188">
        <v>0</v>
      </c>
    </row>
    <row r="2189" spans="1:26" x14ac:dyDescent="0.2">
      <c r="A2189" t="s">
        <v>2307</v>
      </c>
      <c r="B2189" t="s">
        <v>32</v>
      </c>
      <c r="C2189">
        <v>2014</v>
      </c>
      <c r="D2189" t="s">
        <v>45</v>
      </c>
      <c r="E2189" t="s">
        <v>64</v>
      </c>
      <c r="F2189" t="s">
        <v>26</v>
      </c>
      <c r="G2189">
        <v>39572</v>
      </c>
      <c r="H2189">
        <v>31657.600000000002</v>
      </c>
      <c r="I2189" s="13">
        <v>0.5</v>
      </c>
      <c r="J2189" t="s">
        <v>6207</v>
      </c>
      <c r="K2189">
        <v>3</v>
      </c>
      <c r="L2189">
        <v>0</v>
      </c>
      <c r="M2189" t="s">
        <v>0</v>
      </c>
      <c r="N2189" s="2">
        <v>0.54</v>
      </c>
      <c r="O2189" s="2">
        <v>0.46</v>
      </c>
      <c r="P2189">
        <v>9</v>
      </c>
      <c r="Q2189">
        <v>11</v>
      </c>
      <c r="R2189">
        <v>3</v>
      </c>
      <c r="S2189">
        <v>4</v>
      </c>
      <c r="T2189">
        <v>11</v>
      </c>
      <c r="U2189">
        <v>9</v>
      </c>
      <c r="V2189">
        <v>1</v>
      </c>
      <c r="W2189">
        <v>2</v>
      </c>
      <c r="X2189">
        <v>0</v>
      </c>
      <c r="Y2189">
        <v>1</v>
      </c>
      <c r="Z2189">
        <v>1</v>
      </c>
    </row>
    <row r="2190" spans="1:26" x14ac:dyDescent="0.2">
      <c r="A2190" t="s">
        <v>2308</v>
      </c>
      <c r="B2190" t="s">
        <v>74</v>
      </c>
      <c r="C2190">
        <v>2014</v>
      </c>
      <c r="D2190" t="s">
        <v>71</v>
      </c>
      <c r="E2190" t="s">
        <v>26</v>
      </c>
      <c r="F2190" t="s">
        <v>71</v>
      </c>
      <c r="G2190">
        <v>21088</v>
      </c>
      <c r="H2190">
        <v>16870.400000000001</v>
      </c>
      <c r="I2190" s="13">
        <v>0.33333333333333331</v>
      </c>
      <c r="J2190" t="s">
        <v>6208</v>
      </c>
      <c r="K2190">
        <v>0</v>
      </c>
      <c r="L2190">
        <v>1</v>
      </c>
      <c r="M2190" t="s">
        <v>1</v>
      </c>
      <c r="N2190" s="2">
        <v>0.46</v>
      </c>
      <c r="O2190" s="2">
        <v>0.54</v>
      </c>
      <c r="P2190">
        <v>16</v>
      </c>
      <c r="Q2190">
        <v>14</v>
      </c>
      <c r="R2190">
        <v>4</v>
      </c>
      <c r="S2190">
        <v>5</v>
      </c>
      <c r="T2190">
        <v>13</v>
      </c>
      <c r="U2190">
        <v>16</v>
      </c>
      <c r="V2190">
        <v>0</v>
      </c>
      <c r="W2190">
        <v>3</v>
      </c>
      <c r="X2190">
        <v>0</v>
      </c>
      <c r="Y2190">
        <v>0</v>
      </c>
      <c r="Z2190">
        <v>0</v>
      </c>
    </row>
    <row r="2191" spans="1:26" x14ac:dyDescent="0.2">
      <c r="A2191" t="s">
        <v>2309</v>
      </c>
      <c r="B2191" t="s">
        <v>67</v>
      </c>
      <c r="C2191">
        <v>2014</v>
      </c>
      <c r="D2191" t="s">
        <v>40</v>
      </c>
      <c r="E2191" t="s">
        <v>63</v>
      </c>
      <c r="F2191" t="s">
        <v>49</v>
      </c>
      <c r="G2191">
        <v>53400</v>
      </c>
      <c r="H2191">
        <v>42720</v>
      </c>
      <c r="I2191" s="13">
        <v>0</v>
      </c>
      <c r="J2191" t="s">
        <v>6207</v>
      </c>
      <c r="K2191">
        <v>3</v>
      </c>
      <c r="L2191">
        <v>0</v>
      </c>
      <c r="M2191" t="s">
        <v>0</v>
      </c>
      <c r="N2191" s="2">
        <v>0.79</v>
      </c>
      <c r="O2191" s="2">
        <v>0.21</v>
      </c>
      <c r="P2191">
        <v>6</v>
      </c>
      <c r="Q2191">
        <v>9</v>
      </c>
      <c r="R2191">
        <v>9</v>
      </c>
      <c r="S2191">
        <v>2</v>
      </c>
      <c r="T2191">
        <v>6</v>
      </c>
      <c r="U2191">
        <v>5</v>
      </c>
      <c r="V2191">
        <v>0</v>
      </c>
      <c r="W2191">
        <v>0</v>
      </c>
      <c r="X2191">
        <v>0</v>
      </c>
      <c r="Y2191">
        <v>1</v>
      </c>
      <c r="Z2191">
        <v>0</v>
      </c>
    </row>
    <row r="2192" spans="1:26" x14ac:dyDescent="0.2">
      <c r="A2192" t="s">
        <v>2310</v>
      </c>
      <c r="B2192" t="s">
        <v>41</v>
      </c>
      <c r="C2192">
        <v>2014</v>
      </c>
      <c r="D2192" t="s">
        <v>51</v>
      </c>
      <c r="E2192" t="s">
        <v>80</v>
      </c>
      <c r="F2192" t="s">
        <v>20</v>
      </c>
      <c r="G2192">
        <v>36284</v>
      </c>
      <c r="H2192">
        <v>29027.200000000001</v>
      </c>
      <c r="I2192" s="13">
        <v>0.33333333333333331</v>
      </c>
      <c r="J2192" t="s">
        <v>6207</v>
      </c>
      <c r="K2192">
        <v>4</v>
      </c>
      <c r="L2192">
        <v>3</v>
      </c>
      <c r="M2192" t="s">
        <v>0</v>
      </c>
      <c r="N2192" s="2">
        <v>0.66</v>
      </c>
      <c r="O2192" s="2">
        <v>0.34</v>
      </c>
      <c r="P2192">
        <v>11</v>
      </c>
      <c r="Q2192">
        <v>9</v>
      </c>
      <c r="R2192">
        <v>4</v>
      </c>
      <c r="S2192">
        <v>4</v>
      </c>
      <c r="T2192">
        <v>8</v>
      </c>
      <c r="U2192">
        <v>9</v>
      </c>
      <c r="V2192">
        <v>2</v>
      </c>
      <c r="W2192">
        <v>1</v>
      </c>
      <c r="X2192">
        <v>0</v>
      </c>
      <c r="Y2192">
        <v>0</v>
      </c>
      <c r="Z2192">
        <v>1</v>
      </c>
    </row>
    <row r="2193" spans="1:26" x14ac:dyDescent="0.2">
      <c r="A2193" t="s">
        <v>2311</v>
      </c>
      <c r="B2193" t="s">
        <v>37</v>
      </c>
      <c r="C2193">
        <v>2014</v>
      </c>
      <c r="D2193" t="s">
        <v>27</v>
      </c>
      <c r="E2193" t="s">
        <v>79</v>
      </c>
      <c r="F2193" t="s">
        <v>27</v>
      </c>
      <c r="G2193">
        <v>30089</v>
      </c>
      <c r="H2193">
        <v>24071.200000000001</v>
      </c>
      <c r="I2193" s="13">
        <v>0.5714285714285714</v>
      </c>
      <c r="J2193" t="s">
        <v>6206</v>
      </c>
      <c r="K2193">
        <v>1</v>
      </c>
      <c r="L2193">
        <v>2</v>
      </c>
      <c r="M2193" t="s">
        <v>1</v>
      </c>
      <c r="N2193" s="2">
        <v>0.56999999999999995</v>
      </c>
      <c r="O2193" s="2">
        <v>0.43</v>
      </c>
      <c r="P2193">
        <v>14</v>
      </c>
      <c r="Q2193">
        <v>13</v>
      </c>
      <c r="R2193">
        <v>8</v>
      </c>
      <c r="S2193">
        <v>4</v>
      </c>
      <c r="T2193">
        <v>15</v>
      </c>
      <c r="U2193">
        <v>14</v>
      </c>
      <c r="V2193">
        <v>3</v>
      </c>
      <c r="W2193">
        <v>4</v>
      </c>
      <c r="X2193">
        <v>0</v>
      </c>
      <c r="Y2193">
        <v>0</v>
      </c>
      <c r="Z2193">
        <v>1</v>
      </c>
    </row>
    <row r="2194" spans="1:26" x14ac:dyDescent="0.2">
      <c r="A2194" t="s">
        <v>2312</v>
      </c>
      <c r="B2194" t="s">
        <v>74</v>
      </c>
      <c r="C2194">
        <v>2014</v>
      </c>
      <c r="D2194" t="s">
        <v>73</v>
      </c>
      <c r="E2194" t="s">
        <v>28</v>
      </c>
      <c r="F2194" t="s">
        <v>73</v>
      </c>
      <c r="G2194">
        <v>32384</v>
      </c>
      <c r="H2194">
        <v>25907.200000000001</v>
      </c>
      <c r="I2194" s="13">
        <v>0</v>
      </c>
      <c r="J2194" t="s">
        <v>6208</v>
      </c>
      <c r="K2194">
        <v>2</v>
      </c>
      <c r="L2194">
        <v>0</v>
      </c>
      <c r="M2194" t="s">
        <v>0</v>
      </c>
      <c r="N2194" s="2">
        <v>0.61</v>
      </c>
      <c r="O2194" s="2">
        <v>0.39</v>
      </c>
      <c r="P2194">
        <v>6</v>
      </c>
      <c r="Q2194">
        <v>10</v>
      </c>
      <c r="R2194">
        <v>10</v>
      </c>
      <c r="S2194">
        <v>5</v>
      </c>
      <c r="T2194">
        <v>10</v>
      </c>
      <c r="U2194">
        <v>7</v>
      </c>
      <c r="V2194">
        <v>0</v>
      </c>
      <c r="W2194">
        <v>0</v>
      </c>
      <c r="X2194">
        <v>0</v>
      </c>
      <c r="Y2194">
        <v>0</v>
      </c>
      <c r="Z2194">
        <v>0</v>
      </c>
    </row>
    <row r="2195" spans="1:26" x14ac:dyDescent="0.2">
      <c r="A2195" t="s">
        <v>2313</v>
      </c>
      <c r="B2195" t="s">
        <v>53</v>
      </c>
      <c r="C2195">
        <v>2014</v>
      </c>
      <c r="D2195" t="s">
        <v>64</v>
      </c>
      <c r="E2195" t="s">
        <v>46</v>
      </c>
      <c r="F2195" t="s">
        <v>64</v>
      </c>
      <c r="G2195">
        <v>52264</v>
      </c>
      <c r="H2195">
        <v>41811.200000000004</v>
      </c>
      <c r="I2195" s="13">
        <v>0</v>
      </c>
      <c r="J2195" t="s">
        <v>6207</v>
      </c>
      <c r="K2195">
        <v>1</v>
      </c>
      <c r="L2195">
        <v>2</v>
      </c>
      <c r="M2195" t="s">
        <v>1</v>
      </c>
      <c r="N2195" s="2">
        <v>0.51</v>
      </c>
      <c r="O2195" s="2">
        <v>0.49</v>
      </c>
      <c r="P2195">
        <v>10</v>
      </c>
      <c r="Q2195">
        <v>14</v>
      </c>
      <c r="R2195">
        <v>9</v>
      </c>
      <c r="S2195">
        <v>4</v>
      </c>
      <c r="T2195">
        <v>11</v>
      </c>
      <c r="U2195">
        <v>7</v>
      </c>
      <c r="V2195">
        <v>0</v>
      </c>
      <c r="W2195">
        <v>0</v>
      </c>
      <c r="X2195">
        <v>0</v>
      </c>
      <c r="Y2195">
        <v>0</v>
      </c>
      <c r="Z2195">
        <v>0</v>
      </c>
    </row>
    <row r="2196" spans="1:26" x14ac:dyDescent="0.2">
      <c r="A2196" t="s">
        <v>2314</v>
      </c>
      <c r="B2196" t="s">
        <v>77</v>
      </c>
      <c r="C2196">
        <v>2014</v>
      </c>
      <c r="D2196" t="s">
        <v>42</v>
      </c>
      <c r="E2196" t="s">
        <v>71</v>
      </c>
      <c r="F2196" t="s">
        <v>38</v>
      </c>
      <c r="G2196">
        <v>42918</v>
      </c>
      <c r="H2196">
        <v>34334.400000000001</v>
      </c>
      <c r="I2196" s="13">
        <v>0</v>
      </c>
      <c r="J2196" t="s">
        <v>6207</v>
      </c>
      <c r="K2196">
        <v>0</v>
      </c>
      <c r="L2196">
        <v>1</v>
      </c>
      <c r="M2196" t="s">
        <v>1</v>
      </c>
      <c r="N2196" s="2">
        <v>0.43</v>
      </c>
      <c r="O2196" s="2">
        <v>0.56999999999999995</v>
      </c>
      <c r="P2196">
        <v>16</v>
      </c>
      <c r="Q2196">
        <v>12</v>
      </c>
      <c r="R2196">
        <v>4</v>
      </c>
      <c r="S2196">
        <v>9</v>
      </c>
      <c r="T2196">
        <v>13</v>
      </c>
      <c r="U2196">
        <v>9</v>
      </c>
      <c r="V2196">
        <v>0</v>
      </c>
      <c r="W2196">
        <v>0</v>
      </c>
      <c r="X2196">
        <v>0</v>
      </c>
      <c r="Y2196">
        <v>0</v>
      </c>
      <c r="Z2196">
        <v>0</v>
      </c>
    </row>
    <row r="2197" spans="1:26" x14ac:dyDescent="0.2">
      <c r="A2197" t="s">
        <v>2315</v>
      </c>
      <c r="B2197" t="s">
        <v>50</v>
      </c>
      <c r="C2197">
        <v>2014</v>
      </c>
      <c r="D2197" t="s">
        <v>23</v>
      </c>
      <c r="E2197" t="s">
        <v>35</v>
      </c>
      <c r="F2197" t="s">
        <v>20</v>
      </c>
      <c r="G2197">
        <v>62500</v>
      </c>
      <c r="H2197">
        <v>50000</v>
      </c>
      <c r="I2197" s="13">
        <v>0</v>
      </c>
      <c r="J2197" t="s">
        <v>6207</v>
      </c>
      <c r="K2197">
        <v>1</v>
      </c>
      <c r="L2197">
        <v>0</v>
      </c>
      <c r="M2197" t="s">
        <v>0</v>
      </c>
      <c r="N2197" s="2">
        <v>0.54</v>
      </c>
      <c r="O2197" s="2">
        <v>0.46</v>
      </c>
      <c r="P2197">
        <v>11</v>
      </c>
      <c r="Q2197">
        <v>15</v>
      </c>
      <c r="R2197">
        <v>6</v>
      </c>
      <c r="S2197">
        <v>4</v>
      </c>
      <c r="T2197">
        <v>14</v>
      </c>
      <c r="U2197">
        <v>11</v>
      </c>
      <c r="V2197">
        <v>0</v>
      </c>
      <c r="W2197">
        <v>1</v>
      </c>
      <c r="X2197">
        <v>0</v>
      </c>
      <c r="Y2197">
        <v>0</v>
      </c>
      <c r="Z2197">
        <v>0</v>
      </c>
    </row>
    <row r="2198" spans="1:26" x14ac:dyDescent="0.2">
      <c r="A2198" t="s">
        <v>2316</v>
      </c>
      <c r="B2198" t="s">
        <v>32</v>
      </c>
      <c r="C2198">
        <v>2014</v>
      </c>
      <c r="D2198" t="s">
        <v>26</v>
      </c>
      <c r="E2198" t="s">
        <v>48</v>
      </c>
      <c r="F2198" t="s">
        <v>26</v>
      </c>
      <c r="G2198">
        <v>61276</v>
      </c>
      <c r="H2198">
        <v>49020.800000000003</v>
      </c>
      <c r="I2198" s="13">
        <v>0.4</v>
      </c>
      <c r="J2198" t="s">
        <v>6207</v>
      </c>
      <c r="K2198">
        <v>1</v>
      </c>
      <c r="L2198">
        <v>2</v>
      </c>
      <c r="M2198" t="s">
        <v>1</v>
      </c>
      <c r="N2198" s="2">
        <v>0.42</v>
      </c>
      <c r="O2198" s="2">
        <v>0.57999999999999996</v>
      </c>
      <c r="P2198">
        <v>20</v>
      </c>
      <c r="Q2198">
        <v>13</v>
      </c>
      <c r="R2198">
        <v>2</v>
      </c>
      <c r="S2198">
        <v>3</v>
      </c>
      <c r="T2198">
        <v>14</v>
      </c>
      <c r="U2198">
        <v>17</v>
      </c>
      <c r="V2198">
        <v>2</v>
      </c>
      <c r="W2198">
        <v>2</v>
      </c>
      <c r="X2198">
        <v>1</v>
      </c>
      <c r="Y2198">
        <v>0</v>
      </c>
      <c r="Z2198">
        <v>1</v>
      </c>
    </row>
    <row r="2199" spans="1:26" x14ac:dyDescent="0.2">
      <c r="A2199" t="s">
        <v>2317</v>
      </c>
      <c r="B2199" t="s">
        <v>68</v>
      </c>
      <c r="C2199">
        <v>2014</v>
      </c>
      <c r="D2199" t="s">
        <v>70</v>
      </c>
      <c r="E2199" t="s">
        <v>45</v>
      </c>
      <c r="F2199" t="s">
        <v>20</v>
      </c>
      <c r="G2199">
        <v>18439</v>
      </c>
      <c r="H2199">
        <v>14751.2</v>
      </c>
      <c r="I2199" s="13">
        <v>0.33333333333333331</v>
      </c>
      <c r="J2199" t="s">
        <v>6207</v>
      </c>
      <c r="K2199">
        <v>1</v>
      </c>
      <c r="L2199">
        <v>2</v>
      </c>
      <c r="M2199" t="s">
        <v>1</v>
      </c>
      <c r="N2199" s="2">
        <v>0.53</v>
      </c>
      <c r="O2199" s="2">
        <v>0.47</v>
      </c>
      <c r="P2199">
        <v>16</v>
      </c>
      <c r="Q2199">
        <v>15</v>
      </c>
      <c r="R2199">
        <v>1</v>
      </c>
      <c r="S2199">
        <v>3</v>
      </c>
      <c r="T2199">
        <v>11</v>
      </c>
      <c r="U2199">
        <v>12</v>
      </c>
      <c r="V2199">
        <v>2</v>
      </c>
      <c r="W2199">
        <v>1</v>
      </c>
      <c r="X2199">
        <v>0</v>
      </c>
      <c r="Y2199">
        <v>0</v>
      </c>
      <c r="Z2199">
        <v>0</v>
      </c>
    </row>
    <row r="2200" spans="1:26" x14ac:dyDescent="0.2">
      <c r="A2200" t="s">
        <v>2318</v>
      </c>
      <c r="B2200" t="s">
        <v>66</v>
      </c>
      <c r="C2200">
        <v>2014</v>
      </c>
      <c r="D2200" t="s">
        <v>19</v>
      </c>
      <c r="E2200" t="s">
        <v>18</v>
      </c>
      <c r="F2200" t="s">
        <v>19</v>
      </c>
      <c r="G2200">
        <v>25586</v>
      </c>
      <c r="H2200">
        <v>20468.800000000003</v>
      </c>
      <c r="I2200" s="13">
        <v>0.5</v>
      </c>
      <c r="J2200" t="s">
        <v>6207</v>
      </c>
      <c r="K2200">
        <v>2</v>
      </c>
      <c r="L2200">
        <v>3</v>
      </c>
      <c r="M2200" t="s">
        <v>1</v>
      </c>
      <c r="N2200" s="2">
        <v>0.46</v>
      </c>
      <c r="O2200" s="2">
        <v>0.54</v>
      </c>
      <c r="P2200">
        <v>11</v>
      </c>
      <c r="Q2200">
        <v>19</v>
      </c>
      <c r="R2200">
        <v>6</v>
      </c>
      <c r="S2200">
        <v>6</v>
      </c>
      <c r="T2200">
        <v>14</v>
      </c>
      <c r="U2200">
        <v>11</v>
      </c>
      <c r="V2200">
        <v>0</v>
      </c>
      <c r="W2200">
        <v>2</v>
      </c>
      <c r="X2200">
        <v>0</v>
      </c>
      <c r="Y2200">
        <v>0</v>
      </c>
      <c r="Z2200">
        <v>0</v>
      </c>
    </row>
    <row r="2201" spans="1:26" x14ac:dyDescent="0.2">
      <c r="A2201" t="s">
        <v>2319</v>
      </c>
      <c r="B2201" t="s">
        <v>61</v>
      </c>
      <c r="C2201">
        <v>2014</v>
      </c>
      <c r="D2201" t="s">
        <v>46</v>
      </c>
      <c r="E2201" t="s">
        <v>26</v>
      </c>
      <c r="F2201" t="s">
        <v>20</v>
      </c>
      <c r="G2201">
        <v>60704</v>
      </c>
      <c r="H2201">
        <v>48563.200000000004</v>
      </c>
      <c r="I2201" s="13">
        <v>0.66666666666666663</v>
      </c>
      <c r="J2201" t="s">
        <v>6207</v>
      </c>
      <c r="K2201">
        <v>4</v>
      </c>
      <c r="L2201">
        <v>1</v>
      </c>
      <c r="M2201" t="s">
        <v>0</v>
      </c>
      <c r="N2201" s="2">
        <v>0.49</v>
      </c>
      <c r="O2201" s="2">
        <v>0.51</v>
      </c>
      <c r="P2201">
        <v>12</v>
      </c>
      <c r="Q2201">
        <v>9</v>
      </c>
      <c r="R2201">
        <v>6</v>
      </c>
      <c r="S2201">
        <v>5</v>
      </c>
      <c r="T2201">
        <v>7</v>
      </c>
      <c r="U2201">
        <v>9</v>
      </c>
      <c r="V2201">
        <v>1</v>
      </c>
      <c r="W2201">
        <v>1</v>
      </c>
      <c r="X2201">
        <v>0</v>
      </c>
      <c r="Y2201">
        <v>1</v>
      </c>
      <c r="Z2201">
        <v>1</v>
      </c>
    </row>
    <row r="2202" spans="1:26" x14ac:dyDescent="0.2">
      <c r="A2202" t="s">
        <v>2320</v>
      </c>
      <c r="B2202" t="s">
        <v>54</v>
      </c>
      <c r="C2202">
        <v>2014</v>
      </c>
      <c r="D2202" t="s">
        <v>63</v>
      </c>
      <c r="E2202" t="s">
        <v>70</v>
      </c>
      <c r="F2202" t="s">
        <v>65</v>
      </c>
      <c r="G2202">
        <v>26804</v>
      </c>
      <c r="H2202">
        <v>21443.200000000001</v>
      </c>
      <c r="I2202" s="13">
        <v>0.5</v>
      </c>
      <c r="J2202" t="s">
        <v>6206</v>
      </c>
      <c r="K2202">
        <v>1</v>
      </c>
      <c r="L2202">
        <v>4</v>
      </c>
      <c r="M2202" t="s">
        <v>1</v>
      </c>
      <c r="N2202" s="2">
        <v>0.57999999999999996</v>
      </c>
      <c r="O2202" s="2">
        <v>0.42</v>
      </c>
      <c r="P2202">
        <v>17</v>
      </c>
      <c r="Q2202">
        <v>9</v>
      </c>
      <c r="R2202">
        <v>2</v>
      </c>
      <c r="S2202">
        <v>4</v>
      </c>
      <c r="T2202">
        <v>6</v>
      </c>
      <c r="U2202">
        <v>15</v>
      </c>
      <c r="V2202">
        <v>2</v>
      </c>
      <c r="W2202">
        <v>3</v>
      </c>
      <c r="X2202">
        <v>1</v>
      </c>
      <c r="Y2202">
        <v>0</v>
      </c>
      <c r="Z2202">
        <v>0</v>
      </c>
    </row>
    <row r="2203" spans="1:26" x14ac:dyDescent="0.2">
      <c r="A2203" t="s">
        <v>2321</v>
      </c>
      <c r="B2203" t="s">
        <v>37</v>
      </c>
      <c r="C2203">
        <v>2014</v>
      </c>
      <c r="D2203" t="s">
        <v>71</v>
      </c>
      <c r="E2203" t="s">
        <v>19</v>
      </c>
      <c r="F2203" t="s">
        <v>71</v>
      </c>
      <c r="G2203">
        <v>21088</v>
      </c>
      <c r="H2203">
        <v>16870.400000000001</v>
      </c>
      <c r="I2203" s="13">
        <v>0.7142857142857143</v>
      </c>
      <c r="J2203" t="s">
        <v>6206</v>
      </c>
      <c r="K2203">
        <v>3</v>
      </c>
      <c r="L2203">
        <v>1</v>
      </c>
      <c r="M2203" t="s">
        <v>0</v>
      </c>
      <c r="N2203" s="2">
        <v>0.6</v>
      </c>
      <c r="O2203" s="2">
        <v>0.4</v>
      </c>
      <c r="P2203">
        <v>12</v>
      </c>
      <c r="Q2203">
        <v>12</v>
      </c>
      <c r="R2203">
        <v>4</v>
      </c>
      <c r="S2203">
        <v>7</v>
      </c>
      <c r="T2203">
        <v>11</v>
      </c>
      <c r="U2203">
        <v>14</v>
      </c>
      <c r="V2203">
        <v>1</v>
      </c>
      <c r="W2203">
        <v>5</v>
      </c>
      <c r="X2203">
        <v>0</v>
      </c>
      <c r="Y2203">
        <v>1</v>
      </c>
      <c r="Z2203">
        <v>0</v>
      </c>
    </row>
    <row r="2204" spans="1:26" x14ac:dyDescent="0.2">
      <c r="A2204" t="s">
        <v>2322</v>
      </c>
      <c r="B2204" t="s">
        <v>74</v>
      </c>
      <c r="C2204">
        <v>2014</v>
      </c>
      <c r="D2204" t="s">
        <v>48</v>
      </c>
      <c r="E2204" t="s">
        <v>42</v>
      </c>
      <c r="F2204" t="s">
        <v>49</v>
      </c>
      <c r="G2204">
        <v>74197</v>
      </c>
      <c r="H2204">
        <v>59357.600000000006</v>
      </c>
      <c r="I2204" s="13">
        <v>0</v>
      </c>
      <c r="J2204" t="s">
        <v>6208</v>
      </c>
      <c r="K2204">
        <v>3</v>
      </c>
      <c r="L2204">
        <v>1</v>
      </c>
      <c r="M2204" t="s">
        <v>0</v>
      </c>
      <c r="N2204" s="2">
        <v>0.72</v>
      </c>
      <c r="O2204" s="2">
        <v>0.28000000000000003</v>
      </c>
      <c r="P2204">
        <v>13</v>
      </c>
      <c r="Q2204">
        <v>15</v>
      </c>
      <c r="R2204">
        <v>10</v>
      </c>
      <c r="S2204">
        <v>2</v>
      </c>
      <c r="T2204">
        <v>15</v>
      </c>
      <c r="U2204">
        <v>12</v>
      </c>
      <c r="V2204">
        <v>0</v>
      </c>
      <c r="W2204">
        <v>1</v>
      </c>
      <c r="X2204">
        <v>0</v>
      </c>
      <c r="Y2204">
        <v>0</v>
      </c>
      <c r="Z2204">
        <v>0</v>
      </c>
    </row>
    <row r="2205" spans="1:26" x14ac:dyDescent="0.2">
      <c r="A2205" t="s">
        <v>2323</v>
      </c>
      <c r="B2205" t="s">
        <v>44</v>
      </c>
      <c r="C2205">
        <v>2014</v>
      </c>
      <c r="D2205" t="s">
        <v>80</v>
      </c>
      <c r="E2205" t="s">
        <v>23</v>
      </c>
      <c r="F2205" t="s">
        <v>80</v>
      </c>
      <c r="G2205">
        <v>32261</v>
      </c>
      <c r="H2205">
        <v>25808.800000000003</v>
      </c>
      <c r="I2205" s="13">
        <v>0.25</v>
      </c>
      <c r="J2205" t="s">
        <v>6207</v>
      </c>
      <c r="K2205">
        <v>2</v>
      </c>
      <c r="L2205">
        <v>1</v>
      </c>
      <c r="M2205" t="s">
        <v>0</v>
      </c>
      <c r="N2205" s="2">
        <v>0.5</v>
      </c>
      <c r="O2205" s="2">
        <v>0.5</v>
      </c>
      <c r="P2205">
        <v>10</v>
      </c>
      <c r="Q2205">
        <v>15</v>
      </c>
      <c r="R2205">
        <v>7</v>
      </c>
      <c r="S2205">
        <v>6</v>
      </c>
      <c r="T2205">
        <v>12</v>
      </c>
      <c r="U2205">
        <v>10</v>
      </c>
      <c r="V2205">
        <v>0</v>
      </c>
      <c r="W2205">
        <v>4</v>
      </c>
      <c r="X2205">
        <v>0</v>
      </c>
      <c r="Y2205">
        <v>0</v>
      </c>
      <c r="Z2205">
        <v>1</v>
      </c>
    </row>
    <row r="2206" spans="1:26" x14ac:dyDescent="0.2">
      <c r="A2206" t="s">
        <v>2324</v>
      </c>
      <c r="B2206" t="s">
        <v>50</v>
      </c>
      <c r="C2206">
        <v>2014</v>
      </c>
      <c r="D2206" t="s">
        <v>45</v>
      </c>
      <c r="E2206" t="s">
        <v>73</v>
      </c>
      <c r="F2206" t="s">
        <v>26</v>
      </c>
      <c r="G2206">
        <v>39572</v>
      </c>
      <c r="H2206">
        <v>31657.600000000002</v>
      </c>
      <c r="I2206" s="13">
        <v>0</v>
      </c>
      <c r="J2206" t="s">
        <v>6207</v>
      </c>
      <c r="K2206">
        <v>1</v>
      </c>
      <c r="L2206">
        <v>0</v>
      </c>
      <c r="M2206" t="s">
        <v>0</v>
      </c>
      <c r="N2206" s="2">
        <v>0.45</v>
      </c>
      <c r="O2206" s="2">
        <v>0.55000000000000004</v>
      </c>
      <c r="P2206">
        <v>19</v>
      </c>
      <c r="Q2206">
        <v>12</v>
      </c>
      <c r="R2206">
        <v>4</v>
      </c>
      <c r="S2206">
        <v>10</v>
      </c>
      <c r="T2206">
        <v>12</v>
      </c>
      <c r="U2206">
        <v>17</v>
      </c>
      <c r="V2206">
        <v>0</v>
      </c>
      <c r="W2206">
        <v>1</v>
      </c>
      <c r="X2206">
        <v>0</v>
      </c>
      <c r="Y2206">
        <v>0</v>
      </c>
      <c r="Z2206">
        <v>0</v>
      </c>
    </row>
    <row r="2207" spans="1:26" x14ac:dyDescent="0.2">
      <c r="A2207" t="s">
        <v>2325</v>
      </c>
      <c r="B2207" t="s">
        <v>68</v>
      </c>
      <c r="C2207">
        <v>2014</v>
      </c>
      <c r="D2207" t="s">
        <v>18</v>
      </c>
      <c r="E2207" t="s">
        <v>27</v>
      </c>
      <c r="F2207" t="s">
        <v>20</v>
      </c>
      <c r="G2207">
        <v>40341</v>
      </c>
      <c r="H2207">
        <v>32272.800000000003</v>
      </c>
      <c r="I2207" s="13">
        <v>0.5714285714285714</v>
      </c>
      <c r="J2207" t="s">
        <v>6207</v>
      </c>
      <c r="K2207">
        <v>2</v>
      </c>
      <c r="L2207">
        <v>1</v>
      </c>
      <c r="M2207" t="s">
        <v>0</v>
      </c>
      <c r="N2207" s="2">
        <v>0.61</v>
      </c>
      <c r="O2207" s="2">
        <v>0.39</v>
      </c>
      <c r="P2207">
        <v>23</v>
      </c>
      <c r="Q2207">
        <v>8</v>
      </c>
      <c r="R2207">
        <v>9</v>
      </c>
      <c r="S2207">
        <v>0</v>
      </c>
      <c r="T2207">
        <v>5</v>
      </c>
      <c r="U2207">
        <v>22</v>
      </c>
      <c r="V2207">
        <v>1</v>
      </c>
      <c r="W2207">
        <v>6</v>
      </c>
      <c r="X2207">
        <v>0</v>
      </c>
      <c r="Y2207">
        <v>0</v>
      </c>
      <c r="Z2207">
        <v>1</v>
      </c>
    </row>
    <row r="2208" spans="1:26" x14ac:dyDescent="0.2">
      <c r="A2208" t="s">
        <v>2326</v>
      </c>
      <c r="B2208" t="s">
        <v>32</v>
      </c>
      <c r="C2208">
        <v>2014</v>
      </c>
      <c r="D2208" t="s">
        <v>28</v>
      </c>
      <c r="E2208" t="s">
        <v>51</v>
      </c>
      <c r="F2208" t="s">
        <v>28</v>
      </c>
      <c r="G2208">
        <v>21944</v>
      </c>
      <c r="H2208">
        <v>17555.2</v>
      </c>
      <c r="I2208" s="13">
        <v>0</v>
      </c>
      <c r="J2208" t="s">
        <v>6207</v>
      </c>
      <c r="K2208">
        <v>0</v>
      </c>
      <c r="L2208">
        <v>0</v>
      </c>
      <c r="M2208" t="s">
        <v>58</v>
      </c>
      <c r="N2208" s="2">
        <v>0.4</v>
      </c>
      <c r="O2208" s="2">
        <v>0.6</v>
      </c>
      <c r="P2208">
        <v>9</v>
      </c>
      <c r="Q2208">
        <v>13</v>
      </c>
      <c r="R2208">
        <v>5</v>
      </c>
      <c r="S2208">
        <v>3</v>
      </c>
      <c r="T2208">
        <v>9</v>
      </c>
      <c r="U2208">
        <v>5</v>
      </c>
      <c r="V2208">
        <v>2</v>
      </c>
      <c r="W2208">
        <v>0</v>
      </c>
      <c r="X2208">
        <v>0</v>
      </c>
      <c r="Y2208">
        <v>0</v>
      </c>
      <c r="Z2208">
        <v>0</v>
      </c>
    </row>
    <row r="2209" spans="1:26" x14ac:dyDescent="0.2">
      <c r="A2209" t="s">
        <v>2327</v>
      </c>
      <c r="B2209" t="s">
        <v>41</v>
      </c>
      <c r="C2209">
        <v>2014</v>
      </c>
      <c r="D2209" t="s">
        <v>35</v>
      </c>
      <c r="E2209" t="s">
        <v>64</v>
      </c>
      <c r="F2209" t="s">
        <v>35</v>
      </c>
      <c r="G2209">
        <v>49000</v>
      </c>
      <c r="H2209">
        <v>39200</v>
      </c>
      <c r="I2209" s="13">
        <v>0.42857142857142855</v>
      </c>
      <c r="J2209" t="s">
        <v>6207</v>
      </c>
      <c r="K2209">
        <v>1</v>
      </c>
      <c r="L2209">
        <v>0</v>
      </c>
      <c r="M2209" t="s">
        <v>0</v>
      </c>
      <c r="N2209" s="2">
        <v>0.53</v>
      </c>
      <c r="O2209" s="2">
        <v>0.47</v>
      </c>
      <c r="P2209">
        <v>19</v>
      </c>
      <c r="Q2209">
        <v>16</v>
      </c>
      <c r="R2209">
        <v>8</v>
      </c>
      <c r="S2209">
        <v>4</v>
      </c>
      <c r="T2209">
        <v>14</v>
      </c>
      <c r="U2209">
        <v>18</v>
      </c>
      <c r="V2209">
        <v>5</v>
      </c>
      <c r="W2209">
        <v>2</v>
      </c>
      <c r="X2209">
        <v>0</v>
      </c>
      <c r="Y2209">
        <v>0</v>
      </c>
      <c r="Z2209">
        <v>0</v>
      </c>
    </row>
    <row r="2210" spans="1:26" x14ac:dyDescent="0.2">
      <c r="A2210" t="s">
        <v>2328</v>
      </c>
      <c r="B2210" t="s">
        <v>66</v>
      </c>
      <c r="C2210">
        <v>2014</v>
      </c>
      <c r="D2210" t="s">
        <v>79</v>
      </c>
      <c r="E2210" t="s">
        <v>40</v>
      </c>
      <c r="F2210" t="s">
        <v>20</v>
      </c>
      <c r="G2210">
        <v>25486</v>
      </c>
      <c r="H2210">
        <v>20388.800000000003</v>
      </c>
      <c r="I2210" s="13">
        <v>0.66666666666666663</v>
      </c>
      <c r="J2210" t="s">
        <v>6207</v>
      </c>
      <c r="K2210">
        <v>2</v>
      </c>
      <c r="L2210">
        <v>1</v>
      </c>
      <c r="M2210" t="s">
        <v>0</v>
      </c>
      <c r="N2210" s="2">
        <v>0.31</v>
      </c>
      <c r="O2210" s="2">
        <v>0.69</v>
      </c>
      <c r="P2210">
        <v>11</v>
      </c>
      <c r="Q2210">
        <v>12</v>
      </c>
      <c r="R2210">
        <v>4</v>
      </c>
      <c r="S2210">
        <v>13</v>
      </c>
      <c r="T2210">
        <v>11</v>
      </c>
      <c r="U2210">
        <v>11</v>
      </c>
      <c r="V2210">
        <v>2</v>
      </c>
      <c r="W2210">
        <v>1</v>
      </c>
      <c r="X2210">
        <v>0</v>
      </c>
      <c r="Y2210">
        <v>0</v>
      </c>
      <c r="Z2210">
        <v>0</v>
      </c>
    </row>
    <row r="2211" spans="1:26" x14ac:dyDescent="0.2">
      <c r="A2211" t="s">
        <v>2329</v>
      </c>
      <c r="B2211" t="s">
        <v>76</v>
      </c>
      <c r="C2211">
        <v>2014</v>
      </c>
      <c r="D2211" t="s">
        <v>42</v>
      </c>
      <c r="E2211" t="s">
        <v>70</v>
      </c>
      <c r="F2211" t="s">
        <v>38</v>
      </c>
      <c r="G2211">
        <v>42918</v>
      </c>
      <c r="H2211">
        <v>34334.400000000001</v>
      </c>
      <c r="I2211" s="13">
        <v>0.5</v>
      </c>
      <c r="J2211" t="s">
        <v>6207</v>
      </c>
      <c r="K2211">
        <v>3</v>
      </c>
      <c r="L2211">
        <v>3</v>
      </c>
      <c r="M2211" t="s">
        <v>58</v>
      </c>
      <c r="N2211" s="2">
        <v>0.64</v>
      </c>
      <c r="O2211" s="2">
        <v>0.36</v>
      </c>
      <c r="P2211">
        <v>14</v>
      </c>
      <c r="Q2211">
        <v>12</v>
      </c>
      <c r="R2211">
        <v>7</v>
      </c>
      <c r="S2211">
        <v>3</v>
      </c>
      <c r="T2211">
        <v>8</v>
      </c>
      <c r="U2211">
        <v>12</v>
      </c>
      <c r="V2211">
        <v>0</v>
      </c>
      <c r="W2211">
        <v>4</v>
      </c>
      <c r="X2211">
        <v>0</v>
      </c>
      <c r="Y2211">
        <v>0</v>
      </c>
      <c r="Z2211">
        <v>0</v>
      </c>
    </row>
    <row r="2212" spans="1:26" x14ac:dyDescent="0.2">
      <c r="A2212" t="s">
        <v>2330</v>
      </c>
      <c r="B2212" t="s">
        <v>66</v>
      </c>
      <c r="C2212">
        <v>2014</v>
      </c>
      <c r="D2212" t="s">
        <v>71</v>
      </c>
      <c r="E2212" t="s">
        <v>45</v>
      </c>
      <c r="F2212" t="s">
        <v>71</v>
      </c>
      <c r="G2212">
        <v>21088</v>
      </c>
      <c r="H2212">
        <v>16870.400000000001</v>
      </c>
      <c r="I2212" s="13">
        <v>0.5</v>
      </c>
      <c r="J2212" t="s">
        <v>6207</v>
      </c>
      <c r="K2212">
        <v>1</v>
      </c>
      <c r="L2212">
        <v>1</v>
      </c>
      <c r="M2212" t="s">
        <v>58</v>
      </c>
      <c r="N2212" s="2">
        <v>0.51</v>
      </c>
      <c r="O2212" s="2">
        <v>0.49</v>
      </c>
      <c r="P2212">
        <v>11</v>
      </c>
      <c r="Q2212">
        <v>20</v>
      </c>
      <c r="R2212">
        <v>3</v>
      </c>
      <c r="S2212">
        <v>6</v>
      </c>
      <c r="T2212">
        <v>18</v>
      </c>
      <c r="U2212">
        <v>12</v>
      </c>
      <c r="V2212">
        <v>3</v>
      </c>
      <c r="W2212">
        <v>3</v>
      </c>
      <c r="X2212">
        <v>0</v>
      </c>
      <c r="Y2212">
        <v>0</v>
      </c>
      <c r="Z2212">
        <v>1</v>
      </c>
    </row>
    <row r="2213" spans="1:26" x14ac:dyDescent="0.2">
      <c r="A2213" t="s">
        <v>2331</v>
      </c>
      <c r="B2213" t="s">
        <v>74</v>
      </c>
      <c r="C2213">
        <v>2014</v>
      </c>
      <c r="D2213" t="s">
        <v>23</v>
      </c>
      <c r="E2213" t="s">
        <v>27</v>
      </c>
      <c r="F2213" t="s">
        <v>20</v>
      </c>
      <c r="G2213">
        <v>62500</v>
      </c>
      <c r="H2213">
        <v>50000</v>
      </c>
      <c r="I2213" s="13">
        <v>0.25</v>
      </c>
      <c r="J2213" t="s">
        <v>6208</v>
      </c>
      <c r="K2213">
        <v>1</v>
      </c>
      <c r="L2213">
        <v>1</v>
      </c>
      <c r="M2213" t="s">
        <v>58</v>
      </c>
      <c r="N2213" s="2">
        <v>0.34</v>
      </c>
      <c r="O2213" s="2">
        <v>0.66</v>
      </c>
      <c r="P2213">
        <v>17</v>
      </c>
      <c r="Q2213">
        <v>19</v>
      </c>
      <c r="R2213">
        <v>4</v>
      </c>
      <c r="S2213">
        <v>10</v>
      </c>
      <c r="T2213">
        <v>17</v>
      </c>
      <c r="U2213">
        <v>13</v>
      </c>
      <c r="V2213">
        <v>3</v>
      </c>
      <c r="W2213">
        <v>1</v>
      </c>
      <c r="X2213">
        <v>0</v>
      </c>
      <c r="Y2213">
        <v>0</v>
      </c>
      <c r="Z2213">
        <v>0</v>
      </c>
    </row>
    <row r="2214" spans="1:26" x14ac:dyDescent="0.2">
      <c r="A2214" t="s">
        <v>2332</v>
      </c>
      <c r="B2214" t="s">
        <v>32</v>
      </c>
      <c r="C2214">
        <v>2014</v>
      </c>
      <c r="D2214" t="s">
        <v>63</v>
      </c>
      <c r="E2214" t="s">
        <v>80</v>
      </c>
      <c r="F2214" t="s">
        <v>65</v>
      </c>
      <c r="G2214">
        <v>26804</v>
      </c>
      <c r="H2214">
        <v>21443.200000000001</v>
      </c>
      <c r="I2214" s="13">
        <v>0.25</v>
      </c>
      <c r="J2214" t="s">
        <v>6207</v>
      </c>
      <c r="K2214">
        <v>2</v>
      </c>
      <c r="L2214">
        <v>3</v>
      </c>
      <c r="M2214" t="s">
        <v>1</v>
      </c>
      <c r="N2214" s="2">
        <v>0.44</v>
      </c>
      <c r="O2214" s="2">
        <v>0.56000000000000005</v>
      </c>
      <c r="P2214">
        <v>17</v>
      </c>
      <c r="Q2214">
        <v>15</v>
      </c>
      <c r="R2214">
        <v>4</v>
      </c>
      <c r="S2214">
        <v>6</v>
      </c>
      <c r="T2214">
        <v>15</v>
      </c>
      <c r="U2214">
        <v>15</v>
      </c>
      <c r="V2214">
        <v>2</v>
      </c>
      <c r="W2214">
        <v>2</v>
      </c>
      <c r="X2214">
        <v>0</v>
      </c>
      <c r="Y2214">
        <v>0</v>
      </c>
      <c r="Z2214">
        <v>0</v>
      </c>
    </row>
    <row r="2215" spans="1:26" x14ac:dyDescent="0.2">
      <c r="A2215" t="s">
        <v>2333</v>
      </c>
      <c r="B2215" t="s">
        <v>54</v>
      </c>
      <c r="C2215">
        <v>2014</v>
      </c>
      <c r="D2215" t="s">
        <v>51</v>
      </c>
      <c r="E2215" t="s">
        <v>42</v>
      </c>
      <c r="F2215" t="s">
        <v>20</v>
      </c>
      <c r="G2215">
        <v>36284</v>
      </c>
      <c r="H2215">
        <v>29027.200000000001</v>
      </c>
      <c r="I2215" s="13">
        <v>0.5714285714285714</v>
      </c>
      <c r="J2215" t="s">
        <v>6206</v>
      </c>
      <c r="K2215">
        <v>0</v>
      </c>
      <c r="L2215">
        <v>1</v>
      </c>
      <c r="M2215" t="s">
        <v>1</v>
      </c>
      <c r="N2215" s="2">
        <v>0.57999999999999996</v>
      </c>
      <c r="O2215" s="2">
        <v>0.42</v>
      </c>
      <c r="P2215">
        <v>14</v>
      </c>
      <c r="Q2215">
        <v>16</v>
      </c>
      <c r="R2215">
        <v>9</v>
      </c>
      <c r="S2215">
        <v>6</v>
      </c>
      <c r="T2215">
        <v>11</v>
      </c>
      <c r="U2215">
        <v>12</v>
      </c>
      <c r="V2215">
        <v>3</v>
      </c>
      <c r="W2215">
        <v>3</v>
      </c>
      <c r="X2215">
        <v>0</v>
      </c>
      <c r="Y2215">
        <v>1</v>
      </c>
      <c r="Z2215">
        <v>0</v>
      </c>
    </row>
    <row r="2216" spans="1:26" x14ac:dyDescent="0.2">
      <c r="A2216" t="s">
        <v>2334</v>
      </c>
      <c r="B2216" t="s">
        <v>61</v>
      </c>
      <c r="C2216">
        <v>2014</v>
      </c>
      <c r="D2216" t="s">
        <v>35</v>
      </c>
      <c r="E2216" t="s">
        <v>79</v>
      </c>
      <c r="F2216" t="s">
        <v>35</v>
      </c>
      <c r="G2216">
        <v>49000</v>
      </c>
      <c r="H2216">
        <v>39200</v>
      </c>
      <c r="I2216" s="13">
        <v>0</v>
      </c>
      <c r="J2216" t="s">
        <v>6207</v>
      </c>
      <c r="K2216">
        <v>1</v>
      </c>
      <c r="L2216">
        <v>4</v>
      </c>
      <c r="M2216" t="s">
        <v>1</v>
      </c>
      <c r="N2216" s="2">
        <v>0.54</v>
      </c>
      <c r="O2216" s="2">
        <v>0.46</v>
      </c>
      <c r="P2216">
        <v>16</v>
      </c>
      <c r="Q2216">
        <v>15</v>
      </c>
      <c r="R2216">
        <v>8</v>
      </c>
      <c r="S2216">
        <v>4</v>
      </c>
      <c r="T2216">
        <v>15</v>
      </c>
      <c r="U2216">
        <v>17</v>
      </c>
      <c r="V2216">
        <v>2</v>
      </c>
      <c r="W2216">
        <v>2</v>
      </c>
      <c r="X2216">
        <v>0</v>
      </c>
      <c r="Y2216">
        <v>0</v>
      </c>
      <c r="Z2216">
        <v>0</v>
      </c>
    </row>
    <row r="2217" spans="1:26" x14ac:dyDescent="0.2">
      <c r="A2217" t="s">
        <v>2335</v>
      </c>
      <c r="B2217" t="s">
        <v>60</v>
      </c>
      <c r="C2217">
        <v>2014</v>
      </c>
      <c r="D2217" t="s">
        <v>73</v>
      </c>
      <c r="E2217" t="s">
        <v>19</v>
      </c>
      <c r="F2217" t="s">
        <v>73</v>
      </c>
      <c r="G2217">
        <v>32384</v>
      </c>
      <c r="H2217">
        <v>25907.200000000001</v>
      </c>
      <c r="I2217" s="13">
        <v>1</v>
      </c>
      <c r="J2217" t="s">
        <v>6208</v>
      </c>
      <c r="K2217">
        <v>2</v>
      </c>
      <c r="L2217">
        <v>0</v>
      </c>
      <c r="M2217" t="s">
        <v>0</v>
      </c>
      <c r="N2217" s="2">
        <v>0.53</v>
      </c>
      <c r="O2217" s="2">
        <v>0.47</v>
      </c>
      <c r="P2217">
        <v>10</v>
      </c>
      <c r="Q2217">
        <v>9</v>
      </c>
      <c r="R2217">
        <v>2</v>
      </c>
      <c r="S2217">
        <v>5</v>
      </c>
      <c r="T2217">
        <v>7</v>
      </c>
      <c r="U2217">
        <v>11</v>
      </c>
      <c r="V2217">
        <v>2</v>
      </c>
      <c r="W2217">
        <v>0</v>
      </c>
      <c r="X2217">
        <v>0</v>
      </c>
      <c r="Y2217">
        <v>0</v>
      </c>
      <c r="Z2217">
        <v>1</v>
      </c>
    </row>
    <row r="2218" spans="1:26" x14ac:dyDescent="0.2">
      <c r="A2218" t="s">
        <v>2336</v>
      </c>
      <c r="B2218" t="s">
        <v>41</v>
      </c>
      <c r="C2218">
        <v>2014</v>
      </c>
      <c r="D2218" t="s">
        <v>28</v>
      </c>
      <c r="E2218" t="s">
        <v>46</v>
      </c>
      <c r="F2218" t="s">
        <v>28</v>
      </c>
      <c r="G2218">
        <v>21944</v>
      </c>
      <c r="H2218">
        <v>17555.2</v>
      </c>
      <c r="I2218" s="13">
        <v>0</v>
      </c>
      <c r="J2218" t="s">
        <v>6207</v>
      </c>
      <c r="K2218">
        <v>0</v>
      </c>
      <c r="L2218">
        <v>1</v>
      </c>
      <c r="M2218" t="s">
        <v>1</v>
      </c>
      <c r="N2218" s="2">
        <v>0.31</v>
      </c>
      <c r="O2218" s="2">
        <v>0.69</v>
      </c>
      <c r="P2218">
        <v>9</v>
      </c>
      <c r="Q2218">
        <v>18</v>
      </c>
      <c r="R2218">
        <v>1</v>
      </c>
      <c r="S2218">
        <v>6</v>
      </c>
      <c r="T2218">
        <v>15</v>
      </c>
      <c r="U2218">
        <v>7</v>
      </c>
      <c r="V2218">
        <v>2</v>
      </c>
      <c r="W2218">
        <v>0</v>
      </c>
      <c r="X2218">
        <v>0</v>
      </c>
      <c r="Y2218">
        <v>0</v>
      </c>
      <c r="Z2218">
        <v>0</v>
      </c>
    </row>
    <row r="2219" spans="1:26" x14ac:dyDescent="0.2">
      <c r="A2219" t="s">
        <v>2337</v>
      </c>
      <c r="B2219" t="s">
        <v>37</v>
      </c>
      <c r="C2219">
        <v>2014</v>
      </c>
      <c r="D2219" t="s">
        <v>70</v>
      </c>
      <c r="E2219" t="s">
        <v>18</v>
      </c>
      <c r="F2219" t="s">
        <v>20</v>
      </c>
      <c r="G2219">
        <v>18439</v>
      </c>
      <c r="H2219">
        <v>14751.2</v>
      </c>
      <c r="I2219" s="13">
        <v>0.66666666666666663</v>
      </c>
      <c r="J2219" t="s">
        <v>6206</v>
      </c>
      <c r="K2219">
        <v>0</v>
      </c>
      <c r="L2219">
        <v>1</v>
      </c>
      <c r="M2219" t="s">
        <v>1</v>
      </c>
      <c r="N2219" s="2">
        <v>0.4</v>
      </c>
      <c r="O2219" s="2">
        <v>0.6</v>
      </c>
      <c r="P2219">
        <v>9</v>
      </c>
      <c r="Q2219">
        <v>12</v>
      </c>
      <c r="R2219">
        <v>5</v>
      </c>
      <c r="S2219">
        <v>6</v>
      </c>
      <c r="T2219">
        <v>12</v>
      </c>
      <c r="U2219">
        <v>6</v>
      </c>
      <c r="V2219">
        <v>2</v>
      </c>
      <c r="W2219">
        <v>1</v>
      </c>
      <c r="X2219">
        <v>0</v>
      </c>
      <c r="Y2219">
        <v>0</v>
      </c>
      <c r="Z2219">
        <v>0</v>
      </c>
    </row>
    <row r="2220" spans="1:26" x14ac:dyDescent="0.2">
      <c r="A2220" t="s">
        <v>2338</v>
      </c>
      <c r="B2220" t="s">
        <v>44</v>
      </c>
      <c r="C2220">
        <v>2014</v>
      </c>
      <c r="D2220" t="s">
        <v>48</v>
      </c>
      <c r="E2220" t="s">
        <v>40</v>
      </c>
      <c r="F2220" t="s">
        <v>49</v>
      </c>
      <c r="G2220">
        <v>74197</v>
      </c>
      <c r="H2220">
        <v>59357.600000000006</v>
      </c>
      <c r="I2220" s="13">
        <v>0.66666666666666663</v>
      </c>
      <c r="J2220" t="s">
        <v>6207</v>
      </c>
      <c r="K2220">
        <v>4</v>
      </c>
      <c r="L2220">
        <v>2</v>
      </c>
      <c r="M2220" t="s">
        <v>0</v>
      </c>
      <c r="N2220" s="2">
        <v>0.59</v>
      </c>
      <c r="O2220" s="2">
        <v>0.41</v>
      </c>
      <c r="P2220">
        <v>19</v>
      </c>
      <c r="Q2220">
        <v>11</v>
      </c>
      <c r="R2220">
        <v>1</v>
      </c>
      <c r="S2220">
        <v>5</v>
      </c>
      <c r="T2220">
        <v>9</v>
      </c>
      <c r="U2220">
        <v>16</v>
      </c>
      <c r="V2220">
        <v>0</v>
      </c>
      <c r="W2220">
        <v>3</v>
      </c>
      <c r="X2220">
        <v>0</v>
      </c>
      <c r="Y2220">
        <v>0</v>
      </c>
      <c r="Z2220">
        <v>0</v>
      </c>
    </row>
    <row r="2221" spans="1:26" x14ac:dyDescent="0.2">
      <c r="A2221" t="s">
        <v>2339</v>
      </c>
      <c r="B2221" t="s">
        <v>50</v>
      </c>
      <c r="C2221">
        <v>2014</v>
      </c>
      <c r="D2221" t="s">
        <v>26</v>
      </c>
      <c r="E2221" t="s">
        <v>64</v>
      </c>
      <c r="F2221" t="s">
        <v>26</v>
      </c>
      <c r="G2221">
        <v>61276</v>
      </c>
      <c r="H2221">
        <v>49020.800000000003</v>
      </c>
      <c r="I2221" s="13">
        <v>0.5</v>
      </c>
      <c r="J2221" t="s">
        <v>6207</v>
      </c>
      <c r="K2221">
        <v>2</v>
      </c>
      <c r="L2221">
        <v>0</v>
      </c>
      <c r="M2221" t="s">
        <v>0</v>
      </c>
      <c r="N2221" s="2">
        <v>0.62</v>
      </c>
      <c r="O2221" s="2">
        <v>0.38</v>
      </c>
      <c r="P2221">
        <v>19</v>
      </c>
      <c r="Q2221">
        <v>11</v>
      </c>
      <c r="R2221">
        <v>6</v>
      </c>
      <c r="S2221">
        <v>6</v>
      </c>
      <c r="T2221">
        <v>8</v>
      </c>
      <c r="U2221">
        <v>17</v>
      </c>
      <c r="V2221">
        <v>2</v>
      </c>
      <c r="W2221">
        <v>1</v>
      </c>
      <c r="X2221">
        <v>0</v>
      </c>
      <c r="Y2221">
        <v>1</v>
      </c>
      <c r="Z2221">
        <v>0</v>
      </c>
    </row>
    <row r="2222" spans="1:26" x14ac:dyDescent="0.2">
      <c r="A2222" t="s">
        <v>2340</v>
      </c>
      <c r="B2222" t="s">
        <v>44</v>
      </c>
      <c r="C2222">
        <v>2014</v>
      </c>
      <c r="D2222" t="s">
        <v>27</v>
      </c>
      <c r="E2222" t="s">
        <v>73</v>
      </c>
      <c r="F2222" t="s">
        <v>27</v>
      </c>
      <c r="G2222">
        <v>30089</v>
      </c>
      <c r="H2222">
        <v>24071.200000000001</v>
      </c>
      <c r="I2222" s="13">
        <v>0.75</v>
      </c>
      <c r="J2222" t="s">
        <v>6207</v>
      </c>
      <c r="K2222">
        <v>2</v>
      </c>
      <c r="L2222">
        <v>1</v>
      </c>
      <c r="M2222" t="s">
        <v>0</v>
      </c>
      <c r="N2222" s="2">
        <v>0.49</v>
      </c>
      <c r="O2222" s="2">
        <v>0.51</v>
      </c>
      <c r="P2222">
        <v>18</v>
      </c>
      <c r="Q2222">
        <v>19</v>
      </c>
      <c r="R2222">
        <v>2</v>
      </c>
      <c r="S2222">
        <v>5</v>
      </c>
      <c r="T2222">
        <v>17</v>
      </c>
      <c r="U2222">
        <v>17</v>
      </c>
      <c r="V2222">
        <v>0</v>
      </c>
      <c r="W2222">
        <v>4</v>
      </c>
      <c r="X2222">
        <v>0</v>
      </c>
      <c r="Y2222">
        <v>0</v>
      </c>
      <c r="Z2222">
        <v>0</v>
      </c>
    </row>
    <row r="2223" spans="1:26" x14ac:dyDescent="0.2">
      <c r="A2223" t="s">
        <v>2341</v>
      </c>
      <c r="B2223" t="s">
        <v>54</v>
      </c>
      <c r="C2223">
        <v>2014</v>
      </c>
      <c r="D2223" t="s">
        <v>80</v>
      </c>
      <c r="E2223" t="s">
        <v>71</v>
      </c>
      <c r="F2223" t="s">
        <v>80</v>
      </c>
      <c r="G2223">
        <v>32261</v>
      </c>
      <c r="H2223">
        <v>25808.800000000003</v>
      </c>
      <c r="I2223" s="13">
        <v>0.5</v>
      </c>
      <c r="J2223" t="s">
        <v>6206</v>
      </c>
      <c r="K2223">
        <v>2</v>
      </c>
      <c r="L2223">
        <v>0</v>
      </c>
      <c r="M2223" t="s">
        <v>0</v>
      </c>
      <c r="N2223" s="2">
        <v>0.41</v>
      </c>
      <c r="O2223" s="2">
        <v>0.59</v>
      </c>
      <c r="P2223">
        <v>8</v>
      </c>
      <c r="Q2223">
        <v>6</v>
      </c>
      <c r="R2223">
        <v>6</v>
      </c>
      <c r="S2223">
        <v>3</v>
      </c>
      <c r="T2223">
        <v>6</v>
      </c>
      <c r="U2223">
        <v>5</v>
      </c>
      <c r="V2223">
        <v>0</v>
      </c>
      <c r="W2223">
        <v>2</v>
      </c>
      <c r="X2223">
        <v>0</v>
      </c>
      <c r="Y2223">
        <v>0</v>
      </c>
      <c r="Z2223">
        <v>0</v>
      </c>
    </row>
    <row r="2224" spans="1:26" x14ac:dyDescent="0.2">
      <c r="A2224" t="s">
        <v>2342</v>
      </c>
      <c r="B2224" t="s">
        <v>53</v>
      </c>
      <c r="C2224">
        <v>2014</v>
      </c>
      <c r="D2224" t="s">
        <v>45</v>
      </c>
      <c r="E2224" t="s">
        <v>28</v>
      </c>
      <c r="F2224" t="s">
        <v>26</v>
      </c>
      <c r="G2224">
        <v>39572</v>
      </c>
      <c r="H2224">
        <v>31657.600000000002</v>
      </c>
      <c r="I2224" s="13">
        <v>0.4</v>
      </c>
      <c r="J2224" t="s">
        <v>6207</v>
      </c>
      <c r="K2224">
        <v>1</v>
      </c>
      <c r="L2224">
        <v>0</v>
      </c>
      <c r="M2224" t="s">
        <v>0</v>
      </c>
      <c r="N2224" s="2">
        <v>0.66</v>
      </c>
      <c r="O2224" s="2">
        <v>0.34</v>
      </c>
      <c r="P2224">
        <v>14</v>
      </c>
      <c r="Q2224">
        <v>13</v>
      </c>
      <c r="R2224">
        <v>5</v>
      </c>
      <c r="S2224">
        <v>6</v>
      </c>
      <c r="T2224">
        <v>12</v>
      </c>
      <c r="U2224">
        <v>15</v>
      </c>
      <c r="V2224">
        <v>1</v>
      </c>
      <c r="W2224">
        <v>3</v>
      </c>
      <c r="X2224">
        <v>0</v>
      </c>
      <c r="Y2224">
        <v>1</v>
      </c>
      <c r="Z2224">
        <v>1</v>
      </c>
    </row>
    <row r="2225" spans="1:26" x14ac:dyDescent="0.2">
      <c r="A2225" t="s">
        <v>2343</v>
      </c>
      <c r="B2225" t="s">
        <v>68</v>
      </c>
      <c r="C2225">
        <v>2014</v>
      </c>
      <c r="D2225" t="s">
        <v>79</v>
      </c>
      <c r="E2225" t="s">
        <v>63</v>
      </c>
      <c r="F2225" t="s">
        <v>20</v>
      </c>
      <c r="G2225">
        <v>25486</v>
      </c>
      <c r="H2225">
        <v>20388.800000000003</v>
      </c>
      <c r="I2225" s="13">
        <v>0.16666666666666666</v>
      </c>
      <c r="J2225" t="s">
        <v>6207</v>
      </c>
      <c r="K2225">
        <v>0</v>
      </c>
      <c r="L2225">
        <v>2</v>
      </c>
      <c r="M2225" t="s">
        <v>1</v>
      </c>
      <c r="N2225" s="2">
        <v>0.68</v>
      </c>
      <c r="O2225" s="2">
        <v>0.32</v>
      </c>
      <c r="P2225">
        <v>19</v>
      </c>
      <c r="Q2225">
        <v>18</v>
      </c>
      <c r="R2225">
        <v>7</v>
      </c>
      <c r="S2225">
        <v>6</v>
      </c>
      <c r="T2225">
        <v>17</v>
      </c>
      <c r="U2225">
        <v>17</v>
      </c>
      <c r="V2225">
        <v>3</v>
      </c>
      <c r="W2225">
        <v>3</v>
      </c>
      <c r="X2225">
        <v>0</v>
      </c>
      <c r="Y2225">
        <v>0</v>
      </c>
      <c r="Z2225">
        <v>0</v>
      </c>
    </row>
    <row r="2226" spans="1:26" x14ac:dyDescent="0.2">
      <c r="A2226" t="s">
        <v>2344</v>
      </c>
      <c r="B2226" t="s">
        <v>41</v>
      </c>
      <c r="C2226">
        <v>2014</v>
      </c>
      <c r="D2226" t="s">
        <v>18</v>
      </c>
      <c r="E2226" t="s">
        <v>48</v>
      </c>
      <c r="F2226" t="s">
        <v>20</v>
      </c>
      <c r="G2226">
        <v>40341</v>
      </c>
      <c r="H2226">
        <v>32272.800000000003</v>
      </c>
      <c r="I2226" s="13">
        <v>1</v>
      </c>
      <c r="J2226" t="s">
        <v>6207</v>
      </c>
      <c r="K2226">
        <v>1</v>
      </c>
      <c r="L2226">
        <v>0</v>
      </c>
      <c r="M2226" t="s">
        <v>0</v>
      </c>
      <c r="N2226" s="2">
        <v>0.3</v>
      </c>
      <c r="O2226" s="2">
        <v>0.7</v>
      </c>
      <c r="P2226">
        <v>14</v>
      </c>
      <c r="Q2226">
        <v>14</v>
      </c>
      <c r="R2226">
        <v>3</v>
      </c>
      <c r="S2226">
        <v>7</v>
      </c>
      <c r="T2226">
        <v>13</v>
      </c>
      <c r="U2226">
        <v>11</v>
      </c>
      <c r="V2226">
        <v>3</v>
      </c>
      <c r="W2226">
        <v>1</v>
      </c>
      <c r="X2226">
        <v>0</v>
      </c>
      <c r="Y2226">
        <v>0</v>
      </c>
      <c r="Z2226">
        <v>0</v>
      </c>
    </row>
    <row r="2227" spans="1:26" x14ac:dyDescent="0.2">
      <c r="A2227" t="s">
        <v>2345</v>
      </c>
      <c r="B2227" t="s">
        <v>61</v>
      </c>
      <c r="C2227">
        <v>2014</v>
      </c>
      <c r="D2227" t="s">
        <v>40</v>
      </c>
      <c r="E2227" t="s">
        <v>23</v>
      </c>
      <c r="F2227" t="s">
        <v>49</v>
      </c>
      <c r="G2227">
        <v>53400</v>
      </c>
      <c r="H2227">
        <v>42720</v>
      </c>
      <c r="I2227" s="13">
        <v>0.75</v>
      </c>
      <c r="J2227" t="s">
        <v>6207</v>
      </c>
      <c r="K2227">
        <v>2</v>
      </c>
      <c r="L2227">
        <v>0</v>
      </c>
      <c r="M2227" t="s">
        <v>0</v>
      </c>
      <c r="N2227" s="2">
        <v>0.68</v>
      </c>
      <c r="O2227" s="2">
        <v>0.32</v>
      </c>
      <c r="P2227">
        <v>10</v>
      </c>
      <c r="Q2227">
        <v>15</v>
      </c>
      <c r="R2227">
        <v>6</v>
      </c>
      <c r="S2227">
        <v>3</v>
      </c>
      <c r="T2227">
        <v>10</v>
      </c>
      <c r="U2227">
        <v>6</v>
      </c>
      <c r="V2227">
        <v>2</v>
      </c>
      <c r="W2227">
        <v>2</v>
      </c>
      <c r="X2227">
        <v>0</v>
      </c>
      <c r="Y2227">
        <v>0</v>
      </c>
      <c r="Z2227">
        <v>0</v>
      </c>
    </row>
    <row r="2228" spans="1:26" x14ac:dyDescent="0.2">
      <c r="A2228" t="s">
        <v>2346</v>
      </c>
      <c r="B2228" t="s">
        <v>60</v>
      </c>
      <c r="C2228">
        <v>2014</v>
      </c>
      <c r="D2228" t="s">
        <v>64</v>
      </c>
      <c r="E2228" t="s">
        <v>51</v>
      </c>
      <c r="F2228" t="s">
        <v>64</v>
      </c>
      <c r="G2228">
        <v>52264</v>
      </c>
      <c r="H2228">
        <v>41811.200000000004</v>
      </c>
      <c r="I2228" s="13">
        <v>0.83333333333333337</v>
      </c>
      <c r="J2228" t="s">
        <v>6208</v>
      </c>
      <c r="K2228">
        <v>1</v>
      </c>
      <c r="L2228">
        <v>3</v>
      </c>
      <c r="M2228" t="s">
        <v>1</v>
      </c>
      <c r="N2228" s="2">
        <v>0.38</v>
      </c>
      <c r="O2228" s="2">
        <v>0.62</v>
      </c>
      <c r="P2228">
        <v>18</v>
      </c>
      <c r="Q2228">
        <v>12</v>
      </c>
      <c r="R2228">
        <v>4</v>
      </c>
      <c r="S2228">
        <v>3</v>
      </c>
      <c r="T2228">
        <v>11</v>
      </c>
      <c r="U2228">
        <v>13</v>
      </c>
      <c r="V2228">
        <v>2</v>
      </c>
      <c r="W2228">
        <v>4</v>
      </c>
      <c r="X2228">
        <v>0</v>
      </c>
      <c r="Y2228">
        <v>0</v>
      </c>
      <c r="Z2228">
        <v>0</v>
      </c>
    </row>
    <row r="2229" spans="1:26" x14ac:dyDescent="0.2">
      <c r="A2229" t="s">
        <v>2347</v>
      </c>
      <c r="B2229" t="s">
        <v>68</v>
      </c>
      <c r="C2229">
        <v>2014</v>
      </c>
      <c r="D2229" t="s">
        <v>73</v>
      </c>
      <c r="E2229" t="s">
        <v>51</v>
      </c>
      <c r="F2229" t="s">
        <v>73</v>
      </c>
      <c r="G2229">
        <v>32384</v>
      </c>
      <c r="H2229">
        <v>25907.200000000001</v>
      </c>
      <c r="I2229" s="13">
        <v>0.5</v>
      </c>
      <c r="J2229" t="s">
        <v>6207</v>
      </c>
      <c r="K2229">
        <v>2</v>
      </c>
      <c r="L2229">
        <v>2</v>
      </c>
      <c r="M2229" t="s">
        <v>58</v>
      </c>
      <c r="N2229" s="2">
        <v>0.43</v>
      </c>
      <c r="O2229" s="2">
        <v>0.56999999999999995</v>
      </c>
      <c r="P2229">
        <v>13</v>
      </c>
      <c r="Q2229">
        <v>12</v>
      </c>
      <c r="R2229">
        <v>8</v>
      </c>
      <c r="S2229">
        <v>3</v>
      </c>
      <c r="T2229">
        <v>9</v>
      </c>
      <c r="U2229">
        <v>10</v>
      </c>
      <c r="V2229">
        <v>1</v>
      </c>
      <c r="W2229">
        <v>3</v>
      </c>
      <c r="X2229">
        <v>0</v>
      </c>
      <c r="Y2229">
        <v>0</v>
      </c>
      <c r="Z2229">
        <v>0</v>
      </c>
    </row>
    <row r="2230" spans="1:26" x14ac:dyDescent="0.2">
      <c r="A2230" t="s">
        <v>2348</v>
      </c>
      <c r="B2230" t="s">
        <v>74</v>
      </c>
      <c r="C2230">
        <v>2014</v>
      </c>
      <c r="D2230" t="s">
        <v>63</v>
      </c>
      <c r="E2230" t="s">
        <v>26</v>
      </c>
      <c r="F2230" t="s">
        <v>65</v>
      </c>
      <c r="G2230">
        <v>26804</v>
      </c>
      <c r="H2230">
        <v>21443.200000000001</v>
      </c>
      <c r="I2230" s="13">
        <v>0</v>
      </c>
      <c r="J2230" t="s">
        <v>6208</v>
      </c>
      <c r="K2230">
        <v>0</v>
      </c>
      <c r="L2230">
        <v>0</v>
      </c>
      <c r="M2230" t="s">
        <v>58</v>
      </c>
      <c r="N2230" s="2">
        <v>0.26</v>
      </c>
      <c r="O2230" s="2">
        <v>0.74</v>
      </c>
      <c r="P2230">
        <v>12</v>
      </c>
      <c r="Q2230">
        <v>13</v>
      </c>
      <c r="R2230">
        <v>2</v>
      </c>
      <c r="S2230">
        <v>4</v>
      </c>
      <c r="T2230">
        <v>12</v>
      </c>
      <c r="U2230">
        <v>11</v>
      </c>
      <c r="V2230">
        <v>1</v>
      </c>
      <c r="W2230">
        <v>0</v>
      </c>
      <c r="X2230">
        <v>0</v>
      </c>
      <c r="Y2230">
        <v>0</v>
      </c>
      <c r="Z2230">
        <v>0</v>
      </c>
    </row>
    <row r="2231" spans="1:26" x14ac:dyDescent="0.2">
      <c r="A2231" t="s">
        <v>2349</v>
      </c>
      <c r="B2231" t="s">
        <v>32</v>
      </c>
      <c r="C2231">
        <v>2014</v>
      </c>
      <c r="D2231" t="s">
        <v>27</v>
      </c>
      <c r="E2231" t="s">
        <v>35</v>
      </c>
      <c r="F2231" t="s">
        <v>27</v>
      </c>
      <c r="G2231">
        <v>30089</v>
      </c>
      <c r="H2231">
        <v>24071.200000000001</v>
      </c>
      <c r="I2231" s="13">
        <v>0.8</v>
      </c>
      <c r="J2231" t="s">
        <v>6207</v>
      </c>
      <c r="K2231">
        <v>1</v>
      </c>
      <c r="L2231">
        <v>1</v>
      </c>
      <c r="M2231" t="s">
        <v>58</v>
      </c>
      <c r="N2231" s="2">
        <v>0.61</v>
      </c>
      <c r="O2231" s="2">
        <v>0.39</v>
      </c>
      <c r="P2231">
        <v>17</v>
      </c>
      <c r="Q2231">
        <v>16</v>
      </c>
      <c r="R2231">
        <v>9</v>
      </c>
      <c r="S2231">
        <v>8</v>
      </c>
      <c r="T2231">
        <v>14</v>
      </c>
      <c r="U2231">
        <v>15</v>
      </c>
      <c r="V2231">
        <v>2</v>
      </c>
      <c r="W2231">
        <v>3</v>
      </c>
      <c r="X2231">
        <v>0</v>
      </c>
      <c r="Y2231">
        <v>0</v>
      </c>
      <c r="Z2231">
        <v>0</v>
      </c>
    </row>
    <row r="2232" spans="1:26" x14ac:dyDescent="0.2">
      <c r="A2232" t="s">
        <v>2350</v>
      </c>
      <c r="B2232" t="s">
        <v>53</v>
      </c>
      <c r="C2232">
        <v>2014</v>
      </c>
      <c r="D2232" t="s">
        <v>70</v>
      </c>
      <c r="E2232" t="s">
        <v>23</v>
      </c>
      <c r="F2232" t="s">
        <v>20</v>
      </c>
      <c r="G2232">
        <v>18439</v>
      </c>
      <c r="H2232">
        <v>14751.2</v>
      </c>
      <c r="I2232" s="13">
        <v>0</v>
      </c>
      <c r="J2232" t="s">
        <v>6207</v>
      </c>
      <c r="K2232">
        <v>0</v>
      </c>
      <c r="L2232">
        <v>0</v>
      </c>
      <c r="M2232" t="s">
        <v>58</v>
      </c>
      <c r="N2232" s="2">
        <v>0.54</v>
      </c>
      <c r="O2232" s="2">
        <v>0.46</v>
      </c>
      <c r="P2232">
        <v>16</v>
      </c>
      <c r="Q2232">
        <v>17</v>
      </c>
      <c r="R2232">
        <v>6</v>
      </c>
      <c r="S2232">
        <v>6</v>
      </c>
      <c r="T2232">
        <v>14</v>
      </c>
      <c r="U2232">
        <v>12</v>
      </c>
      <c r="V2232">
        <v>1</v>
      </c>
      <c r="W2232">
        <v>0</v>
      </c>
      <c r="X2232">
        <v>0</v>
      </c>
      <c r="Y2232">
        <v>0</v>
      </c>
      <c r="Z2232">
        <v>1</v>
      </c>
    </row>
    <row r="2233" spans="1:26" x14ac:dyDescent="0.2">
      <c r="A2233" t="s">
        <v>2351</v>
      </c>
      <c r="B2233" t="s">
        <v>67</v>
      </c>
      <c r="C2233">
        <v>2014</v>
      </c>
      <c r="D2233" t="s">
        <v>64</v>
      </c>
      <c r="E2233" t="s">
        <v>71</v>
      </c>
      <c r="F2233" t="s">
        <v>64</v>
      </c>
      <c r="G2233">
        <v>52264</v>
      </c>
      <c r="H2233">
        <v>41811.200000000004</v>
      </c>
      <c r="I2233" s="13">
        <v>1</v>
      </c>
      <c r="J2233" t="s">
        <v>6207</v>
      </c>
      <c r="K2233">
        <v>2</v>
      </c>
      <c r="L2233">
        <v>3</v>
      </c>
      <c r="M2233" t="s">
        <v>1</v>
      </c>
      <c r="N2233" s="2">
        <v>0.48</v>
      </c>
      <c r="O2233" s="2">
        <v>0.52</v>
      </c>
      <c r="P2233">
        <v>12</v>
      </c>
      <c r="Q2233">
        <v>14</v>
      </c>
      <c r="R2233">
        <v>9</v>
      </c>
      <c r="S2233">
        <v>6</v>
      </c>
      <c r="T2233">
        <v>14</v>
      </c>
      <c r="U2233">
        <v>9</v>
      </c>
      <c r="V2233">
        <v>1</v>
      </c>
      <c r="W2233">
        <v>2</v>
      </c>
      <c r="X2233">
        <v>0</v>
      </c>
      <c r="Y2233">
        <v>0</v>
      </c>
      <c r="Z2233">
        <v>0</v>
      </c>
    </row>
    <row r="2234" spans="1:26" x14ac:dyDescent="0.2">
      <c r="A2234" t="s">
        <v>2352</v>
      </c>
      <c r="B2234" t="s">
        <v>44</v>
      </c>
      <c r="C2234">
        <v>2014</v>
      </c>
      <c r="D2234" t="s">
        <v>79</v>
      </c>
      <c r="E2234" t="s">
        <v>19</v>
      </c>
      <c r="F2234" t="s">
        <v>20</v>
      </c>
      <c r="G2234">
        <v>25486</v>
      </c>
      <c r="H2234">
        <v>20388.800000000003</v>
      </c>
      <c r="I2234" s="13">
        <v>0</v>
      </c>
      <c r="J2234" t="s">
        <v>6207</v>
      </c>
      <c r="K2234">
        <v>0</v>
      </c>
      <c r="L2234">
        <v>2</v>
      </c>
      <c r="M2234" t="s">
        <v>1</v>
      </c>
      <c r="N2234" s="2">
        <v>0.47</v>
      </c>
      <c r="O2234" s="2">
        <v>0.53</v>
      </c>
      <c r="P2234">
        <v>10</v>
      </c>
      <c r="Q2234">
        <v>20</v>
      </c>
      <c r="R2234">
        <v>0</v>
      </c>
      <c r="S2234">
        <v>9</v>
      </c>
      <c r="T2234">
        <v>15</v>
      </c>
      <c r="U2234">
        <v>10</v>
      </c>
      <c r="V2234">
        <v>0</v>
      </c>
      <c r="W2234">
        <v>0</v>
      </c>
      <c r="X2234">
        <v>0</v>
      </c>
      <c r="Y2234">
        <v>0</v>
      </c>
      <c r="Z2234">
        <v>0</v>
      </c>
    </row>
    <row r="2235" spans="1:26" x14ac:dyDescent="0.2">
      <c r="A2235" t="s">
        <v>2353</v>
      </c>
      <c r="B2235" t="s">
        <v>61</v>
      </c>
      <c r="C2235">
        <v>2014</v>
      </c>
      <c r="D2235" t="s">
        <v>28</v>
      </c>
      <c r="E2235" t="s">
        <v>80</v>
      </c>
      <c r="F2235" t="s">
        <v>28</v>
      </c>
      <c r="G2235">
        <v>21944</v>
      </c>
      <c r="H2235">
        <v>17555.2</v>
      </c>
      <c r="I2235" s="13">
        <v>0</v>
      </c>
      <c r="J2235" t="s">
        <v>6207</v>
      </c>
      <c r="K2235">
        <v>0</v>
      </c>
      <c r="L2235">
        <v>1</v>
      </c>
      <c r="M2235" t="s">
        <v>1</v>
      </c>
      <c r="N2235" s="2">
        <v>0.6</v>
      </c>
      <c r="O2235" s="2">
        <v>0.4</v>
      </c>
      <c r="P2235">
        <v>16</v>
      </c>
      <c r="Q2235">
        <v>17</v>
      </c>
      <c r="R2235">
        <v>6</v>
      </c>
      <c r="S2235">
        <v>4</v>
      </c>
      <c r="T2235">
        <v>16</v>
      </c>
      <c r="U2235">
        <v>16</v>
      </c>
      <c r="V2235">
        <v>3</v>
      </c>
      <c r="W2235">
        <v>0</v>
      </c>
      <c r="X2235">
        <v>0</v>
      </c>
      <c r="Y2235">
        <v>0</v>
      </c>
      <c r="Z2235">
        <v>1</v>
      </c>
    </row>
    <row r="2236" spans="1:26" x14ac:dyDescent="0.2">
      <c r="A2236" t="s">
        <v>2354</v>
      </c>
      <c r="B2236" t="s">
        <v>41</v>
      </c>
      <c r="C2236">
        <v>2014</v>
      </c>
      <c r="D2236" t="s">
        <v>40</v>
      </c>
      <c r="E2236" t="s">
        <v>42</v>
      </c>
      <c r="F2236" t="s">
        <v>49</v>
      </c>
      <c r="G2236">
        <v>53400</v>
      </c>
      <c r="H2236">
        <v>42720</v>
      </c>
      <c r="I2236" s="13">
        <v>0.66666666666666663</v>
      </c>
      <c r="J2236" t="s">
        <v>6207</v>
      </c>
      <c r="K2236">
        <v>3</v>
      </c>
      <c r="L2236">
        <v>2</v>
      </c>
      <c r="M2236" t="s">
        <v>0</v>
      </c>
      <c r="N2236" s="2">
        <v>0.45</v>
      </c>
      <c r="O2236" s="2">
        <v>0.55000000000000004</v>
      </c>
      <c r="P2236">
        <v>17</v>
      </c>
      <c r="Q2236">
        <v>14</v>
      </c>
      <c r="R2236">
        <v>7</v>
      </c>
      <c r="S2236">
        <v>6</v>
      </c>
      <c r="T2236">
        <v>13</v>
      </c>
      <c r="U2236">
        <v>11</v>
      </c>
      <c r="V2236">
        <v>1</v>
      </c>
      <c r="W2236">
        <v>2</v>
      </c>
      <c r="X2236">
        <v>0</v>
      </c>
      <c r="Y2236">
        <v>0</v>
      </c>
      <c r="Z2236">
        <v>0</v>
      </c>
    </row>
    <row r="2237" spans="1:26" x14ac:dyDescent="0.2">
      <c r="A2237" t="s">
        <v>2355</v>
      </c>
      <c r="B2237" t="s">
        <v>37</v>
      </c>
      <c r="C2237">
        <v>2014</v>
      </c>
      <c r="D2237" t="s">
        <v>45</v>
      </c>
      <c r="E2237" t="s">
        <v>48</v>
      </c>
      <c r="F2237" t="s">
        <v>26</v>
      </c>
      <c r="G2237">
        <v>39572</v>
      </c>
      <c r="H2237">
        <v>31657.600000000002</v>
      </c>
      <c r="I2237" s="13">
        <v>0.5</v>
      </c>
      <c r="J2237" t="s">
        <v>6206</v>
      </c>
      <c r="K2237">
        <v>3</v>
      </c>
      <c r="L2237">
        <v>0</v>
      </c>
      <c r="M2237" t="s">
        <v>0</v>
      </c>
      <c r="N2237" s="2">
        <v>0.34</v>
      </c>
      <c r="O2237" s="2">
        <v>0.66</v>
      </c>
      <c r="P2237">
        <v>12</v>
      </c>
      <c r="Q2237">
        <v>7</v>
      </c>
      <c r="R2237">
        <v>7</v>
      </c>
      <c r="S2237">
        <v>7</v>
      </c>
      <c r="T2237">
        <v>6</v>
      </c>
      <c r="U2237">
        <v>10</v>
      </c>
      <c r="V2237">
        <v>0</v>
      </c>
      <c r="W2237">
        <v>2</v>
      </c>
      <c r="X2237">
        <v>0</v>
      </c>
      <c r="Y2237">
        <v>0</v>
      </c>
      <c r="Z2237">
        <v>0</v>
      </c>
    </row>
    <row r="2238" spans="1:26" x14ac:dyDescent="0.2">
      <c r="A2238" t="s">
        <v>2356</v>
      </c>
      <c r="B2238" t="s">
        <v>66</v>
      </c>
      <c r="C2238">
        <v>2014</v>
      </c>
      <c r="D2238" t="s">
        <v>46</v>
      </c>
      <c r="E2238" t="s">
        <v>18</v>
      </c>
      <c r="F2238" t="s">
        <v>20</v>
      </c>
      <c r="G2238">
        <v>60704</v>
      </c>
      <c r="H2238">
        <v>48563.200000000004</v>
      </c>
      <c r="I2238" s="13">
        <v>0.8571428571428571</v>
      </c>
      <c r="J2238" t="s">
        <v>6207</v>
      </c>
      <c r="K2238">
        <v>0</v>
      </c>
      <c r="L2238">
        <v>0</v>
      </c>
      <c r="M2238" t="s">
        <v>58</v>
      </c>
      <c r="N2238" s="2">
        <v>0.56999999999999995</v>
      </c>
      <c r="O2238" s="2">
        <v>0.43</v>
      </c>
      <c r="P2238">
        <v>11</v>
      </c>
      <c r="Q2238">
        <v>18</v>
      </c>
      <c r="R2238">
        <v>6</v>
      </c>
      <c r="S2238">
        <v>2</v>
      </c>
      <c r="T2238">
        <v>17</v>
      </c>
      <c r="U2238">
        <v>11</v>
      </c>
      <c r="V2238">
        <v>4</v>
      </c>
      <c r="W2238">
        <v>3</v>
      </c>
      <c r="X2238">
        <v>0</v>
      </c>
      <c r="Y2238">
        <v>0</v>
      </c>
      <c r="Z2238">
        <v>0</v>
      </c>
    </row>
    <row r="2239" spans="1:26" x14ac:dyDescent="0.2">
      <c r="A2239" t="s">
        <v>2357</v>
      </c>
      <c r="B2239" t="s">
        <v>54</v>
      </c>
      <c r="C2239">
        <v>2014</v>
      </c>
      <c r="D2239" t="s">
        <v>19</v>
      </c>
      <c r="E2239" t="s">
        <v>26</v>
      </c>
      <c r="F2239" t="s">
        <v>19</v>
      </c>
      <c r="G2239">
        <v>25586</v>
      </c>
      <c r="H2239">
        <v>20468.800000000003</v>
      </c>
      <c r="I2239" s="13">
        <v>0.5</v>
      </c>
      <c r="J2239" t="s">
        <v>6206</v>
      </c>
      <c r="K2239">
        <v>1</v>
      </c>
      <c r="L2239">
        <v>0</v>
      </c>
      <c r="M2239" t="s">
        <v>0</v>
      </c>
      <c r="N2239" s="2">
        <v>0.31</v>
      </c>
      <c r="O2239" s="2">
        <v>0.69</v>
      </c>
      <c r="P2239">
        <v>10</v>
      </c>
      <c r="Q2239">
        <v>11</v>
      </c>
      <c r="R2239">
        <v>7</v>
      </c>
      <c r="S2239">
        <v>7</v>
      </c>
      <c r="T2239">
        <v>10</v>
      </c>
      <c r="U2239">
        <v>10</v>
      </c>
      <c r="V2239">
        <v>2</v>
      </c>
      <c r="W2239">
        <v>0</v>
      </c>
      <c r="X2239">
        <v>0</v>
      </c>
      <c r="Y2239">
        <v>0</v>
      </c>
      <c r="Z2239">
        <v>0</v>
      </c>
    </row>
    <row r="2240" spans="1:26" x14ac:dyDescent="0.2">
      <c r="A2240" t="s">
        <v>2358</v>
      </c>
      <c r="B2240" t="s">
        <v>44</v>
      </c>
      <c r="C2240">
        <v>2014</v>
      </c>
      <c r="D2240" t="s">
        <v>80</v>
      </c>
      <c r="E2240" t="s">
        <v>18</v>
      </c>
      <c r="F2240" t="s">
        <v>80</v>
      </c>
      <c r="G2240">
        <v>32261</v>
      </c>
      <c r="H2240">
        <v>25808.800000000003</v>
      </c>
      <c r="I2240" s="13">
        <v>0</v>
      </c>
      <c r="J2240" t="s">
        <v>6207</v>
      </c>
      <c r="K2240">
        <v>1</v>
      </c>
      <c r="L2240">
        <v>3</v>
      </c>
      <c r="M2240" t="s">
        <v>1</v>
      </c>
      <c r="N2240" s="2">
        <v>0.37</v>
      </c>
      <c r="O2240" s="2">
        <v>0.63</v>
      </c>
      <c r="P2240">
        <v>4</v>
      </c>
      <c r="Q2240">
        <v>15</v>
      </c>
      <c r="R2240">
        <v>2</v>
      </c>
      <c r="S2240">
        <v>6</v>
      </c>
      <c r="T2240">
        <v>10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</row>
    <row r="2241" spans="1:26" x14ac:dyDescent="0.2">
      <c r="A2241" t="s">
        <v>2359</v>
      </c>
      <c r="B2241" t="s">
        <v>41</v>
      </c>
      <c r="C2241">
        <v>2014</v>
      </c>
      <c r="D2241" t="s">
        <v>80</v>
      </c>
      <c r="E2241" t="s">
        <v>64</v>
      </c>
      <c r="F2241" t="s">
        <v>80</v>
      </c>
      <c r="G2241">
        <v>32261</v>
      </c>
      <c r="H2241">
        <v>25808.800000000003</v>
      </c>
      <c r="I2241" s="13">
        <v>0.2857142857142857</v>
      </c>
      <c r="J2241" t="s">
        <v>6207</v>
      </c>
      <c r="K2241">
        <v>3</v>
      </c>
      <c r="L2241">
        <v>0</v>
      </c>
      <c r="M2241" t="s">
        <v>0</v>
      </c>
      <c r="N2241" s="2">
        <v>0.48</v>
      </c>
      <c r="O2241" s="2">
        <v>0.52</v>
      </c>
      <c r="P2241">
        <v>15</v>
      </c>
      <c r="Q2241">
        <v>14</v>
      </c>
      <c r="R2241">
        <v>10</v>
      </c>
      <c r="S2241">
        <v>7</v>
      </c>
      <c r="T2241">
        <v>10</v>
      </c>
      <c r="U2241">
        <v>13</v>
      </c>
      <c r="V2241">
        <v>1</v>
      </c>
      <c r="W2241">
        <v>4</v>
      </c>
      <c r="X2241">
        <v>0</v>
      </c>
      <c r="Y2241">
        <v>2</v>
      </c>
      <c r="Z2241">
        <v>1</v>
      </c>
    </row>
    <row r="2242" spans="1:26" x14ac:dyDescent="0.2">
      <c r="A2242" t="s">
        <v>2360</v>
      </c>
      <c r="B2242" t="s">
        <v>68</v>
      </c>
      <c r="C2242">
        <v>2014</v>
      </c>
      <c r="D2242" t="s">
        <v>23</v>
      </c>
      <c r="E2242" t="s">
        <v>28</v>
      </c>
      <c r="F2242" t="s">
        <v>20</v>
      </c>
      <c r="G2242">
        <v>62500</v>
      </c>
      <c r="H2242">
        <v>50000</v>
      </c>
      <c r="I2242" s="13">
        <v>0.16666666666666666</v>
      </c>
      <c r="J2242" t="s">
        <v>6207</v>
      </c>
      <c r="K2242">
        <v>1</v>
      </c>
      <c r="L2242">
        <v>0</v>
      </c>
      <c r="M2242" t="s">
        <v>0</v>
      </c>
      <c r="N2242" s="2">
        <v>0.6</v>
      </c>
      <c r="O2242" s="2">
        <v>0.4</v>
      </c>
      <c r="P2242">
        <v>8</v>
      </c>
      <c r="Q2242">
        <v>13</v>
      </c>
      <c r="R2242">
        <v>13</v>
      </c>
      <c r="S2242">
        <v>3</v>
      </c>
      <c r="T2242">
        <v>11</v>
      </c>
      <c r="U2242">
        <v>7</v>
      </c>
      <c r="V2242">
        <v>3</v>
      </c>
      <c r="W2242">
        <v>2</v>
      </c>
      <c r="X2242">
        <v>0</v>
      </c>
      <c r="Y2242">
        <v>1</v>
      </c>
      <c r="Z2242">
        <v>1</v>
      </c>
    </row>
    <row r="2243" spans="1:26" x14ac:dyDescent="0.2">
      <c r="A2243" t="s">
        <v>2361</v>
      </c>
      <c r="B2243" t="s">
        <v>76</v>
      </c>
      <c r="C2243">
        <v>2014</v>
      </c>
      <c r="D2243" t="s">
        <v>71</v>
      </c>
      <c r="E2243" t="s">
        <v>27</v>
      </c>
      <c r="F2243" t="s">
        <v>71</v>
      </c>
      <c r="G2243">
        <v>21088</v>
      </c>
      <c r="H2243">
        <v>16870.400000000001</v>
      </c>
      <c r="I2243" s="13">
        <v>0.6</v>
      </c>
      <c r="J2243" t="s">
        <v>6207</v>
      </c>
      <c r="K2243">
        <v>2</v>
      </c>
      <c r="L2243">
        <v>0</v>
      </c>
      <c r="M2243" t="s">
        <v>0</v>
      </c>
      <c r="N2243" s="2">
        <v>0.48</v>
      </c>
      <c r="O2243" s="2">
        <v>0.52</v>
      </c>
      <c r="P2243">
        <v>16</v>
      </c>
      <c r="Q2243">
        <v>9</v>
      </c>
      <c r="R2243">
        <v>6</v>
      </c>
      <c r="S2243">
        <v>2</v>
      </c>
      <c r="T2243">
        <v>9</v>
      </c>
      <c r="U2243">
        <v>18</v>
      </c>
      <c r="V2243">
        <v>1</v>
      </c>
      <c r="W2243">
        <v>3</v>
      </c>
      <c r="X2243">
        <v>0</v>
      </c>
      <c r="Y2243">
        <v>1</v>
      </c>
      <c r="Z2243">
        <v>0</v>
      </c>
    </row>
    <row r="2244" spans="1:26" x14ac:dyDescent="0.2">
      <c r="A2244" t="s">
        <v>2362</v>
      </c>
      <c r="B2244" t="s">
        <v>53</v>
      </c>
      <c r="C2244">
        <v>2014</v>
      </c>
      <c r="D2244" t="s">
        <v>35</v>
      </c>
      <c r="E2244" t="s">
        <v>73</v>
      </c>
      <c r="F2244" t="s">
        <v>35</v>
      </c>
      <c r="G2244">
        <v>49000</v>
      </c>
      <c r="H2244">
        <v>39200</v>
      </c>
      <c r="I2244" s="13">
        <v>0.6</v>
      </c>
      <c r="J2244" t="s">
        <v>6207</v>
      </c>
      <c r="K2244">
        <v>2</v>
      </c>
      <c r="L2244">
        <v>1</v>
      </c>
      <c r="M2244" t="s">
        <v>0</v>
      </c>
      <c r="N2244" s="2">
        <v>0.45</v>
      </c>
      <c r="O2244" s="2">
        <v>0.55000000000000004</v>
      </c>
      <c r="P2244">
        <v>13</v>
      </c>
      <c r="Q2244">
        <v>15</v>
      </c>
      <c r="R2244">
        <v>1</v>
      </c>
      <c r="S2244">
        <v>1</v>
      </c>
      <c r="T2244">
        <v>12</v>
      </c>
      <c r="U2244">
        <v>13</v>
      </c>
      <c r="V2244">
        <v>2</v>
      </c>
      <c r="W2244">
        <v>2</v>
      </c>
      <c r="X2244">
        <v>0</v>
      </c>
      <c r="Y2244">
        <v>1</v>
      </c>
      <c r="Z2244">
        <v>2</v>
      </c>
    </row>
    <row r="2245" spans="1:26" x14ac:dyDescent="0.2">
      <c r="A2245" t="s">
        <v>2363</v>
      </c>
      <c r="B2245" t="s">
        <v>32</v>
      </c>
      <c r="C2245">
        <v>2014</v>
      </c>
      <c r="D2245" t="s">
        <v>26</v>
      </c>
      <c r="E2245" t="s">
        <v>70</v>
      </c>
      <c r="F2245" t="s">
        <v>26</v>
      </c>
      <c r="G2245">
        <v>61276</v>
      </c>
      <c r="H2245">
        <v>49020.800000000003</v>
      </c>
      <c r="I2245" s="13">
        <v>0.42857142857142855</v>
      </c>
      <c r="J2245" t="s">
        <v>6207</v>
      </c>
      <c r="K2245">
        <v>2</v>
      </c>
      <c r="L2245">
        <v>1</v>
      </c>
      <c r="M2245" t="s">
        <v>0</v>
      </c>
      <c r="N2245" s="2">
        <v>0.56999999999999995</v>
      </c>
      <c r="O2245" s="2">
        <v>0.43</v>
      </c>
      <c r="P2245">
        <v>20</v>
      </c>
      <c r="Q2245">
        <v>12</v>
      </c>
      <c r="R2245">
        <v>9</v>
      </c>
      <c r="S2245">
        <v>6</v>
      </c>
      <c r="T2245">
        <v>9</v>
      </c>
      <c r="U2245">
        <v>18</v>
      </c>
      <c r="V2245">
        <v>2</v>
      </c>
      <c r="W2245">
        <v>4</v>
      </c>
      <c r="X2245">
        <v>0</v>
      </c>
      <c r="Y2245">
        <v>1</v>
      </c>
      <c r="Z2245">
        <v>1</v>
      </c>
    </row>
    <row r="2246" spans="1:26" x14ac:dyDescent="0.2">
      <c r="A2246" t="s">
        <v>2364</v>
      </c>
      <c r="B2246" t="s">
        <v>44</v>
      </c>
      <c r="C2246">
        <v>2014</v>
      </c>
      <c r="D2246" t="s">
        <v>42</v>
      </c>
      <c r="E2246" t="s">
        <v>45</v>
      </c>
      <c r="F2246" t="s">
        <v>38</v>
      </c>
      <c r="G2246">
        <v>42918</v>
      </c>
      <c r="H2246">
        <v>34334.400000000001</v>
      </c>
      <c r="I2246" s="13">
        <v>1</v>
      </c>
      <c r="J2246" t="s">
        <v>6207</v>
      </c>
      <c r="K2246">
        <v>3</v>
      </c>
      <c r="L2246">
        <v>2</v>
      </c>
      <c r="M2246" t="s">
        <v>0</v>
      </c>
      <c r="N2246" s="2">
        <v>0.47</v>
      </c>
      <c r="O2246" s="2">
        <v>0.53</v>
      </c>
      <c r="P2246">
        <v>15</v>
      </c>
      <c r="Q2246">
        <v>13</v>
      </c>
      <c r="R2246">
        <v>5</v>
      </c>
      <c r="S2246">
        <v>3</v>
      </c>
      <c r="T2246">
        <v>13</v>
      </c>
      <c r="U2246">
        <v>12</v>
      </c>
      <c r="V2246">
        <v>2</v>
      </c>
      <c r="W2246">
        <v>1</v>
      </c>
      <c r="X2246">
        <v>0</v>
      </c>
      <c r="Y2246">
        <v>0</v>
      </c>
      <c r="Z2246">
        <v>1</v>
      </c>
    </row>
    <row r="2247" spans="1:26" x14ac:dyDescent="0.2">
      <c r="A2247" t="s">
        <v>2365</v>
      </c>
      <c r="B2247" t="s">
        <v>61</v>
      </c>
      <c r="C2247">
        <v>2014</v>
      </c>
      <c r="D2247" t="s">
        <v>48</v>
      </c>
      <c r="E2247" t="s">
        <v>63</v>
      </c>
      <c r="F2247" t="s">
        <v>49</v>
      </c>
      <c r="G2247">
        <v>74197</v>
      </c>
      <c r="H2247">
        <v>59357.600000000006</v>
      </c>
      <c r="I2247" s="13">
        <v>0</v>
      </c>
      <c r="J2247" t="s">
        <v>6207</v>
      </c>
      <c r="K2247">
        <v>0</v>
      </c>
      <c r="L2247">
        <v>1</v>
      </c>
      <c r="M2247" t="s">
        <v>1</v>
      </c>
      <c r="N2247" s="2">
        <v>0.81</v>
      </c>
      <c r="O2247" s="2">
        <v>0.19</v>
      </c>
      <c r="P2247">
        <v>10</v>
      </c>
      <c r="Q2247">
        <v>13</v>
      </c>
      <c r="R2247">
        <v>9</v>
      </c>
      <c r="S2247">
        <v>3</v>
      </c>
      <c r="T2247">
        <v>10</v>
      </c>
      <c r="U2247">
        <v>11</v>
      </c>
      <c r="V2247">
        <v>1</v>
      </c>
      <c r="W2247">
        <v>0</v>
      </c>
      <c r="X2247">
        <v>0</v>
      </c>
      <c r="Y2247">
        <v>0</v>
      </c>
      <c r="Z2247">
        <v>1</v>
      </c>
    </row>
    <row r="2248" spans="1:26" x14ac:dyDescent="0.2">
      <c r="A2248" t="s">
        <v>2366</v>
      </c>
      <c r="B2248" t="s">
        <v>60</v>
      </c>
      <c r="C2248">
        <v>2014</v>
      </c>
      <c r="D2248" t="s">
        <v>18</v>
      </c>
      <c r="E2248" t="s">
        <v>79</v>
      </c>
      <c r="F2248" t="s">
        <v>20</v>
      </c>
      <c r="G2248">
        <v>40341</v>
      </c>
      <c r="H2248">
        <v>32272.800000000003</v>
      </c>
      <c r="I2248" s="13">
        <v>0.5</v>
      </c>
      <c r="J2248" t="s">
        <v>6208</v>
      </c>
      <c r="K2248">
        <v>1</v>
      </c>
      <c r="L2248">
        <v>0</v>
      </c>
      <c r="M2248" t="s">
        <v>0</v>
      </c>
      <c r="N2248" s="2">
        <v>0.62</v>
      </c>
      <c r="O2248" s="2">
        <v>0.38</v>
      </c>
      <c r="P2248">
        <v>14</v>
      </c>
      <c r="Q2248">
        <v>13</v>
      </c>
      <c r="R2248">
        <v>3</v>
      </c>
      <c r="S2248">
        <v>6</v>
      </c>
      <c r="T2248">
        <v>12</v>
      </c>
      <c r="U2248">
        <v>13</v>
      </c>
      <c r="V2248">
        <v>2</v>
      </c>
      <c r="W2248">
        <v>2</v>
      </c>
      <c r="X2248">
        <v>0</v>
      </c>
      <c r="Y2248">
        <v>0</v>
      </c>
      <c r="Z2248">
        <v>1</v>
      </c>
    </row>
    <row r="2249" spans="1:26" x14ac:dyDescent="0.2">
      <c r="A2249" t="s">
        <v>2367</v>
      </c>
      <c r="B2249" t="s">
        <v>37</v>
      </c>
      <c r="C2249">
        <v>2014</v>
      </c>
      <c r="D2249" t="s">
        <v>51</v>
      </c>
      <c r="E2249" t="s">
        <v>40</v>
      </c>
      <c r="F2249" t="s">
        <v>20</v>
      </c>
      <c r="G2249">
        <v>36284</v>
      </c>
      <c r="H2249">
        <v>29027.200000000001</v>
      </c>
      <c r="I2249" s="13">
        <v>0.5714285714285714</v>
      </c>
      <c r="J2249" t="s">
        <v>6206</v>
      </c>
      <c r="K2249">
        <v>0</v>
      </c>
      <c r="L2249">
        <v>1</v>
      </c>
      <c r="M2249" t="s">
        <v>1</v>
      </c>
      <c r="N2249" s="2">
        <v>0.54</v>
      </c>
      <c r="O2249" s="2">
        <v>0.46</v>
      </c>
      <c r="P2249">
        <v>12</v>
      </c>
      <c r="Q2249">
        <v>8</v>
      </c>
      <c r="R2249">
        <v>8</v>
      </c>
      <c r="S2249">
        <v>7</v>
      </c>
      <c r="T2249">
        <v>6</v>
      </c>
      <c r="U2249">
        <v>11</v>
      </c>
      <c r="V2249">
        <v>3</v>
      </c>
      <c r="W2249">
        <v>4</v>
      </c>
      <c r="X2249">
        <v>0</v>
      </c>
      <c r="Y2249">
        <v>0</v>
      </c>
      <c r="Z2249">
        <v>0</v>
      </c>
    </row>
    <row r="2250" spans="1:26" x14ac:dyDescent="0.2">
      <c r="A2250" t="s">
        <v>2368</v>
      </c>
      <c r="B2250" t="s">
        <v>50</v>
      </c>
      <c r="C2250">
        <v>2014</v>
      </c>
      <c r="D2250" t="s">
        <v>19</v>
      </c>
      <c r="E2250" t="s">
        <v>46</v>
      </c>
      <c r="F2250" t="s">
        <v>19</v>
      </c>
      <c r="G2250">
        <v>25586</v>
      </c>
      <c r="H2250">
        <v>20468.800000000003</v>
      </c>
      <c r="I2250" s="13">
        <v>0.5</v>
      </c>
      <c r="J2250" t="s">
        <v>6207</v>
      </c>
      <c r="K2250">
        <v>1</v>
      </c>
      <c r="L2250">
        <v>3</v>
      </c>
      <c r="M2250" t="s">
        <v>1</v>
      </c>
      <c r="N2250" s="2">
        <v>0.32</v>
      </c>
      <c r="O2250" s="2">
        <v>0.68</v>
      </c>
      <c r="P2250">
        <v>12</v>
      </c>
      <c r="Q2250">
        <v>12</v>
      </c>
      <c r="R2250">
        <v>0</v>
      </c>
      <c r="S2250">
        <v>5</v>
      </c>
      <c r="T2250">
        <v>8</v>
      </c>
      <c r="U2250">
        <v>11</v>
      </c>
      <c r="V2250">
        <v>2</v>
      </c>
      <c r="W2250">
        <v>0</v>
      </c>
      <c r="X2250">
        <v>0</v>
      </c>
      <c r="Y2250">
        <v>0</v>
      </c>
      <c r="Z2250">
        <v>0</v>
      </c>
    </row>
    <row r="2251" spans="1:26" x14ac:dyDescent="0.2">
      <c r="A2251" t="s">
        <v>2369</v>
      </c>
      <c r="B2251" t="s">
        <v>54</v>
      </c>
      <c r="C2251">
        <v>2014</v>
      </c>
      <c r="D2251" t="s">
        <v>45</v>
      </c>
      <c r="E2251" t="s">
        <v>35</v>
      </c>
      <c r="F2251" t="s">
        <v>26</v>
      </c>
      <c r="G2251">
        <v>39572</v>
      </c>
      <c r="H2251">
        <v>31657.600000000002</v>
      </c>
      <c r="I2251" s="13">
        <v>0.4</v>
      </c>
      <c r="J2251" t="s">
        <v>6206</v>
      </c>
      <c r="K2251">
        <v>0</v>
      </c>
      <c r="L2251">
        <v>2</v>
      </c>
      <c r="M2251" t="s">
        <v>1</v>
      </c>
      <c r="N2251" s="2">
        <v>0.73</v>
      </c>
      <c r="O2251" s="2">
        <v>0.27</v>
      </c>
      <c r="P2251">
        <v>11</v>
      </c>
      <c r="Q2251">
        <v>12</v>
      </c>
      <c r="R2251">
        <v>15</v>
      </c>
      <c r="S2251">
        <v>1</v>
      </c>
      <c r="T2251">
        <v>10</v>
      </c>
      <c r="U2251">
        <v>9</v>
      </c>
      <c r="V2251">
        <v>2</v>
      </c>
      <c r="W2251">
        <v>3</v>
      </c>
      <c r="X2251">
        <v>0</v>
      </c>
      <c r="Y2251">
        <v>0</v>
      </c>
      <c r="Z2251">
        <v>0</v>
      </c>
    </row>
    <row r="2252" spans="1:26" x14ac:dyDescent="0.2">
      <c r="A2252" t="s">
        <v>2370</v>
      </c>
      <c r="B2252" t="s">
        <v>44</v>
      </c>
      <c r="C2252">
        <v>2014</v>
      </c>
      <c r="D2252" t="s">
        <v>27</v>
      </c>
      <c r="E2252" t="s">
        <v>51</v>
      </c>
      <c r="F2252" t="s">
        <v>27</v>
      </c>
      <c r="G2252">
        <v>30089</v>
      </c>
      <c r="H2252">
        <v>24071.200000000001</v>
      </c>
      <c r="I2252" s="13">
        <v>0.5</v>
      </c>
      <c r="J2252" t="s">
        <v>6207</v>
      </c>
      <c r="K2252">
        <v>3</v>
      </c>
      <c r="L2252">
        <v>0</v>
      </c>
      <c r="M2252" t="s">
        <v>0</v>
      </c>
      <c r="N2252" s="2">
        <v>0.45</v>
      </c>
      <c r="O2252" s="2">
        <v>0.55000000000000004</v>
      </c>
      <c r="P2252">
        <v>12</v>
      </c>
      <c r="Q2252">
        <v>18</v>
      </c>
      <c r="R2252">
        <v>6</v>
      </c>
      <c r="S2252">
        <v>8</v>
      </c>
      <c r="T2252">
        <v>14</v>
      </c>
      <c r="U2252">
        <v>12</v>
      </c>
      <c r="V2252">
        <v>0</v>
      </c>
      <c r="W2252">
        <v>1</v>
      </c>
      <c r="X2252">
        <v>0</v>
      </c>
      <c r="Y2252">
        <v>1</v>
      </c>
      <c r="Z2252">
        <v>0</v>
      </c>
    </row>
    <row r="2253" spans="1:26" x14ac:dyDescent="0.2">
      <c r="A2253" t="s">
        <v>2371</v>
      </c>
      <c r="B2253" t="s">
        <v>25</v>
      </c>
      <c r="C2253">
        <v>2014</v>
      </c>
      <c r="D2253" t="s">
        <v>64</v>
      </c>
      <c r="E2253" t="s">
        <v>63</v>
      </c>
      <c r="F2253" t="s">
        <v>64</v>
      </c>
      <c r="G2253">
        <v>52264</v>
      </c>
      <c r="H2253">
        <v>41811.200000000004</v>
      </c>
      <c r="I2253" s="13">
        <v>0.4</v>
      </c>
      <c r="J2253" t="s">
        <v>6207</v>
      </c>
      <c r="K2253">
        <v>1</v>
      </c>
      <c r="L2253">
        <v>1</v>
      </c>
      <c r="M2253" t="s">
        <v>58</v>
      </c>
      <c r="N2253" s="2">
        <v>0.62</v>
      </c>
      <c r="O2253" s="2">
        <v>0.38</v>
      </c>
      <c r="P2253">
        <v>19</v>
      </c>
      <c r="Q2253">
        <v>11</v>
      </c>
      <c r="R2253">
        <v>7</v>
      </c>
      <c r="S2253">
        <v>2</v>
      </c>
      <c r="T2253">
        <v>11</v>
      </c>
      <c r="U2253">
        <v>17</v>
      </c>
      <c r="V2253">
        <v>2</v>
      </c>
      <c r="W2253">
        <v>3</v>
      </c>
      <c r="X2253">
        <v>0</v>
      </c>
      <c r="Y2253">
        <v>0</v>
      </c>
      <c r="Z2253">
        <v>0</v>
      </c>
    </row>
    <row r="2254" spans="1:26" x14ac:dyDescent="0.2">
      <c r="A2254" t="s">
        <v>2372</v>
      </c>
      <c r="B2254" t="s">
        <v>74</v>
      </c>
      <c r="C2254">
        <v>2014</v>
      </c>
      <c r="D2254" t="s">
        <v>80</v>
      </c>
      <c r="E2254" t="s">
        <v>73</v>
      </c>
      <c r="F2254" t="s">
        <v>80</v>
      </c>
      <c r="G2254">
        <v>32261</v>
      </c>
      <c r="H2254">
        <v>25808.800000000003</v>
      </c>
      <c r="I2254" s="13">
        <v>1</v>
      </c>
      <c r="J2254" t="s">
        <v>6208</v>
      </c>
      <c r="K2254">
        <v>2</v>
      </c>
      <c r="L2254">
        <v>0</v>
      </c>
      <c r="M2254" t="s">
        <v>0</v>
      </c>
      <c r="N2254" s="2">
        <v>0.31</v>
      </c>
      <c r="O2254" s="2">
        <v>0.69</v>
      </c>
      <c r="P2254">
        <v>11</v>
      </c>
      <c r="Q2254">
        <v>12</v>
      </c>
      <c r="R2254">
        <v>4</v>
      </c>
      <c r="S2254">
        <v>8</v>
      </c>
      <c r="T2254">
        <v>12</v>
      </c>
      <c r="U2254">
        <v>10</v>
      </c>
      <c r="V2254">
        <v>1</v>
      </c>
      <c r="W2254">
        <v>0</v>
      </c>
      <c r="X2254">
        <v>0</v>
      </c>
      <c r="Y2254">
        <v>0</v>
      </c>
      <c r="Z2254">
        <v>0</v>
      </c>
    </row>
    <row r="2255" spans="1:26" x14ac:dyDescent="0.2">
      <c r="A2255" t="s">
        <v>2373</v>
      </c>
      <c r="B2255" t="s">
        <v>32</v>
      </c>
      <c r="C2255">
        <v>2014</v>
      </c>
      <c r="D2255" t="s">
        <v>19</v>
      </c>
      <c r="E2255" t="s">
        <v>28</v>
      </c>
      <c r="F2255" t="s">
        <v>19</v>
      </c>
      <c r="G2255">
        <v>25586</v>
      </c>
      <c r="H2255">
        <v>20468.800000000003</v>
      </c>
      <c r="I2255" s="13">
        <v>0.5</v>
      </c>
      <c r="J2255" t="s">
        <v>6207</v>
      </c>
      <c r="K2255">
        <v>0</v>
      </c>
      <c r="L2255">
        <v>1</v>
      </c>
      <c r="M2255" t="s">
        <v>1</v>
      </c>
      <c r="N2255" s="2">
        <v>0.55000000000000004</v>
      </c>
      <c r="O2255" s="2">
        <v>0.45</v>
      </c>
      <c r="P2255">
        <v>12</v>
      </c>
      <c r="Q2255">
        <v>16</v>
      </c>
      <c r="R2255">
        <v>9</v>
      </c>
      <c r="S2255">
        <v>3</v>
      </c>
      <c r="T2255">
        <v>16</v>
      </c>
      <c r="U2255">
        <v>13</v>
      </c>
      <c r="V2255">
        <v>1</v>
      </c>
      <c r="W2255">
        <v>1</v>
      </c>
      <c r="X2255">
        <v>0</v>
      </c>
      <c r="Y2255">
        <v>0</v>
      </c>
      <c r="Z2255">
        <v>0</v>
      </c>
    </row>
    <row r="2256" spans="1:26" x14ac:dyDescent="0.2">
      <c r="A2256" t="s">
        <v>2374</v>
      </c>
      <c r="B2256" t="s">
        <v>50</v>
      </c>
      <c r="C2256">
        <v>2014</v>
      </c>
      <c r="D2256" t="s">
        <v>42</v>
      </c>
      <c r="E2256" t="s">
        <v>23</v>
      </c>
      <c r="F2256" t="s">
        <v>38</v>
      </c>
      <c r="G2256">
        <v>42918</v>
      </c>
      <c r="H2256">
        <v>34334.400000000001</v>
      </c>
      <c r="I2256" s="13">
        <v>1</v>
      </c>
      <c r="J2256" t="s">
        <v>6207</v>
      </c>
      <c r="K2256">
        <v>1</v>
      </c>
      <c r="L2256">
        <v>0</v>
      </c>
      <c r="M2256" t="s">
        <v>0</v>
      </c>
      <c r="N2256" s="2">
        <v>0.59</v>
      </c>
      <c r="O2256" s="2">
        <v>0.41</v>
      </c>
      <c r="P2256">
        <v>16</v>
      </c>
      <c r="Q2256">
        <v>7</v>
      </c>
      <c r="R2256">
        <v>2</v>
      </c>
      <c r="S2256">
        <v>6</v>
      </c>
      <c r="T2256">
        <v>6</v>
      </c>
      <c r="U2256">
        <v>13</v>
      </c>
      <c r="V2256">
        <v>1</v>
      </c>
      <c r="W2256">
        <v>1</v>
      </c>
      <c r="X2256">
        <v>0</v>
      </c>
      <c r="Y2256">
        <v>0</v>
      </c>
      <c r="Z2256">
        <v>0</v>
      </c>
    </row>
    <row r="2257" spans="1:26" x14ac:dyDescent="0.2">
      <c r="A2257" t="s">
        <v>2375</v>
      </c>
      <c r="B2257" t="s">
        <v>66</v>
      </c>
      <c r="C2257">
        <v>2014</v>
      </c>
      <c r="D2257" t="s">
        <v>79</v>
      </c>
      <c r="E2257" t="s">
        <v>48</v>
      </c>
      <c r="F2257" t="s">
        <v>20</v>
      </c>
      <c r="G2257">
        <v>25486</v>
      </c>
      <c r="H2257">
        <v>20388.800000000003</v>
      </c>
      <c r="I2257" s="13">
        <v>1</v>
      </c>
      <c r="J2257" t="s">
        <v>6207</v>
      </c>
      <c r="K2257">
        <v>1</v>
      </c>
      <c r="L2257">
        <v>2</v>
      </c>
      <c r="M2257" t="s">
        <v>1</v>
      </c>
      <c r="N2257" s="2">
        <v>0.37</v>
      </c>
      <c r="O2257" s="2">
        <v>0.63</v>
      </c>
      <c r="P2257">
        <v>13</v>
      </c>
      <c r="Q2257">
        <v>17</v>
      </c>
      <c r="R2257">
        <v>7</v>
      </c>
      <c r="S2257">
        <v>6</v>
      </c>
      <c r="T2257">
        <v>13</v>
      </c>
      <c r="U2257">
        <v>12</v>
      </c>
      <c r="V2257">
        <v>0</v>
      </c>
      <c r="W2257">
        <v>1</v>
      </c>
      <c r="X2257">
        <v>0</v>
      </c>
      <c r="Y2257">
        <v>0</v>
      </c>
      <c r="Z2257">
        <v>1</v>
      </c>
    </row>
    <row r="2258" spans="1:26" x14ac:dyDescent="0.2">
      <c r="A2258" t="s">
        <v>2376</v>
      </c>
      <c r="B2258" t="s">
        <v>41</v>
      </c>
      <c r="C2258">
        <v>2014</v>
      </c>
      <c r="D2258" t="s">
        <v>40</v>
      </c>
      <c r="E2258" t="s">
        <v>70</v>
      </c>
      <c r="F2258" t="s">
        <v>49</v>
      </c>
      <c r="G2258">
        <v>53400</v>
      </c>
      <c r="H2258">
        <v>42720</v>
      </c>
      <c r="I2258" s="13">
        <v>0</v>
      </c>
      <c r="J2258" t="s">
        <v>6207</v>
      </c>
      <c r="K2258">
        <v>6</v>
      </c>
      <c r="L2258">
        <v>0</v>
      </c>
      <c r="M2258" t="s">
        <v>0</v>
      </c>
      <c r="N2258" s="2">
        <v>0.6</v>
      </c>
      <c r="O2258" s="2">
        <v>0.4</v>
      </c>
      <c r="P2258">
        <v>11</v>
      </c>
      <c r="Q2258">
        <v>13</v>
      </c>
      <c r="R2258">
        <v>7</v>
      </c>
      <c r="S2258">
        <v>4</v>
      </c>
      <c r="T2258">
        <v>12</v>
      </c>
      <c r="U2258">
        <v>7</v>
      </c>
      <c r="V2258">
        <v>0</v>
      </c>
      <c r="W2258">
        <v>1</v>
      </c>
      <c r="X2258">
        <v>0</v>
      </c>
      <c r="Y2258">
        <v>0</v>
      </c>
      <c r="Z2258">
        <v>1</v>
      </c>
    </row>
    <row r="2259" spans="1:26" x14ac:dyDescent="0.2">
      <c r="A2259" t="s">
        <v>2377</v>
      </c>
      <c r="B2259" t="s">
        <v>37</v>
      </c>
      <c r="C2259">
        <v>2014</v>
      </c>
      <c r="D2259" t="s">
        <v>18</v>
      </c>
      <c r="E2259" t="s">
        <v>26</v>
      </c>
      <c r="F2259" t="s">
        <v>20</v>
      </c>
      <c r="G2259">
        <v>40341</v>
      </c>
      <c r="H2259">
        <v>32272.800000000003</v>
      </c>
      <c r="I2259" s="13">
        <v>0.7142857142857143</v>
      </c>
      <c r="J2259" t="s">
        <v>6206</v>
      </c>
      <c r="K2259">
        <v>1</v>
      </c>
      <c r="L2259">
        <v>1</v>
      </c>
      <c r="M2259" t="s">
        <v>58</v>
      </c>
      <c r="N2259" s="2">
        <v>0.48</v>
      </c>
      <c r="O2259" s="2">
        <v>0.52</v>
      </c>
      <c r="P2259">
        <v>14</v>
      </c>
      <c r="Q2259">
        <v>13</v>
      </c>
      <c r="R2259">
        <v>6</v>
      </c>
      <c r="S2259">
        <v>4</v>
      </c>
      <c r="T2259">
        <v>13</v>
      </c>
      <c r="U2259">
        <v>11</v>
      </c>
      <c r="V2259">
        <v>4</v>
      </c>
      <c r="W2259">
        <v>3</v>
      </c>
      <c r="X2259">
        <v>0</v>
      </c>
      <c r="Y2259">
        <v>0</v>
      </c>
      <c r="Z2259">
        <v>0</v>
      </c>
    </row>
    <row r="2260" spans="1:26" x14ac:dyDescent="0.2">
      <c r="A2260" t="s">
        <v>2378</v>
      </c>
      <c r="B2260" t="s">
        <v>60</v>
      </c>
      <c r="C2260">
        <v>2014</v>
      </c>
      <c r="D2260" t="s">
        <v>46</v>
      </c>
      <c r="E2260" t="s">
        <v>71</v>
      </c>
      <c r="F2260" t="s">
        <v>20</v>
      </c>
      <c r="G2260">
        <v>60704</v>
      </c>
      <c r="H2260">
        <v>48563.200000000004</v>
      </c>
      <c r="I2260" s="13">
        <v>0</v>
      </c>
      <c r="J2260" t="s">
        <v>6208</v>
      </c>
      <c r="K2260">
        <v>0</v>
      </c>
      <c r="L2260">
        <v>1</v>
      </c>
      <c r="M2260" t="s">
        <v>1</v>
      </c>
      <c r="N2260" s="2">
        <v>0.69</v>
      </c>
      <c r="O2260" s="2">
        <v>0.31</v>
      </c>
      <c r="P2260">
        <v>11</v>
      </c>
      <c r="Q2260">
        <v>8</v>
      </c>
      <c r="R2260">
        <v>6</v>
      </c>
      <c r="S2260">
        <v>1</v>
      </c>
      <c r="T2260">
        <v>7</v>
      </c>
      <c r="U2260">
        <v>10</v>
      </c>
      <c r="V2260">
        <v>0</v>
      </c>
      <c r="W2260">
        <v>1</v>
      </c>
      <c r="X2260">
        <v>0</v>
      </c>
      <c r="Y2260">
        <v>0</v>
      </c>
      <c r="Z2260">
        <v>0</v>
      </c>
    </row>
    <row r="2261" spans="1:26" x14ac:dyDescent="0.2">
      <c r="A2261" t="s">
        <v>2379</v>
      </c>
      <c r="B2261" t="s">
        <v>77</v>
      </c>
      <c r="C2261">
        <v>2014</v>
      </c>
      <c r="D2261" t="s">
        <v>73</v>
      </c>
      <c r="E2261" t="s">
        <v>42</v>
      </c>
      <c r="F2261" t="s">
        <v>73</v>
      </c>
      <c r="G2261">
        <v>32384</v>
      </c>
      <c r="H2261">
        <v>25907.200000000001</v>
      </c>
      <c r="I2261" s="13">
        <v>0.5</v>
      </c>
      <c r="J2261" t="s">
        <v>6207</v>
      </c>
      <c r="K2261">
        <v>6</v>
      </c>
      <c r="L2261">
        <v>1</v>
      </c>
      <c r="M2261" t="s">
        <v>0</v>
      </c>
      <c r="N2261" s="2">
        <v>0.35</v>
      </c>
      <c r="O2261" s="2">
        <v>0.65</v>
      </c>
      <c r="P2261">
        <v>8</v>
      </c>
      <c r="Q2261">
        <v>21</v>
      </c>
      <c r="R2261">
        <v>6</v>
      </c>
      <c r="S2261">
        <v>3</v>
      </c>
      <c r="T2261">
        <v>19</v>
      </c>
      <c r="U2261">
        <v>7</v>
      </c>
      <c r="V2261">
        <v>1</v>
      </c>
      <c r="W2261">
        <v>1</v>
      </c>
      <c r="X2261">
        <v>0</v>
      </c>
      <c r="Y2261">
        <v>0</v>
      </c>
      <c r="Z2261">
        <v>0</v>
      </c>
    </row>
    <row r="2262" spans="1:26" x14ac:dyDescent="0.2">
      <c r="A2262" t="s">
        <v>2380</v>
      </c>
      <c r="B2262" t="s">
        <v>60</v>
      </c>
      <c r="C2262">
        <v>2014</v>
      </c>
      <c r="D2262" t="s">
        <v>23</v>
      </c>
      <c r="E2262" t="s">
        <v>45</v>
      </c>
      <c r="F2262" t="s">
        <v>20</v>
      </c>
      <c r="G2262">
        <v>62500</v>
      </c>
      <c r="H2262">
        <v>50000</v>
      </c>
      <c r="I2262" s="13">
        <v>0.8</v>
      </c>
      <c r="J2262" t="s">
        <v>6208</v>
      </c>
      <c r="K2262">
        <v>1</v>
      </c>
      <c r="L2262">
        <v>2</v>
      </c>
      <c r="M2262" t="s">
        <v>1</v>
      </c>
      <c r="N2262" s="2">
        <v>0.46</v>
      </c>
      <c r="O2262" s="2">
        <v>0.54</v>
      </c>
      <c r="P2262">
        <v>16</v>
      </c>
      <c r="Q2262">
        <v>14</v>
      </c>
      <c r="R2262">
        <v>7</v>
      </c>
      <c r="S2262">
        <v>8</v>
      </c>
      <c r="T2262">
        <v>12</v>
      </c>
      <c r="U2262">
        <v>14</v>
      </c>
      <c r="V2262">
        <v>1</v>
      </c>
      <c r="W2262">
        <v>4</v>
      </c>
      <c r="X2262">
        <v>0</v>
      </c>
      <c r="Y2262">
        <v>0</v>
      </c>
      <c r="Z2262">
        <v>0</v>
      </c>
    </row>
    <row r="2263" spans="1:26" x14ac:dyDescent="0.2">
      <c r="A2263" t="s">
        <v>2381</v>
      </c>
      <c r="B2263" t="s">
        <v>61</v>
      </c>
      <c r="C2263">
        <v>2014</v>
      </c>
      <c r="D2263" t="s">
        <v>51</v>
      </c>
      <c r="E2263" t="s">
        <v>19</v>
      </c>
      <c r="F2263" t="s">
        <v>20</v>
      </c>
      <c r="G2263">
        <v>36284</v>
      </c>
      <c r="H2263">
        <v>29027.200000000001</v>
      </c>
      <c r="I2263" s="13">
        <v>0.5</v>
      </c>
      <c r="J2263" t="s">
        <v>6207</v>
      </c>
      <c r="K2263">
        <v>2</v>
      </c>
      <c r="L2263">
        <v>0</v>
      </c>
      <c r="M2263" t="s">
        <v>0</v>
      </c>
      <c r="N2263" s="2">
        <v>0.56000000000000005</v>
      </c>
      <c r="O2263" s="2">
        <v>0.44</v>
      </c>
      <c r="P2263">
        <v>11</v>
      </c>
      <c r="Q2263">
        <v>9</v>
      </c>
      <c r="R2263">
        <v>6</v>
      </c>
      <c r="S2263">
        <v>8</v>
      </c>
      <c r="T2263">
        <v>10</v>
      </c>
      <c r="U2263">
        <v>6</v>
      </c>
      <c r="V2263">
        <v>3</v>
      </c>
      <c r="W2263">
        <v>1</v>
      </c>
      <c r="X2263">
        <v>0</v>
      </c>
      <c r="Y2263">
        <v>0</v>
      </c>
      <c r="Z2263">
        <v>0</v>
      </c>
    </row>
    <row r="2264" spans="1:26" x14ac:dyDescent="0.2">
      <c r="A2264" t="s">
        <v>2382</v>
      </c>
      <c r="B2264" t="s">
        <v>32</v>
      </c>
      <c r="C2264">
        <v>2014</v>
      </c>
      <c r="D2264" t="s">
        <v>35</v>
      </c>
      <c r="E2264" t="s">
        <v>80</v>
      </c>
      <c r="F2264" t="s">
        <v>35</v>
      </c>
      <c r="G2264">
        <v>49000</v>
      </c>
      <c r="H2264">
        <v>39200</v>
      </c>
      <c r="I2264" s="13">
        <v>0.4</v>
      </c>
      <c r="J2264" t="s">
        <v>6207</v>
      </c>
      <c r="K2264">
        <v>0</v>
      </c>
      <c r="L2264">
        <v>0</v>
      </c>
      <c r="M2264" t="s">
        <v>58</v>
      </c>
      <c r="N2264" s="2">
        <v>0.51</v>
      </c>
      <c r="O2264" s="2">
        <v>0.49</v>
      </c>
      <c r="P2264">
        <v>14</v>
      </c>
      <c r="Q2264">
        <v>16</v>
      </c>
      <c r="R2264">
        <v>8</v>
      </c>
      <c r="S2264">
        <v>9</v>
      </c>
      <c r="T2264">
        <v>14</v>
      </c>
      <c r="U2264">
        <v>15</v>
      </c>
      <c r="V2264">
        <v>4</v>
      </c>
      <c r="W2264">
        <v>1</v>
      </c>
      <c r="X2264">
        <v>0</v>
      </c>
      <c r="Y2264">
        <v>0</v>
      </c>
      <c r="Z2264">
        <v>0</v>
      </c>
    </row>
    <row r="2265" spans="1:26" x14ac:dyDescent="0.2">
      <c r="A2265" t="s">
        <v>2383</v>
      </c>
      <c r="B2265" t="s">
        <v>54</v>
      </c>
      <c r="C2265">
        <v>2014</v>
      </c>
      <c r="D2265" t="s">
        <v>70</v>
      </c>
      <c r="E2265" t="s">
        <v>64</v>
      </c>
      <c r="F2265" t="s">
        <v>20</v>
      </c>
      <c r="G2265">
        <v>18439</v>
      </c>
      <c r="H2265">
        <v>14751.2</v>
      </c>
      <c r="I2265" s="13">
        <v>0</v>
      </c>
      <c r="J2265" t="s">
        <v>6206</v>
      </c>
      <c r="K2265">
        <v>2</v>
      </c>
      <c r="L2265">
        <v>1</v>
      </c>
      <c r="M2265" t="s">
        <v>0</v>
      </c>
      <c r="N2265" s="2">
        <v>0.47</v>
      </c>
      <c r="O2265" s="2">
        <v>0.53</v>
      </c>
      <c r="P2265">
        <v>9</v>
      </c>
      <c r="Q2265">
        <v>13</v>
      </c>
      <c r="R2265">
        <v>3</v>
      </c>
      <c r="S2265">
        <v>12</v>
      </c>
      <c r="T2265">
        <v>12</v>
      </c>
      <c r="U2265">
        <v>8</v>
      </c>
      <c r="V2265">
        <v>2</v>
      </c>
      <c r="W2265">
        <v>0</v>
      </c>
      <c r="X2265">
        <v>0</v>
      </c>
      <c r="Y2265">
        <v>0</v>
      </c>
      <c r="Z2265">
        <v>0</v>
      </c>
    </row>
    <row r="2266" spans="1:26" x14ac:dyDescent="0.2">
      <c r="A2266" t="s">
        <v>2384</v>
      </c>
      <c r="B2266" t="s">
        <v>66</v>
      </c>
      <c r="C2266">
        <v>2014</v>
      </c>
      <c r="D2266" t="s">
        <v>28</v>
      </c>
      <c r="E2266" t="s">
        <v>27</v>
      </c>
      <c r="F2266" t="s">
        <v>28</v>
      </c>
      <c r="G2266">
        <v>21944</v>
      </c>
      <c r="H2266">
        <v>17555.2</v>
      </c>
      <c r="I2266" s="13">
        <v>0.66666666666666663</v>
      </c>
      <c r="J2266" t="s">
        <v>6207</v>
      </c>
      <c r="K2266">
        <v>0</v>
      </c>
      <c r="L2266">
        <v>0</v>
      </c>
      <c r="M2266" t="s">
        <v>58</v>
      </c>
      <c r="N2266" s="2">
        <v>0.45</v>
      </c>
      <c r="O2266" s="2">
        <v>0.55000000000000004</v>
      </c>
      <c r="P2266">
        <v>12</v>
      </c>
      <c r="Q2266">
        <v>15</v>
      </c>
      <c r="R2266">
        <v>7</v>
      </c>
      <c r="S2266">
        <v>6</v>
      </c>
      <c r="T2266">
        <v>14</v>
      </c>
      <c r="U2266">
        <v>9</v>
      </c>
      <c r="V2266">
        <v>1</v>
      </c>
      <c r="W2266">
        <v>2</v>
      </c>
      <c r="X2266">
        <v>0</v>
      </c>
      <c r="Y2266">
        <v>0</v>
      </c>
      <c r="Z2266">
        <v>0</v>
      </c>
    </row>
    <row r="2267" spans="1:26" x14ac:dyDescent="0.2">
      <c r="A2267" t="s">
        <v>2385</v>
      </c>
      <c r="B2267" t="s">
        <v>68</v>
      </c>
      <c r="C2267">
        <v>2014</v>
      </c>
      <c r="D2267" t="s">
        <v>26</v>
      </c>
      <c r="E2267" t="s">
        <v>79</v>
      </c>
      <c r="F2267" t="s">
        <v>26</v>
      </c>
      <c r="G2267">
        <v>61276</v>
      </c>
      <c r="H2267">
        <v>49020.800000000003</v>
      </c>
      <c r="I2267" s="13">
        <v>0.4</v>
      </c>
      <c r="J2267" t="s">
        <v>6207</v>
      </c>
      <c r="K2267">
        <v>1</v>
      </c>
      <c r="L2267">
        <v>3</v>
      </c>
      <c r="M2267" t="s">
        <v>1</v>
      </c>
      <c r="N2267" s="2">
        <v>0.66</v>
      </c>
      <c r="O2267" s="2">
        <v>0.34</v>
      </c>
      <c r="P2267">
        <v>20</v>
      </c>
      <c r="Q2267">
        <v>10</v>
      </c>
      <c r="R2267">
        <v>4</v>
      </c>
      <c r="S2267">
        <v>5</v>
      </c>
      <c r="T2267">
        <v>10</v>
      </c>
      <c r="U2267">
        <v>17</v>
      </c>
      <c r="V2267">
        <v>2</v>
      </c>
      <c r="W2267">
        <v>3</v>
      </c>
      <c r="X2267">
        <v>0</v>
      </c>
      <c r="Y2267">
        <v>0</v>
      </c>
      <c r="Z2267">
        <v>1</v>
      </c>
    </row>
    <row r="2268" spans="1:26" x14ac:dyDescent="0.2">
      <c r="A2268" t="s">
        <v>2386</v>
      </c>
      <c r="B2268" t="s">
        <v>44</v>
      </c>
      <c r="C2268">
        <v>2014</v>
      </c>
      <c r="D2268" t="s">
        <v>71</v>
      </c>
      <c r="E2268" t="s">
        <v>40</v>
      </c>
      <c r="F2268" t="s">
        <v>71</v>
      </c>
      <c r="G2268">
        <v>21088</v>
      </c>
      <c r="H2268">
        <v>16870.400000000001</v>
      </c>
      <c r="I2268" s="13">
        <v>0.66666666666666663</v>
      </c>
      <c r="J2268" t="s">
        <v>6207</v>
      </c>
      <c r="K2268">
        <v>2</v>
      </c>
      <c r="L2268">
        <v>4</v>
      </c>
      <c r="M2268" t="s">
        <v>1</v>
      </c>
      <c r="N2268" s="2">
        <v>0.47</v>
      </c>
      <c r="O2268" s="2">
        <v>0.53</v>
      </c>
      <c r="P2268">
        <v>10</v>
      </c>
      <c r="Q2268">
        <v>9</v>
      </c>
      <c r="R2268">
        <v>11</v>
      </c>
      <c r="S2268">
        <v>7</v>
      </c>
      <c r="T2268">
        <v>8</v>
      </c>
      <c r="U2268">
        <v>8</v>
      </c>
      <c r="V2268">
        <v>0</v>
      </c>
      <c r="W2268">
        <v>3</v>
      </c>
      <c r="X2268">
        <v>0</v>
      </c>
      <c r="Y2268">
        <v>0</v>
      </c>
      <c r="Z2268">
        <v>0</v>
      </c>
    </row>
    <row r="2269" spans="1:26" x14ac:dyDescent="0.2">
      <c r="A2269" t="s">
        <v>2387</v>
      </c>
      <c r="B2269" t="s">
        <v>41</v>
      </c>
      <c r="C2269">
        <v>2014</v>
      </c>
      <c r="D2269" t="s">
        <v>48</v>
      </c>
      <c r="E2269" t="s">
        <v>46</v>
      </c>
      <c r="F2269" t="s">
        <v>49</v>
      </c>
      <c r="G2269">
        <v>74197</v>
      </c>
      <c r="H2269">
        <v>59357.600000000006</v>
      </c>
      <c r="I2269" s="13">
        <v>1</v>
      </c>
      <c r="J2269" t="s">
        <v>6207</v>
      </c>
      <c r="K2269">
        <v>1</v>
      </c>
      <c r="L2269">
        <v>1</v>
      </c>
      <c r="M2269" t="s">
        <v>58</v>
      </c>
      <c r="N2269" s="2">
        <v>0.55000000000000004</v>
      </c>
      <c r="O2269" s="2">
        <v>0.45</v>
      </c>
      <c r="P2269">
        <v>10</v>
      </c>
      <c r="Q2269">
        <v>24</v>
      </c>
      <c r="R2269">
        <v>5</v>
      </c>
      <c r="S2269">
        <v>5</v>
      </c>
      <c r="T2269">
        <v>16</v>
      </c>
      <c r="U2269">
        <v>8</v>
      </c>
      <c r="V2269">
        <v>1</v>
      </c>
      <c r="W2269">
        <v>0</v>
      </c>
      <c r="X2269">
        <v>0</v>
      </c>
      <c r="Y2269">
        <v>0</v>
      </c>
      <c r="Z2269">
        <v>0</v>
      </c>
    </row>
    <row r="2270" spans="1:26" x14ac:dyDescent="0.2">
      <c r="A2270" t="s">
        <v>2388</v>
      </c>
      <c r="B2270" t="s">
        <v>53</v>
      </c>
      <c r="C2270">
        <v>2014</v>
      </c>
      <c r="D2270" t="s">
        <v>63</v>
      </c>
      <c r="E2270" t="s">
        <v>18</v>
      </c>
      <c r="F2270" t="s">
        <v>65</v>
      </c>
      <c r="G2270">
        <v>26804</v>
      </c>
      <c r="H2270">
        <v>21443.200000000001</v>
      </c>
      <c r="I2270" s="13">
        <v>0.66666666666666663</v>
      </c>
      <c r="J2270" t="s">
        <v>6207</v>
      </c>
      <c r="K2270">
        <v>3</v>
      </c>
      <c r="L2270">
        <v>0</v>
      </c>
      <c r="M2270" t="s">
        <v>0</v>
      </c>
      <c r="N2270" s="2">
        <v>0.41</v>
      </c>
      <c r="O2270" s="2">
        <v>0.59</v>
      </c>
      <c r="P2270">
        <v>11</v>
      </c>
      <c r="Q2270">
        <v>13</v>
      </c>
      <c r="R2270">
        <v>3</v>
      </c>
      <c r="S2270">
        <v>4</v>
      </c>
      <c r="T2270">
        <v>12</v>
      </c>
      <c r="U2270">
        <v>11</v>
      </c>
      <c r="V2270">
        <v>3</v>
      </c>
      <c r="W2270">
        <v>2</v>
      </c>
      <c r="X2270">
        <v>0</v>
      </c>
      <c r="Y2270">
        <v>1</v>
      </c>
      <c r="Z2270">
        <v>1</v>
      </c>
    </row>
    <row r="2271" spans="1:26" x14ac:dyDescent="0.2">
      <c r="A2271" t="s">
        <v>2389</v>
      </c>
      <c r="B2271" t="s">
        <v>61</v>
      </c>
      <c r="C2271">
        <v>2014</v>
      </c>
      <c r="D2271" t="s">
        <v>46</v>
      </c>
      <c r="E2271" t="s">
        <v>35</v>
      </c>
      <c r="F2271" t="s">
        <v>20</v>
      </c>
      <c r="G2271">
        <v>60704</v>
      </c>
      <c r="H2271">
        <v>48563.200000000004</v>
      </c>
      <c r="I2271" s="13">
        <v>0</v>
      </c>
      <c r="J2271" t="s">
        <v>6207</v>
      </c>
      <c r="K2271">
        <v>0</v>
      </c>
      <c r="L2271">
        <v>0</v>
      </c>
      <c r="M2271" t="s">
        <v>58</v>
      </c>
      <c r="N2271" s="2">
        <v>0.76</v>
      </c>
      <c r="O2271" s="2">
        <v>0.24</v>
      </c>
      <c r="P2271">
        <v>9</v>
      </c>
      <c r="Q2271">
        <v>6</v>
      </c>
      <c r="R2271">
        <v>5</v>
      </c>
      <c r="S2271">
        <v>2</v>
      </c>
      <c r="T2271">
        <v>6</v>
      </c>
      <c r="U2271">
        <v>8</v>
      </c>
      <c r="V2271">
        <v>1</v>
      </c>
      <c r="W2271">
        <v>0</v>
      </c>
      <c r="X2271">
        <v>0</v>
      </c>
      <c r="Y2271">
        <v>0</v>
      </c>
      <c r="Z2271">
        <v>0</v>
      </c>
    </row>
    <row r="2272" spans="1:26" x14ac:dyDescent="0.2">
      <c r="A2272" t="s">
        <v>2390</v>
      </c>
      <c r="B2272" t="s">
        <v>61</v>
      </c>
      <c r="C2272">
        <v>2014</v>
      </c>
      <c r="D2272" t="s">
        <v>27</v>
      </c>
      <c r="E2272" t="s">
        <v>26</v>
      </c>
      <c r="F2272" t="s">
        <v>27</v>
      </c>
      <c r="G2272">
        <v>30089</v>
      </c>
      <c r="H2272">
        <v>24071.200000000001</v>
      </c>
      <c r="I2272" s="13">
        <v>0.66666666666666663</v>
      </c>
      <c r="J2272" t="s">
        <v>6207</v>
      </c>
      <c r="K2272">
        <v>6</v>
      </c>
      <c r="L2272">
        <v>1</v>
      </c>
      <c r="M2272" t="s">
        <v>0</v>
      </c>
      <c r="N2272" s="2">
        <v>0.45</v>
      </c>
      <c r="O2272" s="2">
        <v>0.55000000000000004</v>
      </c>
      <c r="P2272">
        <v>5</v>
      </c>
      <c r="Q2272">
        <v>12</v>
      </c>
      <c r="R2272">
        <v>3</v>
      </c>
      <c r="S2272">
        <v>9</v>
      </c>
      <c r="T2272">
        <v>13</v>
      </c>
      <c r="U2272">
        <v>4</v>
      </c>
      <c r="V2272">
        <v>4</v>
      </c>
      <c r="W2272">
        <v>2</v>
      </c>
      <c r="X2272">
        <v>0</v>
      </c>
      <c r="Y2272">
        <v>0</v>
      </c>
      <c r="Z2272">
        <v>0</v>
      </c>
    </row>
    <row r="2273" spans="1:26" x14ac:dyDescent="0.2">
      <c r="A2273" t="s">
        <v>2391</v>
      </c>
      <c r="B2273" t="s">
        <v>32</v>
      </c>
      <c r="C2273">
        <v>2014</v>
      </c>
      <c r="D2273" t="s">
        <v>64</v>
      </c>
      <c r="E2273" t="s">
        <v>23</v>
      </c>
      <c r="F2273" t="s">
        <v>64</v>
      </c>
      <c r="G2273">
        <v>52264</v>
      </c>
      <c r="H2273">
        <v>41811.200000000004</v>
      </c>
      <c r="I2273" s="13">
        <v>1</v>
      </c>
      <c r="J2273" t="s">
        <v>6207</v>
      </c>
      <c r="K2273">
        <v>2</v>
      </c>
      <c r="L2273">
        <v>0</v>
      </c>
      <c r="M2273" t="s">
        <v>0</v>
      </c>
      <c r="N2273" s="2">
        <v>0.45</v>
      </c>
      <c r="O2273" s="2">
        <v>0.55000000000000004</v>
      </c>
      <c r="P2273">
        <v>12</v>
      </c>
      <c r="Q2273">
        <v>9</v>
      </c>
      <c r="R2273">
        <v>2</v>
      </c>
      <c r="S2273">
        <v>3</v>
      </c>
      <c r="T2273">
        <v>9</v>
      </c>
      <c r="U2273">
        <v>9</v>
      </c>
      <c r="V2273">
        <v>2</v>
      </c>
      <c r="W2273">
        <v>1</v>
      </c>
      <c r="X2273">
        <v>0</v>
      </c>
      <c r="Y2273">
        <v>0</v>
      </c>
      <c r="Z2273">
        <v>0</v>
      </c>
    </row>
    <row r="2274" spans="1:26" x14ac:dyDescent="0.2">
      <c r="A2274" t="s">
        <v>2392</v>
      </c>
      <c r="B2274" t="s">
        <v>25</v>
      </c>
      <c r="C2274">
        <v>2014</v>
      </c>
      <c r="D2274" t="s">
        <v>40</v>
      </c>
      <c r="E2274" t="s">
        <v>73</v>
      </c>
      <c r="F2274" t="s">
        <v>49</v>
      </c>
      <c r="G2274">
        <v>53400</v>
      </c>
      <c r="H2274">
        <v>42720</v>
      </c>
      <c r="I2274" s="13">
        <v>1</v>
      </c>
      <c r="J2274" t="s">
        <v>6207</v>
      </c>
      <c r="K2274">
        <v>2</v>
      </c>
      <c r="L2274">
        <v>0</v>
      </c>
      <c r="M2274" t="s">
        <v>0</v>
      </c>
      <c r="N2274" s="2">
        <v>0.53</v>
      </c>
      <c r="O2274" s="2">
        <v>0.47</v>
      </c>
      <c r="P2274">
        <v>16</v>
      </c>
      <c r="Q2274">
        <v>13</v>
      </c>
      <c r="R2274">
        <v>8</v>
      </c>
      <c r="S2274">
        <v>4</v>
      </c>
      <c r="T2274">
        <v>13</v>
      </c>
      <c r="U2274">
        <v>8</v>
      </c>
      <c r="V2274">
        <v>1</v>
      </c>
      <c r="W2274">
        <v>1</v>
      </c>
      <c r="X2274">
        <v>0</v>
      </c>
      <c r="Y2274">
        <v>0</v>
      </c>
      <c r="Z2274">
        <v>0</v>
      </c>
    </row>
    <row r="2275" spans="1:26" x14ac:dyDescent="0.2">
      <c r="A2275" t="s">
        <v>2393</v>
      </c>
      <c r="B2275" t="s">
        <v>66</v>
      </c>
      <c r="C2275">
        <v>2014</v>
      </c>
      <c r="D2275" t="s">
        <v>80</v>
      </c>
      <c r="E2275" t="s">
        <v>70</v>
      </c>
      <c r="F2275" t="s">
        <v>80</v>
      </c>
      <c r="G2275">
        <v>32261</v>
      </c>
      <c r="H2275">
        <v>25808.800000000003</v>
      </c>
      <c r="I2275" s="13">
        <v>0</v>
      </c>
      <c r="J2275" t="s">
        <v>6207</v>
      </c>
      <c r="K2275">
        <v>5</v>
      </c>
      <c r="L2275">
        <v>1</v>
      </c>
      <c r="M2275" t="s">
        <v>0</v>
      </c>
      <c r="N2275" s="2">
        <v>0.46</v>
      </c>
      <c r="O2275" s="2">
        <v>0.54</v>
      </c>
      <c r="P2275">
        <v>7</v>
      </c>
      <c r="Q2275">
        <v>10</v>
      </c>
      <c r="R2275">
        <v>5</v>
      </c>
      <c r="S2275">
        <v>6</v>
      </c>
      <c r="T2275">
        <v>7</v>
      </c>
      <c r="U2275">
        <v>6</v>
      </c>
      <c r="V2275">
        <v>0</v>
      </c>
      <c r="W2275">
        <v>0</v>
      </c>
      <c r="X2275">
        <v>0</v>
      </c>
      <c r="Y2275">
        <v>0</v>
      </c>
      <c r="Z2275">
        <v>0</v>
      </c>
    </row>
    <row r="2276" spans="1:26" x14ac:dyDescent="0.2">
      <c r="A2276" t="s">
        <v>2394</v>
      </c>
      <c r="B2276" t="s">
        <v>54</v>
      </c>
      <c r="C2276">
        <v>2014</v>
      </c>
      <c r="D2276" t="s">
        <v>19</v>
      </c>
      <c r="E2276" t="s">
        <v>48</v>
      </c>
      <c r="F2276" t="s">
        <v>19</v>
      </c>
      <c r="G2276">
        <v>25586</v>
      </c>
      <c r="H2276">
        <v>20468.800000000003</v>
      </c>
      <c r="I2276" s="13">
        <v>0.6</v>
      </c>
      <c r="J2276" t="s">
        <v>6206</v>
      </c>
      <c r="K2276">
        <v>0</v>
      </c>
      <c r="L2276">
        <v>0</v>
      </c>
      <c r="M2276" t="s">
        <v>58</v>
      </c>
      <c r="N2276" s="2">
        <v>0.41</v>
      </c>
      <c r="O2276" s="2">
        <v>0.59</v>
      </c>
      <c r="P2276">
        <v>14</v>
      </c>
      <c r="Q2276">
        <v>20</v>
      </c>
      <c r="R2276">
        <v>8</v>
      </c>
      <c r="S2276">
        <v>1</v>
      </c>
      <c r="T2276">
        <v>12</v>
      </c>
      <c r="U2276">
        <v>15</v>
      </c>
      <c r="V2276">
        <v>2</v>
      </c>
      <c r="W2276">
        <v>2</v>
      </c>
      <c r="X2276">
        <v>0</v>
      </c>
      <c r="Y2276">
        <v>1</v>
      </c>
      <c r="Z2276">
        <v>0</v>
      </c>
    </row>
    <row r="2277" spans="1:26" x14ac:dyDescent="0.2">
      <c r="A2277" t="s">
        <v>2395</v>
      </c>
      <c r="B2277" t="s">
        <v>68</v>
      </c>
      <c r="C2277">
        <v>2014</v>
      </c>
      <c r="D2277" t="s">
        <v>45</v>
      </c>
      <c r="E2277" t="s">
        <v>51</v>
      </c>
      <c r="F2277" t="s">
        <v>26</v>
      </c>
      <c r="G2277">
        <v>39572</v>
      </c>
      <c r="H2277">
        <v>31657.600000000002</v>
      </c>
      <c r="I2277" s="13">
        <v>0.33333333333333331</v>
      </c>
      <c r="J2277" t="s">
        <v>6207</v>
      </c>
      <c r="K2277">
        <v>0</v>
      </c>
      <c r="L2277">
        <v>1</v>
      </c>
      <c r="M2277" t="s">
        <v>1</v>
      </c>
      <c r="N2277" s="2">
        <v>0.4</v>
      </c>
      <c r="O2277" s="2">
        <v>0.6</v>
      </c>
      <c r="P2277">
        <v>13</v>
      </c>
      <c r="Q2277">
        <v>14</v>
      </c>
      <c r="R2277">
        <v>3</v>
      </c>
      <c r="S2277">
        <v>5</v>
      </c>
      <c r="T2277">
        <v>12</v>
      </c>
      <c r="U2277">
        <v>8</v>
      </c>
      <c r="V2277">
        <v>1</v>
      </c>
      <c r="W2277">
        <v>2</v>
      </c>
      <c r="X2277">
        <v>0</v>
      </c>
      <c r="Y2277">
        <v>0</v>
      </c>
      <c r="Z2277">
        <v>0</v>
      </c>
    </row>
    <row r="2278" spans="1:26" x14ac:dyDescent="0.2">
      <c r="A2278" t="s">
        <v>2396</v>
      </c>
      <c r="B2278" t="s">
        <v>76</v>
      </c>
      <c r="C2278">
        <v>2014</v>
      </c>
      <c r="D2278" t="s">
        <v>79</v>
      </c>
      <c r="E2278" t="s">
        <v>71</v>
      </c>
      <c r="F2278" t="s">
        <v>20</v>
      </c>
      <c r="G2278">
        <v>25486</v>
      </c>
      <c r="H2278">
        <v>20388.800000000003</v>
      </c>
      <c r="I2278" s="13">
        <v>0.33333333333333331</v>
      </c>
      <c r="J2278" t="s">
        <v>6207</v>
      </c>
      <c r="K2278">
        <v>1</v>
      </c>
      <c r="L2278">
        <v>0</v>
      </c>
      <c r="M2278" t="s">
        <v>0</v>
      </c>
      <c r="N2278" s="2">
        <v>0.49</v>
      </c>
      <c r="O2278" s="2">
        <v>0.51</v>
      </c>
      <c r="P2278">
        <v>12</v>
      </c>
      <c r="Q2278">
        <v>23</v>
      </c>
      <c r="R2278">
        <v>7</v>
      </c>
      <c r="S2278">
        <v>3</v>
      </c>
      <c r="T2278">
        <v>22</v>
      </c>
      <c r="U2278">
        <v>13</v>
      </c>
      <c r="V2278">
        <v>3</v>
      </c>
      <c r="W2278">
        <v>0</v>
      </c>
      <c r="X2278">
        <v>0</v>
      </c>
      <c r="Y2278">
        <v>0</v>
      </c>
      <c r="Z2278">
        <v>0</v>
      </c>
    </row>
    <row r="2279" spans="1:26" x14ac:dyDescent="0.2">
      <c r="A2279" t="s">
        <v>2397</v>
      </c>
      <c r="B2279" t="s">
        <v>50</v>
      </c>
      <c r="C2279">
        <v>2014</v>
      </c>
      <c r="D2279" t="s">
        <v>18</v>
      </c>
      <c r="E2279" t="s">
        <v>35</v>
      </c>
      <c r="F2279" t="s">
        <v>20</v>
      </c>
      <c r="G2279">
        <v>40341</v>
      </c>
      <c r="H2279">
        <v>32272.800000000003</v>
      </c>
      <c r="I2279" s="13">
        <v>0.66666666666666663</v>
      </c>
      <c r="J2279" t="s">
        <v>6207</v>
      </c>
      <c r="K2279">
        <v>3</v>
      </c>
      <c r="L2279">
        <v>1</v>
      </c>
      <c r="M2279" t="s">
        <v>0</v>
      </c>
      <c r="N2279" s="2">
        <v>0.63</v>
      </c>
      <c r="O2279" s="2">
        <v>0.37</v>
      </c>
      <c r="P2279">
        <v>8</v>
      </c>
      <c r="Q2279">
        <v>12</v>
      </c>
      <c r="R2279">
        <v>11</v>
      </c>
      <c r="S2279">
        <v>3</v>
      </c>
      <c r="T2279">
        <v>12</v>
      </c>
      <c r="U2279">
        <v>8</v>
      </c>
      <c r="V2279">
        <v>2</v>
      </c>
      <c r="W2279">
        <v>1</v>
      </c>
      <c r="X2279">
        <v>0</v>
      </c>
      <c r="Y2279">
        <v>0</v>
      </c>
      <c r="Z2279">
        <v>1</v>
      </c>
    </row>
    <row r="2280" spans="1:26" x14ac:dyDescent="0.2">
      <c r="A2280" t="s">
        <v>2398</v>
      </c>
      <c r="B2280" t="s">
        <v>53</v>
      </c>
      <c r="C2280">
        <v>2014</v>
      </c>
      <c r="D2280" t="s">
        <v>42</v>
      </c>
      <c r="E2280" t="s">
        <v>28</v>
      </c>
      <c r="F2280" t="s">
        <v>38</v>
      </c>
      <c r="G2280">
        <v>42918</v>
      </c>
      <c r="H2280">
        <v>34334.400000000001</v>
      </c>
      <c r="I2280" s="13">
        <v>1</v>
      </c>
      <c r="J2280" t="s">
        <v>6207</v>
      </c>
      <c r="K2280">
        <v>0</v>
      </c>
      <c r="L2280">
        <v>1</v>
      </c>
      <c r="M2280" t="s">
        <v>1</v>
      </c>
      <c r="N2280" s="2">
        <v>0.64</v>
      </c>
      <c r="O2280" s="2">
        <v>0.36</v>
      </c>
      <c r="P2280">
        <v>7</v>
      </c>
      <c r="Q2280">
        <v>12</v>
      </c>
      <c r="R2280">
        <v>7</v>
      </c>
      <c r="S2280">
        <v>2</v>
      </c>
      <c r="T2280">
        <v>9</v>
      </c>
      <c r="U2280">
        <v>6</v>
      </c>
      <c r="V2280">
        <v>1</v>
      </c>
      <c r="W2280">
        <v>2</v>
      </c>
      <c r="X2280">
        <v>0</v>
      </c>
      <c r="Y2280">
        <v>0</v>
      </c>
      <c r="Z2280">
        <v>0</v>
      </c>
    </row>
    <row r="2281" spans="1:26" x14ac:dyDescent="0.2">
      <c r="A2281" t="s">
        <v>2399</v>
      </c>
      <c r="B2281" t="s">
        <v>77</v>
      </c>
      <c r="C2281">
        <v>2014</v>
      </c>
      <c r="D2281" t="s">
        <v>46</v>
      </c>
      <c r="E2281" t="s">
        <v>63</v>
      </c>
      <c r="F2281" t="s">
        <v>20</v>
      </c>
      <c r="G2281">
        <v>60704</v>
      </c>
      <c r="H2281">
        <v>48563.200000000004</v>
      </c>
      <c r="I2281" s="13">
        <v>1</v>
      </c>
      <c r="J2281" t="s">
        <v>6207</v>
      </c>
      <c r="K2281">
        <v>4</v>
      </c>
      <c r="L2281">
        <v>1</v>
      </c>
      <c r="M2281" t="s">
        <v>0</v>
      </c>
      <c r="N2281" s="2">
        <v>0.64</v>
      </c>
      <c r="O2281" s="2">
        <v>0.36</v>
      </c>
      <c r="P2281">
        <v>10</v>
      </c>
      <c r="Q2281">
        <v>7</v>
      </c>
      <c r="R2281">
        <v>7</v>
      </c>
      <c r="S2281">
        <v>3</v>
      </c>
      <c r="T2281">
        <v>6</v>
      </c>
      <c r="U2281">
        <v>7</v>
      </c>
      <c r="V2281">
        <v>1</v>
      </c>
      <c r="W2281">
        <v>0</v>
      </c>
      <c r="X2281">
        <v>0</v>
      </c>
      <c r="Y2281">
        <v>0</v>
      </c>
      <c r="Z2281">
        <v>0</v>
      </c>
    </row>
    <row r="2282" spans="1:26" x14ac:dyDescent="0.2">
      <c r="A2282" t="s">
        <v>2400</v>
      </c>
      <c r="B2282" t="s">
        <v>68</v>
      </c>
      <c r="C2282">
        <v>2015</v>
      </c>
      <c r="D2282" t="s">
        <v>48</v>
      </c>
      <c r="E2282" t="s">
        <v>51</v>
      </c>
      <c r="F2282" t="s">
        <v>49</v>
      </c>
      <c r="G2282">
        <v>74197</v>
      </c>
      <c r="H2282">
        <v>59357.600000000006</v>
      </c>
      <c r="I2282" s="13">
        <v>0.6</v>
      </c>
      <c r="J2282" t="s">
        <v>6207</v>
      </c>
      <c r="K2282">
        <v>1</v>
      </c>
      <c r="L2282">
        <v>0</v>
      </c>
      <c r="M2282" t="s">
        <v>0</v>
      </c>
      <c r="N2282" s="2">
        <v>0.5</v>
      </c>
      <c r="O2282" s="2">
        <v>0.5</v>
      </c>
      <c r="P2282">
        <v>14</v>
      </c>
      <c r="Q2282">
        <v>13</v>
      </c>
      <c r="R2282">
        <v>1</v>
      </c>
      <c r="S2282">
        <v>2</v>
      </c>
      <c r="T2282">
        <v>12</v>
      </c>
      <c r="U2282">
        <v>12</v>
      </c>
      <c r="V2282">
        <v>2</v>
      </c>
      <c r="W2282">
        <v>3</v>
      </c>
      <c r="X2282">
        <v>0</v>
      </c>
      <c r="Y2282">
        <v>0</v>
      </c>
      <c r="Z2282">
        <v>0</v>
      </c>
    </row>
    <row r="2283" spans="1:26" x14ac:dyDescent="0.2">
      <c r="A2283" t="s">
        <v>2401</v>
      </c>
      <c r="B2283" t="s">
        <v>84</v>
      </c>
      <c r="C2283">
        <v>2015</v>
      </c>
      <c r="D2283" t="s">
        <v>69</v>
      </c>
      <c r="E2283" t="s">
        <v>79</v>
      </c>
      <c r="F2283" t="s">
        <v>69</v>
      </c>
      <c r="G2283">
        <v>27359</v>
      </c>
      <c r="H2283">
        <v>21887.200000000001</v>
      </c>
      <c r="I2283" s="13">
        <v>1</v>
      </c>
      <c r="J2283" t="s">
        <v>6208</v>
      </c>
      <c r="K2283">
        <v>1</v>
      </c>
      <c r="L2283">
        <v>3</v>
      </c>
      <c r="M2283" t="s">
        <v>1</v>
      </c>
      <c r="N2283" s="2">
        <v>0.63</v>
      </c>
      <c r="O2283" s="2">
        <v>0.37</v>
      </c>
      <c r="P2283">
        <v>22</v>
      </c>
      <c r="Q2283">
        <v>17</v>
      </c>
      <c r="R2283">
        <v>1</v>
      </c>
      <c r="S2283">
        <v>4</v>
      </c>
      <c r="T2283">
        <v>14</v>
      </c>
      <c r="U2283">
        <v>20</v>
      </c>
      <c r="V2283">
        <v>1</v>
      </c>
      <c r="W2283">
        <v>0</v>
      </c>
      <c r="X2283">
        <v>0</v>
      </c>
      <c r="Y2283">
        <v>0</v>
      </c>
      <c r="Z2283">
        <v>0</v>
      </c>
    </row>
    <row r="2284" spans="1:26" x14ac:dyDescent="0.2">
      <c r="A2284" t="s">
        <v>2402</v>
      </c>
      <c r="B2284" t="s">
        <v>50</v>
      </c>
      <c r="C2284">
        <v>2015</v>
      </c>
      <c r="D2284" t="s">
        <v>80</v>
      </c>
      <c r="E2284" t="s">
        <v>35</v>
      </c>
      <c r="F2284" t="s">
        <v>80</v>
      </c>
      <c r="G2284">
        <v>32261</v>
      </c>
      <c r="H2284">
        <v>25808.800000000003</v>
      </c>
      <c r="I2284" s="13">
        <v>0.66666666666666663</v>
      </c>
      <c r="J2284" t="s">
        <v>6207</v>
      </c>
      <c r="K2284">
        <v>4</v>
      </c>
      <c r="L2284">
        <v>2</v>
      </c>
      <c r="M2284" t="s">
        <v>0</v>
      </c>
      <c r="N2284" s="2">
        <v>0.44</v>
      </c>
      <c r="O2284" s="2">
        <v>0.56000000000000005</v>
      </c>
      <c r="P2284">
        <v>17</v>
      </c>
      <c r="Q2284">
        <v>13</v>
      </c>
      <c r="R2284">
        <v>6</v>
      </c>
      <c r="S2284">
        <v>3</v>
      </c>
      <c r="T2284">
        <v>13</v>
      </c>
      <c r="U2284">
        <v>17</v>
      </c>
      <c r="V2284">
        <v>2</v>
      </c>
      <c r="W2284">
        <v>4</v>
      </c>
      <c r="X2284">
        <v>0</v>
      </c>
      <c r="Y2284">
        <v>0</v>
      </c>
      <c r="Z2284">
        <v>1</v>
      </c>
    </row>
    <row r="2285" spans="1:26" x14ac:dyDescent="0.2">
      <c r="A2285" t="s">
        <v>2403</v>
      </c>
      <c r="B2285" t="s">
        <v>53</v>
      </c>
      <c r="C2285">
        <v>2015</v>
      </c>
      <c r="D2285" t="s">
        <v>45</v>
      </c>
      <c r="E2285" t="s">
        <v>85</v>
      </c>
      <c r="F2285" t="s">
        <v>26</v>
      </c>
      <c r="G2285">
        <v>39572</v>
      </c>
      <c r="H2285">
        <v>31657.600000000002</v>
      </c>
      <c r="I2285" s="13">
        <v>0.66666666666666663</v>
      </c>
      <c r="J2285" t="s">
        <v>6207</v>
      </c>
      <c r="K2285">
        <v>2</v>
      </c>
      <c r="L2285">
        <v>2</v>
      </c>
      <c r="M2285" t="s">
        <v>58</v>
      </c>
      <c r="N2285" s="2">
        <v>0.67</v>
      </c>
      <c r="O2285" s="2">
        <v>0.33</v>
      </c>
      <c r="P2285">
        <v>14</v>
      </c>
      <c r="Q2285">
        <v>11</v>
      </c>
      <c r="R2285">
        <v>8</v>
      </c>
      <c r="S2285">
        <v>2</v>
      </c>
      <c r="T2285">
        <v>7</v>
      </c>
      <c r="U2285">
        <v>13</v>
      </c>
      <c r="V2285">
        <v>1</v>
      </c>
      <c r="W2285">
        <v>2</v>
      </c>
      <c r="X2285">
        <v>0</v>
      </c>
      <c r="Y2285">
        <v>0</v>
      </c>
      <c r="Z2285">
        <v>0</v>
      </c>
    </row>
    <row r="2286" spans="1:26" x14ac:dyDescent="0.2">
      <c r="A2286" t="s">
        <v>2404</v>
      </c>
      <c r="B2286" t="s">
        <v>44</v>
      </c>
      <c r="C2286">
        <v>2015</v>
      </c>
      <c r="D2286" t="s">
        <v>86</v>
      </c>
      <c r="E2286" t="s">
        <v>42</v>
      </c>
      <c r="F2286" t="s">
        <v>86</v>
      </c>
      <c r="G2286">
        <v>11364</v>
      </c>
      <c r="H2286">
        <v>9091.2000000000007</v>
      </c>
      <c r="I2286" s="13">
        <v>0.5714285714285714</v>
      </c>
      <c r="J2286" t="s">
        <v>6207</v>
      </c>
      <c r="K2286">
        <v>0</v>
      </c>
      <c r="L2286">
        <v>1</v>
      </c>
      <c r="M2286" t="s">
        <v>1</v>
      </c>
      <c r="N2286" s="2">
        <v>0.59</v>
      </c>
      <c r="O2286" s="2">
        <v>0.41</v>
      </c>
      <c r="P2286">
        <v>13</v>
      </c>
      <c r="Q2286">
        <v>12</v>
      </c>
      <c r="R2286">
        <v>6</v>
      </c>
      <c r="S2286">
        <v>3</v>
      </c>
      <c r="T2286">
        <v>13</v>
      </c>
      <c r="U2286">
        <v>13</v>
      </c>
      <c r="V2286">
        <v>3</v>
      </c>
      <c r="W2286">
        <v>4</v>
      </c>
      <c r="X2286">
        <v>0</v>
      </c>
      <c r="Y2286">
        <v>0</v>
      </c>
      <c r="Z2286">
        <v>0</v>
      </c>
    </row>
    <row r="2287" spans="1:26" x14ac:dyDescent="0.2">
      <c r="A2287" t="s">
        <v>2405</v>
      </c>
      <c r="B2287" t="s">
        <v>66</v>
      </c>
      <c r="C2287">
        <v>2015</v>
      </c>
      <c r="D2287" t="s">
        <v>18</v>
      </c>
      <c r="E2287" t="s">
        <v>71</v>
      </c>
      <c r="F2287" t="s">
        <v>20</v>
      </c>
      <c r="G2287">
        <v>40341</v>
      </c>
      <c r="H2287">
        <v>32272.800000000003</v>
      </c>
      <c r="I2287" s="13">
        <v>0.2</v>
      </c>
      <c r="J2287" t="s">
        <v>6207</v>
      </c>
      <c r="K2287">
        <v>2</v>
      </c>
      <c r="L2287">
        <v>2</v>
      </c>
      <c r="M2287" t="s">
        <v>58</v>
      </c>
      <c r="N2287" s="2">
        <v>0.52</v>
      </c>
      <c r="O2287" s="2">
        <v>0.48</v>
      </c>
      <c r="P2287">
        <v>22</v>
      </c>
      <c r="Q2287">
        <v>16</v>
      </c>
      <c r="R2287">
        <v>4</v>
      </c>
      <c r="S2287">
        <v>8</v>
      </c>
      <c r="T2287">
        <v>15</v>
      </c>
      <c r="U2287">
        <v>16</v>
      </c>
      <c r="V2287">
        <v>1</v>
      </c>
      <c r="W2287">
        <v>3</v>
      </c>
      <c r="X2287">
        <v>1</v>
      </c>
      <c r="Y2287">
        <v>0</v>
      </c>
      <c r="Z2287">
        <v>1</v>
      </c>
    </row>
    <row r="2288" spans="1:26" x14ac:dyDescent="0.2">
      <c r="A2288" t="s">
        <v>2406</v>
      </c>
      <c r="B2288" t="s">
        <v>76</v>
      </c>
      <c r="C2288">
        <v>2015</v>
      </c>
      <c r="D2288" t="s">
        <v>64</v>
      </c>
      <c r="E2288" t="s">
        <v>73</v>
      </c>
      <c r="F2288" t="s">
        <v>64</v>
      </c>
      <c r="G2288">
        <v>52264</v>
      </c>
      <c r="H2288">
        <v>41811.200000000004</v>
      </c>
      <c r="I2288" s="13">
        <v>0.5</v>
      </c>
      <c r="J2288" t="s">
        <v>6207</v>
      </c>
      <c r="K2288">
        <v>2</v>
      </c>
      <c r="L2288">
        <v>2</v>
      </c>
      <c r="M2288" t="s">
        <v>58</v>
      </c>
      <c r="N2288" s="2">
        <v>0.55000000000000004</v>
      </c>
      <c r="O2288" s="2">
        <v>0.45</v>
      </c>
      <c r="P2288">
        <v>14</v>
      </c>
      <c r="Q2288">
        <v>10</v>
      </c>
      <c r="R2288">
        <v>6</v>
      </c>
      <c r="S2288">
        <v>6</v>
      </c>
      <c r="T2288">
        <v>9</v>
      </c>
      <c r="U2288">
        <v>12</v>
      </c>
      <c r="V2288">
        <v>2</v>
      </c>
      <c r="W2288">
        <v>4</v>
      </c>
      <c r="X2288">
        <v>0</v>
      </c>
      <c r="Y2288">
        <v>0</v>
      </c>
      <c r="Z2288">
        <v>0</v>
      </c>
    </row>
    <row r="2289" spans="1:26" x14ac:dyDescent="0.2">
      <c r="A2289" t="s">
        <v>2407</v>
      </c>
      <c r="B2289" t="s">
        <v>32</v>
      </c>
      <c r="C2289">
        <v>2015</v>
      </c>
      <c r="D2289" t="s">
        <v>46</v>
      </c>
      <c r="E2289" t="s">
        <v>23</v>
      </c>
      <c r="F2289" t="s">
        <v>20</v>
      </c>
      <c r="G2289">
        <v>60704</v>
      </c>
      <c r="H2289">
        <v>48563.200000000004</v>
      </c>
      <c r="I2289" s="13">
        <v>0.5</v>
      </c>
      <c r="J2289" t="s">
        <v>6207</v>
      </c>
      <c r="K2289">
        <v>0</v>
      </c>
      <c r="L2289">
        <v>2</v>
      </c>
      <c r="M2289" t="s">
        <v>1</v>
      </c>
      <c r="N2289" s="2">
        <v>0.62</v>
      </c>
      <c r="O2289" s="2">
        <v>0.38</v>
      </c>
      <c r="P2289">
        <v>10</v>
      </c>
      <c r="Q2289">
        <v>15</v>
      </c>
      <c r="R2289">
        <v>5</v>
      </c>
      <c r="S2289">
        <v>4</v>
      </c>
      <c r="T2289">
        <v>12</v>
      </c>
      <c r="U2289">
        <v>9</v>
      </c>
      <c r="V2289">
        <v>1</v>
      </c>
      <c r="W2289">
        <v>3</v>
      </c>
      <c r="X2289">
        <v>0</v>
      </c>
      <c r="Y2289">
        <v>0</v>
      </c>
      <c r="Z2289">
        <v>0</v>
      </c>
    </row>
    <row r="2290" spans="1:26" x14ac:dyDescent="0.2">
      <c r="A2290" t="s">
        <v>2408</v>
      </c>
      <c r="B2290" t="s">
        <v>61</v>
      </c>
      <c r="C2290">
        <v>2015</v>
      </c>
      <c r="D2290" t="s">
        <v>27</v>
      </c>
      <c r="E2290" t="s">
        <v>26</v>
      </c>
      <c r="F2290" t="s">
        <v>27</v>
      </c>
      <c r="G2290">
        <v>30089</v>
      </c>
      <c r="H2290">
        <v>24071.200000000001</v>
      </c>
      <c r="I2290" s="13">
        <v>0.66666666666666663</v>
      </c>
      <c r="J2290" t="s">
        <v>6207</v>
      </c>
      <c r="K2290">
        <v>0</v>
      </c>
      <c r="L2290">
        <v>1</v>
      </c>
      <c r="M2290" t="s">
        <v>1</v>
      </c>
      <c r="N2290" s="2">
        <v>0.47</v>
      </c>
      <c r="O2290" s="2">
        <v>0.53</v>
      </c>
      <c r="P2290">
        <v>19</v>
      </c>
      <c r="Q2290">
        <v>10</v>
      </c>
      <c r="R2290">
        <v>3</v>
      </c>
      <c r="S2290">
        <v>5</v>
      </c>
      <c r="T2290">
        <v>9</v>
      </c>
      <c r="U2290">
        <v>16</v>
      </c>
      <c r="V2290">
        <v>2</v>
      </c>
      <c r="W2290">
        <v>4</v>
      </c>
      <c r="X2290">
        <v>0</v>
      </c>
      <c r="Y2290">
        <v>0</v>
      </c>
      <c r="Z2290">
        <v>0</v>
      </c>
    </row>
    <row r="2291" spans="1:26" x14ac:dyDescent="0.2">
      <c r="A2291" t="s">
        <v>2409</v>
      </c>
      <c r="B2291" t="s">
        <v>41</v>
      </c>
      <c r="C2291">
        <v>2015</v>
      </c>
      <c r="D2291" t="s">
        <v>63</v>
      </c>
      <c r="E2291" t="s">
        <v>40</v>
      </c>
      <c r="F2291" t="s">
        <v>65</v>
      </c>
      <c r="G2291">
        <v>26804</v>
      </c>
      <c r="H2291">
        <v>21443.200000000001</v>
      </c>
      <c r="I2291" s="13">
        <v>0.4</v>
      </c>
      <c r="J2291" t="s">
        <v>6207</v>
      </c>
      <c r="K2291">
        <v>0</v>
      </c>
      <c r="L2291">
        <v>3</v>
      </c>
      <c r="M2291" t="s">
        <v>1</v>
      </c>
      <c r="N2291" s="2">
        <v>0.31</v>
      </c>
      <c r="O2291" s="2">
        <v>0.69</v>
      </c>
      <c r="P2291">
        <v>9</v>
      </c>
      <c r="Q2291">
        <v>14</v>
      </c>
      <c r="R2291">
        <v>6</v>
      </c>
      <c r="S2291">
        <v>6</v>
      </c>
      <c r="T2291">
        <v>12</v>
      </c>
      <c r="U2291">
        <v>9</v>
      </c>
      <c r="V2291">
        <v>4</v>
      </c>
      <c r="W2291">
        <v>1</v>
      </c>
      <c r="X2291">
        <v>0</v>
      </c>
      <c r="Y2291">
        <v>0</v>
      </c>
      <c r="Z2291">
        <v>0</v>
      </c>
    </row>
    <row r="2292" spans="1:26" x14ac:dyDescent="0.2">
      <c r="A2292" t="s">
        <v>2410</v>
      </c>
      <c r="B2292" t="s">
        <v>41</v>
      </c>
      <c r="C2292">
        <v>2015</v>
      </c>
      <c r="D2292" t="s">
        <v>42</v>
      </c>
      <c r="E2292" t="s">
        <v>48</v>
      </c>
      <c r="F2292" t="s">
        <v>38</v>
      </c>
      <c r="G2292">
        <v>42918</v>
      </c>
      <c r="H2292">
        <v>34334.400000000001</v>
      </c>
      <c r="I2292" s="13">
        <v>1</v>
      </c>
      <c r="J2292" t="s">
        <v>6207</v>
      </c>
      <c r="K2292">
        <v>0</v>
      </c>
      <c r="L2292">
        <v>1</v>
      </c>
      <c r="M2292" t="s">
        <v>1</v>
      </c>
      <c r="N2292" s="2">
        <v>0.45</v>
      </c>
      <c r="O2292" s="2">
        <v>0.55000000000000004</v>
      </c>
      <c r="P2292">
        <v>13</v>
      </c>
      <c r="Q2292">
        <v>18</v>
      </c>
      <c r="R2292">
        <v>3</v>
      </c>
      <c r="S2292">
        <v>5</v>
      </c>
      <c r="T2292">
        <v>14</v>
      </c>
      <c r="U2292">
        <v>10</v>
      </c>
      <c r="V2292">
        <v>2</v>
      </c>
      <c r="W2292">
        <v>2</v>
      </c>
      <c r="X2292">
        <v>0</v>
      </c>
      <c r="Y2292">
        <v>0</v>
      </c>
      <c r="Z2292">
        <v>0</v>
      </c>
    </row>
    <row r="2293" spans="1:26" x14ac:dyDescent="0.2">
      <c r="A2293" t="s">
        <v>2411</v>
      </c>
      <c r="B2293" t="s">
        <v>66</v>
      </c>
      <c r="C2293">
        <v>2015</v>
      </c>
      <c r="D2293" t="s">
        <v>73</v>
      </c>
      <c r="E2293" t="s">
        <v>45</v>
      </c>
      <c r="F2293" t="s">
        <v>73</v>
      </c>
      <c r="G2293">
        <v>32384</v>
      </c>
      <c r="H2293">
        <v>25907.200000000001</v>
      </c>
      <c r="I2293" s="13">
        <v>0.5</v>
      </c>
      <c r="J2293" t="s">
        <v>6207</v>
      </c>
      <c r="K2293">
        <v>0</v>
      </c>
      <c r="L2293">
        <v>3</v>
      </c>
      <c r="M2293" t="s">
        <v>1</v>
      </c>
      <c r="N2293" s="2">
        <v>0.55000000000000004</v>
      </c>
      <c r="O2293" s="2">
        <v>0.45</v>
      </c>
      <c r="P2293">
        <v>12</v>
      </c>
      <c r="Q2293">
        <v>12</v>
      </c>
      <c r="R2293">
        <v>9</v>
      </c>
      <c r="S2293">
        <v>9</v>
      </c>
      <c r="T2293">
        <v>11</v>
      </c>
      <c r="U2293">
        <v>10</v>
      </c>
      <c r="V2293">
        <v>4</v>
      </c>
      <c r="W2293">
        <v>2</v>
      </c>
      <c r="X2293">
        <v>0</v>
      </c>
      <c r="Y2293">
        <v>0</v>
      </c>
      <c r="Z2293">
        <v>0</v>
      </c>
    </row>
    <row r="2294" spans="1:26" x14ac:dyDescent="0.2">
      <c r="A2294" t="s">
        <v>2412</v>
      </c>
      <c r="B2294" t="s">
        <v>61</v>
      </c>
      <c r="C2294">
        <v>2015</v>
      </c>
      <c r="D2294" t="s">
        <v>23</v>
      </c>
      <c r="E2294" t="s">
        <v>80</v>
      </c>
      <c r="F2294" t="s">
        <v>20</v>
      </c>
      <c r="G2294">
        <v>62500</v>
      </c>
      <c r="H2294">
        <v>50000</v>
      </c>
      <c r="I2294" s="13">
        <v>0.6</v>
      </c>
      <c r="J2294" t="s">
        <v>6207</v>
      </c>
      <c r="K2294">
        <v>1</v>
      </c>
      <c r="L2294">
        <v>2</v>
      </c>
      <c r="M2294" t="s">
        <v>1</v>
      </c>
      <c r="N2294" s="2">
        <v>0.65</v>
      </c>
      <c r="O2294" s="2">
        <v>0.35</v>
      </c>
      <c r="P2294">
        <v>13</v>
      </c>
      <c r="Q2294">
        <v>11</v>
      </c>
      <c r="R2294">
        <v>8</v>
      </c>
      <c r="S2294">
        <v>4</v>
      </c>
      <c r="T2294">
        <v>11</v>
      </c>
      <c r="U2294">
        <v>12</v>
      </c>
      <c r="V2294">
        <v>1</v>
      </c>
      <c r="W2294">
        <v>3</v>
      </c>
      <c r="X2294">
        <v>1</v>
      </c>
      <c r="Y2294">
        <v>0</v>
      </c>
      <c r="Z2294">
        <v>0</v>
      </c>
    </row>
    <row r="2295" spans="1:26" x14ac:dyDescent="0.2">
      <c r="A2295" t="s">
        <v>2413</v>
      </c>
      <c r="B2295" t="s">
        <v>81</v>
      </c>
      <c r="C2295">
        <v>2015</v>
      </c>
      <c r="D2295" t="s">
        <v>85</v>
      </c>
      <c r="E2295" t="s">
        <v>63</v>
      </c>
      <c r="F2295" t="s">
        <v>85</v>
      </c>
      <c r="G2295">
        <v>22220</v>
      </c>
      <c r="H2295">
        <v>17776</v>
      </c>
      <c r="I2295" s="13">
        <v>0.66666666666666663</v>
      </c>
      <c r="J2295" t="s">
        <v>6207</v>
      </c>
      <c r="K2295">
        <v>0</v>
      </c>
      <c r="L2295">
        <v>0</v>
      </c>
      <c r="M2295" t="s">
        <v>58</v>
      </c>
      <c r="N2295" s="2">
        <v>0.59</v>
      </c>
      <c r="O2295" s="2">
        <v>0.41</v>
      </c>
      <c r="P2295">
        <v>10</v>
      </c>
      <c r="Q2295">
        <v>13</v>
      </c>
      <c r="R2295">
        <v>2</v>
      </c>
      <c r="S2295">
        <v>4</v>
      </c>
      <c r="T2295">
        <v>13</v>
      </c>
      <c r="U2295">
        <v>10</v>
      </c>
      <c r="V2295">
        <v>1</v>
      </c>
      <c r="W2295">
        <v>2</v>
      </c>
      <c r="X2295">
        <v>0</v>
      </c>
      <c r="Y2295">
        <v>0</v>
      </c>
      <c r="Z2295">
        <v>0</v>
      </c>
    </row>
    <row r="2296" spans="1:26" x14ac:dyDescent="0.2">
      <c r="A2296" t="s">
        <v>2414</v>
      </c>
      <c r="B2296" t="s">
        <v>77</v>
      </c>
      <c r="C2296">
        <v>2015</v>
      </c>
      <c r="D2296" t="s">
        <v>51</v>
      </c>
      <c r="E2296" t="s">
        <v>27</v>
      </c>
      <c r="F2296" t="s">
        <v>20</v>
      </c>
      <c r="G2296">
        <v>36284</v>
      </c>
      <c r="H2296">
        <v>29027.200000000001</v>
      </c>
      <c r="I2296" s="13">
        <v>0.5</v>
      </c>
      <c r="J2296" t="s">
        <v>6207</v>
      </c>
      <c r="K2296">
        <v>2</v>
      </c>
      <c r="L2296">
        <v>2</v>
      </c>
      <c r="M2296" t="s">
        <v>58</v>
      </c>
      <c r="N2296" s="2">
        <v>0.53</v>
      </c>
      <c r="O2296" s="2">
        <v>0.47</v>
      </c>
      <c r="P2296">
        <v>14</v>
      </c>
      <c r="Q2296">
        <v>17</v>
      </c>
      <c r="R2296">
        <v>4</v>
      </c>
      <c r="S2296">
        <v>3</v>
      </c>
      <c r="T2296">
        <v>15</v>
      </c>
      <c r="U2296">
        <v>11</v>
      </c>
      <c r="V2296">
        <v>2</v>
      </c>
      <c r="W2296">
        <v>2</v>
      </c>
      <c r="X2296">
        <v>0</v>
      </c>
      <c r="Y2296">
        <v>0</v>
      </c>
      <c r="Z2296">
        <v>1</v>
      </c>
    </row>
    <row r="2297" spans="1:26" x14ac:dyDescent="0.2">
      <c r="A2297" t="s">
        <v>2415</v>
      </c>
      <c r="B2297" t="s">
        <v>53</v>
      </c>
      <c r="C2297">
        <v>2015</v>
      </c>
      <c r="D2297" t="s">
        <v>71</v>
      </c>
      <c r="E2297" t="s">
        <v>64</v>
      </c>
      <c r="F2297" t="s">
        <v>71</v>
      </c>
      <c r="G2297">
        <v>21088</v>
      </c>
      <c r="H2297">
        <v>16870.400000000001</v>
      </c>
      <c r="I2297" s="13">
        <v>0.6</v>
      </c>
      <c r="J2297" t="s">
        <v>6207</v>
      </c>
      <c r="K2297">
        <v>2</v>
      </c>
      <c r="L2297">
        <v>0</v>
      </c>
      <c r="M2297" t="s">
        <v>0</v>
      </c>
      <c r="N2297" s="2">
        <v>0.65</v>
      </c>
      <c r="O2297" s="2">
        <v>0.35</v>
      </c>
      <c r="P2297">
        <v>9</v>
      </c>
      <c r="Q2297">
        <v>14</v>
      </c>
      <c r="R2297">
        <v>4</v>
      </c>
      <c r="S2297">
        <v>4</v>
      </c>
      <c r="T2297">
        <v>11</v>
      </c>
      <c r="U2297">
        <v>8</v>
      </c>
      <c r="V2297">
        <v>2</v>
      </c>
      <c r="W2297">
        <v>2</v>
      </c>
      <c r="X2297">
        <v>0</v>
      </c>
      <c r="Y2297">
        <v>1</v>
      </c>
      <c r="Z2297">
        <v>0</v>
      </c>
    </row>
    <row r="2298" spans="1:26" x14ac:dyDescent="0.2">
      <c r="A2298" t="s">
        <v>2416</v>
      </c>
      <c r="B2298" t="s">
        <v>60</v>
      </c>
      <c r="C2298">
        <v>2015</v>
      </c>
      <c r="D2298" t="s">
        <v>35</v>
      </c>
      <c r="E2298" t="s">
        <v>69</v>
      </c>
      <c r="F2298" t="s">
        <v>35</v>
      </c>
      <c r="G2298">
        <v>49000</v>
      </c>
      <c r="H2298">
        <v>39200</v>
      </c>
      <c r="I2298" s="13">
        <v>1</v>
      </c>
      <c r="J2298" t="s">
        <v>6208</v>
      </c>
      <c r="K2298">
        <v>1</v>
      </c>
      <c r="L2298">
        <v>3</v>
      </c>
      <c r="M2298" t="s">
        <v>1</v>
      </c>
      <c r="N2298" s="2">
        <v>0.48</v>
      </c>
      <c r="O2298" s="2">
        <v>0.52</v>
      </c>
      <c r="P2298">
        <v>8</v>
      </c>
      <c r="Q2298">
        <v>9</v>
      </c>
      <c r="R2298">
        <v>6</v>
      </c>
      <c r="S2298">
        <v>6</v>
      </c>
      <c r="T2298">
        <v>7</v>
      </c>
      <c r="U2298">
        <v>7</v>
      </c>
      <c r="V2298">
        <v>1</v>
      </c>
      <c r="W2298">
        <v>2</v>
      </c>
      <c r="X2298">
        <v>0</v>
      </c>
      <c r="Y2298">
        <v>0</v>
      </c>
      <c r="Z2298">
        <v>0</v>
      </c>
    </row>
    <row r="2299" spans="1:26" x14ac:dyDescent="0.2">
      <c r="A2299" t="s">
        <v>2417</v>
      </c>
      <c r="B2299" t="s">
        <v>50</v>
      </c>
      <c r="C2299">
        <v>2015</v>
      </c>
      <c r="D2299" t="s">
        <v>79</v>
      </c>
      <c r="E2299" t="s">
        <v>46</v>
      </c>
      <c r="F2299" t="s">
        <v>20</v>
      </c>
      <c r="G2299">
        <v>25486</v>
      </c>
      <c r="H2299">
        <v>20388.800000000003</v>
      </c>
      <c r="I2299" s="13">
        <v>0.5</v>
      </c>
      <c r="J2299" t="s">
        <v>6207</v>
      </c>
      <c r="K2299">
        <v>1</v>
      </c>
      <c r="L2299">
        <v>2</v>
      </c>
      <c r="M2299" t="s">
        <v>1</v>
      </c>
      <c r="N2299" s="2">
        <v>0.41</v>
      </c>
      <c r="O2299" s="2">
        <v>0.59</v>
      </c>
      <c r="P2299">
        <v>14</v>
      </c>
      <c r="Q2299">
        <v>17</v>
      </c>
      <c r="R2299">
        <v>6</v>
      </c>
      <c r="S2299">
        <v>6</v>
      </c>
      <c r="T2299">
        <v>14</v>
      </c>
      <c r="U2299">
        <v>12</v>
      </c>
      <c r="V2299">
        <v>1</v>
      </c>
      <c r="W2299">
        <v>1</v>
      </c>
      <c r="X2299">
        <v>0</v>
      </c>
      <c r="Y2299">
        <v>0</v>
      </c>
      <c r="Z2299">
        <v>0</v>
      </c>
    </row>
    <row r="2300" spans="1:26" x14ac:dyDescent="0.2">
      <c r="A2300" t="s">
        <v>2418</v>
      </c>
      <c r="B2300" t="s">
        <v>32</v>
      </c>
      <c r="C2300">
        <v>2015</v>
      </c>
      <c r="D2300" t="s">
        <v>40</v>
      </c>
      <c r="E2300" t="s">
        <v>18</v>
      </c>
      <c r="F2300" t="s">
        <v>49</v>
      </c>
      <c r="G2300">
        <v>53400</v>
      </c>
      <c r="H2300">
        <v>42720</v>
      </c>
      <c r="I2300" s="13">
        <v>1</v>
      </c>
      <c r="J2300" t="s">
        <v>6207</v>
      </c>
      <c r="K2300">
        <v>3</v>
      </c>
      <c r="L2300">
        <v>0</v>
      </c>
      <c r="M2300" t="s">
        <v>0</v>
      </c>
      <c r="N2300" s="2">
        <v>0.49</v>
      </c>
      <c r="O2300" s="2">
        <v>0.51</v>
      </c>
      <c r="P2300">
        <v>16</v>
      </c>
      <c r="Q2300">
        <v>21</v>
      </c>
      <c r="R2300">
        <v>5</v>
      </c>
      <c r="S2300">
        <v>1</v>
      </c>
      <c r="T2300">
        <v>19</v>
      </c>
      <c r="U2300">
        <v>13</v>
      </c>
      <c r="V2300">
        <v>4</v>
      </c>
      <c r="W2300">
        <v>2</v>
      </c>
      <c r="X2300">
        <v>0</v>
      </c>
      <c r="Y2300">
        <v>0</v>
      </c>
      <c r="Z2300">
        <v>0</v>
      </c>
    </row>
    <row r="2301" spans="1:26" x14ac:dyDescent="0.2">
      <c r="A2301" t="s">
        <v>2419</v>
      </c>
      <c r="B2301" t="s">
        <v>76</v>
      </c>
      <c r="C2301">
        <v>2015</v>
      </c>
      <c r="D2301" t="s">
        <v>26</v>
      </c>
      <c r="E2301" t="s">
        <v>86</v>
      </c>
      <c r="F2301" t="s">
        <v>26</v>
      </c>
      <c r="G2301">
        <v>61276</v>
      </c>
      <c r="H2301">
        <v>49020.800000000003</v>
      </c>
      <c r="I2301" s="13">
        <v>0.4</v>
      </c>
      <c r="J2301" t="s">
        <v>6207</v>
      </c>
      <c r="K2301">
        <v>1</v>
      </c>
      <c r="L2301">
        <v>0</v>
      </c>
      <c r="M2301" t="s">
        <v>0</v>
      </c>
      <c r="N2301" s="2">
        <v>0.56000000000000005</v>
      </c>
      <c r="O2301" s="2">
        <v>0.44</v>
      </c>
      <c r="P2301">
        <v>18</v>
      </c>
      <c r="Q2301">
        <v>12</v>
      </c>
      <c r="R2301">
        <v>6</v>
      </c>
      <c r="S2301">
        <v>8</v>
      </c>
      <c r="T2301">
        <v>11</v>
      </c>
      <c r="U2301">
        <v>18</v>
      </c>
      <c r="V2301">
        <v>1</v>
      </c>
      <c r="W2301">
        <v>4</v>
      </c>
      <c r="X2301">
        <v>0</v>
      </c>
      <c r="Y2301">
        <v>0</v>
      </c>
      <c r="Z2301">
        <v>0</v>
      </c>
    </row>
    <row r="2302" spans="1:26" x14ac:dyDescent="0.2">
      <c r="A2302" t="s">
        <v>2420</v>
      </c>
      <c r="B2302" t="s">
        <v>76</v>
      </c>
      <c r="C2302">
        <v>2015</v>
      </c>
      <c r="D2302" t="s">
        <v>48</v>
      </c>
      <c r="E2302" t="s">
        <v>64</v>
      </c>
      <c r="F2302" t="s">
        <v>49</v>
      </c>
      <c r="G2302">
        <v>74197</v>
      </c>
      <c r="H2302">
        <v>59357.600000000006</v>
      </c>
      <c r="I2302" s="13">
        <v>0.75</v>
      </c>
      <c r="J2302" t="s">
        <v>6207</v>
      </c>
      <c r="K2302">
        <v>0</v>
      </c>
      <c r="L2302">
        <v>0</v>
      </c>
      <c r="M2302" t="s">
        <v>58</v>
      </c>
      <c r="N2302" s="2">
        <v>0.66</v>
      </c>
      <c r="O2302" s="2">
        <v>0.34</v>
      </c>
      <c r="P2302">
        <v>13</v>
      </c>
      <c r="Q2302">
        <v>19</v>
      </c>
      <c r="R2302">
        <v>11</v>
      </c>
      <c r="S2302">
        <v>5</v>
      </c>
      <c r="T2302">
        <v>15</v>
      </c>
      <c r="U2302">
        <v>11</v>
      </c>
      <c r="V2302">
        <v>2</v>
      </c>
      <c r="W2302">
        <v>2</v>
      </c>
      <c r="X2302">
        <v>0</v>
      </c>
      <c r="Y2302">
        <v>0</v>
      </c>
      <c r="Z2302">
        <v>0</v>
      </c>
    </row>
    <row r="2303" spans="1:26" x14ac:dyDescent="0.2">
      <c r="A2303" t="s">
        <v>2421</v>
      </c>
      <c r="B2303" t="s">
        <v>68</v>
      </c>
      <c r="C2303">
        <v>2015</v>
      </c>
      <c r="D2303" t="s">
        <v>23</v>
      </c>
      <c r="E2303" t="s">
        <v>86</v>
      </c>
      <c r="F2303" t="s">
        <v>20</v>
      </c>
      <c r="G2303">
        <v>62500</v>
      </c>
      <c r="H2303">
        <v>50000</v>
      </c>
      <c r="I2303" s="13">
        <v>0.5</v>
      </c>
      <c r="J2303" t="s">
        <v>6207</v>
      </c>
      <c r="K2303">
        <v>3</v>
      </c>
      <c r="L2303">
        <v>4</v>
      </c>
      <c r="M2303" t="s">
        <v>1</v>
      </c>
      <c r="N2303" s="2">
        <v>0.47</v>
      </c>
      <c r="O2303" s="2">
        <v>0.53</v>
      </c>
      <c r="P2303">
        <v>11</v>
      </c>
      <c r="Q2303">
        <v>10</v>
      </c>
      <c r="R2303">
        <v>5</v>
      </c>
      <c r="S2303">
        <v>4</v>
      </c>
      <c r="T2303">
        <v>8</v>
      </c>
      <c r="U2303">
        <v>11</v>
      </c>
      <c r="V2303">
        <v>0</v>
      </c>
      <c r="W2303">
        <v>1</v>
      </c>
      <c r="X2303">
        <v>1</v>
      </c>
      <c r="Y2303">
        <v>0</v>
      </c>
      <c r="Z2303">
        <v>2</v>
      </c>
    </row>
    <row r="2304" spans="1:26" x14ac:dyDescent="0.2">
      <c r="A2304" t="s">
        <v>2422</v>
      </c>
      <c r="B2304" t="s">
        <v>67</v>
      </c>
      <c r="C2304">
        <v>2015</v>
      </c>
      <c r="D2304" t="s">
        <v>35</v>
      </c>
      <c r="E2304" t="s">
        <v>71</v>
      </c>
      <c r="F2304" t="s">
        <v>35</v>
      </c>
      <c r="G2304">
        <v>49000</v>
      </c>
      <c r="H2304">
        <v>39200</v>
      </c>
      <c r="I2304" s="13">
        <v>0.66666666666666663</v>
      </c>
      <c r="J2304" t="s">
        <v>6207</v>
      </c>
      <c r="K2304">
        <v>1</v>
      </c>
      <c r="L2304">
        <v>1</v>
      </c>
      <c r="M2304" t="s">
        <v>58</v>
      </c>
      <c r="N2304" s="2">
        <v>0.43</v>
      </c>
      <c r="O2304" s="2">
        <v>0.56999999999999995</v>
      </c>
      <c r="P2304">
        <v>11</v>
      </c>
      <c r="Q2304">
        <v>20</v>
      </c>
      <c r="R2304">
        <v>2</v>
      </c>
      <c r="S2304">
        <v>4</v>
      </c>
      <c r="T2304">
        <v>16</v>
      </c>
      <c r="U2304">
        <v>9</v>
      </c>
      <c r="V2304">
        <v>4</v>
      </c>
      <c r="W2304">
        <v>2</v>
      </c>
      <c r="X2304">
        <v>0</v>
      </c>
      <c r="Y2304">
        <v>0</v>
      </c>
      <c r="Z2304">
        <v>0</v>
      </c>
    </row>
    <row r="2305" spans="1:26" x14ac:dyDescent="0.2">
      <c r="A2305" t="s">
        <v>2423</v>
      </c>
      <c r="B2305" t="s">
        <v>41</v>
      </c>
      <c r="C2305">
        <v>2015</v>
      </c>
      <c r="D2305" t="s">
        <v>69</v>
      </c>
      <c r="E2305" t="s">
        <v>27</v>
      </c>
      <c r="F2305" t="s">
        <v>69</v>
      </c>
      <c r="G2305">
        <v>27359</v>
      </c>
      <c r="H2305">
        <v>21887.200000000001</v>
      </c>
      <c r="I2305" s="13">
        <v>0.6</v>
      </c>
      <c r="J2305" t="s">
        <v>6207</v>
      </c>
      <c r="K2305">
        <v>1</v>
      </c>
      <c r="L2305">
        <v>1</v>
      </c>
      <c r="M2305" t="s">
        <v>58</v>
      </c>
      <c r="N2305" s="2">
        <v>0.46</v>
      </c>
      <c r="O2305" s="2">
        <v>0.54</v>
      </c>
      <c r="P2305">
        <v>8</v>
      </c>
      <c r="Q2305">
        <v>19</v>
      </c>
      <c r="R2305">
        <v>9</v>
      </c>
      <c r="S2305">
        <v>0</v>
      </c>
      <c r="T2305">
        <v>16</v>
      </c>
      <c r="U2305">
        <v>5</v>
      </c>
      <c r="V2305">
        <v>4</v>
      </c>
      <c r="W2305">
        <v>1</v>
      </c>
      <c r="X2305">
        <v>0</v>
      </c>
      <c r="Y2305">
        <v>0</v>
      </c>
      <c r="Z2305">
        <v>0</v>
      </c>
    </row>
    <row r="2306" spans="1:26" x14ac:dyDescent="0.2">
      <c r="A2306" t="s">
        <v>2424</v>
      </c>
      <c r="B2306" t="s">
        <v>32</v>
      </c>
      <c r="C2306">
        <v>2015</v>
      </c>
      <c r="D2306" t="s">
        <v>80</v>
      </c>
      <c r="E2306" t="s">
        <v>51</v>
      </c>
      <c r="F2306" t="s">
        <v>80</v>
      </c>
      <c r="G2306">
        <v>32261</v>
      </c>
      <c r="H2306">
        <v>25808.800000000003</v>
      </c>
      <c r="I2306" s="13">
        <v>0.4</v>
      </c>
      <c r="J2306" t="s">
        <v>6207</v>
      </c>
      <c r="K2306">
        <v>1</v>
      </c>
      <c r="L2306">
        <v>1</v>
      </c>
      <c r="M2306" t="s">
        <v>58</v>
      </c>
      <c r="N2306" s="2">
        <v>0.42</v>
      </c>
      <c r="O2306" s="2">
        <v>0.57999999999999996</v>
      </c>
      <c r="P2306">
        <v>14</v>
      </c>
      <c r="Q2306">
        <v>8</v>
      </c>
      <c r="R2306">
        <v>2</v>
      </c>
      <c r="S2306">
        <v>7</v>
      </c>
      <c r="T2306">
        <v>7</v>
      </c>
      <c r="U2306">
        <v>14</v>
      </c>
      <c r="V2306">
        <v>1</v>
      </c>
      <c r="W2306">
        <v>4</v>
      </c>
      <c r="X2306">
        <v>0</v>
      </c>
      <c r="Y2306">
        <v>0</v>
      </c>
      <c r="Z2306">
        <v>0</v>
      </c>
    </row>
    <row r="2307" spans="1:26" x14ac:dyDescent="0.2">
      <c r="A2307" t="s">
        <v>2425</v>
      </c>
      <c r="B2307" t="s">
        <v>82</v>
      </c>
      <c r="C2307">
        <v>2015</v>
      </c>
      <c r="D2307" t="s">
        <v>79</v>
      </c>
      <c r="E2307" t="s">
        <v>42</v>
      </c>
      <c r="F2307" t="s">
        <v>20</v>
      </c>
      <c r="G2307">
        <v>25486</v>
      </c>
      <c r="H2307">
        <v>20388.800000000003</v>
      </c>
      <c r="I2307" s="13">
        <v>0.66666666666666663</v>
      </c>
      <c r="J2307" t="s">
        <v>6209</v>
      </c>
      <c r="K2307">
        <v>2</v>
      </c>
      <c r="L2307">
        <v>1</v>
      </c>
      <c r="M2307" t="s">
        <v>0</v>
      </c>
      <c r="N2307" s="2">
        <v>0.51</v>
      </c>
      <c r="O2307" s="2">
        <v>0.49</v>
      </c>
      <c r="P2307">
        <v>15</v>
      </c>
      <c r="Q2307">
        <v>16</v>
      </c>
      <c r="R2307">
        <v>6</v>
      </c>
      <c r="S2307">
        <v>4</v>
      </c>
      <c r="T2307">
        <v>12</v>
      </c>
      <c r="U2307">
        <v>15</v>
      </c>
      <c r="V2307">
        <v>3</v>
      </c>
      <c r="W2307">
        <v>3</v>
      </c>
      <c r="X2307">
        <v>0</v>
      </c>
      <c r="Y2307">
        <v>0</v>
      </c>
      <c r="Z2307">
        <v>0</v>
      </c>
    </row>
    <row r="2308" spans="1:26" x14ac:dyDescent="0.2">
      <c r="A2308" t="s">
        <v>2426</v>
      </c>
      <c r="B2308" t="s">
        <v>44</v>
      </c>
      <c r="C2308">
        <v>2015</v>
      </c>
      <c r="D2308" t="s">
        <v>63</v>
      </c>
      <c r="E2308" t="s">
        <v>18</v>
      </c>
      <c r="F2308" t="s">
        <v>65</v>
      </c>
      <c r="G2308">
        <v>26804</v>
      </c>
      <c r="H2308">
        <v>21443.200000000001</v>
      </c>
      <c r="I2308" s="13">
        <v>0.5</v>
      </c>
      <c r="J2308" t="s">
        <v>6207</v>
      </c>
      <c r="K2308">
        <v>2</v>
      </c>
      <c r="L2308">
        <v>3</v>
      </c>
      <c r="M2308" t="s">
        <v>1</v>
      </c>
      <c r="N2308" s="2">
        <v>0.44</v>
      </c>
      <c r="O2308" s="2">
        <v>0.56000000000000005</v>
      </c>
      <c r="P2308">
        <v>12</v>
      </c>
      <c r="Q2308">
        <v>11</v>
      </c>
      <c r="R2308">
        <v>8</v>
      </c>
      <c r="S2308">
        <v>7</v>
      </c>
      <c r="T2308">
        <v>9</v>
      </c>
      <c r="U2308">
        <v>12</v>
      </c>
      <c r="V2308">
        <v>2</v>
      </c>
      <c r="W2308">
        <v>1</v>
      </c>
      <c r="X2308">
        <v>0</v>
      </c>
      <c r="Y2308">
        <v>1</v>
      </c>
      <c r="Z2308">
        <v>1</v>
      </c>
    </row>
    <row r="2309" spans="1:26" x14ac:dyDescent="0.2">
      <c r="A2309" t="s">
        <v>2427</v>
      </c>
      <c r="B2309" t="s">
        <v>37</v>
      </c>
      <c r="C2309">
        <v>2015</v>
      </c>
      <c r="D2309" t="s">
        <v>85</v>
      </c>
      <c r="E2309" t="s">
        <v>73</v>
      </c>
      <c r="F2309" t="s">
        <v>85</v>
      </c>
      <c r="G2309">
        <v>22220</v>
      </c>
      <c r="H2309">
        <v>17776</v>
      </c>
      <c r="I2309" s="13">
        <v>1</v>
      </c>
      <c r="J2309" t="s">
        <v>6206</v>
      </c>
      <c r="K2309">
        <v>0</v>
      </c>
      <c r="L2309">
        <v>0</v>
      </c>
      <c r="M2309" t="s">
        <v>58</v>
      </c>
      <c r="N2309" s="2">
        <v>0.52</v>
      </c>
      <c r="O2309" s="2">
        <v>0.48</v>
      </c>
      <c r="P2309">
        <v>13</v>
      </c>
      <c r="Q2309">
        <v>14</v>
      </c>
      <c r="R2309">
        <v>5</v>
      </c>
      <c r="S2309">
        <v>2</v>
      </c>
      <c r="T2309">
        <v>10</v>
      </c>
      <c r="U2309">
        <v>11</v>
      </c>
      <c r="V2309">
        <v>0</v>
      </c>
      <c r="W2309">
        <v>2</v>
      </c>
      <c r="X2309">
        <v>0</v>
      </c>
      <c r="Y2309">
        <v>0</v>
      </c>
      <c r="Z2309">
        <v>0</v>
      </c>
    </row>
    <row r="2310" spans="1:26" x14ac:dyDescent="0.2">
      <c r="A2310" t="s">
        <v>2428</v>
      </c>
      <c r="B2310" t="s">
        <v>61</v>
      </c>
      <c r="C2310">
        <v>2015</v>
      </c>
      <c r="D2310" t="s">
        <v>45</v>
      </c>
      <c r="E2310" t="s">
        <v>40</v>
      </c>
      <c r="F2310" t="s">
        <v>26</v>
      </c>
      <c r="G2310">
        <v>39572</v>
      </c>
      <c r="H2310">
        <v>31657.600000000002</v>
      </c>
      <c r="I2310" s="13">
        <v>1</v>
      </c>
      <c r="J2310" t="s">
        <v>6207</v>
      </c>
      <c r="K2310">
        <v>0</v>
      </c>
      <c r="L2310">
        <v>2</v>
      </c>
      <c r="M2310" t="s">
        <v>1</v>
      </c>
      <c r="N2310" s="2">
        <v>0.45</v>
      </c>
      <c r="O2310" s="2">
        <v>0.55000000000000004</v>
      </c>
      <c r="P2310">
        <v>9</v>
      </c>
      <c r="Q2310">
        <v>8</v>
      </c>
      <c r="R2310">
        <v>8</v>
      </c>
      <c r="S2310">
        <v>7</v>
      </c>
      <c r="T2310">
        <v>5</v>
      </c>
      <c r="U2310">
        <v>7</v>
      </c>
      <c r="V2310">
        <v>0</v>
      </c>
      <c r="W2310">
        <v>3</v>
      </c>
      <c r="X2310">
        <v>0</v>
      </c>
      <c r="Y2310">
        <v>0</v>
      </c>
      <c r="Z2310">
        <v>0</v>
      </c>
    </row>
    <row r="2311" spans="1:26" x14ac:dyDescent="0.2">
      <c r="A2311" t="s">
        <v>2429</v>
      </c>
      <c r="B2311" t="s">
        <v>66</v>
      </c>
      <c r="C2311">
        <v>2015</v>
      </c>
      <c r="D2311" t="s">
        <v>46</v>
      </c>
      <c r="E2311" t="s">
        <v>26</v>
      </c>
      <c r="F2311" t="s">
        <v>20</v>
      </c>
      <c r="G2311">
        <v>60704</v>
      </c>
      <c r="H2311">
        <v>48563.200000000004</v>
      </c>
      <c r="I2311" s="13">
        <v>1</v>
      </c>
      <c r="J2311" t="s">
        <v>6207</v>
      </c>
      <c r="K2311">
        <v>0</v>
      </c>
      <c r="L2311">
        <v>0</v>
      </c>
      <c r="M2311" t="s">
        <v>58</v>
      </c>
      <c r="N2311" s="2">
        <v>0.66</v>
      </c>
      <c r="O2311" s="2">
        <v>0.34</v>
      </c>
      <c r="P2311">
        <v>17</v>
      </c>
      <c r="Q2311">
        <v>6</v>
      </c>
      <c r="R2311">
        <v>7</v>
      </c>
      <c r="S2311">
        <v>8</v>
      </c>
      <c r="T2311">
        <v>2</v>
      </c>
      <c r="U2311">
        <v>13</v>
      </c>
      <c r="V2311">
        <v>1</v>
      </c>
      <c r="W2311">
        <v>4</v>
      </c>
      <c r="X2311">
        <v>0</v>
      </c>
      <c r="Y2311">
        <v>0</v>
      </c>
      <c r="Z2311">
        <v>0</v>
      </c>
    </row>
    <row r="2312" spans="1:26" x14ac:dyDescent="0.2">
      <c r="A2312" t="s">
        <v>2430</v>
      </c>
      <c r="B2312" t="s">
        <v>37</v>
      </c>
      <c r="C2312">
        <v>2015</v>
      </c>
      <c r="D2312" t="s">
        <v>64</v>
      </c>
      <c r="E2312" t="s">
        <v>46</v>
      </c>
      <c r="F2312" t="s">
        <v>64</v>
      </c>
      <c r="G2312">
        <v>52264</v>
      </c>
      <c r="H2312">
        <v>41811.200000000004</v>
      </c>
      <c r="I2312" s="13">
        <v>1</v>
      </c>
      <c r="J2312" t="s">
        <v>6206</v>
      </c>
      <c r="K2312">
        <v>0</v>
      </c>
      <c r="L2312">
        <v>1</v>
      </c>
      <c r="M2312" t="s">
        <v>1</v>
      </c>
      <c r="N2312" s="2">
        <v>0.26</v>
      </c>
      <c r="O2312" s="2">
        <v>0.74</v>
      </c>
      <c r="P2312">
        <v>10</v>
      </c>
      <c r="Q2312">
        <v>19</v>
      </c>
      <c r="R2312">
        <v>0</v>
      </c>
      <c r="S2312">
        <v>9</v>
      </c>
      <c r="T2312">
        <v>15</v>
      </c>
      <c r="U2312">
        <v>8</v>
      </c>
      <c r="V2312">
        <v>6</v>
      </c>
      <c r="W2312">
        <v>1</v>
      </c>
      <c r="X2312">
        <v>1</v>
      </c>
      <c r="Y2312">
        <v>0</v>
      </c>
      <c r="Z2312">
        <v>0</v>
      </c>
    </row>
    <row r="2313" spans="1:26" x14ac:dyDescent="0.2">
      <c r="A2313" t="s">
        <v>2431</v>
      </c>
      <c r="B2313" t="s">
        <v>66</v>
      </c>
      <c r="C2313">
        <v>2015</v>
      </c>
      <c r="D2313" t="s">
        <v>27</v>
      </c>
      <c r="E2313" t="s">
        <v>63</v>
      </c>
      <c r="F2313" t="s">
        <v>27</v>
      </c>
      <c r="G2313">
        <v>30089</v>
      </c>
      <c r="H2313">
        <v>24071.200000000001</v>
      </c>
      <c r="I2313" s="13">
        <v>0.42857142857142855</v>
      </c>
      <c r="J2313" t="s">
        <v>6207</v>
      </c>
      <c r="K2313">
        <v>0</v>
      </c>
      <c r="L2313">
        <v>1</v>
      </c>
      <c r="M2313" t="s">
        <v>1</v>
      </c>
      <c r="N2313" s="2">
        <v>0.49</v>
      </c>
      <c r="O2313" s="2">
        <v>0.51</v>
      </c>
      <c r="P2313">
        <v>12</v>
      </c>
      <c r="Q2313">
        <v>8</v>
      </c>
      <c r="R2313">
        <v>6</v>
      </c>
      <c r="S2313">
        <v>5</v>
      </c>
      <c r="T2313">
        <v>4</v>
      </c>
      <c r="U2313">
        <v>9</v>
      </c>
      <c r="V2313">
        <v>1</v>
      </c>
      <c r="W2313">
        <v>4</v>
      </c>
      <c r="X2313">
        <v>2</v>
      </c>
      <c r="Y2313">
        <v>0</v>
      </c>
      <c r="Z2313">
        <v>0</v>
      </c>
    </row>
    <row r="2314" spans="1:26" x14ac:dyDescent="0.2">
      <c r="A2314" t="s">
        <v>2432</v>
      </c>
      <c r="B2314" t="s">
        <v>44</v>
      </c>
      <c r="C2314">
        <v>2015</v>
      </c>
      <c r="D2314" t="s">
        <v>40</v>
      </c>
      <c r="E2314" t="s">
        <v>85</v>
      </c>
      <c r="F2314" t="s">
        <v>49</v>
      </c>
      <c r="G2314">
        <v>53400</v>
      </c>
      <c r="H2314">
        <v>42720</v>
      </c>
      <c r="I2314" s="13">
        <v>1</v>
      </c>
      <c r="J2314" t="s">
        <v>6207</v>
      </c>
      <c r="K2314">
        <v>2</v>
      </c>
      <c r="L2314">
        <v>0</v>
      </c>
      <c r="M2314" t="s">
        <v>0</v>
      </c>
      <c r="N2314" s="2">
        <v>0.59</v>
      </c>
      <c r="O2314" s="2">
        <v>0.41</v>
      </c>
      <c r="P2314">
        <v>13</v>
      </c>
      <c r="Q2314">
        <v>9</v>
      </c>
      <c r="R2314">
        <v>9</v>
      </c>
      <c r="S2314">
        <v>3</v>
      </c>
      <c r="T2314">
        <v>9</v>
      </c>
      <c r="U2314">
        <v>12</v>
      </c>
      <c r="V2314">
        <v>1</v>
      </c>
      <c r="W2314">
        <v>2</v>
      </c>
      <c r="X2314">
        <v>0</v>
      </c>
      <c r="Y2314">
        <v>0</v>
      </c>
      <c r="Z2314">
        <v>0</v>
      </c>
    </row>
    <row r="2315" spans="1:26" x14ac:dyDescent="0.2">
      <c r="A2315" t="s">
        <v>2433</v>
      </c>
      <c r="B2315" t="s">
        <v>60</v>
      </c>
      <c r="C2315">
        <v>2015</v>
      </c>
      <c r="D2315" t="s">
        <v>26</v>
      </c>
      <c r="E2315" t="s">
        <v>23</v>
      </c>
      <c r="F2315" t="s">
        <v>26</v>
      </c>
      <c r="G2315">
        <v>61276</v>
      </c>
      <c r="H2315">
        <v>49020.800000000003</v>
      </c>
      <c r="I2315" s="13">
        <v>0.375</v>
      </c>
      <c r="J2315" t="s">
        <v>6208</v>
      </c>
      <c r="K2315">
        <v>0</v>
      </c>
      <c r="L2315">
        <v>3</v>
      </c>
      <c r="M2315" t="s">
        <v>1</v>
      </c>
      <c r="N2315" s="2">
        <v>0.63</v>
      </c>
      <c r="O2315" s="2">
        <v>0.37</v>
      </c>
      <c r="P2315">
        <v>12</v>
      </c>
      <c r="Q2315">
        <v>18</v>
      </c>
      <c r="R2315">
        <v>5</v>
      </c>
      <c r="S2315">
        <v>7</v>
      </c>
      <c r="T2315">
        <v>17</v>
      </c>
      <c r="U2315">
        <v>12</v>
      </c>
      <c r="V2315">
        <v>4</v>
      </c>
      <c r="W2315">
        <v>2</v>
      </c>
      <c r="X2315">
        <v>1</v>
      </c>
      <c r="Y2315">
        <v>1</v>
      </c>
      <c r="Z2315">
        <v>0</v>
      </c>
    </row>
    <row r="2316" spans="1:26" x14ac:dyDescent="0.2">
      <c r="A2316" t="s">
        <v>2434</v>
      </c>
      <c r="B2316" t="s">
        <v>76</v>
      </c>
      <c r="C2316">
        <v>2015</v>
      </c>
      <c r="D2316" t="s">
        <v>18</v>
      </c>
      <c r="E2316" t="s">
        <v>79</v>
      </c>
      <c r="F2316" t="s">
        <v>20</v>
      </c>
      <c r="G2316">
        <v>40341</v>
      </c>
      <c r="H2316">
        <v>32272.800000000003</v>
      </c>
      <c r="I2316" s="13">
        <v>0.5</v>
      </c>
      <c r="J2316" t="s">
        <v>6207</v>
      </c>
      <c r="K2316">
        <v>1</v>
      </c>
      <c r="L2316">
        <v>2</v>
      </c>
      <c r="M2316" t="s">
        <v>1</v>
      </c>
      <c r="N2316" s="2">
        <v>0.64</v>
      </c>
      <c r="O2316" s="2">
        <v>0.36</v>
      </c>
      <c r="P2316">
        <v>17</v>
      </c>
      <c r="Q2316">
        <v>9</v>
      </c>
      <c r="R2316">
        <v>7</v>
      </c>
      <c r="S2316">
        <v>7</v>
      </c>
      <c r="T2316">
        <v>9</v>
      </c>
      <c r="U2316">
        <v>15</v>
      </c>
      <c r="V2316">
        <v>1</v>
      </c>
      <c r="W2316">
        <v>1</v>
      </c>
      <c r="X2316">
        <v>0</v>
      </c>
      <c r="Y2316">
        <v>0</v>
      </c>
      <c r="Z2316">
        <v>0</v>
      </c>
    </row>
    <row r="2317" spans="1:26" x14ac:dyDescent="0.2">
      <c r="A2317" t="s">
        <v>2435</v>
      </c>
      <c r="B2317" t="s">
        <v>67</v>
      </c>
      <c r="C2317">
        <v>2015</v>
      </c>
      <c r="D2317" t="s">
        <v>86</v>
      </c>
      <c r="E2317" t="s">
        <v>80</v>
      </c>
      <c r="F2317" t="s">
        <v>86</v>
      </c>
      <c r="G2317">
        <v>11364</v>
      </c>
      <c r="H2317">
        <v>9091.2000000000007</v>
      </c>
      <c r="I2317" s="13">
        <v>0.83333333333333337</v>
      </c>
      <c r="J2317" t="s">
        <v>6207</v>
      </c>
      <c r="K2317">
        <v>1</v>
      </c>
      <c r="L2317">
        <v>1</v>
      </c>
      <c r="M2317" t="s">
        <v>58</v>
      </c>
      <c r="N2317" s="2">
        <v>0.56000000000000005</v>
      </c>
      <c r="O2317" s="2">
        <v>0.44</v>
      </c>
      <c r="P2317">
        <v>20</v>
      </c>
      <c r="Q2317">
        <v>9</v>
      </c>
      <c r="R2317">
        <v>4</v>
      </c>
      <c r="S2317">
        <v>4</v>
      </c>
      <c r="T2317">
        <v>9</v>
      </c>
      <c r="U2317">
        <v>19</v>
      </c>
      <c r="V2317">
        <v>2</v>
      </c>
      <c r="W2317">
        <v>4</v>
      </c>
      <c r="X2317">
        <v>0</v>
      </c>
      <c r="Y2317">
        <v>0</v>
      </c>
      <c r="Z2317">
        <v>1</v>
      </c>
    </row>
    <row r="2318" spans="1:26" x14ac:dyDescent="0.2">
      <c r="A2318" t="s">
        <v>2436</v>
      </c>
      <c r="B2318" t="s">
        <v>77</v>
      </c>
      <c r="C2318">
        <v>2015</v>
      </c>
      <c r="D2318" t="s">
        <v>42</v>
      </c>
      <c r="E2318" t="s">
        <v>35</v>
      </c>
      <c r="F2318" t="s">
        <v>38</v>
      </c>
      <c r="G2318">
        <v>42918</v>
      </c>
      <c r="H2318">
        <v>34334.400000000001</v>
      </c>
      <c r="I2318" s="13">
        <v>1</v>
      </c>
      <c r="J2318" t="s">
        <v>6207</v>
      </c>
      <c r="K2318">
        <v>2</v>
      </c>
      <c r="L2318">
        <v>2</v>
      </c>
      <c r="M2318" t="s">
        <v>58</v>
      </c>
      <c r="N2318" s="2">
        <v>0.63</v>
      </c>
      <c r="O2318" s="2">
        <v>0.37</v>
      </c>
      <c r="P2318">
        <v>15</v>
      </c>
      <c r="Q2318">
        <v>11</v>
      </c>
      <c r="R2318">
        <v>5</v>
      </c>
      <c r="S2318">
        <v>4</v>
      </c>
      <c r="T2318">
        <v>10</v>
      </c>
      <c r="U2318">
        <v>14</v>
      </c>
      <c r="V2318">
        <v>2</v>
      </c>
      <c r="W2318">
        <v>1</v>
      </c>
      <c r="X2318">
        <v>0</v>
      </c>
      <c r="Y2318">
        <v>0</v>
      </c>
      <c r="Z2318">
        <v>1</v>
      </c>
    </row>
    <row r="2319" spans="1:26" x14ac:dyDescent="0.2">
      <c r="A2319" t="s">
        <v>2437</v>
      </c>
      <c r="B2319" t="s">
        <v>53</v>
      </c>
      <c r="C2319">
        <v>2015</v>
      </c>
      <c r="D2319" t="s">
        <v>51</v>
      </c>
      <c r="E2319" t="s">
        <v>45</v>
      </c>
      <c r="F2319" t="s">
        <v>20</v>
      </c>
      <c r="G2319">
        <v>36284</v>
      </c>
      <c r="H2319">
        <v>29027.200000000001</v>
      </c>
      <c r="I2319" s="13">
        <v>0.4</v>
      </c>
      <c r="J2319" t="s">
        <v>6207</v>
      </c>
      <c r="K2319">
        <v>0</v>
      </c>
      <c r="L2319">
        <v>0</v>
      </c>
      <c r="M2319" t="s">
        <v>58</v>
      </c>
      <c r="N2319" s="2">
        <v>0.5</v>
      </c>
      <c r="O2319" s="2">
        <v>0.5</v>
      </c>
      <c r="P2319">
        <v>10</v>
      </c>
      <c r="Q2319">
        <v>23</v>
      </c>
      <c r="R2319">
        <v>6</v>
      </c>
      <c r="S2319">
        <v>2</v>
      </c>
      <c r="T2319">
        <v>20</v>
      </c>
      <c r="U2319">
        <v>9</v>
      </c>
      <c r="V2319">
        <v>4</v>
      </c>
      <c r="W2319">
        <v>1</v>
      </c>
      <c r="X2319">
        <v>0</v>
      </c>
      <c r="Y2319">
        <v>0</v>
      </c>
      <c r="Z2319">
        <v>0</v>
      </c>
    </row>
    <row r="2320" spans="1:26" x14ac:dyDescent="0.2">
      <c r="A2320" t="s">
        <v>2438</v>
      </c>
      <c r="B2320" t="s">
        <v>68</v>
      </c>
      <c r="C2320">
        <v>2015</v>
      </c>
      <c r="D2320" t="s">
        <v>73</v>
      </c>
      <c r="E2320" t="s">
        <v>69</v>
      </c>
      <c r="F2320" t="s">
        <v>73</v>
      </c>
      <c r="G2320">
        <v>32384</v>
      </c>
      <c r="H2320">
        <v>25907.200000000001</v>
      </c>
      <c r="I2320" s="13">
        <v>0</v>
      </c>
      <c r="J2320" t="s">
        <v>6207</v>
      </c>
      <c r="K2320">
        <v>3</v>
      </c>
      <c r="L2320">
        <v>0</v>
      </c>
      <c r="M2320" t="s">
        <v>0</v>
      </c>
      <c r="N2320" s="2">
        <v>0.62</v>
      </c>
      <c r="O2320" s="2">
        <v>0.38</v>
      </c>
      <c r="P2320">
        <v>12</v>
      </c>
      <c r="Q2320">
        <v>6</v>
      </c>
      <c r="R2320">
        <v>6</v>
      </c>
      <c r="S2320">
        <v>4</v>
      </c>
      <c r="T2320">
        <v>4</v>
      </c>
      <c r="U2320">
        <v>12</v>
      </c>
      <c r="V2320">
        <v>0</v>
      </c>
      <c r="W2320">
        <v>1</v>
      </c>
      <c r="X2320">
        <v>0</v>
      </c>
      <c r="Y2320">
        <v>1</v>
      </c>
      <c r="Z2320">
        <v>0</v>
      </c>
    </row>
    <row r="2321" spans="1:26" x14ac:dyDescent="0.2">
      <c r="A2321" t="s">
        <v>2439</v>
      </c>
      <c r="B2321" t="s">
        <v>32</v>
      </c>
      <c r="C2321">
        <v>2015</v>
      </c>
      <c r="D2321" t="s">
        <v>71</v>
      </c>
      <c r="E2321" t="s">
        <v>48</v>
      </c>
      <c r="F2321" t="s">
        <v>71</v>
      </c>
      <c r="G2321">
        <v>21088</v>
      </c>
      <c r="H2321">
        <v>16870.400000000001</v>
      </c>
      <c r="I2321" s="13">
        <v>0.5</v>
      </c>
      <c r="J2321" t="s">
        <v>6207</v>
      </c>
      <c r="K2321">
        <v>2</v>
      </c>
      <c r="L2321">
        <v>1</v>
      </c>
      <c r="M2321" t="s">
        <v>0</v>
      </c>
      <c r="N2321" s="2">
        <v>0.35</v>
      </c>
      <c r="O2321" s="2">
        <v>0.65</v>
      </c>
      <c r="P2321">
        <v>16</v>
      </c>
      <c r="Q2321">
        <v>9</v>
      </c>
      <c r="R2321">
        <v>0</v>
      </c>
      <c r="S2321">
        <v>1</v>
      </c>
      <c r="T2321">
        <v>6</v>
      </c>
      <c r="U2321">
        <v>15</v>
      </c>
      <c r="V2321">
        <v>2</v>
      </c>
      <c r="W2321">
        <v>2</v>
      </c>
      <c r="X2321">
        <v>0</v>
      </c>
      <c r="Y2321">
        <v>0</v>
      </c>
      <c r="Z2321">
        <v>0</v>
      </c>
    </row>
    <row r="2322" spans="1:26" x14ac:dyDescent="0.2">
      <c r="A2322" t="s">
        <v>2440</v>
      </c>
      <c r="B2322" t="s">
        <v>37</v>
      </c>
      <c r="C2322">
        <v>2015</v>
      </c>
      <c r="D2322" t="s">
        <v>45</v>
      </c>
      <c r="E2322" t="s">
        <v>18</v>
      </c>
      <c r="F2322" t="s">
        <v>26</v>
      </c>
      <c r="G2322">
        <v>39572</v>
      </c>
      <c r="H2322">
        <v>31657.600000000002</v>
      </c>
      <c r="I2322" s="13">
        <v>0.75</v>
      </c>
      <c r="J2322" t="s">
        <v>6206</v>
      </c>
      <c r="K2322">
        <v>3</v>
      </c>
      <c r="L2322">
        <v>1</v>
      </c>
      <c r="M2322" t="s">
        <v>0</v>
      </c>
      <c r="N2322" s="2">
        <v>0.38</v>
      </c>
      <c r="O2322" s="2">
        <v>0.62</v>
      </c>
      <c r="P2322">
        <v>14</v>
      </c>
      <c r="Q2322">
        <v>12</v>
      </c>
      <c r="R2322">
        <v>7</v>
      </c>
      <c r="S2322">
        <v>14</v>
      </c>
      <c r="T2322">
        <v>12</v>
      </c>
      <c r="U2322">
        <v>12</v>
      </c>
      <c r="V2322">
        <v>2</v>
      </c>
      <c r="W2322">
        <v>2</v>
      </c>
      <c r="X2322">
        <v>0</v>
      </c>
      <c r="Y2322">
        <v>0</v>
      </c>
      <c r="Z2322">
        <v>0</v>
      </c>
    </row>
    <row r="2323" spans="1:26" x14ac:dyDescent="0.2">
      <c r="A2323" t="s">
        <v>2441</v>
      </c>
      <c r="B2323" t="s">
        <v>59</v>
      </c>
      <c r="C2323">
        <v>2015</v>
      </c>
      <c r="D2323" t="s">
        <v>63</v>
      </c>
      <c r="E2323" t="s">
        <v>73</v>
      </c>
      <c r="F2323" t="s">
        <v>65</v>
      </c>
      <c r="G2323">
        <v>26804</v>
      </c>
      <c r="H2323">
        <v>21443.200000000001</v>
      </c>
      <c r="I2323" s="13">
        <v>0</v>
      </c>
      <c r="J2323" t="s">
        <v>6206</v>
      </c>
      <c r="K2323">
        <v>0</v>
      </c>
      <c r="L2323">
        <v>0</v>
      </c>
      <c r="M2323" t="s">
        <v>58</v>
      </c>
      <c r="N2323" s="2">
        <v>0.34</v>
      </c>
      <c r="O2323" s="2">
        <v>0.66</v>
      </c>
      <c r="P2323">
        <v>7</v>
      </c>
      <c r="Q2323">
        <v>6</v>
      </c>
      <c r="R2323">
        <v>4</v>
      </c>
      <c r="S2323">
        <v>5</v>
      </c>
      <c r="T2323">
        <v>5</v>
      </c>
      <c r="U2323">
        <v>5</v>
      </c>
      <c r="V2323">
        <v>1</v>
      </c>
      <c r="W2323">
        <v>0</v>
      </c>
      <c r="X2323">
        <v>0</v>
      </c>
      <c r="Y2323">
        <v>0</v>
      </c>
      <c r="Z2323">
        <v>0</v>
      </c>
    </row>
    <row r="2324" spans="1:26" x14ac:dyDescent="0.2">
      <c r="A2324" t="s">
        <v>2442</v>
      </c>
      <c r="B2324" t="s">
        <v>77</v>
      </c>
      <c r="C2324">
        <v>2015</v>
      </c>
      <c r="D2324" t="s">
        <v>85</v>
      </c>
      <c r="E2324" t="s">
        <v>71</v>
      </c>
      <c r="F2324" t="s">
        <v>85</v>
      </c>
      <c r="G2324">
        <v>22220</v>
      </c>
      <c r="H2324">
        <v>17776</v>
      </c>
      <c r="I2324" s="13">
        <v>0.66666666666666663</v>
      </c>
      <c r="J2324" t="s">
        <v>6207</v>
      </c>
      <c r="K2324">
        <v>1</v>
      </c>
      <c r="L2324">
        <v>0</v>
      </c>
      <c r="M2324" t="s">
        <v>0</v>
      </c>
      <c r="N2324" s="2">
        <v>0.38</v>
      </c>
      <c r="O2324" s="2">
        <v>0.62</v>
      </c>
      <c r="P2324">
        <v>20</v>
      </c>
      <c r="Q2324">
        <v>11</v>
      </c>
      <c r="R2324">
        <v>1</v>
      </c>
      <c r="S2324">
        <v>3</v>
      </c>
      <c r="T2324">
        <v>11</v>
      </c>
      <c r="U2324">
        <v>14</v>
      </c>
      <c r="V2324">
        <v>1</v>
      </c>
      <c r="W2324">
        <v>1</v>
      </c>
      <c r="X2324">
        <v>1</v>
      </c>
      <c r="Y2324">
        <v>0</v>
      </c>
      <c r="Z2324">
        <v>0</v>
      </c>
    </row>
    <row r="2325" spans="1:26" x14ac:dyDescent="0.2">
      <c r="A2325" t="s">
        <v>2443</v>
      </c>
      <c r="B2325" t="s">
        <v>32</v>
      </c>
      <c r="C2325">
        <v>2015</v>
      </c>
      <c r="D2325" t="s">
        <v>69</v>
      </c>
      <c r="E2325" t="s">
        <v>86</v>
      </c>
      <c r="F2325" t="s">
        <v>69</v>
      </c>
      <c r="G2325">
        <v>27359</v>
      </c>
      <c r="H2325">
        <v>21887.200000000001</v>
      </c>
      <c r="I2325" s="13">
        <v>0.4</v>
      </c>
      <c r="J2325" t="s">
        <v>6207</v>
      </c>
      <c r="K2325">
        <v>3</v>
      </c>
      <c r="L2325">
        <v>1</v>
      </c>
      <c r="M2325" t="s">
        <v>0</v>
      </c>
      <c r="N2325" s="2">
        <v>0.49</v>
      </c>
      <c r="O2325" s="2">
        <v>0.51</v>
      </c>
      <c r="P2325">
        <v>13</v>
      </c>
      <c r="Q2325">
        <v>10</v>
      </c>
      <c r="R2325">
        <v>4</v>
      </c>
      <c r="S2325">
        <v>4</v>
      </c>
      <c r="T2325">
        <v>10</v>
      </c>
      <c r="U2325">
        <v>11</v>
      </c>
      <c r="V2325">
        <v>2</v>
      </c>
      <c r="W2325">
        <v>3</v>
      </c>
      <c r="X2325">
        <v>0</v>
      </c>
      <c r="Y2325">
        <v>0</v>
      </c>
      <c r="Z2325">
        <v>0</v>
      </c>
    </row>
    <row r="2326" spans="1:26" x14ac:dyDescent="0.2">
      <c r="A2326" t="s">
        <v>2444</v>
      </c>
      <c r="B2326" t="s">
        <v>53</v>
      </c>
      <c r="C2326">
        <v>2015</v>
      </c>
      <c r="D2326" t="s">
        <v>79</v>
      </c>
      <c r="E2326" t="s">
        <v>40</v>
      </c>
      <c r="F2326" t="s">
        <v>20</v>
      </c>
      <c r="G2326">
        <v>25486</v>
      </c>
      <c r="H2326">
        <v>20388.800000000003</v>
      </c>
      <c r="I2326" s="13">
        <v>0.8</v>
      </c>
      <c r="J2326" t="s">
        <v>6207</v>
      </c>
      <c r="K2326">
        <v>0</v>
      </c>
      <c r="L2326">
        <v>1</v>
      </c>
      <c r="M2326" t="s">
        <v>1</v>
      </c>
      <c r="N2326" s="2">
        <v>0.42</v>
      </c>
      <c r="O2326" s="2">
        <v>0.57999999999999996</v>
      </c>
      <c r="P2326">
        <v>13</v>
      </c>
      <c r="Q2326">
        <v>18</v>
      </c>
      <c r="R2326">
        <v>4</v>
      </c>
      <c r="S2326">
        <v>4</v>
      </c>
      <c r="T2326">
        <v>13</v>
      </c>
      <c r="U2326">
        <v>13</v>
      </c>
      <c r="V2326">
        <v>2</v>
      </c>
      <c r="W2326">
        <v>3</v>
      </c>
      <c r="X2326">
        <v>0</v>
      </c>
      <c r="Y2326">
        <v>0</v>
      </c>
      <c r="Z2326">
        <v>0</v>
      </c>
    </row>
    <row r="2327" spans="1:26" x14ac:dyDescent="0.2">
      <c r="A2327" t="s">
        <v>2445</v>
      </c>
      <c r="B2327" t="s">
        <v>68</v>
      </c>
      <c r="C2327">
        <v>2015</v>
      </c>
      <c r="D2327" t="s">
        <v>46</v>
      </c>
      <c r="E2327" t="s">
        <v>27</v>
      </c>
      <c r="F2327" t="s">
        <v>20</v>
      </c>
      <c r="G2327">
        <v>60704</v>
      </c>
      <c r="H2327">
        <v>48563.200000000004</v>
      </c>
      <c r="I2327" s="13">
        <v>0.5</v>
      </c>
      <c r="J2327" t="s">
        <v>6207</v>
      </c>
      <c r="K2327">
        <v>2</v>
      </c>
      <c r="L2327">
        <v>0</v>
      </c>
      <c r="M2327" t="s">
        <v>0</v>
      </c>
      <c r="N2327" s="2">
        <v>0.66</v>
      </c>
      <c r="O2327" s="2">
        <v>0.34</v>
      </c>
      <c r="P2327">
        <v>16</v>
      </c>
      <c r="Q2327">
        <v>9</v>
      </c>
      <c r="R2327">
        <v>13</v>
      </c>
      <c r="S2327">
        <v>1</v>
      </c>
      <c r="T2327">
        <v>6</v>
      </c>
      <c r="U2327">
        <v>13</v>
      </c>
      <c r="V2327">
        <v>1</v>
      </c>
      <c r="W2327">
        <v>1</v>
      </c>
      <c r="X2327">
        <v>0</v>
      </c>
      <c r="Y2327">
        <v>0</v>
      </c>
      <c r="Z2327">
        <v>0</v>
      </c>
    </row>
    <row r="2328" spans="1:26" x14ac:dyDescent="0.2">
      <c r="A2328" t="s">
        <v>2446</v>
      </c>
      <c r="B2328" t="s">
        <v>66</v>
      </c>
      <c r="C2328">
        <v>2015</v>
      </c>
      <c r="D2328" t="s">
        <v>48</v>
      </c>
      <c r="E2328" t="s">
        <v>26</v>
      </c>
      <c r="F2328" t="s">
        <v>49</v>
      </c>
      <c r="G2328">
        <v>74197</v>
      </c>
      <c r="H2328">
        <v>59357.600000000006</v>
      </c>
      <c r="I2328" s="13">
        <v>0.33333333333333331</v>
      </c>
      <c r="J2328" t="s">
        <v>6207</v>
      </c>
      <c r="K2328">
        <v>3</v>
      </c>
      <c r="L2328">
        <v>1</v>
      </c>
      <c r="M2328" t="s">
        <v>0</v>
      </c>
      <c r="N2328" s="2">
        <v>0.53</v>
      </c>
      <c r="O2328" s="2">
        <v>0.47</v>
      </c>
      <c r="P2328">
        <v>12</v>
      </c>
      <c r="Q2328">
        <v>8</v>
      </c>
      <c r="R2328">
        <v>4</v>
      </c>
      <c r="S2328">
        <v>4</v>
      </c>
      <c r="T2328">
        <v>6</v>
      </c>
      <c r="U2328">
        <v>11</v>
      </c>
      <c r="V2328">
        <v>1</v>
      </c>
      <c r="W2328">
        <v>2</v>
      </c>
      <c r="X2328">
        <v>0</v>
      </c>
      <c r="Y2328">
        <v>0</v>
      </c>
      <c r="Z2328">
        <v>1</v>
      </c>
    </row>
    <row r="2329" spans="1:26" x14ac:dyDescent="0.2">
      <c r="A2329" t="s">
        <v>2447</v>
      </c>
      <c r="B2329" t="s">
        <v>76</v>
      </c>
      <c r="C2329">
        <v>2015</v>
      </c>
      <c r="D2329" t="s">
        <v>35</v>
      </c>
      <c r="E2329" t="s">
        <v>51</v>
      </c>
      <c r="F2329" t="s">
        <v>35</v>
      </c>
      <c r="G2329">
        <v>49000</v>
      </c>
      <c r="H2329">
        <v>39200</v>
      </c>
      <c r="I2329" s="13">
        <v>1</v>
      </c>
      <c r="J2329" t="s">
        <v>6207</v>
      </c>
      <c r="K2329">
        <v>0</v>
      </c>
      <c r="L2329">
        <v>1</v>
      </c>
      <c r="M2329" t="s">
        <v>1</v>
      </c>
      <c r="N2329" s="2">
        <v>0.44</v>
      </c>
      <c r="O2329" s="2">
        <v>0.56000000000000005</v>
      </c>
      <c r="P2329">
        <v>13</v>
      </c>
      <c r="Q2329">
        <v>13</v>
      </c>
      <c r="R2329">
        <v>6</v>
      </c>
      <c r="S2329">
        <v>8</v>
      </c>
      <c r="T2329">
        <v>11</v>
      </c>
      <c r="U2329">
        <v>12</v>
      </c>
      <c r="V2329">
        <v>2</v>
      </c>
      <c r="W2329">
        <v>1</v>
      </c>
      <c r="X2329">
        <v>0</v>
      </c>
      <c r="Y2329">
        <v>0</v>
      </c>
      <c r="Z2329">
        <v>0</v>
      </c>
    </row>
    <row r="2330" spans="1:26" x14ac:dyDescent="0.2">
      <c r="A2330" t="s">
        <v>2448</v>
      </c>
      <c r="B2330" t="s">
        <v>41</v>
      </c>
      <c r="C2330">
        <v>2015</v>
      </c>
      <c r="D2330" t="s">
        <v>80</v>
      </c>
      <c r="E2330" t="s">
        <v>42</v>
      </c>
      <c r="F2330" t="s">
        <v>80</v>
      </c>
      <c r="G2330">
        <v>32261</v>
      </c>
      <c r="H2330">
        <v>25808.800000000003</v>
      </c>
      <c r="I2330" s="13">
        <v>0.33333333333333331</v>
      </c>
      <c r="J2330" t="s">
        <v>6207</v>
      </c>
      <c r="K2330">
        <v>3</v>
      </c>
      <c r="L2330">
        <v>2</v>
      </c>
      <c r="M2330" t="s">
        <v>0</v>
      </c>
      <c r="N2330" s="2">
        <v>0.49</v>
      </c>
      <c r="O2330" s="2">
        <v>0.51</v>
      </c>
      <c r="P2330">
        <v>14</v>
      </c>
      <c r="Q2330">
        <v>10</v>
      </c>
      <c r="R2330">
        <v>4</v>
      </c>
      <c r="S2330">
        <v>5</v>
      </c>
      <c r="T2330">
        <v>8</v>
      </c>
      <c r="U2330">
        <v>13</v>
      </c>
      <c r="V2330">
        <v>2</v>
      </c>
      <c r="W2330">
        <v>1</v>
      </c>
      <c r="X2330">
        <v>0</v>
      </c>
      <c r="Y2330">
        <v>0</v>
      </c>
      <c r="Z2330">
        <v>0</v>
      </c>
    </row>
    <row r="2331" spans="1:26" x14ac:dyDescent="0.2">
      <c r="A2331" t="s">
        <v>2449</v>
      </c>
      <c r="B2331" t="s">
        <v>61</v>
      </c>
      <c r="C2331">
        <v>2015</v>
      </c>
      <c r="D2331" t="s">
        <v>23</v>
      </c>
      <c r="E2331" t="s">
        <v>64</v>
      </c>
      <c r="F2331" t="s">
        <v>20</v>
      </c>
      <c r="G2331">
        <v>62500</v>
      </c>
      <c r="H2331">
        <v>50000</v>
      </c>
      <c r="I2331" s="13">
        <v>0.5</v>
      </c>
      <c r="J2331" t="s">
        <v>6207</v>
      </c>
      <c r="K2331">
        <v>2</v>
      </c>
      <c r="L2331">
        <v>0</v>
      </c>
      <c r="M2331" t="s">
        <v>0</v>
      </c>
      <c r="N2331" s="2">
        <v>0.41</v>
      </c>
      <c r="O2331" s="2">
        <v>0.59</v>
      </c>
      <c r="P2331">
        <v>11</v>
      </c>
      <c r="Q2331">
        <v>8</v>
      </c>
      <c r="R2331">
        <v>6</v>
      </c>
      <c r="S2331">
        <v>7</v>
      </c>
      <c r="T2331">
        <v>8</v>
      </c>
      <c r="U2331">
        <v>11</v>
      </c>
      <c r="V2331">
        <v>0</v>
      </c>
      <c r="W2331">
        <v>2</v>
      </c>
      <c r="X2331">
        <v>0</v>
      </c>
      <c r="Y2331">
        <v>0</v>
      </c>
      <c r="Z2331">
        <v>0</v>
      </c>
    </row>
    <row r="2332" spans="1:26" x14ac:dyDescent="0.2">
      <c r="A2332" t="s">
        <v>2450</v>
      </c>
      <c r="B2332" t="s">
        <v>41</v>
      </c>
      <c r="C2332">
        <v>2015</v>
      </c>
      <c r="D2332" t="s">
        <v>18</v>
      </c>
      <c r="E2332" t="s">
        <v>46</v>
      </c>
      <c r="F2332" t="s">
        <v>20</v>
      </c>
      <c r="G2332">
        <v>40341</v>
      </c>
      <c r="H2332">
        <v>32272.800000000003</v>
      </c>
      <c r="I2332" s="13">
        <v>0.625</v>
      </c>
      <c r="J2332" t="s">
        <v>6207</v>
      </c>
      <c r="K2332">
        <v>2</v>
      </c>
      <c r="L2332">
        <v>0</v>
      </c>
      <c r="M2332" t="s">
        <v>0</v>
      </c>
      <c r="N2332" s="2">
        <v>0.64</v>
      </c>
      <c r="O2332" s="2">
        <v>0.36</v>
      </c>
      <c r="P2332">
        <v>14</v>
      </c>
      <c r="Q2332">
        <v>13</v>
      </c>
      <c r="R2332">
        <v>5</v>
      </c>
      <c r="S2332">
        <v>5</v>
      </c>
      <c r="T2332">
        <v>12</v>
      </c>
      <c r="U2332">
        <v>11</v>
      </c>
      <c r="V2332">
        <v>3</v>
      </c>
      <c r="W2332">
        <v>3</v>
      </c>
      <c r="X2332">
        <v>0</v>
      </c>
      <c r="Y2332">
        <v>2</v>
      </c>
      <c r="Z2332">
        <v>0</v>
      </c>
    </row>
    <row r="2333" spans="1:26" x14ac:dyDescent="0.2">
      <c r="A2333" t="s">
        <v>2451</v>
      </c>
      <c r="B2333" t="s">
        <v>59</v>
      </c>
      <c r="C2333">
        <v>2015</v>
      </c>
      <c r="D2333" t="s">
        <v>71</v>
      </c>
      <c r="E2333" t="s">
        <v>45</v>
      </c>
      <c r="F2333" t="s">
        <v>71</v>
      </c>
      <c r="G2333">
        <v>21088</v>
      </c>
      <c r="H2333">
        <v>16870.400000000001</v>
      </c>
      <c r="I2333" s="13">
        <v>0.6</v>
      </c>
      <c r="J2333" t="s">
        <v>6206</v>
      </c>
      <c r="K2333">
        <v>0</v>
      </c>
      <c r="L2333">
        <v>0</v>
      </c>
      <c r="M2333" t="s">
        <v>58</v>
      </c>
      <c r="N2333" s="2">
        <v>0.48</v>
      </c>
      <c r="O2333" s="2">
        <v>0.52</v>
      </c>
      <c r="P2333">
        <v>11</v>
      </c>
      <c r="Q2333">
        <v>15</v>
      </c>
      <c r="R2333">
        <v>2</v>
      </c>
      <c r="S2333">
        <v>4</v>
      </c>
      <c r="T2333">
        <v>12</v>
      </c>
      <c r="U2333">
        <v>11</v>
      </c>
      <c r="V2333">
        <v>2</v>
      </c>
      <c r="W2333">
        <v>2</v>
      </c>
      <c r="X2333">
        <v>0</v>
      </c>
      <c r="Y2333">
        <v>1</v>
      </c>
      <c r="Z2333">
        <v>0</v>
      </c>
    </row>
    <row r="2334" spans="1:26" x14ac:dyDescent="0.2">
      <c r="A2334" t="s">
        <v>2452</v>
      </c>
      <c r="B2334" t="s">
        <v>37</v>
      </c>
      <c r="C2334">
        <v>2015</v>
      </c>
      <c r="D2334" t="s">
        <v>27</v>
      </c>
      <c r="E2334" t="s">
        <v>80</v>
      </c>
      <c r="F2334" t="s">
        <v>27</v>
      </c>
      <c r="G2334">
        <v>30089</v>
      </c>
      <c r="H2334">
        <v>24071.200000000001</v>
      </c>
      <c r="I2334" s="13">
        <v>0.8</v>
      </c>
      <c r="J2334" t="s">
        <v>6206</v>
      </c>
      <c r="K2334">
        <v>2</v>
      </c>
      <c r="L2334">
        <v>2</v>
      </c>
      <c r="M2334" t="s">
        <v>58</v>
      </c>
      <c r="N2334" s="2">
        <v>0.55000000000000004</v>
      </c>
      <c r="O2334" s="2">
        <v>0.45</v>
      </c>
      <c r="P2334">
        <v>13</v>
      </c>
      <c r="Q2334">
        <v>9</v>
      </c>
      <c r="R2334">
        <v>3</v>
      </c>
      <c r="S2334">
        <v>4</v>
      </c>
      <c r="T2334">
        <v>7</v>
      </c>
      <c r="U2334">
        <v>12</v>
      </c>
      <c r="V2334">
        <v>1</v>
      </c>
      <c r="W2334">
        <v>4</v>
      </c>
      <c r="X2334">
        <v>0</v>
      </c>
      <c r="Y2334">
        <v>0</v>
      </c>
      <c r="Z2334">
        <v>1</v>
      </c>
    </row>
    <row r="2335" spans="1:26" x14ac:dyDescent="0.2">
      <c r="A2335" t="s">
        <v>2453</v>
      </c>
      <c r="B2335" t="s">
        <v>74</v>
      </c>
      <c r="C2335">
        <v>2015</v>
      </c>
      <c r="D2335" t="s">
        <v>64</v>
      </c>
      <c r="E2335" t="s">
        <v>85</v>
      </c>
      <c r="F2335" t="s">
        <v>64</v>
      </c>
      <c r="G2335">
        <v>52264</v>
      </c>
      <c r="H2335">
        <v>41811.200000000004</v>
      </c>
      <c r="I2335" s="13">
        <v>0.66666666666666663</v>
      </c>
      <c r="J2335" t="s">
        <v>6208</v>
      </c>
      <c r="K2335">
        <v>1</v>
      </c>
      <c r="L2335">
        <v>2</v>
      </c>
      <c r="M2335" t="s">
        <v>1</v>
      </c>
      <c r="N2335" s="2">
        <v>0.57999999999999996</v>
      </c>
      <c r="O2335" s="2">
        <v>0.42</v>
      </c>
      <c r="P2335">
        <v>14</v>
      </c>
      <c r="Q2335">
        <v>11</v>
      </c>
      <c r="R2335">
        <v>5</v>
      </c>
      <c r="S2335">
        <v>5</v>
      </c>
      <c r="T2335">
        <v>8</v>
      </c>
      <c r="U2335">
        <v>12</v>
      </c>
      <c r="V2335">
        <v>1</v>
      </c>
      <c r="W2335">
        <v>2</v>
      </c>
      <c r="X2335">
        <v>0</v>
      </c>
      <c r="Y2335">
        <v>0</v>
      </c>
      <c r="Z2335">
        <v>0</v>
      </c>
    </row>
    <row r="2336" spans="1:26" x14ac:dyDescent="0.2">
      <c r="A2336" t="s">
        <v>2454</v>
      </c>
      <c r="B2336" t="s">
        <v>60</v>
      </c>
      <c r="C2336">
        <v>2015</v>
      </c>
      <c r="D2336" t="s">
        <v>86</v>
      </c>
      <c r="E2336" t="s">
        <v>35</v>
      </c>
      <c r="F2336" t="s">
        <v>86</v>
      </c>
      <c r="G2336">
        <v>11364</v>
      </c>
      <c r="H2336">
        <v>9091.2000000000007</v>
      </c>
      <c r="I2336" s="13">
        <v>0.625</v>
      </c>
      <c r="J2336" t="s">
        <v>6208</v>
      </c>
      <c r="K2336">
        <v>2</v>
      </c>
      <c r="L2336">
        <v>0</v>
      </c>
      <c r="M2336" t="s">
        <v>0</v>
      </c>
      <c r="N2336" s="2">
        <v>0.53</v>
      </c>
      <c r="O2336" s="2">
        <v>0.47</v>
      </c>
      <c r="P2336">
        <v>18</v>
      </c>
      <c r="Q2336">
        <v>16</v>
      </c>
      <c r="R2336">
        <v>7</v>
      </c>
      <c r="S2336">
        <v>3</v>
      </c>
      <c r="T2336">
        <v>14</v>
      </c>
      <c r="U2336">
        <v>15</v>
      </c>
      <c r="V2336">
        <v>2</v>
      </c>
      <c r="W2336">
        <v>5</v>
      </c>
      <c r="X2336">
        <v>0</v>
      </c>
      <c r="Y2336">
        <v>1</v>
      </c>
      <c r="Z2336">
        <v>0</v>
      </c>
    </row>
    <row r="2337" spans="1:26" x14ac:dyDescent="0.2">
      <c r="A2337" t="s">
        <v>2455</v>
      </c>
      <c r="B2337" t="s">
        <v>32</v>
      </c>
      <c r="C2337">
        <v>2015</v>
      </c>
      <c r="D2337" t="s">
        <v>42</v>
      </c>
      <c r="E2337" t="s">
        <v>63</v>
      </c>
      <c r="F2337" t="s">
        <v>38</v>
      </c>
      <c r="G2337">
        <v>42918</v>
      </c>
      <c r="H2337">
        <v>34334.400000000001</v>
      </c>
      <c r="I2337" s="13">
        <v>0.6</v>
      </c>
      <c r="J2337" t="s">
        <v>6207</v>
      </c>
      <c r="K2337">
        <v>0</v>
      </c>
      <c r="L2337">
        <v>1</v>
      </c>
      <c r="M2337" t="s">
        <v>1</v>
      </c>
      <c r="N2337" s="2">
        <v>0.6</v>
      </c>
      <c r="O2337" s="2">
        <v>0.4</v>
      </c>
      <c r="P2337">
        <v>12</v>
      </c>
      <c r="Q2337">
        <v>12</v>
      </c>
      <c r="R2337">
        <v>2</v>
      </c>
      <c r="S2337">
        <v>7</v>
      </c>
      <c r="T2337">
        <v>10</v>
      </c>
      <c r="U2337">
        <v>11</v>
      </c>
      <c r="V2337">
        <v>2</v>
      </c>
      <c r="W2337">
        <v>3</v>
      </c>
      <c r="X2337">
        <v>0</v>
      </c>
      <c r="Y2337">
        <v>0</v>
      </c>
      <c r="Z2337">
        <v>0</v>
      </c>
    </row>
    <row r="2338" spans="1:26" x14ac:dyDescent="0.2">
      <c r="A2338" t="s">
        <v>2456</v>
      </c>
      <c r="B2338" t="s">
        <v>77</v>
      </c>
      <c r="C2338">
        <v>2015</v>
      </c>
      <c r="D2338" t="s">
        <v>40</v>
      </c>
      <c r="E2338" t="s">
        <v>23</v>
      </c>
      <c r="F2338" t="s">
        <v>49</v>
      </c>
      <c r="G2338">
        <v>53400</v>
      </c>
      <c r="H2338">
        <v>42720</v>
      </c>
      <c r="I2338" s="13">
        <v>1</v>
      </c>
      <c r="J2338" t="s">
        <v>6207</v>
      </c>
      <c r="K2338">
        <v>1</v>
      </c>
      <c r="L2338">
        <v>2</v>
      </c>
      <c r="M2338" t="s">
        <v>1</v>
      </c>
      <c r="N2338" s="2">
        <v>0.72</v>
      </c>
      <c r="O2338" s="2">
        <v>0.28000000000000003</v>
      </c>
      <c r="P2338">
        <v>9</v>
      </c>
      <c r="Q2338">
        <v>12</v>
      </c>
      <c r="R2338">
        <v>16</v>
      </c>
      <c r="S2338">
        <v>3</v>
      </c>
      <c r="T2338">
        <v>10</v>
      </c>
      <c r="U2338">
        <v>7</v>
      </c>
      <c r="V2338">
        <v>1</v>
      </c>
      <c r="W2338">
        <v>2</v>
      </c>
      <c r="X2338">
        <v>0</v>
      </c>
      <c r="Y2338">
        <v>0</v>
      </c>
      <c r="Z2338">
        <v>0</v>
      </c>
    </row>
    <row r="2339" spans="1:26" x14ac:dyDescent="0.2">
      <c r="A2339" t="s">
        <v>2457</v>
      </c>
      <c r="B2339" t="s">
        <v>66</v>
      </c>
      <c r="C2339">
        <v>2015</v>
      </c>
      <c r="D2339" t="s">
        <v>51</v>
      </c>
      <c r="E2339" t="s">
        <v>79</v>
      </c>
      <c r="F2339" t="s">
        <v>20</v>
      </c>
      <c r="G2339">
        <v>36284</v>
      </c>
      <c r="H2339">
        <v>29027.200000000001</v>
      </c>
      <c r="I2339" s="13">
        <v>0.66666666666666663</v>
      </c>
      <c r="J2339" t="s">
        <v>6207</v>
      </c>
      <c r="K2339">
        <v>1</v>
      </c>
      <c r="L2339">
        <v>0</v>
      </c>
      <c r="M2339" t="s">
        <v>0</v>
      </c>
      <c r="N2339" s="2">
        <v>0.55000000000000004</v>
      </c>
      <c r="O2339" s="2">
        <v>0.45</v>
      </c>
      <c r="P2339">
        <v>14</v>
      </c>
      <c r="Q2339">
        <v>12</v>
      </c>
      <c r="R2339">
        <v>6</v>
      </c>
      <c r="S2339">
        <v>5</v>
      </c>
      <c r="T2339">
        <v>9</v>
      </c>
      <c r="U2339">
        <v>11</v>
      </c>
      <c r="V2339">
        <v>1</v>
      </c>
      <c r="W2339">
        <v>2</v>
      </c>
      <c r="X2339">
        <v>0</v>
      </c>
      <c r="Y2339">
        <v>0</v>
      </c>
      <c r="Z2339">
        <v>0</v>
      </c>
    </row>
    <row r="2340" spans="1:26" x14ac:dyDescent="0.2">
      <c r="A2340" t="s">
        <v>2458</v>
      </c>
      <c r="B2340" t="s">
        <v>44</v>
      </c>
      <c r="C2340">
        <v>2015</v>
      </c>
      <c r="D2340" t="s">
        <v>73</v>
      </c>
      <c r="E2340" t="s">
        <v>48</v>
      </c>
      <c r="F2340" t="s">
        <v>73</v>
      </c>
      <c r="G2340">
        <v>32384</v>
      </c>
      <c r="H2340">
        <v>25907.200000000001</v>
      </c>
      <c r="I2340" s="13">
        <v>0.5</v>
      </c>
      <c r="J2340" t="s">
        <v>6207</v>
      </c>
      <c r="K2340">
        <v>2</v>
      </c>
      <c r="L2340">
        <v>3</v>
      </c>
      <c r="M2340" t="s">
        <v>1</v>
      </c>
      <c r="N2340" s="2">
        <v>0.41</v>
      </c>
      <c r="O2340" s="2">
        <v>0.59</v>
      </c>
      <c r="P2340">
        <v>16</v>
      </c>
      <c r="Q2340">
        <v>7</v>
      </c>
      <c r="R2340">
        <v>5</v>
      </c>
      <c r="S2340">
        <v>5</v>
      </c>
      <c r="T2340">
        <v>6</v>
      </c>
      <c r="U2340">
        <v>13</v>
      </c>
      <c r="V2340">
        <v>2</v>
      </c>
      <c r="W2340">
        <v>0</v>
      </c>
      <c r="X2340">
        <v>0</v>
      </c>
      <c r="Y2340">
        <v>0</v>
      </c>
      <c r="Z2340">
        <v>0</v>
      </c>
    </row>
    <row r="2341" spans="1:26" x14ac:dyDescent="0.2">
      <c r="A2341" t="s">
        <v>2459</v>
      </c>
      <c r="B2341" t="s">
        <v>61</v>
      </c>
      <c r="C2341">
        <v>2015</v>
      </c>
      <c r="D2341" t="s">
        <v>26</v>
      </c>
      <c r="E2341" t="s">
        <v>69</v>
      </c>
      <c r="F2341" t="s">
        <v>26</v>
      </c>
      <c r="G2341">
        <v>61276</v>
      </c>
      <c r="H2341">
        <v>49020.800000000003</v>
      </c>
      <c r="I2341" s="13">
        <v>0.33333333333333331</v>
      </c>
      <c r="J2341" t="s">
        <v>6207</v>
      </c>
      <c r="K2341">
        <v>1</v>
      </c>
      <c r="L2341">
        <v>1</v>
      </c>
      <c r="M2341" t="s">
        <v>58</v>
      </c>
      <c r="N2341" s="2">
        <v>0.6</v>
      </c>
      <c r="O2341" s="2">
        <v>0.4</v>
      </c>
      <c r="P2341">
        <v>14</v>
      </c>
      <c r="Q2341">
        <v>7</v>
      </c>
      <c r="R2341">
        <v>6</v>
      </c>
      <c r="S2341">
        <v>2</v>
      </c>
      <c r="T2341">
        <v>4</v>
      </c>
      <c r="U2341">
        <v>13</v>
      </c>
      <c r="V2341">
        <v>1</v>
      </c>
      <c r="W2341">
        <v>2</v>
      </c>
      <c r="X2341">
        <v>0</v>
      </c>
      <c r="Y2341">
        <v>0</v>
      </c>
      <c r="Z2341">
        <v>0</v>
      </c>
    </row>
    <row r="2342" spans="1:26" x14ac:dyDescent="0.2">
      <c r="A2342" t="s">
        <v>2460</v>
      </c>
      <c r="B2342" t="s">
        <v>44</v>
      </c>
      <c r="C2342">
        <v>2015</v>
      </c>
      <c r="D2342" t="s">
        <v>51</v>
      </c>
      <c r="E2342" t="s">
        <v>40</v>
      </c>
      <c r="F2342" t="s">
        <v>20</v>
      </c>
      <c r="G2342">
        <v>36284</v>
      </c>
      <c r="H2342">
        <v>29027.200000000001</v>
      </c>
      <c r="I2342" s="13">
        <v>0.5</v>
      </c>
      <c r="J2342" t="s">
        <v>6207</v>
      </c>
      <c r="K2342">
        <v>4</v>
      </c>
      <c r="L2342">
        <v>1</v>
      </c>
      <c r="M2342" t="s">
        <v>0</v>
      </c>
      <c r="N2342" s="2">
        <v>0.47</v>
      </c>
      <c r="O2342" s="2">
        <v>0.53</v>
      </c>
      <c r="P2342">
        <v>9</v>
      </c>
      <c r="Q2342">
        <v>22</v>
      </c>
      <c r="R2342">
        <v>5</v>
      </c>
      <c r="S2342">
        <v>9</v>
      </c>
      <c r="T2342">
        <v>17</v>
      </c>
      <c r="U2342">
        <v>6</v>
      </c>
      <c r="V2342">
        <v>5</v>
      </c>
      <c r="W2342">
        <v>1</v>
      </c>
      <c r="X2342">
        <v>0</v>
      </c>
      <c r="Y2342">
        <v>0</v>
      </c>
      <c r="Z2342">
        <v>0</v>
      </c>
    </row>
    <row r="2343" spans="1:26" x14ac:dyDescent="0.2">
      <c r="A2343" t="s">
        <v>2461</v>
      </c>
      <c r="B2343" t="s">
        <v>41</v>
      </c>
      <c r="C2343">
        <v>2015</v>
      </c>
      <c r="D2343" t="s">
        <v>23</v>
      </c>
      <c r="E2343" t="s">
        <v>69</v>
      </c>
      <c r="F2343" t="s">
        <v>20</v>
      </c>
      <c r="G2343">
        <v>62500</v>
      </c>
      <c r="H2343">
        <v>50000</v>
      </c>
      <c r="I2343" s="13">
        <v>0</v>
      </c>
      <c r="J2343" t="s">
        <v>6207</v>
      </c>
      <c r="K2343">
        <v>2</v>
      </c>
      <c r="L2343">
        <v>2</v>
      </c>
      <c r="M2343" t="s">
        <v>58</v>
      </c>
      <c r="N2343" s="2">
        <v>0.48</v>
      </c>
      <c r="O2343" s="2">
        <v>0.52</v>
      </c>
      <c r="P2343">
        <v>17</v>
      </c>
      <c r="Q2343">
        <v>10</v>
      </c>
      <c r="R2343">
        <v>7</v>
      </c>
      <c r="S2343">
        <v>5</v>
      </c>
      <c r="T2343">
        <v>2</v>
      </c>
      <c r="U2343">
        <v>11</v>
      </c>
      <c r="V2343">
        <v>0</v>
      </c>
      <c r="W2343">
        <v>0</v>
      </c>
      <c r="X2343">
        <v>0</v>
      </c>
      <c r="Y2343">
        <v>0</v>
      </c>
      <c r="Z2343">
        <v>0</v>
      </c>
    </row>
    <row r="2344" spans="1:26" x14ac:dyDescent="0.2">
      <c r="A2344" t="s">
        <v>2462</v>
      </c>
      <c r="B2344" t="s">
        <v>50</v>
      </c>
      <c r="C2344">
        <v>2015</v>
      </c>
      <c r="D2344" t="s">
        <v>27</v>
      </c>
      <c r="E2344" t="s">
        <v>86</v>
      </c>
      <c r="F2344" t="s">
        <v>27</v>
      </c>
      <c r="G2344">
        <v>30089</v>
      </c>
      <c r="H2344">
        <v>24071.200000000001</v>
      </c>
      <c r="I2344" s="13">
        <v>1</v>
      </c>
      <c r="J2344" t="s">
        <v>6207</v>
      </c>
      <c r="K2344">
        <v>2</v>
      </c>
      <c r="L2344">
        <v>1</v>
      </c>
      <c r="M2344" t="s">
        <v>0</v>
      </c>
      <c r="N2344" s="2">
        <v>0.44</v>
      </c>
      <c r="O2344" s="2">
        <v>0.56000000000000005</v>
      </c>
      <c r="P2344">
        <v>14</v>
      </c>
      <c r="Q2344">
        <v>14</v>
      </c>
      <c r="R2344">
        <v>3</v>
      </c>
      <c r="S2344">
        <v>7</v>
      </c>
      <c r="T2344">
        <v>13</v>
      </c>
      <c r="U2344">
        <v>11</v>
      </c>
      <c r="V2344">
        <v>1</v>
      </c>
      <c r="W2344">
        <v>0</v>
      </c>
      <c r="X2344">
        <v>0</v>
      </c>
      <c r="Y2344">
        <v>0</v>
      </c>
      <c r="Z2344">
        <v>0</v>
      </c>
    </row>
    <row r="2345" spans="1:26" x14ac:dyDescent="0.2">
      <c r="A2345" t="s">
        <v>2463</v>
      </c>
      <c r="B2345" t="s">
        <v>74</v>
      </c>
      <c r="C2345">
        <v>2015</v>
      </c>
      <c r="D2345" t="s">
        <v>73</v>
      </c>
      <c r="E2345" t="s">
        <v>71</v>
      </c>
      <c r="F2345" t="s">
        <v>73</v>
      </c>
      <c r="G2345">
        <v>32384</v>
      </c>
      <c r="H2345">
        <v>25907.200000000001</v>
      </c>
      <c r="I2345" s="13">
        <v>0.75</v>
      </c>
      <c r="J2345" t="s">
        <v>6208</v>
      </c>
      <c r="K2345">
        <v>3</v>
      </c>
      <c r="L2345">
        <v>1</v>
      </c>
      <c r="M2345" t="s">
        <v>0</v>
      </c>
      <c r="N2345" s="2">
        <v>0.44</v>
      </c>
      <c r="O2345" s="2">
        <v>0.56000000000000005</v>
      </c>
      <c r="P2345">
        <v>16</v>
      </c>
      <c r="Q2345">
        <v>23</v>
      </c>
      <c r="R2345">
        <v>4</v>
      </c>
      <c r="S2345">
        <v>3</v>
      </c>
      <c r="T2345">
        <v>18</v>
      </c>
      <c r="U2345">
        <v>14</v>
      </c>
      <c r="V2345">
        <v>3</v>
      </c>
      <c r="W2345">
        <v>1</v>
      </c>
      <c r="X2345">
        <v>0</v>
      </c>
      <c r="Y2345">
        <v>0</v>
      </c>
      <c r="Z2345">
        <v>1</v>
      </c>
    </row>
    <row r="2346" spans="1:26" x14ac:dyDescent="0.2">
      <c r="A2346" t="s">
        <v>2464</v>
      </c>
      <c r="B2346" t="s">
        <v>53</v>
      </c>
      <c r="C2346">
        <v>2015</v>
      </c>
      <c r="D2346" t="s">
        <v>48</v>
      </c>
      <c r="E2346" t="s">
        <v>35</v>
      </c>
      <c r="F2346" t="s">
        <v>49</v>
      </c>
      <c r="G2346">
        <v>74197</v>
      </c>
      <c r="H2346">
        <v>59357.600000000006</v>
      </c>
      <c r="I2346" s="13">
        <v>0.33333333333333331</v>
      </c>
      <c r="J2346" t="s">
        <v>6207</v>
      </c>
      <c r="K2346">
        <v>3</v>
      </c>
      <c r="L2346">
        <v>0</v>
      </c>
      <c r="M2346" t="s">
        <v>0</v>
      </c>
      <c r="N2346" s="2">
        <v>0.63</v>
      </c>
      <c r="O2346" s="2">
        <v>0.37</v>
      </c>
      <c r="P2346">
        <v>17</v>
      </c>
      <c r="Q2346">
        <v>12</v>
      </c>
      <c r="R2346">
        <v>5</v>
      </c>
      <c r="S2346">
        <v>2</v>
      </c>
      <c r="T2346">
        <v>12</v>
      </c>
      <c r="U2346">
        <v>17</v>
      </c>
      <c r="V2346">
        <v>0</v>
      </c>
      <c r="W2346">
        <v>3</v>
      </c>
      <c r="X2346">
        <v>0</v>
      </c>
      <c r="Y2346">
        <v>0</v>
      </c>
      <c r="Z2346">
        <v>0</v>
      </c>
    </row>
    <row r="2347" spans="1:26" x14ac:dyDescent="0.2">
      <c r="A2347" t="s">
        <v>2465</v>
      </c>
      <c r="B2347" t="s">
        <v>68</v>
      </c>
      <c r="C2347">
        <v>2015</v>
      </c>
      <c r="D2347" t="s">
        <v>26</v>
      </c>
      <c r="E2347" t="s">
        <v>42</v>
      </c>
      <c r="F2347" t="s">
        <v>26</v>
      </c>
      <c r="G2347">
        <v>61276</v>
      </c>
      <c r="H2347">
        <v>49020.800000000003</v>
      </c>
      <c r="I2347" s="13">
        <v>0</v>
      </c>
      <c r="J2347" t="s">
        <v>6207</v>
      </c>
      <c r="K2347">
        <v>3</v>
      </c>
      <c r="L2347">
        <v>2</v>
      </c>
      <c r="M2347" t="s">
        <v>0</v>
      </c>
      <c r="N2347" s="2">
        <v>0.63</v>
      </c>
      <c r="O2347" s="2">
        <v>0.37</v>
      </c>
      <c r="P2347">
        <v>13</v>
      </c>
      <c r="Q2347">
        <v>11</v>
      </c>
      <c r="R2347">
        <v>11</v>
      </c>
      <c r="S2347">
        <v>1</v>
      </c>
      <c r="T2347">
        <v>8</v>
      </c>
      <c r="U2347">
        <v>13</v>
      </c>
      <c r="V2347">
        <v>0</v>
      </c>
      <c r="W2347">
        <v>0</v>
      </c>
      <c r="X2347">
        <v>0</v>
      </c>
      <c r="Y2347">
        <v>0</v>
      </c>
      <c r="Z2347">
        <v>0</v>
      </c>
    </row>
    <row r="2348" spans="1:26" x14ac:dyDescent="0.2">
      <c r="A2348" t="s">
        <v>2466</v>
      </c>
      <c r="B2348" t="s">
        <v>76</v>
      </c>
      <c r="C2348">
        <v>2015</v>
      </c>
      <c r="D2348" t="s">
        <v>80</v>
      </c>
      <c r="E2348" t="s">
        <v>46</v>
      </c>
      <c r="F2348" t="s">
        <v>80</v>
      </c>
      <c r="G2348">
        <v>32261</v>
      </c>
      <c r="H2348">
        <v>25808.800000000003</v>
      </c>
      <c r="I2348" s="13">
        <v>0.5</v>
      </c>
      <c r="J2348" t="s">
        <v>6207</v>
      </c>
      <c r="K2348">
        <v>2</v>
      </c>
      <c r="L2348">
        <v>5</v>
      </c>
      <c r="M2348" t="s">
        <v>1</v>
      </c>
      <c r="N2348" s="2">
        <v>0.49</v>
      </c>
      <c r="O2348" s="2">
        <v>0.51</v>
      </c>
      <c r="P2348">
        <v>14</v>
      </c>
      <c r="Q2348">
        <v>10</v>
      </c>
      <c r="R2348">
        <v>6</v>
      </c>
      <c r="S2348">
        <v>5</v>
      </c>
      <c r="T2348">
        <v>9</v>
      </c>
      <c r="U2348">
        <v>12</v>
      </c>
      <c r="V2348">
        <v>1</v>
      </c>
      <c r="W2348">
        <v>1</v>
      </c>
      <c r="X2348">
        <v>0</v>
      </c>
      <c r="Y2348">
        <v>0</v>
      </c>
      <c r="Z2348">
        <v>0</v>
      </c>
    </row>
    <row r="2349" spans="1:26" x14ac:dyDescent="0.2">
      <c r="A2349" t="s">
        <v>2467</v>
      </c>
      <c r="B2349" t="s">
        <v>32</v>
      </c>
      <c r="C2349">
        <v>2015</v>
      </c>
      <c r="D2349" t="s">
        <v>64</v>
      </c>
      <c r="E2349" t="s">
        <v>18</v>
      </c>
      <c r="F2349" t="s">
        <v>64</v>
      </c>
      <c r="G2349">
        <v>52264</v>
      </c>
      <c r="H2349">
        <v>41811.200000000004</v>
      </c>
      <c r="I2349" s="13">
        <v>0.66666666666666663</v>
      </c>
      <c r="J2349" t="s">
        <v>6207</v>
      </c>
      <c r="K2349">
        <v>2</v>
      </c>
      <c r="L2349">
        <v>2</v>
      </c>
      <c r="M2349" t="s">
        <v>58</v>
      </c>
      <c r="N2349" s="2">
        <v>0.38</v>
      </c>
      <c r="O2349" s="2">
        <v>0.62</v>
      </c>
      <c r="P2349">
        <v>17</v>
      </c>
      <c r="Q2349">
        <v>14</v>
      </c>
      <c r="R2349">
        <v>4</v>
      </c>
      <c r="S2349">
        <v>6</v>
      </c>
      <c r="T2349">
        <v>12</v>
      </c>
      <c r="U2349">
        <v>15</v>
      </c>
      <c r="V2349">
        <v>1</v>
      </c>
      <c r="W2349">
        <v>2</v>
      </c>
      <c r="X2349">
        <v>0</v>
      </c>
      <c r="Y2349">
        <v>0</v>
      </c>
      <c r="Z2349">
        <v>0</v>
      </c>
    </row>
    <row r="2350" spans="1:26" x14ac:dyDescent="0.2">
      <c r="A2350" t="s">
        <v>2468</v>
      </c>
      <c r="B2350" t="s">
        <v>61</v>
      </c>
      <c r="C2350">
        <v>2015</v>
      </c>
      <c r="D2350" t="s">
        <v>85</v>
      </c>
      <c r="E2350" t="s">
        <v>79</v>
      </c>
      <c r="F2350" t="s">
        <v>85</v>
      </c>
      <c r="G2350">
        <v>22220</v>
      </c>
      <c r="H2350">
        <v>17776</v>
      </c>
      <c r="I2350" s="13">
        <v>0.625</v>
      </c>
      <c r="J2350" t="s">
        <v>6207</v>
      </c>
      <c r="K2350">
        <v>0</v>
      </c>
      <c r="L2350">
        <v>1</v>
      </c>
      <c r="M2350" t="s">
        <v>1</v>
      </c>
      <c r="N2350" s="2">
        <v>0.55000000000000004</v>
      </c>
      <c r="O2350" s="2">
        <v>0.45</v>
      </c>
      <c r="P2350">
        <v>22</v>
      </c>
      <c r="Q2350">
        <v>16</v>
      </c>
      <c r="R2350">
        <v>6</v>
      </c>
      <c r="S2350">
        <v>4</v>
      </c>
      <c r="T2350">
        <v>17</v>
      </c>
      <c r="U2350">
        <v>22</v>
      </c>
      <c r="V2350">
        <v>4</v>
      </c>
      <c r="W2350">
        <v>4</v>
      </c>
      <c r="X2350">
        <v>0</v>
      </c>
      <c r="Y2350">
        <v>0</v>
      </c>
      <c r="Z2350">
        <v>1</v>
      </c>
    </row>
    <row r="2351" spans="1:26" x14ac:dyDescent="0.2">
      <c r="A2351" t="s">
        <v>2469</v>
      </c>
      <c r="B2351" t="s">
        <v>77</v>
      </c>
      <c r="C2351">
        <v>2015</v>
      </c>
      <c r="D2351" t="s">
        <v>63</v>
      </c>
      <c r="E2351" t="s">
        <v>45</v>
      </c>
      <c r="F2351" t="s">
        <v>65</v>
      </c>
      <c r="G2351">
        <v>26804</v>
      </c>
      <c r="H2351">
        <v>21443.200000000001</v>
      </c>
      <c r="I2351" s="13">
        <v>0.66666666666666663</v>
      </c>
      <c r="J2351" t="s">
        <v>6207</v>
      </c>
      <c r="K2351">
        <v>2</v>
      </c>
      <c r="L2351">
        <v>3</v>
      </c>
      <c r="M2351" t="s">
        <v>1</v>
      </c>
      <c r="N2351" s="2">
        <v>0.46</v>
      </c>
      <c r="O2351" s="2">
        <v>0.54</v>
      </c>
      <c r="P2351">
        <v>10</v>
      </c>
      <c r="Q2351">
        <v>12</v>
      </c>
      <c r="R2351">
        <v>6</v>
      </c>
      <c r="S2351">
        <v>4</v>
      </c>
      <c r="T2351">
        <v>9</v>
      </c>
      <c r="U2351">
        <v>8</v>
      </c>
      <c r="V2351">
        <v>0</v>
      </c>
      <c r="W2351">
        <v>3</v>
      </c>
      <c r="X2351">
        <v>0</v>
      </c>
      <c r="Y2351">
        <v>0</v>
      </c>
      <c r="Z2351">
        <v>0</v>
      </c>
    </row>
    <row r="2352" spans="1:26" x14ac:dyDescent="0.2">
      <c r="A2352" t="s">
        <v>2470</v>
      </c>
      <c r="B2352" t="s">
        <v>68</v>
      </c>
      <c r="C2352">
        <v>2015</v>
      </c>
      <c r="D2352" t="s">
        <v>79</v>
      </c>
      <c r="E2352" t="s">
        <v>63</v>
      </c>
      <c r="F2352" t="s">
        <v>20</v>
      </c>
      <c r="G2352">
        <v>25486</v>
      </c>
      <c r="H2352">
        <v>20388.800000000003</v>
      </c>
      <c r="I2352" s="13">
        <v>0.66666666666666663</v>
      </c>
      <c r="J2352" t="s">
        <v>6207</v>
      </c>
      <c r="K2352">
        <v>2</v>
      </c>
      <c r="L2352">
        <v>0</v>
      </c>
      <c r="M2352" t="s">
        <v>0</v>
      </c>
      <c r="N2352" s="2">
        <v>0.61</v>
      </c>
      <c r="O2352" s="2">
        <v>0.39</v>
      </c>
      <c r="P2352">
        <v>13</v>
      </c>
      <c r="Q2352">
        <v>17</v>
      </c>
      <c r="R2352">
        <v>8</v>
      </c>
      <c r="S2352">
        <v>3</v>
      </c>
      <c r="T2352">
        <v>14</v>
      </c>
      <c r="U2352">
        <v>13</v>
      </c>
      <c r="V2352">
        <v>3</v>
      </c>
      <c r="W2352">
        <v>3</v>
      </c>
      <c r="X2352">
        <v>0</v>
      </c>
      <c r="Y2352">
        <v>0</v>
      </c>
      <c r="Z2352">
        <v>1</v>
      </c>
    </row>
    <row r="2353" spans="1:26" x14ac:dyDescent="0.2">
      <c r="A2353" t="s">
        <v>2471</v>
      </c>
      <c r="B2353" t="s">
        <v>67</v>
      </c>
      <c r="C2353">
        <v>2015</v>
      </c>
      <c r="D2353" t="s">
        <v>35</v>
      </c>
      <c r="E2353" t="s">
        <v>23</v>
      </c>
      <c r="F2353" t="s">
        <v>35</v>
      </c>
      <c r="G2353">
        <v>49000</v>
      </c>
      <c r="H2353">
        <v>39200</v>
      </c>
      <c r="I2353" s="13">
        <v>0.375</v>
      </c>
      <c r="J2353" t="s">
        <v>6207</v>
      </c>
      <c r="K2353">
        <v>2</v>
      </c>
      <c r="L2353">
        <v>2</v>
      </c>
      <c r="M2353" t="s">
        <v>58</v>
      </c>
      <c r="N2353" s="2">
        <v>0.44</v>
      </c>
      <c r="O2353" s="2">
        <v>0.56000000000000005</v>
      </c>
      <c r="P2353">
        <v>13</v>
      </c>
      <c r="Q2353">
        <v>16</v>
      </c>
      <c r="R2353">
        <v>1</v>
      </c>
      <c r="S2353">
        <v>8</v>
      </c>
      <c r="T2353">
        <v>14</v>
      </c>
      <c r="U2353">
        <v>11</v>
      </c>
      <c r="V2353">
        <v>3</v>
      </c>
      <c r="W2353">
        <v>4</v>
      </c>
      <c r="X2353">
        <v>1</v>
      </c>
      <c r="Y2353">
        <v>0</v>
      </c>
      <c r="Z2353">
        <v>0</v>
      </c>
    </row>
    <row r="2354" spans="1:26" x14ac:dyDescent="0.2">
      <c r="A2354" t="s">
        <v>2472</v>
      </c>
      <c r="B2354" t="s">
        <v>44</v>
      </c>
      <c r="C2354">
        <v>2015</v>
      </c>
      <c r="D2354" t="s">
        <v>69</v>
      </c>
      <c r="E2354" t="s">
        <v>80</v>
      </c>
      <c r="F2354" t="s">
        <v>69</v>
      </c>
      <c r="G2354">
        <v>27359</v>
      </c>
      <c r="H2354">
        <v>21887.200000000001</v>
      </c>
      <c r="I2354" s="13">
        <v>1</v>
      </c>
      <c r="J2354" t="s">
        <v>6207</v>
      </c>
      <c r="K2354">
        <v>1</v>
      </c>
      <c r="L2354">
        <v>2</v>
      </c>
      <c r="M2354" t="s">
        <v>1</v>
      </c>
      <c r="N2354" s="2">
        <v>0.66</v>
      </c>
      <c r="O2354" s="2">
        <v>0.34</v>
      </c>
      <c r="P2354">
        <v>6</v>
      </c>
      <c r="Q2354">
        <v>4</v>
      </c>
      <c r="R2354">
        <v>16</v>
      </c>
      <c r="S2354">
        <v>8</v>
      </c>
      <c r="T2354">
        <v>4</v>
      </c>
      <c r="U2354">
        <v>4</v>
      </c>
      <c r="V2354">
        <v>0</v>
      </c>
      <c r="W2354">
        <v>1</v>
      </c>
      <c r="X2354">
        <v>0</v>
      </c>
      <c r="Y2354">
        <v>0</v>
      </c>
      <c r="Z2354">
        <v>1</v>
      </c>
    </row>
    <row r="2355" spans="1:26" x14ac:dyDescent="0.2">
      <c r="A2355" t="s">
        <v>2473</v>
      </c>
      <c r="B2355" t="s">
        <v>60</v>
      </c>
      <c r="C2355">
        <v>2015</v>
      </c>
      <c r="D2355" t="s">
        <v>40</v>
      </c>
      <c r="E2355" t="s">
        <v>64</v>
      </c>
      <c r="F2355" t="s">
        <v>49</v>
      </c>
      <c r="G2355">
        <v>53400</v>
      </c>
      <c r="H2355">
        <v>42720</v>
      </c>
      <c r="I2355" s="13">
        <v>1</v>
      </c>
      <c r="J2355" t="s">
        <v>6208</v>
      </c>
      <c r="K2355">
        <v>6</v>
      </c>
      <c r="L2355">
        <v>1</v>
      </c>
      <c r="M2355" t="s">
        <v>0</v>
      </c>
      <c r="N2355" s="2">
        <v>0.65</v>
      </c>
      <c r="O2355" s="2">
        <v>0.35</v>
      </c>
      <c r="P2355">
        <v>11</v>
      </c>
      <c r="Q2355">
        <v>14</v>
      </c>
      <c r="R2355">
        <v>6</v>
      </c>
      <c r="S2355">
        <v>3</v>
      </c>
      <c r="T2355">
        <v>13</v>
      </c>
      <c r="U2355">
        <v>8</v>
      </c>
      <c r="V2355">
        <v>3</v>
      </c>
      <c r="W2355">
        <v>2</v>
      </c>
      <c r="X2355">
        <v>0</v>
      </c>
      <c r="Y2355">
        <v>0</v>
      </c>
      <c r="Z2355">
        <v>0</v>
      </c>
    </row>
    <row r="2356" spans="1:26" x14ac:dyDescent="0.2">
      <c r="A2356" t="s">
        <v>2474</v>
      </c>
      <c r="B2356" t="s">
        <v>66</v>
      </c>
      <c r="C2356">
        <v>2015</v>
      </c>
      <c r="D2356" t="s">
        <v>86</v>
      </c>
      <c r="E2356" t="s">
        <v>85</v>
      </c>
      <c r="F2356" t="s">
        <v>86</v>
      </c>
      <c r="G2356">
        <v>11364</v>
      </c>
      <c r="H2356">
        <v>9091.2000000000007</v>
      </c>
      <c r="I2356" s="13">
        <v>0.5</v>
      </c>
      <c r="J2356" t="s">
        <v>6207</v>
      </c>
      <c r="K2356">
        <v>1</v>
      </c>
      <c r="L2356">
        <v>1</v>
      </c>
      <c r="M2356" t="s">
        <v>58</v>
      </c>
      <c r="N2356" s="2">
        <v>0.54</v>
      </c>
      <c r="O2356" s="2">
        <v>0.46</v>
      </c>
      <c r="P2356">
        <v>13</v>
      </c>
      <c r="Q2356">
        <v>12</v>
      </c>
      <c r="R2356">
        <v>5</v>
      </c>
      <c r="S2356">
        <v>3</v>
      </c>
      <c r="T2356">
        <v>8</v>
      </c>
      <c r="U2356">
        <v>13</v>
      </c>
      <c r="V2356">
        <v>1</v>
      </c>
      <c r="W2356">
        <v>1</v>
      </c>
      <c r="X2356">
        <v>0</v>
      </c>
      <c r="Y2356">
        <v>0</v>
      </c>
      <c r="Z2356">
        <v>1</v>
      </c>
    </row>
    <row r="2357" spans="1:26" x14ac:dyDescent="0.2">
      <c r="A2357" t="s">
        <v>2475</v>
      </c>
      <c r="B2357" t="s">
        <v>53</v>
      </c>
      <c r="C2357">
        <v>2015</v>
      </c>
      <c r="D2357" t="s">
        <v>42</v>
      </c>
      <c r="E2357" t="s">
        <v>27</v>
      </c>
      <c r="F2357" t="s">
        <v>38</v>
      </c>
      <c r="G2357">
        <v>42918</v>
      </c>
      <c r="H2357">
        <v>34334.400000000001</v>
      </c>
      <c r="I2357" s="13">
        <v>0</v>
      </c>
      <c r="J2357" t="s">
        <v>6207</v>
      </c>
      <c r="K2357">
        <v>0</v>
      </c>
      <c r="L2357">
        <v>1</v>
      </c>
      <c r="M2357" t="s">
        <v>1</v>
      </c>
      <c r="N2357" s="2">
        <v>0.56000000000000005</v>
      </c>
      <c r="O2357" s="2">
        <v>0.44</v>
      </c>
      <c r="P2357">
        <v>13</v>
      </c>
      <c r="Q2357">
        <v>14</v>
      </c>
      <c r="R2357">
        <v>9</v>
      </c>
      <c r="S2357">
        <v>5</v>
      </c>
      <c r="T2357">
        <v>12</v>
      </c>
      <c r="U2357">
        <v>12</v>
      </c>
      <c r="V2357">
        <v>1</v>
      </c>
      <c r="W2357">
        <v>0</v>
      </c>
      <c r="X2357">
        <v>0</v>
      </c>
      <c r="Y2357">
        <v>0</v>
      </c>
      <c r="Z2357">
        <v>0</v>
      </c>
    </row>
    <row r="2358" spans="1:26" x14ac:dyDescent="0.2">
      <c r="A2358" t="s">
        <v>2476</v>
      </c>
      <c r="B2358" t="s">
        <v>77</v>
      </c>
      <c r="C2358">
        <v>2015</v>
      </c>
      <c r="D2358" t="s">
        <v>18</v>
      </c>
      <c r="E2358" t="s">
        <v>73</v>
      </c>
      <c r="F2358" t="s">
        <v>20</v>
      </c>
      <c r="G2358">
        <v>40341</v>
      </c>
      <c r="H2358">
        <v>32272.800000000003</v>
      </c>
      <c r="I2358" s="13">
        <v>0.7142857142857143</v>
      </c>
      <c r="J2358" t="s">
        <v>6207</v>
      </c>
      <c r="K2358">
        <v>1</v>
      </c>
      <c r="L2358">
        <v>3</v>
      </c>
      <c r="M2358" t="s">
        <v>1</v>
      </c>
      <c r="N2358" s="2">
        <v>0.61</v>
      </c>
      <c r="O2358" s="2">
        <v>0.39</v>
      </c>
      <c r="P2358">
        <v>16</v>
      </c>
      <c r="Q2358">
        <v>16</v>
      </c>
      <c r="R2358">
        <v>4</v>
      </c>
      <c r="S2358">
        <v>6</v>
      </c>
      <c r="T2358">
        <v>14</v>
      </c>
      <c r="U2358">
        <v>14</v>
      </c>
      <c r="V2358">
        <v>2</v>
      </c>
      <c r="W2358">
        <v>5</v>
      </c>
      <c r="X2358">
        <v>0</v>
      </c>
      <c r="Y2358">
        <v>0</v>
      </c>
      <c r="Z2358">
        <v>0</v>
      </c>
    </row>
    <row r="2359" spans="1:26" x14ac:dyDescent="0.2">
      <c r="A2359" t="s">
        <v>2477</v>
      </c>
      <c r="B2359" t="s">
        <v>32</v>
      </c>
      <c r="C2359">
        <v>2015</v>
      </c>
      <c r="D2359" t="s">
        <v>45</v>
      </c>
      <c r="E2359" t="s">
        <v>26</v>
      </c>
      <c r="F2359" t="s">
        <v>26</v>
      </c>
      <c r="G2359">
        <v>39572</v>
      </c>
      <c r="H2359">
        <v>31657.600000000002</v>
      </c>
      <c r="I2359" s="13">
        <v>0.83333333333333337</v>
      </c>
      <c r="J2359" t="s">
        <v>6207</v>
      </c>
      <c r="K2359">
        <v>1</v>
      </c>
      <c r="L2359">
        <v>1</v>
      </c>
      <c r="M2359" t="s">
        <v>58</v>
      </c>
      <c r="N2359" s="2">
        <v>0.5</v>
      </c>
      <c r="O2359" s="2">
        <v>0.5</v>
      </c>
      <c r="P2359">
        <v>19</v>
      </c>
      <c r="Q2359">
        <v>11</v>
      </c>
      <c r="R2359">
        <v>5</v>
      </c>
      <c r="S2359">
        <v>11</v>
      </c>
      <c r="T2359">
        <v>10</v>
      </c>
      <c r="U2359">
        <v>19</v>
      </c>
      <c r="V2359">
        <v>3</v>
      </c>
      <c r="W2359">
        <v>3</v>
      </c>
      <c r="X2359">
        <v>0</v>
      </c>
      <c r="Y2359">
        <v>0</v>
      </c>
      <c r="Z2359">
        <v>0</v>
      </c>
    </row>
    <row r="2360" spans="1:26" x14ac:dyDescent="0.2">
      <c r="A2360" t="s">
        <v>2478</v>
      </c>
      <c r="B2360" t="s">
        <v>41</v>
      </c>
      <c r="C2360">
        <v>2015</v>
      </c>
      <c r="D2360" t="s">
        <v>71</v>
      </c>
      <c r="E2360" t="s">
        <v>51</v>
      </c>
      <c r="F2360" t="s">
        <v>71</v>
      </c>
      <c r="G2360">
        <v>21088</v>
      </c>
      <c r="H2360">
        <v>16870.400000000001</v>
      </c>
      <c r="I2360" s="13">
        <v>0.4</v>
      </c>
      <c r="J2360" t="s">
        <v>6207</v>
      </c>
      <c r="K2360">
        <v>2</v>
      </c>
      <c r="L2360">
        <v>2</v>
      </c>
      <c r="M2360" t="s">
        <v>58</v>
      </c>
      <c r="N2360" s="2">
        <v>0.45</v>
      </c>
      <c r="O2360" s="2">
        <v>0.55000000000000004</v>
      </c>
      <c r="P2360">
        <v>19</v>
      </c>
      <c r="Q2360">
        <v>10</v>
      </c>
      <c r="R2360">
        <v>5</v>
      </c>
      <c r="S2360">
        <v>6</v>
      </c>
      <c r="T2360">
        <v>8</v>
      </c>
      <c r="U2360">
        <v>19</v>
      </c>
      <c r="V2360">
        <v>1</v>
      </c>
      <c r="W2360">
        <v>4</v>
      </c>
      <c r="X2360">
        <v>0</v>
      </c>
      <c r="Y2360">
        <v>0</v>
      </c>
      <c r="Z2360">
        <v>0</v>
      </c>
    </row>
    <row r="2361" spans="1:26" x14ac:dyDescent="0.2">
      <c r="A2361" t="s">
        <v>2479</v>
      </c>
      <c r="B2361" t="s">
        <v>61</v>
      </c>
      <c r="C2361">
        <v>2015</v>
      </c>
      <c r="D2361" t="s">
        <v>46</v>
      </c>
      <c r="E2361" t="s">
        <v>48</v>
      </c>
      <c r="F2361" t="s">
        <v>20</v>
      </c>
      <c r="G2361">
        <v>60704</v>
      </c>
      <c r="H2361">
        <v>48563.200000000004</v>
      </c>
      <c r="I2361" s="13">
        <v>0.5</v>
      </c>
      <c r="J2361" t="s">
        <v>6207</v>
      </c>
      <c r="K2361">
        <v>3</v>
      </c>
      <c r="L2361">
        <v>0</v>
      </c>
      <c r="M2361" t="s">
        <v>0</v>
      </c>
      <c r="N2361" s="2">
        <v>0.38</v>
      </c>
      <c r="O2361" s="2">
        <v>0.62</v>
      </c>
      <c r="P2361">
        <v>20</v>
      </c>
      <c r="Q2361">
        <v>10</v>
      </c>
      <c r="R2361">
        <v>3</v>
      </c>
      <c r="S2361">
        <v>6</v>
      </c>
      <c r="T2361">
        <v>8</v>
      </c>
      <c r="U2361">
        <v>17</v>
      </c>
      <c r="V2361">
        <v>1</v>
      </c>
      <c r="W2361">
        <v>3</v>
      </c>
      <c r="X2361">
        <v>0</v>
      </c>
      <c r="Y2361">
        <v>0</v>
      </c>
      <c r="Z2361">
        <v>0</v>
      </c>
    </row>
    <row r="2362" spans="1:26" x14ac:dyDescent="0.2">
      <c r="A2362" t="s">
        <v>2480</v>
      </c>
      <c r="B2362" t="s">
        <v>76</v>
      </c>
      <c r="C2362">
        <v>2015</v>
      </c>
      <c r="D2362" t="s">
        <v>51</v>
      </c>
      <c r="E2362" t="s">
        <v>26</v>
      </c>
      <c r="F2362" t="s">
        <v>20</v>
      </c>
      <c r="G2362">
        <v>36284</v>
      </c>
      <c r="H2362">
        <v>29027.200000000001</v>
      </c>
      <c r="I2362" s="13">
        <v>0.66666666666666663</v>
      </c>
      <c r="J2362" t="s">
        <v>6207</v>
      </c>
      <c r="K2362">
        <v>0</v>
      </c>
      <c r="L2362">
        <v>0</v>
      </c>
      <c r="M2362" t="s">
        <v>58</v>
      </c>
      <c r="N2362" s="2">
        <v>0.48</v>
      </c>
      <c r="O2362" s="2">
        <v>0.52</v>
      </c>
      <c r="P2362">
        <v>16</v>
      </c>
      <c r="Q2362">
        <v>17</v>
      </c>
      <c r="R2362">
        <v>8</v>
      </c>
      <c r="S2362">
        <v>6</v>
      </c>
      <c r="T2362">
        <v>15</v>
      </c>
      <c r="U2362">
        <v>11</v>
      </c>
      <c r="V2362">
        <v>1</v>
      </c>
      <c r="W2362">
        <v>2</v>
      </c>
      <c r="X2362">
        <v>0</v>
      </c>
      <c r="Y2362">
        <v>0</v>
      </c>
      <c r="Z2362">
        <v>0</v>
      </c>
    </row>
    <row r="2363" spans="1:26" x14ac:dyDescent="0.2">
      <c r="A2363" t="s">
        <v>2481</v>
      </c>
      <c r="B2363" t="s">
        <v>32</v>
      </c>
      <c r="C2363">
        <v>2015</v>
      </c>
      <c r="D2363" t="s">
        <v>63</v>
      </c>
      <c r="E2363" t="s">
        <v>35</v>
      </c>
      <c r="F2363" t="s">
        <v>65</v>
      </c>
      <c r="G2363">
        <v>26804</v>
      </c>
      <c r="H2363">
        <v>21443.200000000001</v>
      </c>
      <c r="I2363" s="13">
        <v>0.75</v>
      </c>
      <c r="J2363" t="s">
        <v>6207</v>
      </c>
      <c r="K2363">
        <v>1</v>
      </c>
      <c r="L2363">
        <v>0</v>
      </c>
      <c r="M2363" t="s">
        <v>0</v>
      </c>
      <c r="N2363" s="2">
        <v>0.56999999999999995</v>
      </c>
      <c r="O2363" s="2">
        <v>0.43</v>
      </c>
      <c r="P2363">
        <v>19</v>
      </c>
      <c r="Q2363">
        <v>14</v>
      </c>
      <c r="R2363">
        <v>1</v>
      </c>
      <c r="S2363">
        <v>5</v>
      </c>
      <c r="T2363">
        <v>12</v>
      </c>
      <c r="U2363">
        <v>13</v>
      </c>
      <c r="V2363">
        <v>2</v>
      </c>
      <c r="W2363">
        <v>2</v>
      </c>
      <c r="X2363">
        <v>0</v>
      </c>
      <c r="Y2363">
        <v>0</v>
      </c>
      <c r="Z2363">
        <v>0</v>
      </c>
    </row>
    <row r="2364" spans="1:26" x14ac:dyDescent="0.2">
      <c r="A2364" t="s">
        <v>2482</v>
      </c>
      <c r="B2364" t="s">
        <v>81</v>
      </c>
      <c r="C2364">
        <v>2015</v>
      </c>
      <c r="D2364" t="s">
        <v>73</v>
      </c>
      <c r="E2364" t="s">
        <v>80</v>
      </c>
      <c r="F2364" t="s">
        <v>73</v>
      </c>
      <c r="G2364">
        <v>32384</v>
      </c>
      <c r="H2364">
        <v>25907.200000000001</v>
      </c>
      <c r="I2364" s="13">
        <v>0.5</v>
      </c>
      <c r="J2364" t="s">
        <v>6207</v>
      </c>
      <c r="K2364">
        <v>2</v>
      </c>
      <c r="L2364">
        <v>2</v>
      </c>
      <c r="M2364" t="s">
        <v>58</v>
      </c>
      <c r="N2364" s="2">
        <v>0.5</v>
      </c>
      <c r="O2364" s="2">
        <v>0.5</v>
      </c>
      <c r="P2364">
        <v>10</v>
      </c>
      <c r="Q2364">
        <v>17</v>
      </c>
      <c r="R2364">
        <v>6</v>
      </c>
      <c r="S2364">
        <v>7</v>
      </c>
      <c r="T2364">
        <v>16</v>
      </c>
      <c r="U2364">
        <v>10</v>
      </c>
      <c r="V2364">
        <v>2</v>
      </c>
      <c r="W2364">
        <v>0</v>
      </c>
      <c r="X2364">
        <v>0</v>
      </c>
      <c r="Y2364">
        <v>0</v>
      </c>
      <c r="Z2364">
        <v>0</v>
      </c>
    </row>
    <row r="2365" spans="1:26" x14ac:dyDescent="0.2">
      <c r="A2365" t="s">
        <v>2483</v>
      </c>
      <c r="B2365" t="s">
        <v>41</v>
      </c>
      <c r="C2365">
        <v>2015</v>
      </c>
      <c r="D2365" t="s">
        <v>40</v>
      </c>
      <c r="E2365" t="s">
        <v>86</v>
      </c>
      <c r="F2365" t="s">
        <v>49</v>
      </c>
      <c r="G2365">
        <v>53400</v>
      </c>
      <c r="H2365">
        <v>42720</v>
      </c>
      <c r="I2365" s="13">
        <v>0.66666666666666663</v>
      </c>
      <c r="J2365" t="s">
        <v>6207</v>
      </c>
      <c r="K2365">
        <v>5</v>
      </c>
      <c r="L2365">
        <v>1</v>
      </c>
      <c r="M2365" t="s">
        <v>0</v>
      </c>
      <c r="N2365" s="2">
        <v>0.55000000000000004</v>
      </c>
      <c r="O2365" s="2">
        <v>0.45</v>
      </c>
      <c r="P2365">
        <v>6</v>
      </c>
      <c r="Q2365">
        <v>13</v>
      </c>
      <c r="R2365">
        <v>1</v>
      </c>
      <c r="S2365">
        <v>7</v>
      </c>
      <c r="T2365">
        <v>11</v>
      </c>
      <c r="U2365">
        <v>5</v>
      </c>
      <c r="V2365">
        <v>2</v>
      </c>
      <c r="W2365">
        <v>1</v>
      </c>
      <c r="X2365">
        <v>0</v>
      </c>
      <c r="Y2365">
        <v>0</v>
      </c>
      <c r="Z2365">
        <v>0</v>
      </c>
    </row>
    <row r="2366" spans="1:26" x14ac:dyDescent="0.2">
      <c r="A2366" t="s">
        <v>2484</v>
      </c>
      <c r="B2366" t="s">
        <v>68</v>
      </c>
      <c r="C2366">
        <v>2015</v>
      </c>
      <c r="D2366" t="s">
        <v>45</v>
      </c>
      <c r="E2366" t="s">
        <v>48</v>
      </c>
      <c r="F2366" t="s">
        <v>26</v>
      </c>
      <c r="G2366">
        <v>39572</v>
      </c>
      <c r="H2366">
        <v>31657.600000000002</v>
      </c>
      <c r="I2366" s="13">
        <v>1</v>
      </c>
      <c r="J2366" t="s">
        <v>6207</v>
      </c>
      <c r="K2366">
        <v>0</v>
      </c>
      <c r="L2366">
        <v>3</v>
      </c>
      <c r="M2366" t="s">
        <v>1</v>
      </c>
      <c r="N2366" s="2">
        <v>0.52</v>
      </c>
      <c r="O2366" s="2">
        <v>0.48</v>
      </c>
      <c r="P2366">
        <v>15</v>
      </c>
      <c r="Q2366">
        <v>12</v>
      </c>
      <c r="R2366">
        <v>5</v>
      </c>
      <c r="S2366">
        <v>3</v>
      </c>
      <c r="T2366">
        <v>12</v>
      </c>
      <c r="U2366">
        <v>14</v>
      </c>
      <c r="V2366">
        <v>2</v>
      </c>
      <c r="W2366">
        <v>2</v>
      </c>
      <c r="X2366">
        <v>0</v>
      </c>
      <c r="Y2366">
        <v>0</v>
      </c>
      <c r="Z2366">
        <v>0</v>
      </c>
    </row>
    <row r="2367" spans="1:26" x14ac:dyDescent="0.2">
      <c r="A2367" t="s">
        <v>2485</v>
      </c>
      <c r="B2367" t="s">
        <v>44</v>
      </c>
      <c r="C2367">
        <v>2015</v>
      </c>
      <c r="D2367" t="s">
        <v>79</v>
      </c>
      <c r="E2367" t="s">
        <v>23</v>
      </c>
      <c r="F2367" t="s">
        <v>20</v>
      </c>
      <c r="G2367">
        <v>25486</v>
      </c>
      <c r="H2367">
        <v>20388.800000000003</v>
      </c>
      <c r="I2367" s="13">
        <v>0.5</v>
      </c>
      <c r="J2367" t="s">
        <v>6207</v>
      </c>
      <c r="K2367">
        <v>1</v>
      </c>
      <c r="L2367">
        <v>3</v>
      </c>
      <c r="M2367" t="s">
        <v>1</v>
      </c>
      <c r="N2367" s="2">
        <v>0.38</v>
      </c>
      <c r="O2367" s="2">
        <v>0.62</v>
      </c>
      <c r="P2367">
        <v>14</v>
      </c>
      <c r="Q2367">
        <v>11</v>
      </c>
      <c r="R2367">
        <v>1</v>
      </c>
      <c r="S2367">
        <v>9</v>
      </c>
      <c r="T2367">
        <v>9</v>
      </c>
      <c r="U2367">
        <v>11</v>
      </c>
      <c r="V2367">
        <v>2</v>
      </c>
      <c r="W2367">
        <v>3</v>
      </c>
      <c r="X2367">
        <v>1</v>
      </c>
      <c r="Y2367">
        <v>0</v>
      </c>
      <c r="Z2367">
        <v>1</v>
      </c>
    </row>
    <row r="2368" spans="1:26" x14ac:dyDescent="0.2">
      <c r="A2368" t="s">
        <v>2486</v>
      </c>
      <c r="B2368" t="s">
        <v>74</v>
      </c>
      <c r="C2368">
        <v>2015</v>
      </c>
      <c r="D2368" t="s">
        <v>18</v>
      </c>
      <c r="E2368" t="s">
        <v>42</v>
      </c>
      <c r="F2368" t="s">
        <v>20</v>
      </c>
      <c r="G2368">
        <v>40341</v>
      </c>
      <c r="H2368">
        <v>32272.800000000003</v>
      </c>
      <c r="I2368" s="13">
        <v>0.5</v>
      </c>
      <c r="J2368" t="s">
        <v>6208</v>
      </c>
      <c r="K2368">
        <v>2</v>
      </c>
      <c r="L2368">
        <v>0</v>
      </c>
      <c r="M2368" t="s">
        <v>0</v>
      </c>
      <c r="N2368" s="2">
        <v>0.49</v>
      </c>
      <c r="O2368" s="2">
        <v>0.51</v>
      </c>
      <c r="P2368">
        <v>16</v>
      </c>
      <c r="Q2368">
        <v>21</v>
      </c>
      <c r="R2368">
        <v>4</v>
      </c>
      <c r="S2368">
        <v>4</v>
      </c>
      <c r="T2368">
        <v>22</v>
      </c>
      <c r="U2368">
        <v>17</v>
      </c>
      <c r="V2368">
        <v>1</v>
      </c>
      <c r="W2368">
        <v>3</v>
      </c>
      <c r="X2368">
        <v>0</v>
      </c>
      <c r="Y2368">
        <v>0</v>
      </c>
      <c r="Z2368">
        <v>0</v>
      </c>
    </row>
    <row r="2369" spans="1:26" x14ac:dyDescent="0.2">
      <c r="A2369" t="s">
        <v>2487</v>
      </c>
      <c r="B2369" t="s">
        <v>53</v>
      </c>
      <c r="C2369">
        <v>2015</v>
      </c>
      <c r="D2369" t="s">
        <v>85</v>
      </c>
      <c r="E2369" t="s">
        <v>46</v>
      </c>
      <c r="F2369" t="s">
        <v>85</v>
      </c>
      <c r="G2369">
        <v>22220</v>
      </c>
      <c r="H2369">
        <v>17776</v>
      </c>
      <c r="I2369" s="13">
        <v>1</v>
      </c>
      <c r="J2369" t="s">
        <v>6207</v>
      </c>
      <c r="K2369">
        <v>0</v>
      </c>
      <c r="L2369">
        <v>3</v>
      </c>
      <c r="M2369" t="s">
        <v>1</v>
      </c>
      <c r="N2369" s="2">
        <v>0.33</v>
      </c>
      <c r="O2369" s="2">
        <v>0.67</v>
      </c>
      <c r="P2369">
        <v>17</v>
      </c>
      <c r="Q2369">
        <v>10</v>
      </c>
      <c r="R2369">
        <v>3</v>
      </c>
      <c r="S2369">
        <v>9</v>
      </c>
      <c r="T2369">
        <v>11</v>
      </c>
      <c r="U2369">
        <v>12</v>
      </c>
      <c r="V2369">
        <v>2</v>
      </c>
      <c r="W2369">
        <v>1</v>
      </c>
      <c r="X2369">
        <v>0</v>
      </c>
      <c r="Y2369">
        <v>0</v>
      </c>
      <c r="Z2369">
        <v>0</v>
      </c>
    </row>
    <row r="2370" spans="1:26" x14ac:dyDescent="0.2">
      <c r="A2370" t="s">
        <v>2488</v>
      </c>
      <c r="B2370" t="s">
        <v>61</v>
      </c>
      <c r="C2370">
        <v>2015</v>
      </c>
      <c r="D2370" t="s">
        <v>64</v>
      </c>
      <c r="E2370" t="s">
        <v>69</v>
      </c>
      <c r="F2370" t="s">
        <v>64</v>
      </c>
      <c r="G2370">
        <v>52264</v>
      </c>
      <c r="H2370">
        <v>41811.200000000004</v>
      </c>
      <c r="I2370" s="13">
        <v>0.5</v>
      </c>
      <c r="J2370" t="s">
        <v>6207</v>
      </c>
      <c r="K2370">
        <v>6</v>
      </c>
      <c r="L2370">
        <v>2</v>
      </c>
      <c r="M2370" t="s">
        <v>0</v>
      </c>
      <c r="N2370" s="2">
        <v>0.46</v>
      </c>
      <c r="O2370" s="2">
        <v>0.54</v>
      </c>
      <c r="P2370">
        <v>10</v>
      </c>
      <c r="Q2370">
        <v>13</v>
      </c>
      <c r="R2370">
        <v>3</v>
      </c>
      <c r="S2370">
        <v>7</v>
      </c>
      <c r="T2370">
        <v>10</v>
      </c>
      <c r="U2370">
        <v>10</v>
      </c>
      <c r="V2370">
        <v>1</v>
      </c>
      <c r="W2370">
        <v>1</v>
      </c>
      <c r="X2370">
        <v>0</v>
      </c>
      <c r="Y2370">
        <v>0</v>
      </c>
      <c r="Z2370">
        <v>0</v>
      </c>
    </row>
    <row r="2371" spans="1:26" x14ac:dyDescent="0.2">
      <c r="A2371" t="s">
        <v>2489</v>
      </c>
      <c r="B2371" t="s">
        <v>77</v>
      </c>
      <c r="C2371">
        <v>2015</v>
      </c>
      <c r="D2371" t="s">
        <v>71</v>
      </c>
      <c r="E2371" t="s">
        <v>27</v>
      </c>
      <c r="F2371" t="s">
        <v>71</v>
      </c>
      <c r="G2371">
        <v>21088</v>
      </c>
      <c r="H2371">
        <v>16870.400000000001</v>
      </c>
      <c r="I2371" s="13">
        <v>0.5</v>
      </c>
      <c r="J2371" t="s">
        <v>6207</v>
      </c>
      <c r="K2371">
        <v>0</v>
      </c>
      <c r="L2371">
        <v>1</v>
      </c>
      <c r="M2371" t="s">
        <v>1</v>
      </c>
      <c r="N2371" s="2">
        <v>0.55000000000000004</v>
      </c>
      <c r="O2371" s="2">
        <v>0.45</v>
      </c>
      <c r="P2371">
        <v>15</v>
      </c>
      <c r="Q2371">
        <v>5</v>
      </c>
      <c r="R2371">
        <v>1</v>
      </c>
      <c r="S2371">
        <v>2</v>
      </c>
      <c r="T2371">
        <v>6</v>
      </c>
      <c r="U2371">
        <v>14</v>
      </c>
      <c r="V2371">
        <v>2</v>
      </c>
      <c r="W2371">
        <v>2</v>
      </c>
      <c r="X2371">
        <v>0</v>
      </c>
      <c r="Y2371">
        <v>0</v>
      </c>
      <c r="Z2371">
        <v>1</v>
      </c>
    </row>
    <row r="2372" spans="1:26" x14ac:dyDescent="0.2">
      <c r="A2372" t="s">
        <v>2490</v>
      </c>
      <c r="B2372" t="s">
        <v>68</v>
      </c>
      <c r="C2372">
        <v>2015</v>
      </c>
      <c r="D2372" t="s">
        <v>23</v>
      </c>
      <c r="E2372" t="s">
        <v>18</v>
      </c>
      <c r="F2372" t="s">
        <v>20</v>
      </c>
      <c r="G2372">
        <v>62500</v>
      </c>
      <c r="H2372">
        <v>50000</v>
      </c>
      <c r="I2372" s="13">
        <v>0.875</v>
      </c>
      <c r="J2372" t="s">
        <v>6207</v>
      </c>
      <c r="K2372">
        <v>2</v>
      </c>
      <c r="L2372">
        <v>1</v>
      </c>
      <c r="M2372" t="s">
        <v>0</v>
      </c>
      <c r="N2372" s="2">
        <v>0.45</v>
      </c>
      <c r="O2372" s="2">
        <v>0.55000000000000004</v>
      </c>
      <c r="P2372">
        <v>17</v>
      </c>
      <c r="Q2372">
        <v>14</v>
      </c>
      <c r="R2372">
        <v>7</v>
      </c>
      <c r="S2372">
        <v>4</v>
      </c>
      <c r="T2372">
        <v>10</v>
      </c>
      <c r="U2372">
        <v>12</v>
      </c>
      <c r="V2372">
        <v>1</v>
      </c>
      <c r="W2372">
        <v>6</v>
      </c>
      <c r="X2372">
        <v>0</v>
      </c>
      <c r="Y2372">
        <v>1</v>
      </c>
      <c r="Z2372">
        <v>0</v>
      </c>
    </row>
    <row r="2373" spans="1:26" x14ac:dyDescent="0.2">
      <c r="A2373" t="s">
        <v>2491</v>
      </c>
      <c r="B2373" t="s">
        <v>32</v>
      </c>
      <c r="C2373">
        <v>2015</v>
      </c>
      <c r="D2373" t="s">
        <v>27</v>
      </c>
      <c r="E2373" t="s">
        <v>85</v>
      </c>
      <c r="F2373" t="s">
        <v>27</v>
      </c>
      <c r="G2373">
        <v>30089</v>
      </c>
      <c r="H2373">
        <v>24071.200000000001</v>
      </c>
      <c r="I2373" s="13">
        <v>0.75</v>
      </c>
      <c r="J2373" t="s">
        <v>6207</v>
      </c>
      <c r="K2373">
        <v>0</v>
      </c>
      <c r="L2373">
        <v>2</v>
      </c>
      <c r="M2373" t="s">
        <v>1</v>
      </c>
      <c r="N2373" s="2">
        <v>0.68</v>
      </c>
      <c r="O2373" s="2">
        <v>0.32</v>
      </c>
      <c r="P2373">
        <v>18</v>
      </c>
      <c r="Q2373">
        <v>17</v>
      </c>
      <c r="R2373">
        <v>11</v>
      </c>
      <c r="S2373">
        <v>5</v>
      </c>
      <c r="T2373">
        <v>10</v>
      </c>
      <c r="U2373">
        <v>18</v>
      </c>
      <c r="V2373">
        <v>3</v>
      </c>
      <c r="W2373">
        <v>1</v>
      </c>
      <c r="X2373">
        <v>0</v>
      </c>
      <c r="Y2373">
        <v>0</v>
      </c>
      <c r="Z2373">
        <v>0</v>
      </c>
    </row>
    <row r="2374" spans="1:26" x14ac:dyDescent="0.2">
      <c r="A2374" t="s">
        <v>2492</v>
      </c>
      <c r="B2374" t="s">
        <v>60</v>
      </c>
      <c r="C2374">
        <v>2015</v>
      </c>
      <c r="D2374" t="s">
        <v>69</v>
      </c>
      <c r="E2374" t="s">
        <v>63</v>
      </c>
      <c r="F2374" t="s">
        <v>69</v>
      </c>
      <c r="G2374">
        <v>27359</v>
      </c>
      <c r="H2374">
        <v>21887.200000000001</v>
      </c>
      <c r="I2374" s="13">
        <v>0.33333333333333331</v>
      </c>
      <c r="J2374" t="s">
        <v>6208</v>
      </c>
      <c r="K2374">
        <v>0</v>
      </c>
      <c r="L2374">
        <v>1</v>
      </c>
      <c r="M2374" t="s">
        <v>1</v>
      </c>
      <c r="N2374" s="2">
        <v>0.61</v>
      </c>
      <c r="O2374" s="2">
        <v>0.39</v>
      </c>
      <c r="P2374">
        <v>6</v>
      </c>
      <c r="Q2374">
        <v>15</v>
      </c>
      <c r="R2374">
        <v>13</v>
      </c>
      <c r="S2374">
        <v>3</v>
      </c>
      <c r="T2374">
        <v>11</v>
      </c>
      <c r="U2374">
        <v>6</v>
      </c>
      <c r="V2374">
        <v>1</v>
      </c>
      <c r="W2374">
        <v>2</v>
      </c>
      <c r="X2374">
        <v>0</v>
      </c>
      <c r="Y2374">
        <v>0</v>
      </c>
      <c r="Z2374">
        <v>0</v>
      </c>
    </row>
    <row r="2375" spans="1:26" x14ac:dyDescent="0.2">
      <c r="A2375" t="s">
        <v>2493</v>
      </c>
      <c r="B2375" t="s">
        <v>41</v>
      </c>
      <c r="C2375">
        <v>2015</v>
      </c>
      <c r="D2375" t="s">
        <v>80</v>
      </c>
      <c r="E2375" t="s">
        <v>79</v>
      </c>
      <c r="F2375" t="s">
        <v>80</v>
      </c>
      <c r="G2375">
        <v>32261</v>
      </c>
      <c r="H2375">
        <v>25808.800000000003</v>
      </c>
      <c r="I2375" s="13">
        <v>0.5</v>
      </c>
      <c r="J2375" t="s">
        <v>6207</v>
      </c>
      <c r="K2375">
        <v>1</v>
      </c>
      <c r="L2375">
        <v>0</v>
      </c>
      <c r="M2375" t="s">
        <v>0</v>
      </c>
      <c r="N2375" s="2">
        <v>0.48</v>
      </c>
      <c r="O2375" s="2">
        <v>0.52</v>
      </c>
      <c r="P2375">
        <v>15</v>
      </c>
      <c r="Q2375">
        <v>8</v>
      </c>
      <c r="R2375">
        <v>3</v>
      </c>
      <c r="S2375">
        <v>2</v>
      </c>
      <c r="T2375">
        <v>7</v>
      </c>
      <c r="U2375">
        <v>11</v>
      </c>
      <c r="V2375">
        <v>3</v>
      </c>
      <c r="W2375">
        <v>1</v>
      </c>
      <c r="X2375">
        <v>0</v>
      </c>
      <c r="Y2375">
        <v>0</v>
      </c>
      <c r="Z2375">
        <v>0</v>
      </c>
    </row>
    <row r="2376" spans="1:26" x14ac:dyDescent="0.2">
      <c r="A2376" t="s">
        <v>2494</v>
      </c>
      <c r="B2376" t="s">
        <v>67</v>
      </c>
      <c r="C2376">
        <v>2015</v>
      </c>
      <c r="D2376" t="s">
        <v>42</v>
      </c>
      <c r="E2376" t="s">
        <v>71</v>
      </c>
      <c r="F2376" t="s">
        <v>38</v>
      </c>
      <c r="G2376">
        <v>42918</v>
      </c>
      <c r="H2376">
        <v>34334.400000000001</v>
      </c>
      <c r="I2376" s="13">
        <v>0.2</v>
      </c>
      <c r="J2376" t="s">
        <v>6207</v>
      </c>
      <c r="K2376">
        <v>1</v>
      </c>
      <c r="L2376">
        <v>2</v>
      </c>
      <c r="M2376" t="s">
        <v>1</v>
      </c>
      <c r="N2376" s="2">
        <v>0.48</v>
      </c>
      <c r="O2376" s="2">
        <v>0.52</v>
      </c>
      <c r="P2376">
        <v>12</v>
      </c>
      <c r="Q2376">
        <v>10</v>
      </c>
      <c r="R2376">
        <v>4</v>
      </c>
      <c r="S2376">
        <v>6</v>
      </c>
      <c r="T2376">
        <v>10</v>
      </c>
      <c r="U2376">
        <v>8</v>
      </c>
      <c r="V2376">
        <v>2</v>
      </c>
      <c r="W2376">
        <v>3</v>
      </c>
      <c r="X2376">
        <v>0</v>
      </c>
      <c r="Y2376">
        <v>0</v>
      </c>
      <c r="Z2376">
        <v>0</v>
      </c>
    </row>
    <row r="2377" spans="1:26" x14ac:dyDescent="0.2">
      <c r="A2377" t="s">
        <v>2495</v>
      </c>
      <c r="B2377" t="s">
        <v>50</v>
      </c>
      <c r="C2377">
        <v>2015</v>
      </c>
      <c r="D2377" t="s">
        <v>46</v>
      </c>
      <c r="E2377" t="s">
        <v>45</v>
      </c>
      <c r="F2377" t="s">
        <v>20</v>
      </c>
      <c r="G2377">
        <v>60704</v>
      </c>
      <c r="H2377">
        <v>48563.200000000004</v>
      </c>
      <c r="I2377" s="13">
        <v>0.5</v>
      </c>
      <c r="J2377" t="s">
        <v>6207</v>
      </c>
      <c r="K2377">
        <v>2</v>
      </c>
      <c r="L2377">
        <v>1</v>
      </c>
      <c r="M2377" t="s">
        <v>0</v>
      </c>
      <c r="N2377" s="2">
        <v>0.56999999999999995</v>
      </c>
      <c r="O2377" s="2">
        <v>0.43</v>
      </c>
      <c r="P2377">
        <v>16</v>
      </c>
      <c r="Q2377">
        <v>11</v>
      </c>
      <c r="R2377">
        <v>7</v>
      </c>
      <c r="S2377">
        <v>5</v>
      </c>
      <c r="T2377">
        <v>11</v>
      </c>
      <c r="U2377">
        <v>14</v>
      </c>
      <c r="V2377">
        <v>2</v>
      </c>
      <c r="W2377">
        <v>1</v>
      </c>
      <c r="X2377">
        <v>0</v>
      </c>
      <c r="Y2377">
        <v>1</v>
      </c>
      <c r="Z2377">
        <v>0</v>
      </c>
    </row>
    <row r="2378" spans="1:26" x14ac:dyDescent="0.2">
      <c r="A2378" t="s">
        <v>2496</v>
      </c>
      <c r="B2378" t="s">
        <v>77</v>
      </c>
      <c r="C2378">
        <v>2015</v>
      </c>
      <c r="D2378" t="s">
        <v>35</v>
      </c>
      <c r="E2378" t="s">
        <v>64</v>
      </c>
      <c r="F2378" t="s">
        <v>35</v>
      </c>
      <c r="G2378">
        <v>49000</v>
      </c>
      <c r="H2378">
        <v>39200</v>
      </c>
      <c r="I2378" s="13">
        <v>0.66666666666666663</v>
      </c>
      <c r="J2378" t="s">
        <v>6207</v>
      </c>
      <c r="K2378">
        <v>3</v>
      </c>
      <c r="L2378">
        <v>0</v>
      </c>
      <c r="M2378" t="s">
        <v>0</v>
      </c>
      <c r="N2378" s="2">
        <v>0.39</v>
      </c>
      <c r="O2378" s="2">
        <v>0.61</v>
      </c>
      <c r="P2378">
        <v>11</v>
      </c>
      <c r="Q2378">
        <v>13</v>
      </c>
      <c r="R2378">
        <v>1</v>
      </c>
      <c r="S2378">
        <v>10</v>
      </c>
      <c r="T2378">
        <v>12</v>
      </c>
      <c r="U2378">
        <v>10</v>
      </c>
      <c r="V2378">
        <v>0</v>
      </c>
      <c r="W2378">
        <v>2</v>
      </c>
      <c r="X2378">
        <v>0</v>
      </c>
      <c r="Y2378">
        <v>1</v>
      </c>
      <c r="Z2378">
        <v>1</v>
      </c>
    </row>
    <row r="2379" spans="1:26" x14ac:dyDescent="0.2">
      <c r="A2379" t="s">
        <v>2497</v>
      </c>
      <c r="B2379" t="s">
        <v>44</v>
      </c>
      <c r="C2379">
        <v>2015</v>
      </c>
      <c r="D2379" t="s">
        <v>48</v>
      </c>
      <c r="E2379" t="s">
        <v>40</v>
      </c>
      <c r="F2379" t="s">
        <v>49</v>
      </c>
      <c r="G2379">
        <v>74197</v>
      </c>
      <c r="H2379">
        <v>59357.600000000006</v>
      </c>
      <c r="I2379" s="13">
        <v>1</v>
      </c>
      <c r="J2379" t="s">
        <v>6207</v>
      </c>
      <c r="K2379">
        <v>0</v>
      </c>
      <c r="L2379">
        <v>0</v>
      </c>
      <c r="M2379" t="s">
        <v>58</v>
      </c>
      <c r="N2379" s="2">
        <v>0.59</v>
      </c>
      <c r="O2379" s="2">
        <v>0.41</v>
      </c>
      <c r="P2379">
        <v>13</v>
      </c>
      <c r="Q2379">
        <v>17</v>
      </c>
      <c r="R2379">
        <v>6</v>
      </c>
      <c r="S2379">
        <v>4</v>
      </c>
      <c r="T2379">
        <v>17</v>
      </c>
      <c r="U2379">
        <v>13</v>
      </c>
      <c r="V2379">
        <v>2</v>
      </c>
      <c r="W2379">
        <v>2</v>
      </c>
      <c r="X2379">
        <v>0</v>
      </c>
      <c r="Y2379">
        <v>0</v>
      </c>
      <c r="Z2379">
        <v>0</v>
      </c>
    </row>
    <row r="2380" spans="1:26" x14ac:dyDescent="0.2">
      <c r="A2380" t="s">
        <v>2498</v>
      </c>
      <c r="B2380" t="s">
        <v>74</v>
      </c>
      <c r="C2380">
        <v>2015</v>
      </c>
      <c r="D2380" t="s">
        <v>86</v>
      </c>
      <c r="E2380" t="s">
        <v>51</v>
      </c>
      <c r="F2380" t="s">
        <v>86</v>
      </c>
      <c r="G2380">
        <v>11364</v>
      </c>
      <c r="H2380">
        <v>9091.2000000000007</v>
      </c>
      <c r="I2380" s="13">
        <v>0</v>
      </c>
      <c r="J2380" t="s">
        <v>6208</v>
      </c>
      <c r="K2380">
        <v>1</v>
      </c>
      <c r="L2380">
        <v>5</v>
      </c>
      <c r="M2380" t="s">
        <v>1</v>
      </c>
      <c r="N2380" s="2">
        <v>0.45</v>
      </c>
      <c r="O2380" s="2">
        <v>0.55000000000000004</v>
      </c>
      <c r="P2380">
        <v>17</v>
      </c>
      <c r="Q2380">
        <v>9</v>
      </c>
      <c r="R2380">
        <v>4</v>
      </c>
      <c r="S2380">
        <v>5</v>
      </c>
      <c r="T2380">
        <v>8</v>
      </c>
      <c r="U2380">
        <v>15</v>
      </c>
      <c r="V2380">
        <v>0</v>
      </c>
      <c r="W2380">
        <v>1</v>
      </c>
      <c r="X2380">
        <v>0</v>
      </c>
      <c r="Y2380">
        <v>0</v>
      </c>
      <c r="Z2380">
        <v>1</v>
      </c>
    </row>
    <row r="2381" spans="1:26" x14ac:dyDescent="0.2">
      <c r="A2381" t="s">
        <v>2499</v>
      </c>
      <c r="B2381" t="s">
        <v>37</v>
      </c>
      <c r="C2381">
        <v>2015</v>
      </c>
      <c r="D2381" t="s">
        <v>26</v>
      </c>
      <c r="E2381" t="s">
        <v>73</v>
      </c>
      <c r="F2381" t="s">
        <v>26</v>
      </c>
      <c r="G2381">
        <v>61276</v>
      </c>
      <c r="H2381">
        <v>49020.800000000003</v>
      </c>
      <c r="I2381" s="13">
        <v>0.33333333333333331</v>
      </c>
      <c r="J2381" t="s">
        <v>6206</v>
      </c>
      <c r="K2381">
        <v>1</v>
      </c>
      <c r="L2381">
        <v>1</v>
      </c>
      <c r="M2381" t="s">
        <v>58</v>
      </c>
      <c r="N2381" s="2">
        <v>0.61</v>
      </c>
      <c r="O2381" s="2">
        <v>0.39</v>
      </c>
      <c r="P2381">
        <v>13</v>
      </c>
      <c r="Q2381">
        <v>12</v>
      </c>
      <c r="R2381">
        <v>10</v>
      </c>
      <c r="S2381">
        <v>7</v>
      </c>
      <c r="T2381">
        <v>8</v>
      </c>
      <c r="U2381">
        <v>11</v>
      </c>
      <c r="V2381">
        <v>1</v>
      </c>
      <c r="W2381">
        <v>1</v>
      </c>
      <c r="X2381">
        <v>0</v>
      </c>
      <c r="Y2381">
        <v>1</v>
      </c>
      <c r="Z2381">
        <v>0</v>
      </c>
    </row>
    <row r="2382" spans="1:26" x14ac:dyDescent="0.2">
      <c r="A2382" t="s">
        <v>2500</v>
      </c>
      <c r="B2382" t="s">
        <v>44</v>
      </c>
      <c r="C2382">
        <v>2015</v>
      </c>
      <c r="D2382" t="s">
        <v>18</v>
      </c>
      <c r="E2382" t="s">
        <v>26</v>
      </c>
      <c r="F2382" t="s">
        <v>20</v>
      </c>
      <c r="G2382">
        <v>40341</v>
      </c>
      <c r="H2382">
        <v>32272.800000000003</v>
      </c>
      <c r="I2382" s="13">
        <v>1</v>
      </c>
      <c r="J2382" t="s">
        <v>6207</v>
      </c>
      <c r="K2382">
        <v>1</v>
      </c>
      <c r="L2382">
        <v>3</v>
      </c>
      <c r="M2382" t="s">
        <v>1</v>
      </c>
      <c r="N2382" s="2">
        <v>0.42</v>
      </c>
      <c r="O2382" s="2">
        <v>0.57999999999999996</v>
      </c>
      <c r="P2382">
        <v>23</v>
      </c>
      <c r="Q2382">
        <v>12</v>
      </c>
      <c r="R2382">
        <v>1</v>
      </c>
      <c r="S2382">
        <v>7</v>
      </c>
      <c r="T2382">
        <v>9</v>
      </c>
      <c r="U2382">
        <v>21</v>
      </c>
      <c r="V2382">
        <v>1</v>
      </c>
      <c r="W2382">
        <v>4</v>
      </c>
      <c r="X2382">
        <v>0</v>
      </c>
      <c r="Y2382">
        <v>0</v>
      </c>
      <c r="Z2382">
        <v>0</v>
      </c>
    </row>
    <row r="2383" spans="1:26" x14ac:dyDescent="0.2">
      <c r="A2383" t="s">
        <v>2501</v>
      </c>
      <c r="B2383" t="s">
        <v>61</v>
      </c>
      <c r="C2383">
        <v>2015</v>
      </c>
      <c r="D2383" t="s">
        <v>63</v>
      </c>
      <c r="E2383" t="s">
        <v>80</v>
      </c>
      <c r="F2383" t="s">
        <v>65</v>
      </c>
      <c r="G2383">
        <v>26804</v>
      </c>
      <c r="H2383">
        <v>21443.200000000001</v>
      </c>
      <c r="I2383" s="13">
        <v>1</v>
      </c>
      <c r="J2383" t="s">
        <v>6207</v>
      </c>
      <c r="K2383">
        <v>2</v>
      </c>
      <c r="L2383">
        <v>3</v>
      </c>
      <c r="M2383" t="s">
        <v>1</v>
      </c>
      <c r="N2383" s="2">
        <v>0.47</v>
      </c>
      <c r="O2383" s="2">
        <v>0.53</v>
      </c>
      <c r="P2383">
        <v>11</v>
      </c>
      <c r="Q2383">
        <v>5</v>
      </c>
      <c r="R2383">
        <v>6</v>
      </c>
      <c r="S2383">
        <v>4</v>
      </c>
      <c r="T2383">
        <v>3</v>
      </c>
      <c r="U2383">
        <v>11</v>
      </c>
      <c r="V2383">
        <v>0</v>
      </c>
      <c r="W2383">
        <v>2</v>
      </c>
      <c r="X2383">
        <v>0</v>
      </c>
      <c r="Y2383">
        <v>0</v>
      </c>
      <c r="Z2383">
        <v>1</v>
      </c>
    </row>
    <row r="2384" spans="1:26" x14ac:dyDescent="0.2">
      <c r="A2384" t="s">
        <v>2502</v>
      </c>
      <c r="B2384" t="s">
        <v>82</v>
      </c>
      <c r="C2384">
        <v>2015</v>
      </c>
      <c r="D2384" t="s">
        <v>85</v>
      </c>
      <c r="E2384" t="s">
        <v>23</v>
      </c>
      <c r="F2384" t="s">
        <v>85</v>
      </c>
      <c r="G2384">
        <v>22220</v>
      </c>
      <c r="H2384">
        <v>17776</v>
      </c>
      <c r="I2384" s="13">
        <v>0.75</v>
      </c>
      <c r="J2384" t="s">
        <v>6209</v>
      </c>
      <c r="K2384">
        <v>2</v>
      </c>
      <c r="L2384">
        <v>0</v>
      </c>
      <c r="M2384" t="s">
        <v>0</v>
      </c>
      <c r="N2384" s="2">
        <v>0.5</v>
      </c>
      <c r="O2384" s="2">
        <v>0.5</v>
      </c>
      <c r="R2384">
        <v>7</v>
      </c>
      <c r="S2384">
        <v>2</v>
      </c>
      <c r="T2384">
        <v>16</v>
      </c>
      <c r="U2384">
        <v>12</v>
      </c>
      <c r="V2384">
        <v>3</v>
      </c>
      <c r="W2384">
        <v>0</v>
      </c>
      <c r="X2384">
        <v>0</v>
      </c>
      <c r="Y2384">
        <v>1</v>
      </c>
      <c r="Z2384">
        <v>0</v>
      </c>
    </row>
    <row r="2385" spans="1:26" x14ac:dyDescent="0.2">
      <c r="A2385" t="s">
        <v>2503</v>
      </c>
      <c r="B2385" t="s">
        <v>60</v>
      </c>
      <c r="C2385">
        <v>2015</v>
      </c>
      <c r="D2385" t="s">
        <v>71</v>
      </c>
      <c r="E2385" t="s">
        <v>46</v>
      </c>
      <c r="F2385" t="s">
        <v>71</v>
      </c>
      <c r="G2385">
        <v>21088</v>
      </c>
      <c r="H2385">
        <v>16870.400000000001</v>
      </c>
      <c r="I2385" s="13">
        <v>0</v>
      </c>
      <c r="J2385" t="s">
        <v>6208</v>
      </c>
      <c r="K2385">
        <v>0</v>
      </c>
      <c r="L2385">
        <v>3</v>
      </c>
      <c r="M2385" t="s">
        <v>1</v>
      </c>
      <c r="N2385" s="2">
        <v>0.54</v>
      </c>
      <c r="O2385" s="2">
        <v>0.46</v>
      </c>
      <c r="P2385">
        <v>6</v>
      </c>
      <c r="Q2385">
        <v>17</v>
      </c>
      <c r="R2385">
        <v>4</v>
      </c>
      <c r="S2385">
        <v>4</v>
      </c>
      <c r="T2385">
        <v>12</v>
      </c>
      <c r="U2385">
        <v>7</v>
      </c>
      <c r="V2385">
        <v>2</v>
      </c>
      <c r="W2385">
        <v>0</v>
      </c>
      <c r="X2385">
        <v>0</v>
      </c>
      <c r="Y2385">
        <v>0</v>
      </c>
      <c r="Z2385">
        <v>0</v>
      </c>
    </row>
    <row r="2386" spans="1:26" x14ac:dyDescent="0.2">
      <c r="A2386" t="s">
        <v>2504</v>
      </c>
      <c r="B2386" t="s">
        <v>74</v>
      </c>
      <c r="C2386">
        <v>2015</v>
      </c>
      <c r="D2386" t="s">
        <v>64</v>
      </c>
      <c r="E2386" t="s">
        <v>27</v>
      </c>
      <c r="F2386" t="s">
        <v>64</v>
      </c>
      <c r="G2386">
        <v>52264</v>
      </c>
      <c r="H2386">
        <v>41811.200000000004</v>
      </c>
      <c r="I2386" s="13">
        <v>0.75</v>
      </c>
      <c r="J2386" t="s">
        <v>6208</v>
      </c>
      <c r="K2386">
        <v>0</v>
      </c>
      <c r="L2386">
        <v>0</v>
      </c>
      <c r="M2386" t="s">
        <v>58</v>
      </c>
      <c r="N2386" s="2">
        <v>0.52</v>
      </c>
      <c r="O2386" s="2">
        <v>0.48</v>
      </c>
      <c r="P2386">
        <v>21</v>
      </c>
      <c r="Q2386">
        <v>10</v>
      </c>
      <c r="R2386">
        <v>11</v>
      </c>
      <c r="S2386">
        <v>4</v>
      </c>
      <c r="T2386">
        <v>6</v>
      </c>
      <c r="U2386">
        <v>16</v>
      </c>
      <c r="V2386">
        <v>1</v>
      </c>
      <c r="W2386">
        <v>3</v>
      </c>
      <c r="X2386">
        <v>0</v>
      </c>
      <c r="Y2386">
        <v>0</v>
      </c>
      <c r="Z2386">
        <v>0</v>
      </c>
    </row>
    <row r="2387" spans="1:26" x14ac:dyDescent="0.2">
      <c r="A2387" t="s">
        <v>2505</v>
      </c>
      <c r="B2387" t="s">
        <v>77</v>
      </c>
      <c r="C2387">
        <v>2015</v>
      </c>
      <c r="D2387" t="s">
        <v>40</v>
      </c>
      <c r="E2387" t="s">
        <v>69</v>
      </c>
      <c r="F2387" t="s">
        <v>49</v>
      </c>
      <c r="G2387">
        <v>53400</v>
      </c>
      <c r="H2387">
        <v>42720</v>
      </c>
      <c r="I2387" s="13">
        <v>0.6</v>
      </c>
      <c r="J2387" t="s">
        <v>6207</v>
      </c>
      <c r="K2387">
        <v>2</v>
      </c>
      <c r="L2387">
        <v>1</v>
      </c>
      <c r="M2387" t="s">
        <v>0</v>
      </c>
      <c r="N2387" s="2">
        <v>0.72</v>
      </c>
      <c r="O2387" s="2">
        <v>0.28000000000000003</v>
      </c>
      <c r="P2387">
        <v>12</v>
      </c>
      <c r="Q2387">
        <v>8</v>
      </c>
      <c r="R2387">
        <v>12</v>
      </c>
      <c r="S2387">
        <v>4</v>
      </c>
      <c r="T2387">
        <v>4</v>
      </c>
      <c r="U2387">
        <v>13</v>
      </c>
      <c r="V2387">
        <v>2</v>
      </c>
      <c r="W2387">
        <v>2</v>
      </c>
      <c r="X2387">
        <v>0</v>
      </c>
      <c r="Y2387">
        <v>1</v>
      </c>
      <c r="Z2387">
        <v>2</v>
      </c>
    </row>
    <row r="2388" spans="1:26" x14ac:dyDescent="0.2">
      <c r="A2388" t="s">
        <v>2506</v>
      </c>
      <c r="B2388" t="s">
        <v>53</v>
      </c>
      <c r="C2388">
        <v>2015</v>
      </c>
      <c r="D2388" t="s">
        <v>79</v>
      </c>
      <c r="E2388" t="s">
        <v>48</v>
      </c>
      <c r="F2388" t="s">
        <v>20</v>
      </c>
      <c r="G2388">
        <v>25486</v>
      </c>
      <c r="H2388">
        <v>20388.800000000003</v>
      </c>
      <c r="I2388" s="13">
        <v>0.5</v>
      </c>
      <c r="J2388" t="s">
        <v>6207</v>
      </c>
      <c r="K2388">
        <v>0</v>
      </c>
      <c r="L2388">
        <v>0</v>
      </c>
      <c r="M2388" t="s">
        <v>58</v>
      </c>
      <c r="N2388" s="2">
        <v>0.44</v>
      </c>
      <c r="O2388" s="2">
        <v>0.56000000000000005</v>
      </c>
      <c r="P2388">
        <v>16</v>
      </c>
      <c r="Q2388">
        <v>12</v>
      </c>
      <c r="R2388">
        <v>7</v>
      </c>
      <c r="S2388">
        <v>3</v>
      </c>
      <c r="T2388">
        <v>12</v>
      </c>
      <c r="U2388">
        <v>15</v>
      </c>
      <c r="V2388">
        <v>3</v>
      </c>
      <c r="W2388">
        <v>3</v>
      </c>
      <c r="X2388">
        <v>0</v>
      </c>
      <c r="Y2388">
        <v>0</v>
      </c>
      <c r="Z2388">
        <v>0</v>
      </c>
    </row>
    <row r="2389" spans="1:26" x14ac:dyDescent="0.2">
      <c r="A2389" t="s">
        <v>2507</v>
      </c>
      <c r="B2389" t="s">
        <v>37</v>
      </c>
      <c r="C2389">
        <v>2015</v>
      </c>
      <c r="D2389" t="s">
        <v>45</v>
      </c>
      <c r="E2389" t="s">
        <v>35</v>
      </c>
      <c r="F2389" t="s">
        <v>26</v>
      </c>
      <c r="G2389">
        <v>39572</v>
      </c>
      <c r="H2389">
        <v>31657.600000000002</v>
      </c>
      <c r="I2389" s="13">
        <v>0.4</v>
      </c>
      <c r="J2389" t="s">
        <v>6206</v>
      </c>
      <c r="K2389">
        <v>6</v>
      </c>
      <c r="L2389">
        <v>2</v>
      </c>
      <c r="M2389" t="s">
        <v>0</v>
      </c>
      <c r="N2389" s="2">
        <v>0.68</v>
      </c>
      <c r="O2389" s="2">
        <v>0.32</v>
      </c>
      <c r="P2389">
        <v>7</v>
      </c>
      <c r="Q2389">
        <v>9</v>
      </c>
      <c r="R2389">
        <v>6</v>
      </c>
      <c r="S2389">
        <v>1</v>
      </c>
      <c r="T2389">
        <v>6</v>
      </c>
      <c r="U2389">
        <v>5</v>
      </c>
      <c r="V2389">
        <v>3</v>
      </c>
      <c r="W2389">
        <v>2</v>
      </c>
      <c r="X2389">
        <v>0</v>
      </c>
      <c r="Y2389">
        <v>0</v>
      </c>
      <c r="Z2389">
        <v>0</v>
      </c>
    </row>
    <row r="2390" spans="1:26" x14ac:dyDescent="0.2">
      <c r="A2390" t="s">
        <v>2508</v>
      </c>
      <c r="B2390" t="s">
        <v>76</v>
      </c>
      <c r="C2390">
        <v>2015</v>
      </c>
      <c r="D2390" t="s">
        <v>73</v>
      </c>
      <c r="E2390" t="s">
        <v>86</v>
      </c>
      <c r="F2390" t="s">
        <v>73</v>
      </c>
      <c r="G2390">
        <v>32384</v>
      </c>
      <c r="H2390">
        <v>25907.200000000001</v>
      </c>
      <c r="I2390" s="13">
        <v>0.25</v>
      </c>
      <c r="J2390" t="s">
        <v>6207</v>
      </c>
      <c r="K2390">
        <v>2</v>
      </c>
      <c r="L2390">
        <v>0</v>
      </c>
      <c r="M2390" t="s">
        <v>0</v>
      </c>
      <c r="N2390" s="2">
        <v>0.48</v>
      </c>
      <c r="O2390" s="2">
        <v>0.52</v>
      </c>
      <c r="P2390">
        <v>6</v>
      </c>
      <c r="Q2390">
        <v>6</v>
      </c>
      <c r="R2390">
        <v>4</v>
      </c>
      <c r="S2390">
        <v>6</v>
      </c>
      <c r="T2390">
        <v>5</v>
      </c>
      <c r="U2390">
        <v>5</v>
      </c>
      <c r="V2390">
        <v>1</v>
      </c>
      <c r="W2390">
        <v>2</v>
      </c>
      <c r="X2390">
        <v>1</v>
      </c>
      <c r="Y2390">
        <v>0</v>
      </c>
      <c r="Z2390">
        <v>0</v>
      </c>
    </row>
    <row r="2391" spans="1:26" x14ac:dyDescent="0.2">
      <c r="A2391" t="s">
        <v>2509</v>
      </c>
      <c r="B2391" t="s">
        <v>41</v>
      </c>
      <c r="C2391">
        <v>2015</v>
      </c>
      <c r="D2391" t="s">
        <v>51</v>
      </c>
      <c r="E2391" t="s">
        <v>42</v>
      </c>
      <c r="F2391" t="s">
        <v>20</v>
      </c>
      <c r="G2391">
        <v>36284</v>
      </c>
      <c r="H2391">
        <v>29027.200000000001</v>
      </c>
      <c r="I2391" s="13">
        <v>0.33333333333333331</v>
      </c>
      <c r="J2391" t="s">
        <v>6207</v>
      </c>
      <c r="K2391">
        <v>3</v>
      </c>
      <c r="L2391">
        <v>1</v>
      </c>
      <c r="M2391" t="s">
        <v>0</v>
      </c>
      <c r="N2391" s="2">
        <v>0.62</v>
      </c>
      <c r="O2391" s="2">
        <v>0.38</v>
      </c>
      <c r="P2391">
        <v>16</v>
      </c>
      <c r="Q2391">
        <v>9</v>
      </c>
      <c r="R2391">
        <v>4</v>
      </c>
      <c r="S2391">
        <v>3</v>
      </c>
      <c r="T2391">
        <v>6</v>
      </c>
      <c r="U2391">
        <v>15</v>
      </c>
      <c r="V2391">
        <v>0</v>
      </c>
      <c r="W2391">
        <v>3</v>
      </c>
      <c r="X2391">
        <v>0</v>
      </c>
      <c r="Y2391">
        <v>0</v>
      </c>
      <c r="Z2391">
        <v>0</v>
      </c>
    </row>
    <row r="2392" spans="1:26" x14ac:dyDescent="0.2">
      <c r="A2392" t="s">
        <v>2510</v>
      </c>
      <c r="B2392" t="s">
        <v>50</v>
      </c>
      <c r="C2392">
        <v>2015</v>
      </c>
      <c r="D2392" t="s">
        <v>86</v>
      </c>
      <c r="E2392" t="s">
        <v>64</v>
      </c>
      <c r="F2392" t="s">
        <v>86</v>
      </c>
      <c r="G2392">
        <v>11364</v>
      </c>
      <c r="H2392">
        <v>9091.2000000000007</v>
      </c>
      <c r="I2392" s="13">
        <v>0.75</v>
      </c>
      <c r="J2392" t="s">
        <v>6207</v>
      </c>
      <c r="K2392">
        <v>0</v>
      </c>
      <c r="L2392">
        <v>1</v>
      </c>
      <c r="M2392" t="s">
        <v>1</v>
      </c>
      <c r="N2392" s="2">
        <v>0.68</v>
      </c>
      <c r="O2392" s="2">
        <v>0.32</v>
      </c>
      <c r="P2392">
        <v>14</v>
      </c>
      <c r="Q2392">
        <v>13</v>
      </c>
      <c r="R2392">
        <v>16</v>
      </c>
      <c r="S2392">
        <v>0</v>
      </c>
      <c r="T2392">
        <v>9</v>
      </c>
      <c r="U2392">
        <v>11</v>
      </c>
      <c r="V2392">
        <v>2</v>
      </c>
      <c r="W2392">
        <v>2</v>
      </c>
      <c r="X2392">
        <v>0</v>
      </c>
      <c r="Y2392">
        <v>0</v>
      </c>
      <c r="Z2392">
        <v>0</v>
      </c>
    </row>
    <row r="2393" spans="1:26" x14ac:dyDescent="0.2">
      <c r="A2393" t="s">
        <v>2511</v>
      </c>
      <c r="B2393" t="s">
        <v>81</v>
      </c>
      <c r="C2393">
        <v>2015</v>
      </c>
      <c r="D2393" t="s">
        <v>23</v>
      </c>
      <c r="E2393" t="s">
        <v>45</v>
      </c>
      <c r="F2393" t="s">
        <v>20</v>
      </c>
      <c r="G2393">
        <v>62500</v>
      </c>
      <c r="H2393">
        <v>50000</v>
      </c>
      <c r="I2393" s="13">
        <v>0.66666666666666663</v>
      </c>
      <c r="J2393" t="s">
        <v>6207</v>
      </c>
      <c r="K2393">
        <v>1</v>
      </c>
      <c r="L2393">
        <v>1</v>
      </c>
      <c r="M2393" t="s">
        <v>58</v>
      </c>
      <c r="N2393" s="2">
        <v>0.51</v>
      </c>
      <c r="O2393" s="2">
        <v>0.49</v>
      </c>
      <c r="P2393">
        <v>13</v>
      </c>
      <c r="Q2393">
        <v>13</v>
      </c>
      <c r="R2393">
        <v>3</v>
      </c>
      <c r="S2393">
        <v>5</v>
      </c>
      <c r="T2393">
        <v>11</v>
      </c>
      <c r="U2393">
        <v>12</v>
      </c>
      <c r="V2393">
        <v>1</v>
      </c>
      <c r="W2393">
        <v>2</v>
      </c>
      <c r="X2393">
        <v>0</v>
      </c>
      <c r="Y2393">
        <v>0</v>
      </c>
      <c r="Z2393">
        <v>0</v>
      </c>
    </row>
    <row r="2394" spans="1:26" x14ac:dyDescent="0.2">
      <c r="A2394" t="s">
        <v>2512</v>
      </c>
      <c r="B2394" t="s">
        <v>53</v>
      </c>
      <c r="C2394">
        <v>2015</v>
      </c>
      <c r="D2394" t="s">
        <v>35</v>
      </c>
      <c r="E2394" t="s">
        <v>73</v>
      </c>
      <c r="F2394" t="s">
        <v>35</v>
      </c>
      <c r="G2394">
        <v>49000</v>
      </c>
      <c r="H2394">
        <v>39200</v>
      </c>
      <c r="I2394" s="13">
        <v>0.5</v>
      </c>
      <c r="J2394" t="s">
        <v>6207</v>
      </c>
      <c r="K2394">
        <v>0</v>
      </c>
      <c r="L2394">
        <v>1</v>
      </c>
      <c r="M2394" t="s">
        <v>1</v>
      </c>
      <c r="N2394" s="2">
        <v>0.35</v>
      </c>
      <c r="O2394" s="2">
        <v>0.65</v>
      </c>
      <c r="P2394">
        <v>16</v>
      </c>
      <c r="Q2394">
        <v>11</v>
      </c>
      <c r="R2394">
        <v>3</v>
      </c>
      <c r="S2394">
        <v>7</v>
      </c>
      <c r="T2394">
        <v>10</v>
      </c>
      <c r="U2394">
        <v>11</v>
      </c>
      <c r="V2394">
        <v>1</v>
      </c>
      <c r="W2394">
        <v>3</v>
      </c>
      <c r="X2394">
        <v>0</v>
      </c>
      <c r="Y2394">
        <v>0</v>
      </c>
      <c r="Z2394">
        <v>1</v>
      </c>
    </row>
    <row r="2395" spans="1:26" x14ac:dyDescent="0.2">
      <c r="A2395" t="s">
        <v>2513</v>
      </c>
      <c r="B2395" t="s">
        <v>44</v>
      </c>
      <c r="C2395">
        <v>2015</v>
      </c>
      <c r="D2395" t="s">
        <v>69</v>
      </c>
      <c r="E2395" t="s">
        <v>71</v>
      </c>
      <c r="F2395" t="s">
        <v>69</v>
      </c>
      <c r="G2395">
        <v>27359</v>
      </c>
      <c r="H2395">
        <v>21887.200000000001</v>
      </c>
      <c r="I2395" s="13">
        <v>0</v>
      </c>
      <c r="J2395" t="s">
        <v>6207</v>
      </c>
      <c r="K2395">
        <v>1</v>
      </c>
      <c r="L2395">
        <v>0</v>
      </c>
      <c r="M2395" t="s">
        <v>0</v>
      </c>
      <c r="N2395" s="2">
        <v>0.32</v>
      </c>
      <c r="O2395" s="2">
        <v>0.68</v>
      </c>
      <c r="P2395">
        <v>9</v>
      </c>
      <c r="Q2395">
        <v>15</v>
      </c>
      <c r="R2395">
        <v>5</v>
      </c>
      <c r="S2395">
        <v>2</v>
      </c>
      <c r="T2395">
        <v>12</v>
      </c>
      <c r="U2395">
        <v>7</v>
      </c>
      <c r="V2395">
        <v>1</v>
      </c>
      <c r="W2395">
        <v>0</v>
      </c>
      <c r="X2395">
        <v>0</v>
      </c>
      <c r="Y2395">
        <v>0</v>
      </c>
      <c r="Z2395">
        <v>0</v>
      </c>
    </row>
    <row r="2396" spans="1:26" x14ac:dyDescent="0.2">
      <c r="A2396" t="s">
        <v>2514</v>
      </c>
      <c r="B2396" t="s">
        <v>41</v>
      </c>
      <c r="C2396">
        <v>2015</v>
      </c>
      <c r="D2396" t="s">
        <v>48</v>
      </c>
      <c r="E2396" t="s">
        <v>63</v>
      </c>
      <c r="F2396" t="s">
        <v>49</v>
      </c>
      <c r="G2396">
        <v>74197</v>
      </c>
      <c r="H2396">
        <v>59357.600000000006</v>
      </c>
      <c r="I2396" s="13">
        <v>0.4</v>
      </c>
      <c r="J2396" t="s">
        <v>6207</v>
      </c>
      <c r="K2396">
        <v>2</v>
      </c>
      <c r="L2396">
        <v>0</v>
      </c>
      <c r="M2396" t="s">
        <v>0</v>
      </c>
      <c r="N2396" s="2">
        <v>0.69</v>
      </c>
      <c r="O2396" s="2">
        <v>0.31</v>
      </c>
      <c r="P2396">
        <v>9</v>
      </c>
      <c r="Q2396">
        <v>12</v>
      </c>
      <c r="R2396">
        <v>5</v>
      </c>
      <c r="S2396">
        <v>1</v>
      </c>
      <c r="T2396">
        <v>11</v>
      </c>
      <c r="U2396">
        <v>10</v>
      </c>
      <c r="V2396">
        <v>1</v>
      </c>
      <c r="W2396">
        <v>3</v>
      </c>
      <c r="X2396">
        <v>0</v>
      </c>
      <c r="Y2396">
        <v>1</v>
      </c>
      <c r="Z2396">
        <v>1</v>
      </c>
    </row>
    <row r="2397" spans="1:26" x14ac:dyDescent="0.2">
      <c r="A2397" t="s">
        <v>2515</v>
      </c>
      <c r="B2397" t="s">
        <v>74</v>
      </c>
      <c r="C2397">
        <v>2015</v>
      </c>
      <c r="D2397" t="s">
        <v>80</v>
      </c>
      <c r="E2397" t="s">
        <v>85</v>
      </c>
      <c r="F2397" t="s">
        <v>80</v>
      </c>
      <c r="G2397">
        <v>32261</v>
      </c>
      <c r="H2397">
        <v>25808.800000000003</v>
      </c>
      <c r="I2397" s="13">
        <v>1</v>
      </c>
      <c r="J2397" t="s">
        <v>6208</v>
      </c>
      <c r="K2397">
        <v>2</v>
      </c>
      <c r="L2397">
        <v>1</v>
      </c>
      <c r="M2397" t="s">
        <v>0</v>
      </c>
      <c r="N2397" s="2">
        <v>0.4</v>
      </c>
      <c r="O2397" s="2">
        <v>0.6</v>
      </c>
      <c r="P2397">
        <v>10</v>
      </c>
      <c r="Q2397">
        <v>14</v>
      </c>
      <c r="R2397">
        <v>4</v>
      </c>
      <c r="S2397">
        <v>2</v>
      </c>
      <c r="T2397">
        <v>10</v>
      </c>
      <c r="U2397">
        <v>10</v>
      </c>
      <c r="V2397">
        <v>0</v>
      </c>
      <c r="W2397">
        <v>1</v>
      </c>
      <c r="X2397">
        <v>0</v>
      </c>
      <c r="Y2397">
        <v>0</v>
      </c>
      <c r="Z2397">
        <v>2</v>
      </c>
    </row>
    <row r="2398" spans="1:26" x14ac:dyDescent="0.2">
      <c r="A2398" t="s">
        <v>2516</v>
      </c>
      <c r="B2398" t="s">
        <v>61</v>
      </c>
      <c r="C2398">
        <v>2015</v>
      </c>
      <c r="D2398" t="s">
        <v>27</v>
      </c>
      <c r="E2398" t="s">
        <v>18</v>
      </c>
      <c r="F2398" t="s">
        <v>27</v>
      </c>
      <c r="G2398">
        <v>30089</v>
      </c>
      <c r="H2398">
        <v>24071.200000000001</v>
      </c>
      <c r="I2398" s="13">
        <v>0.25</v>
      </c>
      <c r="J2398" t="s">
        <v>6207</v>
      </c>
      <c r="K2398">
        <v>1</v>
      </c>
      <c r="L2398">
        <v>0</v>
      </c>
      <c r="M2398" t="s">
        <v>0</v>
      </c>
      <c r="N2398" s="2">
        <v>0.36</v>
      </c>
      <c r="O2398" s="2">
        <v>0.64</v>
      </c>
      <c r="P2398">
        <v>11</v>
      </c>
      <c r="Q2398">
        <v>17</v>
      </c>
      <c r="R2398">
        <v>1</v>
      </c>
      <c r="S2398">
        <v>9</v>
      </c>
      <c r="T2398">
        <v>13</v>
      </c>
      <c r="U2398">
        <v>10</v>
      </c>
      <c r="V2398">
        <v>3</v>
      </c>
      <c r="W2398">
        <v>1</v>
      </c>
      <c r="X2398">
        <v>0</v>
      </c>
      <c r="Y2398">
        <v>0</v>
      </c>
      <c r="Z2398">
        <v>0</v>
      </c>
    </row>
    <row r="2399" spans="1:26" x14ac:dyDescent="0.2">
      <c r="A2399" t="s">
        <v>2517</v>
      </c>
      <c r="B2399" t="s">
        <v>76</v>
      </c>
      <c r="C2399">
        <v>2015</v>
      </c>
      <c r="D2399" t="s">
        <v>42</v>
      </c>
      <c r="E2399" t="s">
        <v>40</v>
      </c>
      <c r="F2399" t="s">
        <v>38</v>
      </c>
      <c r="G2399">
        <v>42918</v>
      </c>
      <c r="H2399">
        <v>34334.400000000001</v>
      </c>
      <c r="I2399" s="13">
        <v>1</v>
      </c>
      <c r="J2399" t="s">
        <v>6207</v>
      </c>
      <c r="K2399">
        <v>0</v>
      </c>
      <c r="L2399">
        <v>0</v>
      </c>
      <c r="M2399" t="s">
        <v>58</v>
      </c>
      <c r="N2399" s="2">
        <v>0.4</v>
      </c>
      <c r="O2399" s="2">
        <v>0.6</v>
      </c>
      <c r="P2399">
        <v>8</v>
      </c>
      <c r="Q2399">
        <v>8</v>
      </c>
      <c r="R2399">
        <v>3</v>
      </c>
      <c r="S2399">
        <v>8</v>
      </c>
      <c r="T2399">
        <v>7</v>
      </c>
      <c r="U2399">
        <v>7</v>
      </c>
      <c r="V2399">
        <v>1</v>
      </c>
      <c r="W2399">
        <v>1</v>
      </c>
      <c r="X2399">
        <v>0</v>
      </c>
      <c r="Y2399">
        <v>0</v>
      </c>
      <c r="Z2399">
        <v>0</v>
      </c>
    </row>
    <row r="2400" spans="1:26" x14ac:dyDescent="0.2">
      <c r="A2400" t="s">
        <v>2518</v>
      </c>
      <c r="B2400" t="s">
        <v>67</v>
      </c>
      <c r="C2400">
        <v>2015</v>
      </c>
      <c r="D2400" t="s">
        <v>26</v>
      </c>
      <c r="E2400" t="s">
        <v>79</v>
      </c>
      <c r="F2400" t="s">
        <v>26</v>
      </c>
      <c r="G2400">
        <v>61276</v>
      </c>
      <c r="H2400">
        <v>49020.800000000003</v>
      </c>
      <c r="I2400" s="13">
        <v>0.33333333333333331</v>
      </c>
      <c r="J2400" t="s">
        <v>6207</v>
      </c>
      <c r="K2400">
        <v>1</v>
      </c>
      <c r="L2400">
        <v>2</v>
      </c>
      <c r="M2400" t="s">
        <v>1</v>
      </c>
      <c r="N2400" s="2">
        <v>0.64</v>
      </c>
      <c r="O2400" s="2">
        <v>0.36</v>
      </c>
      <c r="P2400">
        <v>8</v>
      </c>
      <c r="Q2400">
        <v>8</v>
      </c>
      <c r="R2400">
        <v>14</v>
      </c>
      <c r="S2400">
        <v>6</v>
      </c>
      <c r="T2400">
        <v>7</v>
      </c>
      <c r="U2400">
        <v>6</v>
      </c>
      <c r="V2400">
        <v>1</v>
      </c>
      <c r="W2400">
        <v>2</v>
      </c>
      <c r="X2400">
        <v>0</v>
      </c>
      <c r="Y2400">
        <v>0</v>
      </c>
      <c r="Z2400">
        <v>0</v>
      </c>
    </row>
    <row r="2401" spans="1:26" x14ac:dyDescent="0.2">
      <c r="A2401" t="s">
        <v>2519</v>
      </c>
      <c r="B2401" t="s">
        <v>32</v>
      </c>
      <c r="C2401">
        <v>2015</v>
      </c>
      <c r="D2401" t="s">
        <v>46</v>
      </c>
      <c r="E2401" t="s">
        <v>51</v>
      </c>
      <c r="F2401" t="s">
        <v>20</v>
      </c>
      <c r="G2401">
        <v>60704</v>
      </c>
      <c r="H2401">
        <v>48563.200000000004</v>
      </c>
      <c r="I2401" s="13">
        <v>1</v>
      </c>
      <c r="J2401" t="s">
        <v>6207</v>
      </c>
      <c r="K2401">
        <v>1</v>
      </c>
      <c r="L2401">
        <v>1</v>
      </c>
      <c r="M2401" t="s">
        <v>58</v>
      </c>
      <c r="N2401" s="2">
        <v>0.55000000000000004</v>
      </c>
      <c r="O2401" s="2">
        <v>0.45</v>
      </c>
      <c r="P2401">
        <v>20</v>
      </c>
      <c r="Q2401">
        <v>13</v>
      </c>
      <c r="R2401">
        <v>7</v>
      </c>
      <c r="S2401">
        <v>6</v>
      </c>
      <c r="T2401">
        <v>12</v>
      </c>
      <c r="U2401">
        <v>17</v>
      </c>
      <c r="V2401">
        <v>0</v>
      </c>
      <c r="W2401">
        <v>1</v>
      </c>
      <c r="X2401">
        <v>0</v>
      </c>
      <c r="Y2401">
        <v>0</v>
      </c>
      <c r="Z2401">
        <v>0</v>
      </c>
    </row>
    <row r="2402" spans="1:26" x14ac:dyDescent="0.2">
      <c r="A2402" t="s">
        <v>2520</v>
      </c>
      <c r="B2402" t="s">
        <v>77</v>
      </c>
      <c r="C2402">
        <v>2015</v>
      </c>
      <c r="D2402" t="s">
        <v>85</v>
      </c>
      <c r="E2402" t="s">
        <v>48</v>
      </c>
      <c r="F2402" t="s">
        <v>85</v>
      </c>
      <c r="G2402">
        <v>22220</v>
      </c>
      <c r="H2402">
        <v>17776</v>
      </c>
      <c r="I2402" s="13">
        <v>0</v>
      </c>
      <c r="J2402" t="s">
        <v>6207</v>
      </c>
      <c r="K2402">
        <v>1</v>
      </c>
      <c r="L2402">
        <v>2</v>
      </c>
      <c r="M2402" t="s">
        <v>1</v>
      </c>
      <c r="N2402" s="2">
        <v>0.44</v>
      </c>
      <c r="O2402" s="2">
        <v>0.56000000000000005</v>
      </c>
      <c r="P2402">
        <v>16</v>
      </c>
      <c r="Q2402">
        <v>8</v>
      </c>
      <c r="R2402">
        <v>4</v>
      </c>
      <c r="S2402">
        <v>10</v>
      </c>
      <c r="T2402">
        <v>6</v>
      </c>
      <c r="U2402">
        <v>12</v>
      </c>
      <c r="V2402">
        <v>1</v>
      </c>
      <c r="W2402">
        <v>2</v>
      </c>
      <c r="X2402">
        <v>0</v>
      </c>
      <c r="Y2402">
        <v>0</v>
      </c>
      <c r="Z2402">
        <v>1</v>
      </c>
    </row>
    <row r="2403" spans="1:26" x14ac:dyDescent="0.2">
      <c r="A2403" t="s">
        <v>2521</v>
      </c>
      <c r="B2403" t="s">
        <v>44</v>
      </c>
      <c r="C2403">
        <v>2015</v>
      </c>
      <c r="D2403" t="s">
        <v>63</v>
      </c>
      <c r="E2403" t="s">
        <v>46</v>
      </c>
      <c r="F2403" t="s">
        <v>65</v>
      </c>
      <c r="G2403">
        <v>26804</v>
      </c>
      <c r="H2403">
        <v>21443.200000000001</v>
      </c>
      <c r="I2403" s="13">
        <v>0.4</v>
      </c>
      <c r="J2403" t="s">
        <v>6207</v>
      </c>
      <c r="K2403">
        <v>2</v>
      </c>
      <c r="L2403">
        <v>1</v>
      </c>
      <c r="M2403" t="s">
        <v>0</v>
      </c>
      <c r="N2403" s="2">
        <v>0.28000000000000003</v>
      </c>
      <c r="O2403" s="2">
        <v>0.72</v>
      </c>
      <c r="P2403">
        <v>10</v>
      </c>
      <c r="Q2403">
        <v>17</v>
      </c>
      <c r="R2403">
        <v>3</v>
      </c>
      <c r="S2403">
        <v>5</v>
      </c>
      <c r="T2403">
        <v>14</v>
      </c>
      <c r="U2403">
        <v>10</v>
      </c>
      <c r="V2403">
        <v>3</v>
      </c>
      <c r="W2403">
        <v>2</v>
      </c>
      <c r="X2403">
        <v>0</v>
      </c>
      <c r="Y2403">
        <v>0</v>
      </c>
      <c r="Z2403">
        <v>1</v>
      </c>
    </row>
    <row r="2404" spans="1:26" x14ac:dyDescent="0.2">
      <c r="A2404" t="s">
        <v>2522</v>
      </c>
      <c r="B2404" t="s">
        <v>37</v>
      </c>
      <c r="C2404">
        <v>2015</v>
      </c>
      <c r="D2404" t="s">
        <v>71</v>
      </c>
      <c r="E2404" t="s">
        <v>86</v>
      </c>
      <c r="F2404" t="s">
        <v>71</v>
      </c>
      <c r="G2404">
        <v>21088</v>
      </c>
      <c r="H2404">
        <v>16870.400000000001</v>
      </c>
      <c r="I2404" s="13">
        <v>0.2</v>
      </c>
      <c r="J2404" t="s">
        <v>6206</v>
      </c>
      <c r="K2404">
        <v>2</v>
      </c>
      <c r="L2404">
        <v>2</v>
      </c>
      <c r="M2404" t="s">
        <v>58</v>
      </c>
      <c r="N2404" s="2">
        <v>0.43</v>
      </c>
      <c r="O2404" s="2">
        <v>0.56999999999999995</v>
      </c>
      <c r="P2404">
        <v>13</v>
      </c>
      <c r="Q2404">
        <v>8</v>
      </c>
      <c r="R2404">
        <v>4</v>
      </c>
      <c r="S2404">
        <v>5</v>
      </c>
      <c r="T2404">
        <v>7</v>
      </c>
      <c r="U2404">
        <v>9</v>
      </c>
      <c r="V2404">
        <v>3</v>
      </c>
      <c r="W2404">
        <v>2</v>
      </c>
      <c r="X2404">
        <v>0</v>
      </c>
      <c r="Y2404">
        <v>0</v>
      </c>
      <c r="Z2404">
        <v>1</v>
      </c>
    </row>
    <row r="2405" spans="1:26" x14ac:dyDescent="0.2">
      <c r="A2405" t="s">
        <v>2523</v>
      </c>
      <c r="B2405" t="s">
        <v>50</v>
      </c>
      <c r="C2405">
        <v>2015</v>
      </c>
      <c r="D2405" t="s">
        <v>73</v>
      </c>
      <c r="E2405" t="s">
        <v>27</v>
      </c>
      <c r="F2405" t="s">
        <v>73</v>
      </c>
      <c r="G2405">
        <v>32384</v>
      </c>
      <c r="H2405">
        <v>25907.200000000001</v>
      </c>
      <c r="I2405" s="13">
        <v>0.5</v>
      </c>
      <c r="J2405" t="s">
        <v>6207</v>
      </c>
      <c r="K2405">
        <v>0</v>
      </c>
      <c r="L2405">
        <v>1</v>
      </c>
      <c r="M2405" t="s">
        <v>1</v>
      </c>
      <c r="N2405" s="2">
        <v>0.57999999999999996</v>
      </c>
      <c r="O2405" s="2">
        <v>0.42</v>
      </c>
      <c r="P2405">
        <v>10</v>
      </c>
      <c r="Q2405">
        <v>8</v>
      </c>
      <c r="R2405">
        <v>7</v>
      </c>
      <c r="S2405">
        <v>3</v>
      </c>
      <c r="T2405">
        <v>8</v>
      </c>
      <c r="U2405">
        <v>8</v>
      </c>
      <c r="V2405">
        <v>2</v>
      </c>
      <c r="W2405">
        <v>0</v>
      </c>
      <c r="X2405">
        <v>0</v>
      </c>
      <c r="Y2405">
        <v>0</v>
      </c>
      <c r="Z2405">
        <v>0</v>
      </c>
    </row>
    <row r="2406" spans="1:26" x14ac:dyDescent="0.2">
      <c r="A2406" t="s">
        <v>2524</v>
      </c>
      <c r="B2406" t="s">
        <v>53</v>
      </c>
      <c r="C2406">
        <v>2015</v>
      </c>
      <c r="D2406" t="s">
        <v>64</v>
      </c>
      <c r="E2406" t="s">
        <v>80</v>
      </c>
      <c r="F2406" t="s">
        <v>64</v>
      </c>
      <c r="G2406">
        <v>52264</v>
      </c>
      <c r="H2406">
        <v>41811.200000000004</v>
      </c>
      <c r="I2406" s="13">
        <v>0.8</v>
      </c>
      <c r="J2406" t="s">
        <v>6207</v>
      </c>
      <c r="K2406">
        <v>0</v>
      </c>
      <c r="L2406">
        <v>3</v>
      </c>
      <c r="M2406" t="s">
        <v>1</v>
      </c>
      <c r="N2406" s="2">
        <v>0.54</v>
      </c>
      <c r="O2406" s="2">
        <v>0.46</v>
      </c>
      <c r="P2406">
        <v>13</v>
      </c>
      <c r="Q2406">
        <v>10</v>
      </c>
      <c r="R2406">
        <v>4</v>
      </c>
      <c r="S2406">
        <v>9</v>
      </c>
      <c r="T2406">
        <v>9</v>
      </c>
      <c r="U2406">
        <v>12</v>
      </c>
      <c r="V2406">
        <v>4</v>
      </c>
      <c r="W2406">
        <v>1</v>
      </c>
      <c r="X2406">
        <v>0</v>
      </c>
      <c r="Y2406">
        <v>0</v>
      </c>
      <c r="Z2406">
        <v>0</v>
      </c>
    </row>
    <row r="2407" spans="1:26" x14ac:dyDescent="0.2">
      <c r="A2407" t="s">
        <v>2525</v>
      </c>
      <c r="B2407" t="s">
        <v>66</v>
      </c>
      <c r="C2407">
        <v>2015</v>
      </c>
      <c r="D2407" t="s">
        <v>45</v>
      </c>
      <c r="E2407" t="s">
        <v>42</v>
      </c>
      <c r="F2407" t="s">
        <v>26</v>
      </c>
      <c r="G2407">
        <v>39572</v>
      </c>
      <c r="H2407">
        <v>31657.600000000002</v>
      </c>
      <c r="I2407" s="13">
        <v>0</v>
      </c>
      <c r="J2407" t="s">
        <v>6207</v>
      </c>
      <c r="K2407">
        <v>4</v>
      </c>
      <c r="L2407">
        <v>0</v>
      </c>
      <c r="M2407" t="s">
        <v>0</v>
      </c>
      <c r="N2407" s="2">
        <v>0.6</v>
      </c>
      <c r="O2407" s="2">
        <v>0.4</v>
      </c>
      <c r="P2407">
        <v>13</v>
      </c>
      <c r="Q2407">
        <v>7</v>
      </c>
      <c r="R2407">
        <v>2</v>
      </c>
      <c r="S2407">
        <v>3</v>
      </c>
      <c r="T2407">
        <v>6</v>
      </c>
      <c r="U2407">
        <v>9</v>
      </c>
      <c r="V2407">
        <v>0</v>
      </c>
      <c r="W2407">
        <v>0</v>
      </c>
      <c r="X2407">
        <v>0</v>
      </c>
      <c r="Y2407">
        <v>0</v>
      </c>
      <c r="Z2407">
        <v>0</v>
      </c>
    </row>
    <row r="2408" spans="1:26" x14ac:dyDescent="0.2">
      <c r="A2408" t="s">
        <v>2526</v>
      </c>
      <c r="B2408" t="s">
        <v>76</v>
      </c>
      <c r="C2408">
        <v>2015</v>
      </c>
      <c r="D2408" t="s">
        <v>18</v>
      </c>
      <c r="E2408" t="s">
        <v>69</v>
      </c>
      <c r="F2408" t="s">
        <v>20</v>
      </c>
      <c r="G2408">
        <v>40341</v>
      </c>
      <c r="H2408">
        <v>32272.800000000003</v>
      </c>
      <c r="I2408" s="13">
        <v>0.8</v>
      </c>
      <c r="J2408" t="s">
        <v>6207</v>
      </c>
      <c r="K2408">
        <v>1</v>
      </c>
      <c r="L2408">
        <v>0</v>
      </c>
      <c r="M2408" t="s">
        <v>0</v>
      </c>
      <c r="N2408" s="2">
        <v>0.65</v>
      </c>
      <c r="O2408" s="2">
        <v>0.35</v>
      </c>
      <c r="P2408">
        <v>16</v>
      </c>
      <c r="Q2408">
        <v>9</v>
      </c>
      <c r="R2408">
        <v>6</v>
      </c>
      <c r="S2408">
        <v>5</v>
      </c>
      <c r="T2408">
        <v>4</v>
      </c>
      <c r="U2408">
        <v>12</v>
      </c>
      <c r="V2408">
        <v>1</v>
      </c>
      <c r="W2408">
        <v>4</v>
      </c>
      <c r="X2408">
        <v>0</v>
      </c>
      <c r="Y2408">
        <v>0</v>
      </c>
      <c r="Z2408">
        <v>0</v>
      </c>
    </row>
    <row r="2409" spans="1:26" x14ac:dyDescent="0.2">
      <c r="A2409" t="s">
        <v>2527</v>
      </c>
      <c r="B2409" t="s">
        <v>68</v>
      </c>
      <c r="C2409">
        <v>2015</v>
      </c>
      <c r="D2409" t="s">
        <v>40</v>
      </c>
      <c r="E2409" t="s">
        <v>26</v>
      </c>
      <c r="F2409" t="s">
        <v>49</v>
      </c>
      <c r="G2409">
        <v>53400</v>
      </c>
      <c r="H2409">
        <v>42720</v>
      </c>
      <c r="I2409" s="13">
        <v>0.66666666666666663</v>
      </c>
      <c r="J2409" t="s">
        <v>6207</v>
      </c>
      <c r="K2409">
        <v>1</v>
      </c>
      <c r="L2409">
        <v>4</v>
      </c>
      <c r="M2409" t="s">
        <v>1</v>
      </c>
      <c r="N2409" s="2">
        <v>0.59</v>
      </c>
      <c r="O2409" s="2">
        <v>0.41</v>
      </c>
      <c r="P2409">
        <v>17</v>
      </c>
      <c r="Q2409">
        <v>6</v>
      </c>
      <c r="R2409">
        <v>11</v>
      </c>
      <c r="S2409">
        <v>5</v>
      </c>
      <c r="T2409">
        <v>5</v>
      </c>
      <c r="U2409">
        <v>13</v>
      </c>
      <c r="V2409">
        <v>0</v>
      </c>
      <c r="W2409">
        <v>3</v>
      </c>
      <c r="X2409">
        <v>0</v>
      </c>
      <c r="Y2409">
        <v>0</v>
      </c>
      <c r="Z2409">
        <v>0</v>
      </c>
    </row>
    <row r="2410" spans="1:26" x14ac:dyDescent="0.2">
      <c r="A2410" t="s">
        <v>2528</v>
      </c>
      <c r="B2410" t="s">
        <v>61</v>
      </c>
      <c r="C2410">
        <v>2015</v>
      </c>
      <c r="D2410" t="s">
        <v>51</v>
      </c>
      <c r="E2410" t="s">
        <v>23</v>
      </c>
      <c r="F2410" t="s">
        <v>20</v>
      </c>
      <c r="G2410">
        <v>36284</v>
      </c>
      <c r="H2410">
        <v>29027.200000000001</v>
      </c>
      <c r="I2410" s="13">
        <v>0.25</v>
      </c>
      <c r="J2410" t="s">
        <v>6207</v>
      </c>
      <c r="K2410">
        <v>4</v>
      </c>
      <c r="L2410">
        <v>1</v>
      </c>
      <c r="M2410" t="s">
        <v>0</v>
      </c>
      <c r="N2410" s="2">
        <v>0.56000000000000005</v>
      </c>
      <c r="O2410" s="2">
        <v>0.44</v>
      </c>
      <c r="P2410">
        <v>11</v>
      </c>
      <c r="Q2410">
        <v>16</v>
      </c>
      <c r="R2410">
        <v>7</v>
      </c>
      <c r="S2410">
        <v>6</v>
      </c>
      <c r="T2410">
        <v>13</v>
      </c>
      <c r="U2410">
        <v>9</v>
      </c>
      <c r="V2410">
        <v>2</v>
      </c>
      <c r="W2410">
        <v>2</v>
      </c>
      <c r="X2410">
        <v>0</v>
      </c>
      <c r="Y2410">
        <v>0</v>
      </c>
      <c r="Z2410">
        <v>0</v>
      </c>
    </row>
    <row r="2411" spans="1:26" x14ac:dyDescent="0.2">
      <c r="A2411" t="s">
        <v>2529</v>
      </c>
      <c r="B2411" t="s">
        <v>32</v>
      </c>
      <c r="C2411">
        <v>2015</v>
      </c>
      <c r="D2411" t="s">
        <v>79</v>
      </c>
      <c r="E2411" t="s">
        <v>35</v>
      </c>
      <c r="F2411" t="s">
        <v>20</v>
      </c>
      <c r="G2411">
        <v>25486</v>
      </c>
      <c r="H2411">
        <v>20388.800000000003</v>
      </c>
      <c r="I2411" s="13">
        <v>0.5</v>
      </c>
      <c r="J2411" t="s">
        <v>6207</v>
      </c>
      <c r="K2411">
        <v>0</v>
      </c>
      <c r="L2411">
        <v>1</v>
      </c>
      <c r="M2411" t="s">
        <v>1</v>
      </c>
      <c r="N2411" s="2">
        <v>0.67</v>
      </c>
      <c r="O2411" s="2">
        <v>0.33</v>
      </c>
      <c r="P2411">
        <v>14</v>
      </c>
      <c r="Q2411">
        <v>18</v>
      </c>
      <c r="R2411">
        <v>11</v>
      </c>
      <c r="S2411">
        <v>2</v>
      </c>
      <c r="T2411">
        <v>18</v>
      </c>
      <c r="U2411">
        <v>11</v>
      </c>
      <c r="V2411">
        <v>1</v>
      </c>
      <c r="W2411">
        <v>3</v>
      </c>
      <c r="X2411">
        <v>0</v>
      </c>
      <c r="Y2411">
        <v>0</v>
      </c>
      <c r="Z2411">
        <v>0</v>
      </c>
    </row>
    <row r="2412" spans="1:26" x14ac:dyDescent="0.2">
      <c r="A2412" t="s">
        <v>2530</v>
      </c>
      <c r="B2412" t="s">
        <v>41</v>
      </c>
      <c r="C2412">
        <v>2015</v>
      </c>
      <c r="D2412" t="s">
        <v>35</v>
      </c>
      <c r="E2412" t="s">
        <v>27</v>
      </c>
      <c r="F2412" t="s">
        <v>35</v>
      </c>
      <c r="G2412">
        <v>49000</v>
      </c>
      <c r="H2412">
        <v>39200</v>
      </c>
      <c r="I2412" s="13">
        <v>0.25</v>
      </c>
      <c r="J2412" t="s">
        <v>6207</v>
      </c>
      <c r="K2412">
        <v>2</v>
      </c>
      <c r="L2412">
        <v>0</v>
      </c>
      <c r="M2412" t="s">
        <v>0</v>
      </c>
      <c r="N2412" s="2">
        <v>0.48</v>
      </c>
      <c r="O2412" s="2">
        <v>0.52</v>
      </c>
      <c r="P2412">
        <v>13</v>
      </c>
      <c r="Q2412">
        <v>4</v>
      </c>
      <c r="R2412">
        <v>9</v>
      </c>
      <c r="S2412">
        <v>5</v>
      </c>
      <c r="T2412">
        <v>4</v>
      </c>
      <c r="U2412">
        <v>10</v>
      </c>
      <c r="V2412">
        <v>0</v>
      </c>
      <c r="W2412">
        <v>3</v>
      </c>
      <c r="X2412">
        <v>0</v>
      </c>
      <c r="Y2412">
        <v>1</v>
      </c>
      <c r="Z2412">
        <v>0</v>
      </c>
    </row>
    <row r="2413" spans="1:26" x14ac:dyDescent="0.2">
      <c r="A2413" t="s">
        <v>2531</v>
      </c>
      <c r="B2413" t="s">
        <v>74</v>
      </c>
      <c r="C2413">
        <v>2015</v>
      </c>
      <c r="D2413" t="s">
        <v>40</v>
      </c>
      <c r="E2413" t="s">
        <v>73</v>
      </c>
      <c r="F2413" t="s">
        <v>49</v>
      </c>
      <c r="G2413">
        <v>53400</v>
      </c>
      <c r="H2413">
        <v>42720</v>
      </c>
      <c r="I2413" s="13">
        <v>0.66666666666666663</v>
      </c>
      <c r="J2413" t="s">
        <v>6208</v>
      </c>
      <c r="K2413">
        <v>3</v>
      </c>
      <c r="L2413">
        <v>1</v>
      </c>
      <c r="M2413" t="s">
        <v>0</v>
      </c>
      <c r="N2413" s="2">
        <v>0.46</v>
      </c>
      <c r="O2413" s="2">
        <v>0.54</v>
      </c>
      <c r="P2413">
        <v>17</v>
      </c>
      <c r="Q2413">
        <v>16</v>
      </c>
      <c r="R2413">
        <v>6</v>
      </c>
      <c r="S2413">
        <v>4</v>
      </c>
      <c r="T2413">
        <v>14</v>
      </c>
      <c r="U2413">
        <v>11</v>
      </c>
      <c r="V2413">
        <v>2</v>
      </c>
      <c r="W2413">
        <v>1</v>
      </c>
      <c r="X2413">
        <v>0</v>
      </c>
      <c r="Y2413">
        <v>0</v>
      </c>
      <c r="Z2413">
        <v>0</v>
      </c>
    </row>
    <row r="2414" spans="1:26" x14ac:dyDescent="0.2">
      <c r="A2414" t="s">
        <v>2532</v>
      </c>
      <c r="B2414" t="s">
        <v>59</v>
      </c>
      <c r="C2414">
        <v>2015</v>
      </c>
      <c r="D2414" t="s">
        <v>79</v>
      </c>
      <c r="E2414" t="s">
        <v>64</v>
      </c>
      <c r="F2414" t="s">
        <v>20</v>
      </c>
      <c r="G2414">
        <v>25486</v>
      </c>
      <c r="H2414">
        <v>20388.800000000003</v>
      </c>
      <c r="I2414" s="13">
        <v>1</v>
      </c>
      <c r="J2414" t="s">
        <v>6206</v>
      </c>
      <c r="K2414">
        <v>5</v>
      </c>
      <c r="L2414">
        <v>1</v>
      </c>
      <c r="M2414" t="s">
        <v>0</v>
      </c>
      <c r="N2414" s="2">
        <v>0.54</v>
      </c>
      <c r="O2414" s="2">
        <v>0.46</v>
      </c>
      <c r="P2414">
        <v>14</v>
      </c>
      <c r="Q2414">
        <v>10</v>
      </c>
      <c r="R2414">
        <v>7</v>
      </c>
      <c r="S2414">
        <v>5</v>
      </c>
      <c r="T2414">
        <v>7</v>
      </c>
      <c r="U2414">
        <v>13</v>
      </c>
      <c r="V2414">
        <v>1</v>
      </c>
      <c r="W2414">
        <v>1</v>
      </c>
      <c r="X2414">
        <v>0</v>
      </c>
      <c r="Y2414">
        <v>0</v>
      </c>
      <c r="Z2414">
        <v>0</v>
      </c>
    </row>
    <row r="2415" spans="1:26" x14ac:dyDescent="0.2">
      <c r="A2415" t="s">
        <v>2533</v>
      </c>
      <c r="B2415" t="s">
        <v>60</v>
      </c>
      <c r="C2415">
        <v>2015</v>
      </c>
      <c r="D2415" t="s">
        <v>86</v>
      </c>
      <c r="E2415" t="s">
        <v>45</v>
      </c>
      <c r="F2415" t="s">
        <v>86</v>
      </c>
      <c r="G2415">
        <v>11364</v>
      </c>
      <c r="H2415">
        <v>9091.2000000000007</v>
      </c>
      <c r="I2415" s="13">
        <v>0</v>
      </c>
      <c r="J2415" t="s">
        <v>6208</v>
      </c>
      <c r="K2415">
        <v>3</v>
      </c>
      <c r="L2415">
        <v>3</v>
      </c>
      <c r="M2415" t="s">
        <v>58</v>
      </c>
      <c r="N2415" s="2">
        <v>0.56999999999999995</v>
      </c>
      <c r="O2415" s="2">
        <v>0.43</v>
      </c>
      <c r="P2415">
        <v>6</v>
      </c>
      <c r="Q2415">
        <v>8</v>
      </c>
      <c r="R2415">
        <v>10</v>
      </c>
      <c r="S2415">
        <v>5</v>
      </c>
      <c r="T2415">
        <v>6</v>
      </c>
      <c r="U2415">
        <v>6</v>
      </c>
      <c r="V2415">
        <v>2</v>
      </c>
      <c r="W2415">
        <v>0</v>
      </c>
      <c r="X2415">
        <v>0</v>
      </c>
      <c r="Y2415">
        <v>0</v>
      </c>
      <c r="Z2415">
        <v>0</v>
      </c>
    </row>
    <row r="2416" spans="1:26" x14ac:dyDescent="0.2">
      <c r="A2416" t="s">
        <v>2534</v>
      </c>
      <c r="B2416" t="s">
        <v>50</v>
      </c>
      <c r="C2416">
        <v>2015</v>
      </c>
      <c r="D2416" t="s">
        <v>42</v>
      </c>
      <c r="E2416" t="s">
        <v>85</v>
      </c>
      <c r="F2416" t="s">
        <v>38</v>
      </c>
      <c r="G2416">
        <v>42918</v>
      </c>
      <c r="H2416">
        <v>34334.400000000001</v>
      </c>
      <c r="I2416" s="13">
        <v>0.8</v>
      </c>
      <c r="J2416" t="s">
        <v>6207</v>
      </c>
      <c r="K2416">
        <v>2</v>
      </c>
      <c r="L2416">
        <v>3</v>
      </c>
      <c r="M2416" t="s">
        <v>1</v>
      </c>
      <c r="N2416" s="2">
        <v>0.66</v>
      </c>
      <c r="O2416" s="2">
        <v>0.34</v>
      </c>
      <c r="P2416">
        <v>13</v>
      </c>
      <c r="Q2416">
        <v>7</v>
      </c>
      <c r="R2416">
        <v>10</v>
      </c>
      <c r="S2416">
        <v>10</v>
      </c>
      <c r="T2416">
        <v>6</v>
      </c>
      <c r="U2416">
        <v>13</v>
      </c>
      <c r="V2416">
        <v>2</v>
      </c>
      <c r="W2416">
        <v>3</v>
      </c>
      <c r="X2416">
        <v>0</v>
      </c>
      <c r="Y2416">
        <v>0</v>
      </c>
      <c r="Z2416">
        <v>0</v>
      </c>
    </row>
    <row r="2417" spans="1:26" x14ac:dyDescent="0.2">
      <c r="A2417" t="s">
        <v>2535</v>
      </c>
      <c r="B2417" t="s">
        <v>76</v>
      </c>
      <c r="C2417">
        <v>2015</v>
      </c>
      <c r="D2417" t="s">
        <v>80</v>
      </c>
      <c r="E2417" t="s">
        <v>48</v>
      </c>
      <c r="F2417" t="s">
        <v>80</v>
      </c>
      <c r="G2417">
        <v>32261</v>
      </c>
      <c r="H2417">
        <v>25808.800000000003</v>
      </c>
      <c r="I2417" s="13">
        <v>0</v>
      </c>
      <c r="J2417" t="s">
        <v>6207</v>
      </c>
      <c r="K2417">
        <v>1</v>
      </c>
      <c r="L2417">
        <v>1</v>
      </c>
      <c r="M2417" t="s">
        <v>58</v>
      </c>
      <c r="N2417" s="2">
        <v>0.31</v>
      </c>
      <c r="O2417" s="2">
        <v>0.69</v>
      </c>
      <c r="P2417">
        <v>8</v>
      </c>
      <c r="Q2417">
        <v>8</v>
      </c>
      <c r="R2417">
        <v>1</v>
      </c>
      <c r="S2417">
        <v>8</v>
      </c>
      <c r="T2417">
        <v>5</v>
      </c>
      <c r="U2417">
        <v>7</v>
      </c>
      <c r="V2417">
        <v>0</v>
      </c>
      <c r="W2417">
        <v>1</v>
      </c>
      <c r="X2417">
        <v>0</v>
      </c>
      <c r="Y2417">
        <v>0</v>
      </c>
      <c r="Z2417">
        <v>0</v>
      </c>
    </row>
    <row r="2418" spans="1:26" x14ac:dyDescent="0.2">
      <c r="A2418" t="s">
        <v>2536</v>
      </c>
      <c r="B2418" t="s">
        <v>66</v>
      </c>
      <c r="C2418">
        <v>2015</v>
      </c>
      <c r="D2418" t="s">
        <v>51</v>
      </c>
      <c r="E2418" t="s">
        <v>18</v>
      </c>
      <c r="F2418" t="s">
        <v>20</v>
      </c>
      <c r="G2418">
        <v>36284</v>
      </c>
      <c r="H2418">
        <v>29027.200000000001</v>
      </c>
      <c r="I2418" s="13">
        <v>0.5</v>
      </c>
      <c r="J2418" t="s">
        <v>6207</v>
      </c>
      <c r="K2418">
        <v>0</v>
      </c>
      <c r="L2418">
        <v>0</v>
      </c>
      <c r="M2418" t="s">
        <v>58</v>
      </c>
      <c r="N2418" s="2">
        <v>0.56999999999999995</v>
      </c>
      <c r="O2418" s="2">
        <v>0.43</v>
      </c>
      <c r="P2418">
        <v>13</v>
      </c>
      <c r="Q2418">
        <v>16</v>
      </c>
      <c r="R2418">
        <v>4</v>
      </c>
      <c r="S2418">
        <v>4</v>
      </c>
      <c r="T2418">
        <v>14</v>
      </c>
      <c r="U2418">
        <v>9</v>
      </c>
      <c r="V2418">
        <v>4</v>
      </c>
      <c r="W2418">
        <v>2</v>
      </c>
      <c r="X2418">
        <v>0</v>
      </c>
      <c r="Y2418">
        <v>0</v>
      </c>
      <c r="Z2418">
        <v>0</v>
      </c>
    </row>
    <row r="2419" spans="1:26" x14ac:dyDescent="0.2">
      <c r="A2419" t="s">
        <v>2537</v>
      </c>
      <c r="B2419" t="s">
        <v>32</v>
      </c>
      <c r="C2419">
        <v>2015</v>
      </c>
      <c r="D2419" t="s">
        <v>23</v>
      </c>
      <c r="E2419" t="s">
        <v>63</v>
      </c>
      <c r="F2419" t="s">
        <v>20</v>
      </c>
      <c r="G2419">
        <v>62500</v>
      </c>
      <c r="H2419">
        <v>50000</v>
      </c>
      <c r="I2419" s="13">
        <v>1</v>
      </c>
      <c r="J2419" t="s">
        <v>6207</v>
      </c>
      <c r="K2419">
        <v>1</v>
      </c>
      <c r="L2419">
        <v>1</v>
      </c>
      <c r="M2419" t="s">
        <v>58</v>
      </c>
      <c r="N2419" s="2">
        <v>0.61</v>
      </c>
      <c r="O2419" s="2">
        <v>0.39</v>
      </c>
      <c r="P2419">
        <v>18</v>
      </c>
      <c r="Q2419">
        <v>15</v>
      </c>
      <c r="R2419">
        <v>5</v>
      </c>
      <c r="S2419">
        <v>2</v>
      </c>
      <c r="T2419">
        <v>15</v>
      </c>
      <c r="U2419">
        <v>16</v>
      </c>
      <c r="V2419">
        <v>0</v>
      </c>
      <c r="W2419">
        <v>2</v>
      </c>
      <c r="X2419">
        <v>0</v>
      </c>
      <c r="Y2419">
        <v>0</v>
      </c>
      <c r="Z2419">
        <v>0</v>
      </c>
    </row>
    <row r="2420" spans="1:26" x14ac:dyDescent="0.2">
      <c r="A2420" t="s">
        <v>2538</v>
      </c>
      <c r="B2420" t="s">
        <v>68</v>
      </c>
      <c r="C2420">
        <v>2015</v>
      </c>
      <c r="D2420" t="s">
        <v>69</v>
      </c>
      <c r="E2420" t="s">
        <v>46</v>
      </c>
      <c r="F2420" t="s">
        <v>69</v>
      </c>
      <c r="G2420">
        <v>27359</v>
      </c>
      <c r="H2420">
        <v>21887.200000000001</v>
      </c>
      <c r="I2420" s="13">
        <v>0.5</v>
      </c>
      <c r="J2420" t="s">
        <v>6207</v>
      </c>
      <c r="K2420">
        <v>1</v>
      </c>
      <c r="L2420">
        <v>1</v>
      </c>
      <c r="M2420" t="s">
        <v>58</v>
      </c>
      <c r="N2420" s="2">
        <v>0.37</v>
      </c>
      <c r="O2420" s="2">
        <v>0.63</v>
      </c>
      <c r="P2420">
        <v>8</v>
      </c>
      <c r="Q2420">
        <v>11</v>
      </c>
      <c r="R2420">
        <v>3</v>
      </c>
      <c r="S2420">
        <v>6</v>
      </c>
      <c r="T2420">
        <v>8</v>
      </c>
      <c r="U2420">
        <v>6</v>
      </c>
      <c r="V2420">
        <v>1</v>
      </c>
      <c r="W2420">
        <v>1</v>
      </c>
      <c r="X2420">
        <v>0</v>
      </c>
      <c r="Y2420">
        <v>0</v>
      </c>
      <c r="Z2420">
        <v>0</v>
      </c>
    </row>
    <row r="2421" spans="1:26" x14ac:dyDescent="0.2">
      <c r="A2421" t="s">
        <v>2539</v>
      </c>
      <c r="B2421" t="s">
        <v>61</v>
      </c>
      <c r="C2421">
        <v>2015</v>
      </c>
      <c r="D2421" t="s">
        <v>26</v>
      </c>
      <c r="E2421" t="s">
        <v>71</v>
      </c>
      <c r="F2421" t="s">
        <v>26</v>
      </c>
      <c r="G2421">
        <v>61276</v>
      </c>
      <c r="H2421">
        <v>49020.800000000003</v>
      </c>
      <c r="I2421" s="13">
        <v>0.5</v>
      </c>
      <c r="J2421" t="s">
        <v>6207</v>
      </c>
      <c r="K2421">
        <v>1</v>
      </c>
      <c r="L2421">
        <v>0</v>
      </c>
      <c r="M2421" t="s">
        <v>0</v>
      </c>
      <c r="N2421" s="2">
        <v>0.54</v>
      </c>
      <c r="O2421" s="2">
        <v>0.46</v>
      </c>
      <c r="P2421">
        <v>7</v>
      </c>
      <c r="Q2421">
        <v>12</v>
      </c>
      <c r="R2421">
        <v>8</v>
      </c>
      <c r="S2421">
        <v>7</v>
      </c>
      <c r="T2421">
        <v>12</v>
      </c>
      <c r="U2421">
        <v>6</v>
      </c>
      <c r="V2421">
        <v>3</v>
      </c>
      <c r="W2421">
        <v>1</v>
      </c>
      <c r="X2421">
        <v>0</v>
      </c>
      <c r="Y2421">
        <v>0</v>
      </c>
      <c r="Z2421">
        <v>1</v>
      </c>
    </row>
    <row r="2422" spans="1:26" x14ac:dyDescent="0.2">
      <c r="A2422" t="s">
        <v>2540</v>
      </c>
      <c r="B2422" t="s">
        <v>32</v>
      </c>
      <c r="C2422">
        <v>2015</v>
      </c>
      <c r="D2422" t="s">
        <v>27</v>
      </c>
      <c r="E2422" t="s">
        <v>40</v>
      </c>
      <c r="F2422" t="s">
        <v>27</v>
      </c>
      <c r="G2422">
        <v>30089</v>
      </c>
      <c r="H2422">
        <v>24071.200000000001</v>
      </c>
      <c r="I2422" s="13">
        <v>1</v>
      </c>
      <c r="J2422" t="s">
        <v>6207</v>
      </c>
      <c r="K2422">
        <v>2</v>
      </c>
      <c r="L2422">
        <v>0</v>
      </c>
      <c r="M2422" t="s">
        <v>0</v>
      </c>
      <c r="N2422" s="2">
        <v>0.47</v>
      </c>
      <c r="O2422" s="2">
        <v>0.53</v>
      </c>
      <c r="P2422">
        <v>10</v>
      </c>
      <c r="Q2422">
        <v>13</v>
      </c>
      <c r="R2422">
        <v>1</v>
      </c>
      <c r="S2422">
        <v>6</v>
      </c>
      <c r="T2422">
        <v>9</v>
      </c>
      <c r="U2422">
        <v>10</v>
      </c>
      <c r="V2422">
        <v>0</v>
      </c>
      <c r="W2422">
        <v>1</v>
      </c>
      <c r="X2422">
        <v>0</v>
      </c>
      <c r="Y2422">
        <v>0</v>
      </c>
      <c r="Z2422">
        <v>0</v>
      </c>
    </row>
    <row r="2423" spans="1:26" x14ac:dyDescent="0.2">
      <c r="A2423" t="s">
        <v>2541</v>
      </c>
      <c r="B2423" t="s">
        <v>68</v>
      </c>
      <c r="C2423">
        <v>2015</v>
      </c>
      <c r="D2423" t="s">
        <v>63</v>
      </c>
      <c r="E2423" t="s">
        <v>51</v>
      </c>
      <c r="F2423" t="s">
        <v>65</v>
      </c>
      <c r="G2423">
        <v>26804</v>
      </c>
      <c r="H2423">
        <v>21443.200000000001</v>
      </c>
      <c r="I2423" s="13">
        <v>0.4</v>
      </c>
      <c r="J2423" t="s">
        <v>6207</v>
      </c>
      <c r="K2423">
        <v>1</v>
      </c>
      <c r="L2423">
        <v>1</v>
      </c>
      <c r="M2423" t="s">
        <v>58</v>
      </c>
      <c r="N2423" s="2">
        <v>0.35</v>
      </c>
      <c r="O2423" s="2">
        <v>0.65</v>
      </c>
      <c r="P2423">
        <v>11</v>
      </c>
      <c r="Q2423">
        <v>15</v>
      </c>
      <c r="R2423">
        <v>3</v>
      </c>
      <c r="S2423">
        <v>6</v>
      </c>
      <c r="T2423">
        <v>13</v>
      </c>
      <c r="U2423">
        <v>10</v>
      </c>
      <c r="V2423">
        <v>3</v>
      </c>
      <c r="W2423">
        <v>2</v>
      </c>
      <c r="X2423">
        <v>0</v>
      </c>
      <c r="Y2423">
        <v>0</v>
      </c>
      <c r="Z2423">
        <v>0</v>
      </c>
    </row>
    <row r="2424" spans="1:26" x14ac:dyDescent="0.2">
      <c r="A2424" t="s">
        <v>2542</v>
      </c>
      <c r="B2424" t="s">
        <v>41</v>
      </c>
      <c r="C2424">
        <v>2015</v>
      </c>
      <c r="D2424" t="s">
        <v>85</v>
      </c>
      <c r="E2424" t="s">
        <v>69</v>
      </c>
      <c r="F2424" t="s">
        <v>85</v>
      </c>
      <c r="G2424">
        <v>22220</v>
      </c>
      <c r="H2424">
        <v>17776</v>
      </c>
      <c r="I2424" s="13">
        <v>0.5</v>
      </c>
      <c r="J2424" t="s">
        <v>6207</v>
      </c>
      <c r="K2424">
        <v>2</v>
      </c>
      <c r="L2424">
        <v>0</v>
      </c>
      <c r="M2424" t="s">
        <v>0</v>
      </c>
      <c r="N2424" s="2">
        <v>0.51</v>
      </c>
      <c r="O2424" s="2">
        <v>0.49</v>
      </c>
      <c r="P2424">
        <v>14</v>
      </c>
      <c r="Q2424">
        <v>15</v>
      </c>
      <c r="R2424">
        <v>4</v>
      </c>
      <c r="S2424">
        <v>1</v>
      </c>
      <c r="T2424">
        <v>11</v>
      </c>
      <c r="U2424">
        <v>10</v>
      </c>
      <c r="V2424">
        <v>3</v>
      </c>
      <c r="W2424">
        <v>3</v>
      </c>
      <c r="X2424">
        <v>0</v>
      </c>
      <c r="Y2424">
        <v>0</v>
      </c>
      <c r="Z2424">
        <v>1</v>
      </c>
    </row>
    <row r="2425" spans="1:26" x14ac:dyDescent="0.2">
      <c r="A2425" t="s">
        <v>2543</v>
      </c>
      <c r="B2425" t="s">
        <v>66</v>
      </c>
      <c r="C2425">
        <v>2015</v>
      </c>
      <c r="D2425" t="s">
        <v>71</v>
      </c>
      <c r="E2425" t="s">
        <v>80</v>
      </c>
      <c r="F2425" t="s">
        <v>71</v>
      </c>
      <c r="G2425">
        <v>21088</v>
      </c>
      <c r="H2425">
        <v>16870.400000000001</v>
      </c>
      <c r="I2425" s="13">
        <v>0.2</v>
      </c>
      <c r="J2425" t="s">
        <v>6207</v>
      </c>
      <c r="K2425">
        <v>0</v>
      </c>
      <c r="L2425">
        <v>3</v>
      </c>
      <c r="M2425" t="s">
        <v>1</v>
      </c>
      <c r="N2425" s="2">
        <v>0.59</v>
      </c>
      <c r="O2425" s="2">
        <v>0.41</v>
      </c>
      <c r="P2425">
        <v>21</v>
      </c>
      <c r="Q2425">
        <v>5</v>
      </c>
      <c r="R2425">
        <v>3</v>
      </c>
      <c r="S2425">
        <v>8</v>
      </c>
      <c r="T2425">
        <v>3</v>
      </c>
      <c r="U2425">
        <v>19</v>
      </c>
      <c r="V2425">
        <v>2</v>
      </c>
      <c r="W2425">
        <v>3</v>
      </c>
      <c r="X2425">
        <v>0</v>
      </c>
      <c r="Y2425">
        <v>0</v>
      </c>
      <c r="Z2425">
        <v>0</v>
      </c>
    </row>
    <row r="2426" spans="1:26" x14ac:dyDescent="0.2">
      <c r="A2426" t="s">
        <v>2544</v>
      </c>
      <c r="B2426" t="s">
        <v>61</v>
      </c>
      <c r="C2426">
        <v>2015</v>
      </c>
      <c r="D2426" t="s">
        <v>73</v>
      </c>
      <c r="E2426" t="s">
        <v>42</v>
      </c>
      <c r="F2426" t="s">
        <v>73</v>
      </c>
      <c r="G2426">
        <v>32384</v>
      </c>
      <c r="H2426">
        <v>25907.200000000001</v>
      </c>
      <c r="I2426" s="13">
        <v>0.33333333333333331</v>
      </c>
      <c r="J2426" t="s">
        <v>6207</v>
      </c>
      <c r="K2426">
        <v>1</v>
      </c>
      <c r="L2426">
        <v>1</v>
      </c>
      <c r="M2426" t="s">
        <v>58</v>
      </c>
      <c r="N2426" s="2">
        <v>0.64</v>
      </c>
      <c r="O2426" s="2">
        <v>0.36</v>
      </c>
      <c r="P2426">
        <v>9</v>
      </c>
      <c r="Q2426">
        <v>7</v>
      </c>
      <c r="R2426">
        <v>10</v>
      </c>
      <c r="S2426">
        <v>4</v>
      </c>
      <c r="T2426">
        <v>4</v>
      </c>
      <c r="U2426">
        <v>9</v>
      </c>
      <c r="V2426">
        <v>1</v>
      </c>
      <c r="W2426">
        <v>2</v>
      </c>
      <c r="X2426">
        <v>0</v>
      </c>
      <c r="Y2426">
        <v>0</v>
      </c>
      <c r="Z2426">
        <v>0</v>
      </c>
    </row>
    <row r="2427" spans="1:26" x14ac:dyDescent="0.2">
      <c r="A2427" t="s">
        <v>2545</v>
      </c>
      <c r="B2427" t="s">
        <v>44</v>
      </c>
      <c r="C2427">
        <v>2015</v>
      </c>
      <c r="D2427" t="s">
        <v>48</v>
      </c>
      <c r="E2427" t="s">
        <v>23</v>
      </c>
      <c r="F2427" t="s">
        <v>49</v>
      </c>
      <c r="G2427">
        <v>74197</v>
      </c>
      <c r="H2427">
        <v>59357.600000000006</v>
      </c>
      <c r="I2427" s="13">
        <v>0</v>
      </c>
      <c r="J2427" t="s">
        <v>6207</v>
      </c>
      <c r="K2427">
        <v>0</v>
      </c>
      <c r="L2427">
        <v>0</v>
      </c>
      <c r="M2427" t="s">
        <v>58</v>
      </c>
      <c r="N2427" s="2">
        <v>0.63</v>
      </c>
      <c r="O2427" s="2">
        <v>0.37</v>
      </c>
      <c r="P2427">
        <v>14</v>
      </c>
      <c r="Q2427">
        <v>12</v>
      </c>
      <c r="R2427">
        <v>6</v>
      </c>
      <c r="S2427">
        <v>2</v>
      </c>
      <c r="T2427">
        <v>9</v>
      </c>
      <c r="U2427">
        <v>13</v>
      </c>
      <c r="V2427">
        <v>1</v>
      </c>
      <c r="W2427">
        <v>0</v>
      </c>
      <c r="X2427">
        <v>0</v>
      </c>
      <c r="Y2427">
        <v>0</v>
      </c>
      <c r="Z2427">
        <v>0</v>
      </c>
    </row>
    <row r="2428" spans="1:26" x14ac:dyDescent="0.2">
      <c r="A2428" t="s">
        <v>2546</v>
      </c>
      <c r="B2428" t="s">
        <v>77</v>
      </c>
      <c r="C2428">
        <v>2015</v>
      </c>
      <c r="D2428" t="s">
        <v>46</v>
      </c>
      <c r="E2428" t="s">
        <v>35</v>
      </c>
      <c r="F2428" t="s">
        <v>20</v>
      </c>
      <c r="G2428">
        <v>60704</v>
      </c>
      <c r="H2428">
        <v>48563.200000000004</v>
      </c>
      <c r="I2428" s="13">
        <v>1</v>
      </c>
      <c r="J2428" t="s">
        <v>6207</v>
      </c>
      <c r="K2428">
        <v>3</v>
      </c>
      <c r="L2428">
        <v>1</v>
      </c>
      <c r="M2428" t="s">
        <v>0</v>
      </c>
      <c r="N2428" s="2">
        <v>0.73</v>
      </c>
      <c r="O2428" s="2">
        <v>0.27</v>
      </c>
      <c r="P2428">
        <v>12</v>
      </c>
      <c r="Q2428">
        <v>8</v>
      </c>
      <c r="R2428">
        <v>2</v>
      </c>
      <c r="S2428">
        <v>2</v>
      </c>
      <c r="T2428">
        <v>7</v>
      </c>
      <c r="U2428">
        <v>11</v>
      </c>
      <c r="V2428">
        <v>1</v>
      </c>
      <c r="W2428">
        <v>1</v>
      </c>
      <c r="X2428">
        <v>0</v>
      </c>
      <c r="Y2428">
        <v>0</v>
      </c>
      <c r="Z2428">
        <v>0</v>
      </c>
    </row>
    <row r="2429" spans="1:26" x14ac:dyDescent="0.2">
      <c r="A2429" t="s">
        <v>2547</v>
      </c>
      <c r="B2429" t="s">
        <v>53</v>
      </c>
      <c r="C2429">
        <v>2015</v>
      </c>
      <c r="D2429" t="s">
        <v>18</v>
      </c>
      <c r="E2429" t="s">
        <v>86</v>
      </c>
      <c r="F2429" t="s">
        <v>20</v>
      </c>
      <c r="G2429">
        <v>40341</v>
      </c>
      <c r="H2429">
        <v>32272.800000000003</v>
      </c>
      <c r="I2429" s="13">
        <v>0.66666666666666663</v>
      </c>
      <c r="J2429" t="s">
        <v>6207</v>
      </c>
      <c r="K2429">
        <v>0</v>
      </c>
      <c r="L2429">
        <v>1</v>
      </c>
      <c r="M2429" t="s">
        <v>1</v>
      </c>
      <c r="N2429" s="2">
        <v>0.63</v>
      </c>
      <c r="O2429" s="2">
        <v>0.37</v>
      </c>
      <c r="P2429">
        <v>14</v>
      </c>
      <c r="Q2429">
        <v>12</v>
      </c>
      <c r="R2429">
        <v>11</v>
      </c>
      <c r="S2429">
        <v>4</v>
      </c>
      <c r="T2429">
        <v>10</v>
      </c>
      <c r="U2429">
        <v>13</v>
      </c>
      <c r="V2429">
        <v>2</v>
      </c>
      <c r="W2429">
        <v>1</v>
      </c>
      <c r="X2429">
        <v>0</v>
      </c>
      <c r="Y2429">
        <v>0</v>
      </c>
      <c r="Z2429">
        <v>0</v>
      </c>
    </row>
    <row r="2430" spans="1:26" x14ac:dyDescent="0.2">
      <c r="A2430" t="s">
        <v>2548</v>
      </c>
      <c r="B2430" t="s">
        <v>37</v>
      </c>
      <c r="C2430">
        <v>2015</v>
      </c>
      <c r="D2430" t="s">
        <v>64</v>
      </c>
      <c r="E2430" t="s">
        <v>26</v>
      </c>
      <c r="F2430" t="s">
        <v>64</v>
      </c>
      <c r="G2430">
        <v>52264</v>
      </c>
      <c r="H2430">
        <v>41811.200000000004</v>
      </c>
      <c r="I2430" s="13">
        <v>0.75</v>
      </c>
      <c r="J2430" t="s">
        <v>6206</v>
      </c>
      <c r="K2430">
        <v>2</v>
      </c>
      <c r="L2430">
        <v>0</v>
      </c>
      <c r="M2430" t="s">
        <v>0</v>
      </c>
      <c r="N2430" s="2">
        <v>0.4</v>
      </c>
      <c r="O2430" s="2">
        <v>0.6</v>
      </c>
      <c r="P2430">
        <v>12</v>
      </c>
      <c r="Q2430">
        <v>7</v>
      </c>
      <c r="R2430">
        <v>2</v>
      </c>
      <c r="S2430">
        <v>7</v>
      </c>
      <c r="T2430">
        <v>6</v>
      </c>
      <c r="U2430">
        <v>10</v>
      </c>
      <c r="V2430">
        <v>3</v>
      </c>
      <c r="W2430">
        <v>1</v>
      </c>
      <c r="X2430">
        <v>0</v>
      </c>
      <c r="Y2430">
        <v>0</v>
      </c>
      <c r="Z2430">
        <v>0</v>
      </c>
    </row>
    <row r="2431" spans="1:26" x14ac:dyDescent="0.2">
      <c r="A2431" t="s">
        <v>2549</v>
      </c>
      <c r="B2431" t="s">
        <v>76</v>
      </c>
      <c r="C2431">
        <v>2015</v>
      </c>
      <c r="D2431" t="s">
        <v>45</v>
      </c>
      <c r="E2431" t="s">
        <v>79</v>
      </c>
      <c r="F2431" t="s">
        <v>26</v>
      </c>
      <c r="G2431">
        <v>39572</v>
      </c>
      <c r="H2431">
        <v>31657.600000000002</v>
      </c>
      <c r="I2431" s="13">
        <v>0</v>
      </c>
      <c r="J2431" t="s">
        <v>6207</v>
      </c>
      <c r="K2431">
        <v>1</v>
      </c>
      <c r="L2431">
        <v>1</v>
      </c>
      <c r="M2431" t="s">
        <v>58</v>
      </c>
      <c r="N2431" s="2">
        <v>0.62</v>
      </c>
      <c r="O2431" s="2">
        <v>0.38</v>
      </c>
      <c r="P2431">
        <v>14</v>
      </c>
      <c r="Q2431">
        <v>4</v>
      </c>
      <c r="R2431">
        <v>13</v>
      </c>
      <c r="S2431">
        <v>6</v>
      </c>
      <c r="T2431">
        <v>4</v>
      </c>
      <c r="U2431">
        <v>11</v>
      </c>
      <c r="V2431">
        <v>1</v>
      </c>
      <c r="W2431">
        <v>2</v>
      </c>
      <c r="X2431">
        <v>0</v>
      </c>
      <c r="Y2431">
        <v>0</v>
      </c>
      <c r="Z2431">
        <v>0</v>
      </c>
    </row>
    <row r="2432" spans="1:26" x14ac:dyDescent="0.2">
      <c r="A2432" t="s">
        <v>2550</v>
      </c>
      <c r="B2432" t="s">
        <v>32</v>
      </c>
      <c r="C2432">
        <v>2015</v>
      </c>
      <c r="D2432" t="s">
        <v>69</v>
      </c>
      <c r="E2432" t="s">
        <v>45</v>
      </c>
      <c r="F2432" t="s">
        <v>69</v>
      </c>
      <c r="G2432">
        <v>27359</v>
      </c>
      <c r="H2432">
        <v>21887.200000000001</v>
      </c>
      <c r="I2432" s="13">
        <v>0</v>
      </c>
      <c r="J2432" t="s">
        <v>6207</v>
      </c>
      <c r="K2432">
        <v>1</v>
      </c>
      <c r="L2432">
        <v>1</v>
      </c>
      <c r="M2432" t="s">
        <v>58</v>
      </c>
      <c r="N2432" s="2">
        <v>0.41</v>
      </c>
      <c r="O2432" s="2">
        <v>0.59</v>
      </c>
      <c r="P2432">
        <v>8</v>
      </c>
      <c r="Q2432">
        <v>9</v>
      </c>
      <c r="R2432">
        <v>5</v>
      </c>
      <c r="S2432">
        <v>4</v>
      </c>
      <c r="T2432">
        <v>9</v>
      </c>
      <c r="U2432">
        <v>6</v>
      </c>
      <c r="V2432">
        <v>1</v>
      </c>
      <c r="W2432">
        <v>0</v>
      </c>
      <c r="X2432">
        <v>0</v>
      </c>
      <c r="Y2432">
        <v>0</v>
      </c>
      <c r="Z2432">
        <v>0</v>
      </c>
    </row>
    <row r="2433" spans="1:26" x14ac:dyDescent="0.2">
      <c r="A2433" t="s">
        <v>2551</v>
      </c>
      <c r="B2433" t="s">
        <v>37</v>
      </c>
      <c r="C2433">
        <v>2015</v>
      </c>
      <c r="D2433" t="s">
        <v>23</v>
      </c>
      <c r="E2433" t="s">
        <v>27</v>
      </c>
      <c r="F2433" t="s">
        <v>20</v>
      </c>
      <c r="G2433">
        <v>62500</v>
      </c>
      <c r="H2433">
        <v>50000</v>
      </c>
      <c r="I2433" s="13">
        <v>1</v>
      </c>
      <c r="J2433" t="s">
        <v>6206</v>
      </c>
      <c r="K2433">
        <v>0</v>
      </c>
      <c r="L2433">
        <v>0</v>
      </c>
      <c r="M2433" t="s">
        <v>58</v>
      </c>
      <c r="N2433" s="2">
        <v>0.47</v>
      </c>
      <c r="O2433" s="2">
        <v>0.53</v>
      </c>
      <c r="P2433">
        <v>9</v>
      </c>
      <c r="Q2433">
        <v>8</v>
      </c>
      <c r="R2433">
        <v>11</v>
      </c>
      <c r="S2433">
        <v>7</v>
      </c>
      <c r="T2433">
        <v>7</v>
      </c>
      <c r="U2433">
        <v>9</v>
      </c>
      <c r="V2433">
        <v>1</v>
      </c>
      <c r="W2433">
        <v>2</v>
      </c>
      <c r="X2433">
        <v>0</v>
      </c>
      <c r="Y2433">
        <v>0</v>
      </c>
      <c r="Z2433">
        <v>0</v>
      </c>
    </row>
    <row r="2434" spans="1:26" x14ac:dyDescent="0.2">
      <c r="A2434" t="s">
        <v>2552</v>
      </c>
      <c r="B2434" t="s">
        <v>83</v>
      </c>
      <c r="C2434">
        <v>2015</v>
      </c>
      <c r="D2434" t="s">
        <v>35</v>
      </c>
      <c r="E2434" t="s">
        <v>85</v>
      </c>
      <c r="F2434" t="s">
        <v>35</v>
      </c>
      <c r="G2434">
        <v>49000</v>
      </c>
      <c r="H2434">
        <v>39200</v>
      </c>
      <c r="I2434" s="13">
        <v>0</v>
      </c>
      <c r="J2434" t="s">
        <v>6208</v>
      </c>
      <c r="K2434">
        <v>0</v>
      </c>
      <c r="L2434">
        <v>1</v>
      </c>
      <c r="M2434" t="s">
        <v>1</v>
      </c>
      <c r="N2434" s="2">
        <v>0.47</v>
      </c>
      <c r="O2434" s="2">
        <v>0.53</v>
      </c>
      <c r="P2434">
        <v>12</v>
      </c>
      <c r="Q2434">
        <v>8</v>
      </c>
      <c r="R2434">
        <v>8</v>
      </c>
      <c r="S2434">
        <v>3</v>
      </c>
      <c r="T2434">
        <v>6</v>
      </c>
      <c r="U2434">
        <v>9</v>
      </c>
      <c r="V2434">
        <v>1</v>
      </c>
      <c r="W2434">
        <v>0</v>
      </c>
      <c r="X2434">
        <v>0</v>
      </c>
      <c r="Y2434">
        <v>0</v>
      </c>
      <c r="Z2434">
        <v>0</v>
      </c>
    </row>
    <row r="2435" spans="1:26" x14ac:dyDescent="0.2">
      <c r="A2435" t="s">
        <v>2553</v>
      </c>
      <c r="B2435" t="s">
        <v>77</v>
      </c>
      <c r="C2435">
        <v>2015</v>
      </c>
      <c r="D2435" t="s">
        <v>40</v>
      </c>
      <c r="E2435" t="s">
        <v>71</v>
      </c>
      <c r="F2435" t="s">
        <v>49</v>
      </c>
      <c r="G2435">
        <v>53400</v>
      </c>
      <c r="H2435">
        <v>42720</v>
      </c>
      <c r="I2435" s="13">
        <v>0.75</v>
      </c>
      <c r="J2435" t="s">
        <v>6207</v>
      </c>
      <c r="K2435">
        <v>2</v>
      </c>
      <c r="L2435">
        <v>1</v>
      </c>
      <c r="M2435" t="s">
        <v>0</v>
      </c>
      <c r="N2435" s="2">
        <v>0.53</v>
      </c>
      <c r="O2435" s="2">
        <v>0.47</v>
      </c>
      <c r="P2435">
        <v>21</v>
      </c>
      <c r="Q2435">
        <v>17</v>
      </c>
      <c r="R2435">
        <v>5</v>
      </c>
      <c r="S2435">
        <v>5</v>
      </c>
      <c r="T2435">
        <v>13</v>
      </c>
      <c r="U2435">
        <v>15</v>
      </c>
      <c r="V2435">
        <v>3</v>
      </c>
      <c r="W2435">
        <v>1</v>
      </c>
      <c r="X2435">
        <v>0</v>
      </c>
      <c r="Y2435">
        <v>0</v>
      </c>
      <c r="Z2435">
        <v>0</v>
      </c>
    </row>
    <row r="2436" spans="1:26" x14ac:dyDescent="0.2">
      <c r="A2436" t="s">
        <v>2554</v>
      </c>
      <c r="B2436" t="s">
        <v>41</v>
      </c>
      <c r="C2436">
        <v>2015</v>
      </c>
      <c r="D2436" t="s">
        <v>79</v>
      </c>
      <c r="E2436" t="s">
        <v>73</v>
      </c>
      <c r="F2436" t="s">
        <v>20</v>
      </c>
      <c r="G2436">
        <v>25486</v>
      </c>
      <c r="H2436">
        <v>20388.800000000003</v>
      </c>
      <c r="I2436" s="13">
        <v>0</v>
      </c>
      <c r="J2436" t="s">
        <v>6207</v>
      </c>
      <c r="K2436">
        <v>1</v>
      </c>
      <c r="L2436">
        <v>0</v>
      </c>
      <c r="M2436" t="s">
        <v>0</v>
      </c>
      <c r="N2436" s="2">
        <v>0.43</v>
      </c>
      <c r="O2436" s="2">
        <v>0.56999999999999995</v>
      </c>
      <c r="P2436">
        <v>13</v>
      </c>
      <c r="Q2436">
        <v>15</v>
      </c>
      <c r="R2436">
        <v>8</v>
      </c>
      <c r="S2436">
        <v>5</v>
      </c>
      <c r="T2436">
        <v>11</v>
      </c>
      <c r="U2436">
        <v>13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 spans="1:26" x14ac:dyDescent="0.2">
      <c r="A2437" t="s">
        <v>2555</v>
      </c>
      <c r="B2437" t="s">
        <v>61</v>
      </c>
      <c r="C2437">
        <v>2015</v>
      </c>
      <c r="D2437" t="s">
        <v>86</v>
      </c>
      <c r="E2437" t="s">
        <v>48</v>
      </c>
      <c r="F2437" t="s">
        <v>86</v>
      </c>
      <c r="G2437">
        <v>11364</v>
      </c>
      <c r="H2437">
        <v>9091.2000000000007</v>
      </c>
      <c r="I2437" s="13">
        <v>1</v>
      </c>
      <c r="J2437" t="s">
        <v>6207</v>
      </c>
      <c r="K2437">
        <v>2</v>
      </c>
      <c r="L2437">
        <v>1</v>
      </c>
      <c r="M2437" t="s">
        <v>0</v>
      </c>
      <c r="N2437" s="2">
        <v>0.43</v>
      </c>
      <c r="O2437" s="2">
        <v>0.56999999999999995</v>
      </c>
      <c r="P2437">
        <v>14</v>
      </c>
      <c r="Q2437">
        <v>13</v>
      </c>
      <c r="R2437">
        <v>4</v>
      </c>
      <c r="S2437">
        <v>7</v>
      </c>
      <c r="T2437">
        <v>12</v>
      </c>
      <c r="U2437">
        <v>12</v>
      </c>
      <c r="V2437">
        <v>2</v>
      </c>
      <c r="W2437">
        <v>1</v>
      </c>
      <c r="X2437">
        <v>0</v>
      </c>
      <c r="Y2437">
        <v>0</v>
      </c>
      <c r="Z2437">
        <v>0</v>
      </c>
    </row>
    <row r="2438" spans="1:26" x14ac:dyDescent="0.2">
      <c r="A2438" t="s">
        <v>2556</v>
      </c>
      <c r="B2438" t="s">
        <v>60</v>
      </c>
      <c r="C2438">
        <v>2015</v>
      </c>
      <c r="D2438" t="s">
        <v>42</v>
      </c>
      <c r="E2438" t="s">
        <v>46</v>
      </c>
      <c r="F2438" t="s">
        <v>38</v>
      </c>
      <c r="G2438">
        <v>42918</v>
      </c>
      <c r="H2438">
        <v>34334.400000000001</v>
      </c>
      <c r="I2438" s="13">
        <v>0</v>
      </c>
      <c r="J2438" t="s">
        <v>6208</v>
      </c>
      <c r="K2438">
        <v>0</v>
      </c>
      <c r="L2438">
        <v>2</v>
      </c>
      <c r="M2438" t="s">
        <v>1</v>
      </c>
      <c r="N2438" s="2">
        <v>0.46</v>
      </c>
      <c r="O2438" s="2">
        <v>0.54</v>
      </c>
      <c r="P2438">
        <v>11</v>
      </c>
      <c r="Q2438">
        <v>9</v>
      </c>
      <c r="R2438">
        <v>5</v>
      </c>
      <c r="S2438">
        <v>5</v>
      </c>
      <c r="T2438">
        <v>8</v>
      </c>
      <c r="U2438">
        <v>7</v>
      </c>
      <c r="V2438">
        <v>0</v>
      </c>
      <c r="W2438">
        <v>0</v>
      </c>
      <c r="X2438">
        <v>0</v>
      </c>
      <c r="Y2438">
        <v>0</v>
      </c>
      <c r="Z2438">
        <v>1</v>
      </c>
    </row>
    <row r="2439" spans="1:26" x14ac:dyDescent="0.2">
      <c r="A2439" t="s">
        <v>2557</v>
      </c>
      <c r="B2439" t="s">
        <v>74</v>
      </c>
      <c r="C2439">
        <v>2015</v>
      </c>
      <c r="D2439" t="s">
        <v>51</v>
      </c>
      <c r="E2439" t="s">
        <v>64</v>
      </c>
      <c r="F2439" t="s">
        <v>20</v>
      </c>
      <c r="G2439">
        <v>36284</v>
      </c>
      <c r="H2439">
        <v>29027.200000000001</v>
      </c>
      <c r="I2439" s="13">
        <v>0.25</v>
      </c>
      <c r="J2439" t="s">
        <v>6208</v>
      </c>
      <c r="K2439">
        <v>1</v>
      </c>
      <c r="L2439">
        <v>2</v>
      </c>
      <c r="M2439" t="s">
        <v>1</v>
      </c>
      <c r="N2439" s="2">
        <v>0.57999999999999996</v>
      </c>
      <c r="O2439" s="2">
        <v>0.42</v>
      </c>
      <c r="P2439">
        <v>18</v>
      </c>
      <c r="Q2439">
        <v>15</v>
      </c>
      <c r="R2439">
        <v>6</v>
      </c>
      <c r="S2439">
        <v>2</v>
      </c>
      <c r="T2439">
        <v>13</v>
      </c>
      <c r="U2439">
        <v>14</v>
      </c>
      <c r="V2439">
        <v>2</v>
      </c>
      <c r="W2439">
        <v>2</v>
      </c>
      <c r="X2439">
        <v>0</v>
      </c>
      <c r="Y2439">
        <v>0</v>
      </c>
      <c r="Z2439">
        <v>0</v>
      </c>
    </row>
    <row r="2440" spans="1:26" x14ac:dyDescent="0.2">
      <c r="A2440" t="s">
        <v>2558</v>
      </c>
      <c r="B2440" t="s">
        <v>76</v>
      </c>
      <c r="C2440">
        <v>2015</v>
      </c>
      <c r="D2440" t="s">
        <v>26</v>
      </c>
      <c r="E2440" t="s">
        <v>63</v>
      </c>
      <c r="F2440" t="s">
        <v>26</v>
      </c>
      <c r="G2440">
        <v>61276</v>
      </c>
      <c r="H2440">
        <v>49020.800000000003</v>
      </c>
      <c r="I2440" s="13">
        <v>0</v>
      </c>
      <c r="J2440" t="s">
        <v>6207</v>
      </c>
      <c r="K2440">
        <v>2</v>
      </c>
      <c r="L2440">
        <v>2</v>
      </c>
      <c r="M2440" t="s">
        <v>58</v>
      </c>
      <c r="N2440" s="2">
        <v>0.7</v>
      </c>
      <c r="O2440" s="2">
        <v>0.3</v>
      </c>
      <c r="P2440">
        <v>11</v>
      </c>
      <c r="Q2440">
        <v>8</v>
      </c>
      <c r="R2440">
        <v>4</v>
      </c>
      <c r="S2440">
        <v>4</v>
      </c>
      <c r="T2440">
        <v>7</v>
      </c>
      <c r="U2440">
        <v>10</v>
      </c>
      <c r="V2440">
        <v>0</v>
      </c>
      <c r="W2440">
        <v>0</v>
      </c>
      <c r="X2440">
        <v>0</v>
      </c>
      <c r="Y2440">
        <v>0</v>
      </c>
      <c r="Z2440">
        <v>0</v>
      </c>
    </row>
    <row r="2441" spans="1:26" x14ac:dyDescent="0.2">
      <c r="A2441" t="s">
        <v>2559</v>
      </c>
      <c r="B2441" t="s">
        <v>44</v>
      </c>
      <c r="C2441">
        <v>2015</v>
      </c>
      <c r="D2441" t="s">
        <v>80</v>
      </c>
      <c r="E2441" t="s">
        <v>18</v>
      </c>
      <c r="F2441" t="s">
        <v>80</v>
      </c>
      <c r="G2441">
        <v>32261</v>
      </c>
      <c r="H2441">
        <v>25808.800000000003</v>
      </c>
      <c r="I2441" s="13">
        <v>0.5</v>
      </c>
      <c r="J2441" t="s">
        <v>6207</v>
      </c>
      <c r="K2441">
        <v>2</v>
      </c>
      <c r="L2441">
        <v>1</v>
      </c>
      <c r="M2441" t="s">
        <v>0</v>
      </c>
      <c r="N2441" s="2">
        <v>0.35</v>
      </c>
      <c r="O2441" s="2">
        <v>0.65</v>
      </c>
      <c r="P2441">
        <v>11</v>
      </c>
      <c r="Q2441">
        <v>16</v>
      </c>
      <c r="R2441">
        <v>1</v>
      </c>
      <c r="S2441">
        <v>8</v>
      </c>
      <c r="T2441">
        <v>16</v>
      </c>
      <c r="U2441">
        <v>8</v>
      </c>
      <c r="V2441">
        <v>2</v>
      </c>
      <c r="W2441">
        <v>0</v>
      </c>
      <c r="X2441">
        <v>0</v>
      </c>
      <c r="Y2441">
        <v>0</v>
      </c>
      <c r="Z2441">
        <v>0</v>
      </c>
    </row>
    <row r="2442" spans="1:26" x14ac:dyDescent="0.2">
      <c r="A2442" t="s">
        <v>2560</v>
      </c>
      <c r="B2442" t="s">
        <v>41</v>
      </c>
      <c r="C2442">
        <v>2015</v>
      </c>
      <c r="D2442" t="s">
        <v>63</v>
      </c>
      <c r="E2442" t="s">
        <v>86</v>
      </c>
      <c r="F2442" t="s">
        <v>65</v>
      </c>
      <c r="G2442">
        <v>26804</v>
      </c>
      <c r="H2442">
        <v>21443.200000000001</v>
      </c>
      <c r="I2442" s="13">
        <v>0.4</v>
      </c>
      <c r="J2442" t="s">
        <v>6207</v>
      </c>
      <c r="K2442">
        <v>1</v>
      </c>
      <c r="L2442">
        <v>2</v>
      </c>
      <c r="M2442" t="s">
        <v>1</v>
      </c>
      <c r="N2442" s="2">
        <v>0.32</v>
      </c>
      <c r="O2442" s="2">
        <v>0.68</v>
      </c>
      <c r="P2442">
        <v>12</v>
      </c>
      <c r="Q2442">
        <v>10</v>
      </c>
      <c r="R2442">
        <v>4</v>
      </c>
      <c r="S2442">
        <v>8</v>
      </c>
      <c r="T2442">
        <v>12</v>
      </c>
      <c r="U2442">
        <v>9</v>
      </c>
      <c r="V2442">
        <v>2</v>
      </c>
      <c r="W2442">
        <v>1</v>
      </c>
      <c r="X2442">
        <v>2</v>
      </c>
      <c r="Y2442">
        <v>0</v>
      </c>
      <c r="Z2442">
        <v>1</v>
      </c>
    </row>
    <row r="2443" spans="1:26" x14ac:dyDescent="0.2">
      <c r="A2443" t="s">
        <v>2561</v>
      </c>
      <c r="B2443" t="s">
        <v>77</v>
      </c>
      <c r="C2443">
        <v>2015</v>
      </c>
      <c r="D2443" t="s">
        <v>27</v>
      </c>
      <c r="E2443" t="s">
        <v>79</v>
      </c>
      <c r="F2443" t="s">
        <v>27</v>
      </c>
      <c r="G2443">
        <v>30089</v>
      </c>
      <c r="H2443">
        <v>24071.200000000001</v>
      </c>
      <c r="I2443" s="13">
        <v>1</v>
      </c>
      <c r="J2443" t="s">
        <v>6207</v>
      </c>
      <c r="K2443">
        <v>1</v>
      </c>
      <c r="L2443">
        <v>2</v>
      </c>
      <c r="M2443" t="s">
        <v>1</v>
      </c>
      <c r="N2443" s="2">
        <v>0.59</v>
      </c>
      <c r="O2443" s="2">
        <v>0.41</v>
      </c>
      <c r="P2443">
        <v>12</v>
      </c>
      <c r="Q2443">
        <v>5</v>
      </c>
      <c r="R2443">
        <v>7</v>
      </c>
      <c r="S2443">
        <v>3</v>
      </c>
      <c r="T2443">
        <v>6</v>
      </c>
      <c r="U2443">
        <v>12</v>
      </c>
      <c r="V2443">
        <v>2</v>
      </c>
      <c r="W2443">
        <v>0</v>
      </c>
      <c r="X2443">
        <v>0</v>
      </c>
      <c r="Y2443">
        <v>0</v>
      </c>
      <c r="Z2443">
        <v>2</v>
      </c>
    </row>
    <row r="2444" spans="1:26" x14ac:dyDescent="0.2">
      <c r="A2444" t="s">
        <v>2562</v>
      </c>
      <c r="B2444" t="s">
        <v>60</v>
      </c>
      <c r="C2444">
        <v>2015</v>
      </c>
      <c r="D2444" t="s">
        <v>73</v>
      </c>
      <c r="E2444" t="s">
        <v>51</v>
      </c>
      <c r="F2444" t="s">
        <v>73</v>
      </c>
      <c r="G2444">
        <v>32384</v>
      </c>
      <c r="H2444">
        <v>25907.200000000001</v>
      </c>
      <c r="I2444" s="13">
        <v>0.5</v>
      </c>
      <c r="J2444" t="s">
        <v>6208</v>
      </c>
      <c r="K2444">
        <v>0</v>
      </c>
      <c r="L2444">
        <v>2</v>
      </c>
      <c r="M2444" t="s">
        <v>1</v>
      </c>
      <c r="N2444" s="2">
        <v>0.51</v>
      </c>
      <c r="O2444" s="2">
        <v>0.49</v>
      </c>
      <c r="P2444">
        <v>11</v>
      </c>
      <c r="Q2444">
        <v>23</v>
      </c>
      <c r="R2444">
        <v>4</v>
      </c>
      <c r="S2444">
        <v>7</v>
      </c>
      <c r="T2444">
        <v>18</v>
      </c>
      <c r="U2444">
        <v>9</v>
      </c>
      <c r="V2444">
        <v>1</v>
      </c>
      <c r="W2444">
        <v>1</v>
      </c>
      <c r="X2444">
        <v>0</v>
      </c>
      <c r="Y2444">
        <v>0</v>
      </c>
      <c r="Z2444">
        <v>0</v>
      </c>
    </row>
    <row r="2445" spans="1:26" x14ac:dyDescent="0.2">
      <c r="A2445" t="s">
        <v>2563</v>
      </c>
      <c r="B2445" t="s">
        <v>66</v>
      </c>
      <c r="C2445">
        <v>2015</v>
      </c>
      <c r="D2445" t="s">
        <v>48</v>
      </c>
      <c r="E2445" t="s">
        <v>69</v>
      </c>
      <c r="F2445" t="s">
        <v>49</v>
      </c>
      <c r="G2445">
        <v>74197</v>
      </c>
      <c r="H2445">
        <v>59357.600000000006</v>
      </c>
      <c r="I2445" s="13">
        <v>0.5</v>
      </c>
      <c r="J2445" t="s">
        <v>6207</v>
      </c>
      <c r="K2445">
        <v>1</v>
      </c>
      <c r="L2445">
        <v>2</v>
      </c>
      <c r="M2445" t="s">
        <v>1</v>
      </c>
      <c r="N2445" s="2">
        <v>0.7</v>
      </c>
      <c r="O2445" s="2">
        <v>0.3</v>
      </c>
      <c r="P2445">
        <v>12</v>
      </c>
      <c r="Q2445">
        <v>6</v>
      </c>
      <c r="R2445">
        <v>11</v>
      </c>
      <c r="S2445">
        <v>0</v>
      </c>
      <c r="T2445">
        <v>4</v>
      </c>
      <c r="U2445">
        <v>10</v>
      </c>
      <c r="V2445">
        <v>0</v>
      </c>
      <c r="W2445">
        <v>2</v>
      </c>
      <c r="X2445">
        <v>0</v>
      </c>
      <c r="Y2445">
        <v>0</v>
      </c>
      <c r="Z2445">
        <v>0</v>
      </c>
    </row>
    <row r="2446" spans="1:26" x14ac:dyDescent="0.2">
      <c r="A2446" t="s">
        <v>2564</v>
      </c>
      <c r="B2446" t="s">
        <v>68</v>
      </c>
      <c r="C2446">
        <v>2015</v>
      </c>
      <c r="D2446" t="s">
        <v>45</v>
      </c>
      <c r="E2446" t="s">
        <v>80</v>
      </c>
      <c r="F2446" t="s">
        <v>26</v>
      </c>
      <c r="G2446">
        <v>39572</v>
      </c>
      <c r="H2446">
        <v>31657.600000000002</v>
      </c>
      <c r="I2446" s="13">
        <v>0.66666666666666663</v>
      </c>
      <c r="J2446" t="s">
        <v>6207</v>
      </c>
      <c r="K2446">
        <v>2</v>
      </c>
      <c r="L2446">
        <v>3</v>
      </c>
      <c r="M2446" t="s">
        <v>1</v>
      </c>
      <c r="N2446" s="2">
        <v>0.67</v>
      </c>
      <c r="O2446" s="2">
        <v>0.33</v>
      </c>
      <c r="P2446">
        <v>16</v>
      </c>
      <c r="Q2446">
        <v>6</v>
      </c>
      <c r="R2446">
        <v>10</v>
      </c>
      <c r="S2446">
        <v>2</v>
      </c>
      <c r="T2446">
        <v>6</v>
      </c>
      <c r="U2446">
        <v>14</v>
      </c>
      <c r="V2446">
        <v>2</v>
      </c>
      <c r="W2446">
        <v>1</v>
      </c>
      <c r="X2446">
        <v>0</v>
      </c>
      <c r="Y2446">
        <v>0</v>
      </c>
      <c r="Z2446">
        <v>2</v>
      </c>
    </row>
    <row r="2447" spans="1:26" x14ac:dyDescent="0.2">
      <c r="A2447" t="s">
        <v>2565</v>
      </c>
      <c r="B2447" t="s">
        <v>74</v>
      </c>
      <c r="C2447">
        <v>2015</v>
      </c>
      <c r="D2447" t="s">
        <v>18</v>
      </c>
      <c r="E2447" t="s">
        <v>35</v>
      </c>
      <c r="F2447" t="s">
        <v>20</v>
      </c>
      <c r="G2447">
        <v>40341</v>
      </c>
      <c r="H2447">
        <v>32272.800000000003</v>
      </c>
      <c r="I2447" s="13">
        <v>0.75</v>
      </c>
      <c r="J2447" t="s">
        <v>6208</v>
      </c>
      <c r="K2447">
        <v>3</v>
      </c>
      <c r="L2447">
        <v>1</v>
      </c>
      <c r="M2447" t="s">
        <v>0</v>
      </c>
      <c r="N2447" s="2">
        <v>0.68</v>
      </c>
      <c r="O2447" s="2">
        <v>0.32</v>
      </c>
      <c r="P2447">
        <v>14</v>
      </c>
      <c r="Q2447">
        <v>12</v>
      </c>
      <c r="R2447">
        <v>2</v>
      </c>
      <c r="S2447">
        <v>2</v>
      </c>
      <c r="T2447">
        <v>12</v>
      </c>
      <c r="U2447">
        <v>12</v>
      </c>
      <c r="V2447">
        <v>1</v>
      </c>
      <c r="W2447">
        <v>3</v>
      </c>
      <c r="X2447">
        <v>0</v>
      </c>
      <c r="Y2447">
        <v>0</v>
      </c>
      <c r="Z2447">
        <v>1</v>
      </c>
    </row>
    <row r="2448" spans="1:26" x14ac:dyDescent="0.2">
      <c r="A2448" t="s">
        <v>2566</v>
      </c>
      <c r="B2448" t="s">
        <v>32</v>
      </c>
      <c r="C2448">
        <v>2015</v>
      </c>
      <c r="D2448" t="s">
        <v>64</v>
      </c>
      <c r="E2448" t="s">
        <v>42</v>
      </c>
      <c r="F2448" t="s">
        <v>64</v>
      </c>
      <c r="G2448">
        <v>52264</v>
      </c>
      <c r="H2448">
        <v>41811.200000000004</v>
      </c>
      <c r="I2448" s="13">
        <v>0.5</v>
      </c>
      <c r="J2448" t="s">
        <v>6207</v>
      </c>
      <c r="K2448">
        <v>1</v>
      </c>
      <c r="L2448">
        <v>1</v>
      </c>
      <c r="M2448" t="s">
        <v>58</v>
      </c>
      <c r="N2448" s="2">
        <v>0.47</v>
      </c>
      <c r="O2448" s="2">
        <v>0.53</v>
      </c>
      <c r="P2448">
        <v>14</v>
      </c>
      <c r="Q2448">
        <v>9</v>
      </c>
      <c r="R2448">
        <v>3</v>
      </c>
      <c r="S2448">
        <v>7</v>
      </c>
      <c r="T2448">
        <v>9</v>
      </c>
      <c r="U2448">
        <v>14</v>
      </c>
      <c r="V2448">
        <v>1</v>
      </c>
      <c r="W2448">
        <v>3</v>
      </c>
      <c r="X2448">
        <v>0</v>
      </c>
      <c r="Y2448">
        <v>0</v>
      </c>
      <c r="Z2448">
        <v>0</v>
      </c>
    </row>
    <row r="2449" spans="1:26" x14ac:dyDescent="0.2">
      <c r="A2449" t="s">
        <v>2567</v>
      </c>
      <c r="B2449" t="s">
        <v>44</v>
      </c>
      <c r="C2449">
        <v>2015</v>
      </c>
      <c r="D2449" t="s">
        <v>85</v>
      </c>
      <c r="E2449" t="s">
        <v>26</v>
      </c>
      <c r="F2449" t="s">
        <v>85</v>
      </c>
      <c r="G2449">
        <v>22220</v>
      </c>
      <c r="H2449">
        <v>17776</v>
      </c>
      <c r="I2449" s="13">
        <v>1</v>
      </c>
      <c r="J2449" t="s">
        <v>6207</v>
      </c>
      <c r="K2449">
        <v>3</v>
      </c>
      <c r="L2449">
        <v>0</v>
      </c>
      <c r="M2449" t="s">
        <v>0</v>
      </c>
      <c r="N2449" s="2">
        <v>0.34</v>
      </c>
      <c r="O2449" s="2">
        <v>0.66</v>
      </c>
      <c r="P2449">
        <v>19</v>
      </c>
      <c r="Q2449">
        <v>7</v>
      </c>
      <c r="R2449">
        <v>7</v>
      </c>
      <c r="S2449">
        <v>9</v>
      </c>
      <c r="T2449">
        <v>6</v>
      </c>
      <c r="U2449">
        <v>9</v>
      </c>
      <c r="V2449">
        <v>1</v>
      </c>
      <c r="W2449">
        <v>0</v>
      </c>
      <c r="X2449">
        <v>0</v>
      </c>
      <c r="Y2449">
        <v>0</v>
      </c>
      <c r="Z2449">
        <v>0</v>
      </c>
    </row>
    <row r="2450" spans="1:26" x14ac:dyDescent="0.2">
      <c r="A2450" t="s">
        <v>2568</v>
      </c>
      <c r="B2450" t="s">
        <v>50</v>
      </c>
      <c r="C2450">
        <v>2015</v>
      </c>
      <c r="D2450" t="s">
        <v>71</v>
      </c>
      <c r="E2450" t="s">
        <v>23</v>
      </c>
      <c r="F2450" t="s">
        <v>71</v>
      </c>
      <c r="G2450">
        <v>21088</v>
      </c>
      <c r="H2450">
        <v>16870.400000000001</v>
      </c>
      <c r="I2450" s="13">
        <v>0</v>
      </c>
      <c r="J2450" t="s">
        <v>6207</v>
      </c>
      <c r="K2450">
        <v>0</v>
      </c>
      <c r="L2450">
        <v>0</v>
      </c>
      <c r="M2450" t="s">
        <v>58</v>
      </c>
      <c r="N2450" s="2">
        <v>0.73</v>
      </c>
      <c r="O2450" s="2">
        <v>0.27</v>
      </c>
      <c r="P2450">
        <v>11</v>
      </c>
      <c r="Q2450">
        <v>9</v>
      </c>
      <c r="R2450">
        <v>8</v>
      </c>
      <c r="S2450">
        <v>9</v>
      </c>
      <c r="T2450">
        <v>6</v>
      </c>
      <c r="U2450">
        <v>9</v>
      </c>
      <c r="V2450">
        <v>0</v>
      </c>
      <c r="W2450">
        <v>1</v>
      </c>
      <c r="X2450">
        <v>0</v>
      </c>
      <c r="Y2450">
        <v>0</v>
      </c>
      <c r="Z2450">
        <v>0</v>
      </c>
    </row>
    <row r="2451" spans="1:26" x14ac:dyDescent="0.2">
      <c r="A2451" t="s">
        <v>2569</v>
      </c>
      <c r="B2451" t="s">
        <v>37</v>
      </c>
      <c r="C2451">
        <v>2015</v>
      </c>
      <c r="D2451" t="s">
        <v>46</v>
      </c>
      <c r="E2451" t="s">
        <v>40</v>
      </c>
      <c r="F2451" t="s">
        <v>20</v>
      </c>
      <c r="G2451">
        <v>60704</v>
      </c>
      <c r="H2451">
        <v>48563.200000000004</v>
      </c>
      <c r="I2451" s="13">
        <v>1</v>
      </c>
      <c r="J2451" t="s">
        <v>6206</v>
      </c>
      <c r="K2451">
        <v>2</v>
      </c>
      <c r="L2451">
        <v>1</v>
      </c>
      <c r="M2451" t="s">
        <v>0</v>
      </c>
      <c r="N2451" s="2">
        <v>0.37</v>
      </c>
      <c r="O2451" s="2">
        <v>0.63</v>
      </c>
      <c r="P2451">
        <v>16</v>
      </c>
      <c r="Q2451">
        <v>8</v>
      </c>
      <c r="R2451">
        <v>4</v>
      </c>
      <c r="S2451">
        <v>8</v>
      </c>
      <c r="T2451">
        <v>5</v>
      </c>
      <c r="U2451">
        <v>16</v>
      </c>
      <c r="V2451">
        <v>0</v>
      </c>
      <c r="W2451">
        <v>2</v>
      </c>
      <c r="X2451">
        <v>0</v>
      </c>
      <c r="Y2451">
        <v>0</v>
      </c>
      <c r="Z2451">
        <v>0</v>
      </c>
    </row>
    <row r="2452" spans="1:26" x14ac:dyDescent="0.2">
      <c r="A2452" t="s">
        <v>2570</v>
      </c>
      <c r="B2452" t="s">
        <v>60</v>
      </c>
      <c r="C2452">
        <v>2015</v>
      </c>
      <c r="D2452" t="s">
        <v>27</v>
      </c>
      <c r="E2452" t="s">
        <v>48</v>
      </c>
      <c r="F2452" t="s">
        <v>27</v>
      </c>
      <c r="G2452">
        <v>30089</v>
      </c>
      <c r="H2452">
        <v>24071.200000000001</v>
      </c>
      <c r="I2452" s="13">
        <v>0.66666666666666663</v>
      </c>
      <c r="J2452" t="s">
        <v>6208</v>
      </c>
      <c r="K2452">
        <v>2</v>
      </c>
      <c r="L2452">
        <v>0</v>
      </c>
      <c r="M2452" t="s">
        <v>0</v>
      </c>
      <c r="N2452" s="2">
        <v>0.42</v>
      </c>
      <c r="O2452" s="2">
        <v>0.57999999999999996</v>
      </c>
      <c r="P2452">
        <v>16</v>
      </c>
      <c r="Q2452">
        <v>18</v>
      </c>
      <c r="R2452">
        <v>1</v>
      </c>
      <c r="S2452">
        <v>12</v>
      </c>
      <c r="T2452">
        <v>13</v>
      </c>
      <c r="U2452">
        <v>16</v>
      </c>
      <c r="V2452">
        <v>1</v>
      </c>
      <c r="W2452">
        <v>2</v>
      </c>
      <c r="X2452">
        <v>0</v>
      </c>
      <c r="Y2452">
        <v>0</v>
      </c>
      <c r="Z2452">
        <v>0</v>
      </c>
    </row>
    <row r="2453" spans="1:26" x14ac:dyDescent="0.2">
      <c r="A2453" t="s">
        <v>2571</v>
      </c>
      <c r="B2453" t="s">
        <v>53</v>
      </c>
      <c r="C2453">
        <v>2015</v>
      </c>
      <c r="D2453" t="s">
        <v>51</v>
      </c>
      <c r="E2453" t="s">
        <v>69</v>
      </c>
      <c r="F2453" t="s">
        <v>20</v>
      </c>
      <c r="G2453">
        <v>36284</v>
      </c>
      <c r="H2453">
        <v>29027.200000000001</v>
      </c>
      <c r="I2453" s="13">
        <v>0.33333333333333331</v>
      </c>
      <c r="J2453" t="s">
        <v>6207</v>
      </c>
      <c r="K2453">
        <v>3</v>
      </c>
      <c r="L2453">
        <v>0</v>
      </c>
      <c r="M2453" t="s">
        <v>0</v>
      </c>
      <c r="N2453" s="2">
        <v>0.6</v>
      </c>
      <c r="O2453" s="2">
        <v>0.4</v>
      </c>
      <c r="P2453">
        <v>20</v>
      </c>
      <c r="Q2453">
        <v>7</v>
      </c>
      <c r="R2453">
        <v>9</v>
      </c>
      <c r="S2453">
        <v>4</v>
      </c>
      <c r="T2453">
        <v>4</v>
      </c>
      <c r="U2453">
        <v>13</v>
      </c>
      <c r="V2453">
        <v>1</v>
      </c>
      <c r="W2453">
        <v>2</v>
      </c>
      <c r="X2453">
        <v>0</v>
      </c>
      <c r="Y2453">
        <v>0</v>
      </c>
      <c r="Z2453">
        <v>1</v>
      </c>
    </row>
    <row r="2454" spans="1:26" x14ac:dyDescent="0.2">
      <c r="A2454" t="s">
        <v>2572</v>
      </c>
      <c r="B2454" t="s">
        <v>74</v>
      </c>
      <c r="C2454">
        <v>2015</v>
      </c>
      <c r="D2454" t="s">
        <v>71</v>
      </c>
      <c r="E2454" t="s">
        <v>63</v>
      </c>
      <c r="F2454" t="s">
        <v>71</v>
      </c>
      <c r="G2454">
        <v>21088</v>
      </c>
      <c r="H2454">
        <v>16870.400000000001</v>
      </c>
      <c r="I2454" s="13">
        <v>0.75</v>
      </c>
      <c r="J2454" t="s">
        <v>6208</v>
      </c>
      <c r="K2454">
        <v>1</v>
      </c>
      <c r="L2454">
        <v>0</v>
      </c>
      <c r="M2454" t="s">
        <v>0</v>
      </c>
      <c r="N2454" s="2">
        <v>0.56999999999999995</v>
      </c>
      <c r="O2454" s="2">
        <v>0.43</v>
      </c>
      <c r="P2454">
        <v>16</v>
      </c>
      <c r="Q2454">
        <v>11</v>
      </c>
      <c r="R2454">
        <v>0</v>
      </c>
      <c r="S2454">
        <v>7</v>
      </c>
      <c r="T2454">
        <v>10</v>
      </c>
      <c r="U2454">
        <v>13</v>
      </c>
      <c r="V2454">
        <v>1</v>
      </c>
      <c r="W2454">
        <v>3</v>
      </c>
      <c r="X2454">
        <v>0</v>
      </c>
      <c r="Y2454">
        <v>0</v>
      </c>
      <c r="Z2454">
        <v>0</v>
      </c>
    </row>
    <row r="2455" spans="1:26" x14ac:dyDescent="0.2">
      <c r="A2455" t="s">
        <v>2573</v>
      </c>
      <c r="B2455" t="s">
        <v>61</v>
      </c>
      <c r="C2455">
        <v>2015</v>
      </c>
      <c r="D2455" t="s">
        <v>40</v>
      </c>
      <c r="E2455" t="s">
        <v>35</v>
      </c>
      <c r="F2455" t="s">
        <v>49</v>
      </c>
      <c r="G2455">
        <v>53400</v>
      </c>
      <c r="H2455">
        <v>42720</v>
      </c>
      <c r="I2455" s="13">
        <v>0.5</v>
      </c>
      <c r="J2455" t="s">
        <v>6207</v>
      </c>
      <c r="K2455">
        <v>4</v>
      </c>
      <c r="L2455">
        <v>1</v>
      </c>
      <c r="M2455" t="s">
        <v>0</v>
      </c>
      <c r="N2455" s="2">
        <v>0.66</v>
      </c>
      <c r="O2455" s="2">
        <v>0.34</v>
      </c>
      <c r="P2455">
        <v>11</v>
      </c>
      <c r="Q2455">
        <v>13</v>
      </c>
      <c r="R2455">
        <v>5</v>
      </c>
      <c r="S2455">
        <v>1</v>
      </c>
      <c r="T2455">
        <v>10</v>
      </c>
      <c r="U2455">
        <v>11</v>
      </c>
      <c r="V2455">
        <v>1</v>
      </c>
      <c r="W2455">
        <v>1</v>
      </c>
      <c r="X2455">
        <v>0</v>
      </c>
      <c r="Y2455">
        <v>0</v>
      </c>
      <c r="Z2455">
        <v>1</v>
      </c>
    </row>
    <row r="2456" spans="1:26" x14ac:dyDescent="0.2">
      <c r="A2456" t="s">
        <v>2574</v>
      </c>
      <c r="B2456" t="s">
        <v>32</v>
      </c>
      <c r="C2456">
        <v>2015</v>
      </c>
      <c r="D2456" t="s">
        <v>26</v>
      </c>
      <c r="E2456" t="s">
        <v>80</v>
      </c>
      <c r="F2456" t="s">
        <v>26</v>
      </c>
      <c r="G2456">
        <v>61276</v>
      </c>
      <c r="H2456">
        <v>49020.800000000003</v>
      </c>
      <c r="I2456" s="13">
        <v>0.66666666666666663</v>
      </c>
      <c r="J2456" t="s">
        <v>6207</v>
      </c>
      <c r="K2456">
        <v>1</v>
      </c>
      <c r="L2456">
        <v>0</v>
      </c>
      <c r="M2456" t="s">
        <v>0</v>
      </c>
      <c r="N2456" s="2">
        <v>0.65</v>
      </c>
      <c r="O2456" s="2">
        <v>0.35</v>
      </c>
      <c r="P2456">
        <v>9</v>
      </c>
      <c r="Q2456">
        <v>16</v>
      </c>
      <c r="R2456">
        <v>7</v>
      </c>
      <c r="S2456">
        <v>6</v>
      </c>
      <c r="T2456">
        <v>11</v>
      </c>
      <c r="U2456">
        <v>8</v>
      </c>
      <c r="V2456">
        <v>2</v>
      </c>
      <c r="W2456">
        <v>1</v>
      </c>
      <c r="X2456">
        <v>0</v>
      </c>
      <c r="Y2456">
        <v>0</v>
      </c>
      <c r="Z2456">
        <v>0</v>
      </c>
    </row>
    <row r="2457" spans="1:26" x14ac:dyDescent="0.2">
      <c r="A2457" t="s">
        <v>2575</v>
      </c>
      <c r="B2457" t="s">
        <v>37</v>
      </c>
      <c r="C2457">
        <v>2015</v>
      </c>
      <c r="D2457" t="s">
        <v>18</v>
      </c>
      <c r="E2457" t="s">
        <v>85</v>
      </c>
      <c r="F2457" t="s">
        <v>20</v>
      </c>
      <c r="G2457">
        <v>40341</v>
      </c>
      <c r="H2457">
        <v>32272.800000000003</v>
      </c>
      <c r="I2457" s="13">
        <v>0.8</v>
      </c>
      <c r="J2457" t="s">
        <v>6206</v>
      </c>
      <c r="K2457">
        <v>2</v>
      </c>
      <c r="L2457">
        <v>2</v>
      </c>
      <c r="M2457" t="s">
        <v>58</v>
      </c>
      <c r="N2457" s="2">
        <v>0.62</v>
      </c>
      <c r="O2457" s="2">
        <v>0.38</v>
      </c>
      <c r="P2457">
        <v>15</v>
      </c>
      <c r="Q2457">
        <v>7</v>
      </c>
      <c r="R2457">
        <v>9</v>
      </c>
      <c r="S2457">
        <v>4</v>
      </c>
      <c r="T2457">
        <v>7</v>
      </c>
      <c r="U2457">
        <v>15</v>
      </c>
      <c r="V2457">
        <v>1</v>
      </c>
      <c r="W2457">
        <v>4</v>
      </c>
      <c r="X2457">
        <v>0</v>
      </c>
      <c r="Y2457">
        <v>0</v>
      </c>
      <c r="Z2457">
        <v>2</v>
      </c>
    </row>
    <row r="2458" spans="1:26" x14ac:dyDescent="0.2">
      <c r="A2458" t="s">
        <v>2576</v>
      </c>
      <c r="B2458" t="s">
        <v>66</v>
      </c>
      <c r="C2458">
        <v>2015</v>
      </c>
      <c r="D2458" t="s">
        <v>86</v>
      </c>
      <c r="E2458" t="s">
        <v>79</v>
      </c>
      <c r="F2458" t="s">
        <v>86</v>
      </c>
      <c r="G2458">
        <v>11364</v>
      </c>
      <c r="H2458">
        <v>9091.2000000000007</v>
      </c>
      <c r="I2458" s="13">
        <v>1</v>
      </c>
      <c r="J2458" t="s">
        <v>6207</v>
      </c>
      <c r="K2458">
        <v>0</v>
      </c>
      <c r="L2458">
        <v>0</v>
      </c>
      <c r="M2458" t="s">
        <v>58</v>
      </c>
      <c r="N2458" s="2">
        <v>0.55000000000000004</v>
      </c>
      <c r="O2458" s="2">
        <v>0.45</v>
      </c>
      <c r="P2458">
        <v>14</v>
      </c>
      <c r="Q2458">
        <v>12</v>
      </c>
      <c r="R2458">
        <v>8</v>
      </c>
      <c r="S2458">
        <v>9</v>
      </c>
      <c r="T2458">
        <v>10</v>
      </c>
      <c r="U2458">
        <v>13</v>
      </c>
      <c r="V2458">
        <v>1</v>
      </c>
      <c r="W2458">
        <v>0</v>
      </c>
      <c r="X2458">
        <v>0</v>
      </c>
      <c r="Y2458">
        <v>0</v>
      </c>
      <c r="Z2458">
        <v>0</v>
      </c>
    </row>
    <row r="2459" spans="1:26" x14ac:dyDescent="0.2">
      <c r="A2459" t="s">
        <v>2577</v>
      </c>
      <c r="B2459" t="s">
        <v>41</v>
      </c>
      <c r="C2459">
        <v>2015</v>
      </c>
      <c r="D2459" t="s">
        <v>42</v>
      </c>
      <c r="E2459" t="s">
        <v>23</v>
      </c>
      <c r="F2459" t="s">
        <v>38</v>
      </c>
      <c r="G2459">
        <v>42918</v>
      </c>
      <c r="H2459">
        <v>34334.400000000001</v>
      </c>
      <c r="I2459" s="13">
        <v>0.5</v>
      </c>
      <c r="J2459" t="s">
        <v>6207</v>
      </c>
      <c r="K2459">
        <v>1</v>
      </c>
      <c r="L2459">
        <v>1</v>
      </c>
      <c r="M2459" t="s">
        <v>58</v>
      </c>
      <c r="N2459" s="2">
        <v>0.59</v>
      </c>
      <c r="O2459" s="2">
        <v>0.41</v>
      </c>
      <c r="P2459">
        <v>13</v>
      </c>
      <c r="Q2459">
        <v>16</v>
      </c>
      <c r="R2459">
        <v>9</v>
      </c>
      <c r="S2459">
        <v>6</v>
      </c>
      <c r="T2459">
        <v>14</v>
      </c>
      <c r="U2459">
        <v>13</v>
      </c>
      <c r="V2459">
        <v>3</v>
      </c>
      <c r="W2459">
        <v>3</v>
      </c>
      <c r="X2459">
        <v>0</v>
      </c>
      <c r="Y2459">
        <v>0</v>
      </c>
      <c r="Z2459">
        <v>1</v>
      </c>
    </row>
    <row r="2460" spans="1:26" x14ac:dyDescent="0.2">
      <c r="A2460" t="s">
        <v>2578</v>
      </c>
      <c r="B2460" t="s">
        <v>50</v>
      </c>
      <c r="C2460">
        <v>2015</v>
      </c>
      <c r="D2460" t="s">
        <v>64</v>
      </c>
      <c r="E2460" t="s">
        <v>45</v>
      </c>
      <c r="F2460" t="s">
        <v>64</v>
      </c>
      <c r="G2460">
        <v>52264</v>
      </c>
      <c r="H2460">
        <v>41811.200000000004</v>
      </c>
      <c r="I2460" s="13">
        <v>0.25</v>
      </c>
      <c r="J2460" t="s">
        <v>6207</v>
      </c>
      <c r="K2460">
        <v>0</v>
      </c>
      <c r="L2460">
        <v>1</v>
      </c>
      <c r="M2460" t="s">
        <v>1</v>
      </c>
      <c r="N2460" s="2">
        <v>0.41</v>
      </c>
      <c r="O2460" s="2">
        <v>0.59</v>
      </c>
      <c r="P2460">
        <v>15</v>
      </c>
      <c r="Q2460">
        <v>16</v>
      </c>
      <c r="R2460">
        <v>3</v>
      </c>
      <c r="S2460">
        <v>7</v>
      </c>
      <c r="T2460">
        <v>16</v>
      </c>
      <c r="U2460">
        <v>12</v>
      </c>
      <c r="V2460">
        <v>2</v>
      </c>
      <c r="W2460">
        <v>2</v>
      </c>
      <c r="X2460">
        <v>0</v>
      </c>
      <c r="Y2460">
        <v>0</v>
      </c>
      <c r="Z2460">
        <v>0</v>
      </c>
    </row>
    <row r="2461" spans="1:26" x14ac:dyDescent="0.2">
      <c r="A2461" t="s">
        <v>2579</v>
      </c>
      <c r="B2461" t="s">
        <v>68</v>
      </c>
      <c r="C2461">
        <v>2015</v>
      </c>
      <c r="D2461" t="s">
        <v>73</v>
      </c>
      <c r="E2461" t="s">
        <v>46</v>
      </c>
      <c r="F2461" t="s">
        <v>73</v>
      </c>
      <c r="G2461">
        <v>32384</v>
      </c>
      <c r="H2461">
        <v>25907.200000000001</v>
      </c>
      <c r="I2461" s="13">
        <v>1</v>
      </c>
      <c r="J2461" t="s">
        <v>6207</v>
      </c>
      <c r="K2461">
        <v>4</v>
      </c>
      <c r="L2461">
        <v>0</v>
      </c>
      <c r="M2461" t="s">
        <v>0</v>
      </c>
      <c r="N2461" s="2">
        <v>0.35</v>
      </c>
      <c r="O2461" s="2">
        <v>0.65</v>
      </c>
      <c r="P2461">
        <v>10</v>
      </c>
      <c r="Q2461">
        <v>16</v>
      </c>
      <c r="R2461">
        <v>3</v>
      </c>
      <c r="S2461">
        <v>4</v>
      </c>
      <c r="T2461">
        <v>10</v>
      </c>
      <c r="U2461">
        <v>9</v>
      </c>
      <c r="V2461">
        <v>1</v>
      </c>
      <c r="W2461">
        <v>0</v>
      </c>
      <c r="X2461">
        <v>0</v>
      </c>
      <c r="Y2461">
        <v>0</v>
      </c>
      <c r="Z2461">
        <v>0</v>
      </c>
    </row>
    <row r="2462" spans="1:26" x14ac:dyDescent="0.2">
      <c r="A2462" t="s">
        <v>2580</v>
      </c>
      <c r="B2462" t="s">
        <v>53</v>
      </c>
      <c r="C2462">
        <v>2015</v>
      </c>
      <c r="D2462" t="s">
        <v>63</v>
      </c>
      <c r="E2462" t="s">
        <v>64</v>
      </c>
      <c r="F2462" t="s">
        <v>65</v>
      </c>
      <c r="G2462">
        <v>26804</v>
      </c>
      <c r="H2462">
        <v>21443.200000000001</v>
      </c>
      <c r="I2462" s="13">
        <v>0</v>
      </c>
      <c r="J2462" t="s">
        <v>6207</v>
      </c>
      <c r="K2462">
        <v>1</v>
      </c>
      <c r="L2462">
        <v>0</v>
      </c>
      <c r="M2462" t="s">
        <v>0</v>
      </c>
      <c r="N2462" s="2">
        <v>0.52</v>
      </c>
      <c r="O2462" s="2">
        <v>0.48</v>
      </c>
      <c r="P2462">
        <v>14</v>
      </c>
      <c r="Q2462">
        <v>10</v>
      </c>
      <c r="R2462">
        <v>18</v>
      </c>
      <c r="S2462">
        <v>6</v>
      </c>
      <c r="T2462">
        <v>7</v>
      </c>
      <c r="U2462">
        <v>13</v>
      </c>
      <c r="V2462">
        <v>0</v>
      </c>
      <c r="W2462">
        <v>0</v>
      </c>
      <c r="X2462">
        <v>0</v>
      </c>
      <c r="Y2462">
        <v>0</v>
      </c>
      <c r="Z2462">
        <v>0</v>
      </c>
    </row>
    <row r="2463" spans="1:26" x14ac:dyDescent="0.2">
      <c r="A2463" t="s">
        <v>2581</v>
      </c>
      <c r="B2463" t="s">
        <v>61</v>
      </c>
      <c r="C2463">
        <v>2015</v>
      </c>
      <c r="D2463" t="s">
        <v>85</v>
      </c>
      <c r="E2463" t="s">
        <v>51</v>
      </c>
      <c r="F2463" t="s">
        <v>85</v>
      </c>
      <c r="G2463">
        <v>22220</v>
      </c>
      <c r="H2463">
        <v>17776</v>
      </c>
      <c r="I2463" s="13">
        <v>0.7142857142857143</v>
      </c>
      <c r="J2463" t="s">
        <v>6207</v>
      </c>
      <c r="K2463">
        <v>1</v>
      </c>
      <c r="L2463">
        <v>2</v>
      </c>
      <c r="M2463" t="s">
        <v>1</v>
      </c>
      <c r="N2463" s="2">
        <v>0.37</v>
      </c>
      <c r="O2463" s="2">
        <v>0.63</v>
      </c>
      <c r="P2463">
        <v>13</v>
      </c>
      <c r="Q2463">
        <v>14</v>
      </c>
      <c r="R2463">
        <v>5</v>
      </c>
      <c r="S2463">
        <v>3</v>
      </c>
      <c r="T2463">
        <v>11</v>
      </c>
      <c r="U2463">
        <v>13</v>
      </c>
      <c r="V2463">
        <v>4</v>
      </c>
      <c r="W2463">
        <v>2</v>
      </c>
      <c r="X2463">
        <v>1</v>
      </c>
      <c r="Y2463">
        <v>0</v>
      </c>
      <c r="Z2463">
        <v>0</v>
      </c>
    </row>
    <row r="2464" spans="1:26" x14ac:dyDescent="0.2">
      <c r="A2464" t="s">
        <v>2582</v>
      </c>
      <c r="B2464" t="s">
        <v>83</v>
      </c>
      <c r="C2464">
        <v>2015</v>
      </c>
      <c r="D2464" t="s">
        <v>69</v>
      </c>
      <c r="E2464" t="s">
        <v>42</v>
      </c>
      <c r="F2464" t="s">
        <v>69</v>
      </c>
      <c r="G2464">
        <v>27359</v>
      </c>
      <c r="H2464">
        <v>21887.200000000001</v>
      </c>
      <c r="I2464" s="13">
        <v>0.42857142857142855</v>
      </c>
      <c r="J2464" t="s">
        <v>6208</v>
      </c>
      <c r="K2464">
        <v>2</v>
      </c>
      <c r="L2464">
        <v>0</v>
      </c>
      <c r="M2464" t="s">
        <v>0</v>
      </c>
      <c r="N2464" s="2">
        <v>0.48</v>
      </c>
      <c r="O2464" s="2">
        <v>0.52</v>
      </c>
      <c r="P2464">
        <v>21</v>
      </c>
      <c r="Q2464">
        <v>12</v>
      </c>
      <c r="R2464">
        <v>3</v>
      </c>
      <c r="S2464">
        <v>7</v>
      </c>
      <c r="T2464">
        <v>10</v>
      </c>
      <c r="U2464">
        <v>21</v>
      </c>
      <c r="V2464">
        <v>2</v>
      </c>
      <c r="W2464">
        <v>5</v>
      </c>
      <c r="X2464">
        <v>0</v>
      </c>
      <c r="Y2464">
        <v>0</v>
      </c>
      <c r="Z2464">
        <v>0</v>
      </c>
    </row>
    <row r="2465" spans="1:26" x14ac:dyDescent="0.2">
      <c r="A2465" t="s">
        <v>2583</v>
      </c>
      <c r="B2465" t="s">
        <v>44</v>
      </c>
      <c r="C2465">
        <v>2015</v>
      </c>
      <c r="D2465" t="s">
        <v>45</v>
      </c>
      <c r="E2465" t="s">
        <v>27</v>
      </c>
      <c r="F2465" t="s">
        <v>26</v>
      </c>
      <c r="G2465">
        <v>39572</v>
      </c>
      <c r="H2465">
        <v>31657.600000000002</v>
      </c>
      <c r="I2465" s="13">
        <v>0.66666666666666663</v>
      </c>
      <c r="J2465" t="s">
        <v>6207</v>
      </c>
      <c r="K2465">
        <v>3</v>
      </c>
      <c r="L2465">
        <v>4</v>
      </c>
      <c r="M2465" t="s">
        <v>1</v>
      </c>
      <c r="N2465" s="2">
        <v>0.51</v>
      </c>
      <c r="O2465" s="2">
        <v>0.49</v>
      </c>
      <c r="P2465">
        <v>17</v>
      </c>
      <c r="Q2465">
        <v>11</v>
      </c>
      <c r="R2465">
        <v>6</v>
      </c>
      <c r="S2465">
        <v>2</v>
      </c>
      <c r="T2465">
        <v>10</v>
      </c>
      <c r="U2465">
        <v>12</v>
      </c>
      <c r="V2465">
        <v>2</v>
      </c>
      <c r="W2465">
        <v>1</v>
      </c>
      <c r="X2465">
        <v>0</v>
      </c>
      <c r="Y2465">
        <v>0</v>
      </c>
      <c r="Z2465">
        <v>1</v>
      </c>
    </row>
    <row r="2466" spans="1:26" x14ac:dyDescent="0.2">
      <c r="A2466" t="s">
        <v>2584</v>
      </c>
      <c r="B2466" t="s">
        <v>67</v>
      </c>
      <c r="C2466">
        <v>2015</v>
      </c>
      <c r="D2466" t="s">
        <v>79</v>
      </c>
      <c r="E2466" t="s">
        <v>71</v>
      </c>
      <c r="F2466" t="s">
        <v>20</v>
      </c>
      <c r="G2466">
        <v>25486</v>
      </c>
      <c r="H2466">
        <v>20388.800000000003</v>
      </c>
      <c r="I2466" s="13">
        <v>0.6</v>
      </c>
      <c r="J2466" t="s">
        <v>6207</v>
      </c>
      <c r="K2466">
        <v>0</v>
      </c>
      <c r="L2466">
        <v>0</v>
      </c>
      <c r="M2466" t="s">
        <v>58</v>
      </c>
      <c r="N2466" s="2">
        <v>0.54</v>
      </c>
      <c r="O2466" s="2">
        <v>0.46</v>
      </c>
      <c r="P2466">
        <v>16</v>
      </c>
      <c r="Q2466">
        <v>15</v>
      </c>
      <c r="R2466">
        <v>7</v>
      </c>
      <c r="S2466">
        <v>4</v>
      </c>
      <c r="T2466">
        <v>11</v>
      </c>
      <c r="U2466">
        <v>16</v>
      </c>
      <c r="V2466">
        <v>3</v>
      </c>
      <c r="W2466">
        <v>2</v>
      </c>
      <c r="X2466">
        <v>0</v>
      </c>
      <c r="Y2466">
        <v>0</v>
      </c>
      <c r="Z2466">
        <v>0</v>
      </c>
    </row>
    <row r="2467" spans="1:26" x14ac:dyDescent="0.2">
      <c r="A2467" t="s">
        <v>2585</v>
      </c>
      <c r="B2467" t="s">
        <v>66</v>
      </c>
      <c r="C2467">
        <v>2015</v>
      </c>
      <c r="D2467" t="s">
        <v>23</v>
      </c>
      <c r="E2467" t="s">
        <v>73</v>
      </c>
      <c r="F2467" t="s">
        <v>20</v>
      </c>
      <c r="G2467">
        <v>62500</v>
      </c>
      <c r="H2467">
        <v>50000</v>
      </c>
      <c r="I2467" s="13">
        <v>0.5</v>
      </c>
      <c r="J2467" t="s">
        <v>6207</v>
      </c>
      <c r="K2467">
        <v>2</v>
      </c>
      <c r="L2467">
        <v>1</v>
      </c>
      <c r="M2467" t="s">
        <v>0</v>
      </c>
      <c r="N2467" s="2">
        <v>0.5</v>
      </c>
      <c r="O2467" s="2">
        <v>0.5</v>
      </c>
      <c r="P2467">
        <v>14</v>
      </c>
      <c r="Q2467">
        <v>7</v>
      </c>
      <c r="R2467">
        <v>4</v>
      </c>
      <c r="S2467">
        <v>7</v>
      </c>
      <c r="T2467">
        <v>6</v>
      </c>
      <c r="U2467">
        <v>12</v>
      </c>
      <c r="V2467">
        <v>1</v>
      </c>
      <c r="W2467">
        <v>3</v>
      </c>
      <c r="X2467">
        <v>0</v>
      </c>
      <c r="Y2467">
        <v>0</v>
      </c>
      <c r="Z2467">
        <v>0</v>
      </c>
    </row>
    <row r="2468" spans="1:26" x14ac:dyDescent="0.2">
      <c r="A2468" t="s">
        <v>2586</v>
      </c>
      <c r="B2468" t="s">
        <v>32</v>
      </c>
      <c r="C2468">
        <v>2015</v>
      </c>
      <c r="D2468" t="s">
        <v>48</v>
      </c>
      <c r="E2468" t="s">
        <v>18</v>
      </c>
      <c r="F2468" t="s">
        <v>49</v>
      </c>
      <c r="G2468">
        <v>74197</v>
      </c>
      <c r="H2468">
        <v>59357.600000000006</v>
      </c>
      <c r="I2468" s="13">
        <v>0.66666666666666663</v>
      </c>
      <c r="J2468" t="s">
        <v>6207</v>
      </c>
      <c r="K2468">
        <v>0</v>
      </c>
      <c r="L2468">
        <v>0</v>
      </c>
      <c r="M2468" t="s">
        <v>58</v>
      </c>
      <c r="N2468" s="2">
        <v>0.67</v>
      </c>
      <c r="O2468" s="2">
        <v>0.33</v>
      </c>
      <c r="P2468">
        <v>6</v>
      </c>
      <c r="Q2468">
        <v>18</v>
      </c>
      <c r="R2468">
        <v>5</v>
      </c>
      <c r="S2468">
        <v>3</v>
      </c>
      <c r="T2468">
        <v>16</v>
      </c>
      <c r="U2468">
        <v>6</v>
      </c>
      <c r="V2468">
        <v>4</v>
      </c>
      <c r="W2468">
        <v>2</v>
      </c>
      <c r="X2468">
        <v>0</v>
      </c>
      <c r="Y2468">
        <v>0</v>
      </c>
      <c r="Z2468">
        <v>0</v>
      </c>
    </row>
    <row r="2469" spans="1:26" x14ac:dyDescent="0.2">
      <c r="A2469" t="s">
        <v>2587</v>
      </c>
      <c r="B2469" t="s">
        <v>74</v>
      </c>
      <c r="C2469">
        <v>2015</v>
      </c>
      <c r="D2469" t="s">
        <v>46</v>
      </c>
      <c r="E2469" t="s">
        <v>86</v>
      </c>
      <c r="F2469" t="s">
        <v>20</v>
      </c>
      <c r="G2469">
        <v>60704</v>
      </c>
      <c r="H2469">
        <v>48563.200000000004</v>
      </c>
      <c r="I2469" s="13">
        <v>0</v>
      </c>
      <c r="J2469" t="s">
        <v>6208</v>
      </c>
      <c r="K2469">
        <v>2</v>
      </c>
      <c r="L2469">
        <v>0</v>
      </c>
      <c r="M2469" t="s">
        <v>0</v>
      </c>
      <c r="N2469" s="2">
        <v>0.51</v>
      </c>
      <c r="O2469" s="2">
        <v>0.49</v>
      </c>
      <c r="P2469">
        <v>9</v>
      </c>
      <c r="Q2469">
        <v>8</v>
      </c>
      <c r="R2469">
        <v>9</v>
      </c>
      <c r="S2469">
        <v>3</v>
      </c>
      <c r="T2469">
        <v>7</v>
      </c>
      <c r="U2469">
        <v>8</v>
      </c>
      <c r="V2469">
        <v>2</v>
      </c>
      <c r="W2469">
        <v>0</v>
      </c>
      <c r="X2469">
        <v>0</v>
      </c>
      <c r="Y2469">
        <v>0</v>
      </c>
      <c r="Z2469">
        <v>0</v>
      </c>
    </row>
    <row r="2470" spans="1:26" x14ac:dyDescent="0.2">
      <c r="A2470" t="s">
        <v>2588</v>
      </c>
      <c r="B2470" t="s">
        <v>76</v>
      </c>
      <c r="C2470">
        <v>2015</v>
      </c>
      <c r="D2470" t="s">
        <v>80</v>
      </c>
      <c r="E2470" t="s">
        <v>40</v>
      </c>
      <c r="F2470" t="s">
        <v>80</v>
      </c>
      <c r="G2470">
        <v>32261</v>
      </c>
      <c r="H2470">
        <v>25808.800000000003</v>
      </c>
      <c r="I2470" s="13">
        <v>0.75</v>
      </c>
      <c r="J2470" t="s">
        <v>6207</v>
      </c>
      <c r="K2470">
        <v>0</v>
      </c>
      <c r="L2470">
        <v>0</v>
      </c>
      <c r="M2470" t="s">
        <v>58</v>
      </c>
      <c r="N2470" s="2">
        <v>0.4</v>
      </c>
      <c r="O2470" s="2">
        <v>0.6</v>
      </c>
      <c r="P2470">
        <v>9</v>
      </c>
      <c r="Q2470">
        <v>12</v>
      </c>
      <c r="R2470">
        <v>1</v>
      </c>
      <c r="S2470">
        <v>13</v>
      </c>
      <c r="T2470">
        <v>11</v>
      </c>
      <c r="U2470">
        <v>8</v>
      </c>
      <c r="V2470">
        <v>1</v>
      </c>
      <c r="W2470">
        <v>3</v>
      </c>
      <c r="X2470">
        <v>0</v>
      </c>
      <c r="Y2470">
        <v>0</v>
      </c>
      <c r="Z2470">
        <v>0</v>
      </c>
    </row>
    <row r="2471" spans="1:26" x14ac:dyDescent="0.2">
      <c r="A2471" t="s">
        <v>2589</v>
      </c>
      <c r="B2471" t="s">
        <v>60</v>
      </c>
      <c r="C2471">
        <v>2015</v>
      </c>
      <c r="D2471" t="s">
        <v>35</v>
      </c>
      <c r="E2471" t="s">
        <v>26</v>
      </c>
      <c r="F2471" t="s">
        <v>35</v>
      </c>
      <c r="G2471">
        <v>49000</v>
      </c>
      <c r="H2471">
        <v>39200</v>
      </c>
      <c r="I2471" s="13">
        <v>1</v>
      </c>
      <c r="J2471" t="s">
        <v>6208</v>
      </c>
      <c r="K2471">
        <v>0</v>
      </c>
      <c r="L2471">
        <v>1</v>
      </c>
      <c r="M2471" t="s">
        <v>1</v>
      </c>
      <c r="N2471" s="2">
        <v>0.42</v>
      </c>
      <c r="O2471" s="2">
        <v>0.57999999999999996</v>
      </c>
      <c r="P2471">
        <v>16</v>
      </c>
      <c r="Q2471">
        <v>9</v>
      </c>
      <c r="R2471">
        <v>6</v>
      </c>
      <c r="S2471">
        <v>4</v>
      </c>
      <c r="T2471">
        <v>8</v>
      </c>
      <c r="U2471">
        <v>16</v>
      </c>
      <c r="V2471">
        <v>1</v>
      </c>
      <c r="W2471">
        <v>3</v>
      </c>
      <c r="X2471">
        <v>0</v>
      </c>
      <c r="Y2471">
        <v>0</v>
      </c>
      <c r="Z2471">
        <v>0</v>
      </c>
    </row>
    <row r="2472" spans="1:26" x14ac:dyDescent="0.2">
      <c r="A2472" t="s">
        <v>2590</v>
      </c>
      <c r="B2472" t="s">
        <v>77</v>
      </c>
      <c r="C2472">
        <v>2015</v>
      </c>
      <c r="D2472" t="s">
        <v>23</v>
      </c>
      <c r="E2472" t="s">
        <v>26</v>
      </c>
      <c r="F2472" t="s">
        <v>20</v>
      </c>
      <c r="G2472">
        <v>62500</v>
      </c>
      <c r="H2472">
        <v>50000</v>
      </c>
      <c r="I2472" s="13">
        <v>1</v>
      </c>
      <c r="J2472" t="s">
        <v>6207</v>
      </c>
      <c r="K2472">
        <v>2</v>
      </c>
      <c r="L2472">
        <v>0</v>
      </c>
      <c r="M2472" t="s">
        <v>0</v>
      </c>
      <c r="N2472" s="2">
        <v>0.35</v>
      </c>
      <c r="O2472" s="2">
        <v>0.65</v>
      </c>
      <c r="P2472">
        <v>12</v>
      </c>
      <c r="Q2472">
        <v>12</v>
      </c>
      <c r="R2472">
        <v>3</v>
      </c>
      <c r="S2472">
        <v>9</v>
      </c>
      <c r="T2472">
        <v>11</v>
      </c>
      <c r="U2472">
        <v>8</v>
      </c>
      <c r="V2472">
        <v>1</v>
      </c>
      <c r="W2472">
        <v>1</v>
      </c>
      <c r="X2472">
        <v>0</v>
      </c>
      <c r="Y2472">
        <v>0</v>
      </c>
      <c r="Z2472">
        <v>0</v>
      </c>
    </row>
    <row r="2473" spans="1:26" x14ac:dyDescent="0.2">
      <c r="A2473" t="s">
        <v>2591</v>
      </c>
      <c r="B2473" t="s">
        <v>50</v>
      </c>
      <c r="C2473">
        <v>2015</v>
      </c>
      <c r="D2473" t="s">
        <v>63</v>
      </c>
      <c r="E2473" t="s">
        <v>27</v>
      </c>
      <c r="F2473" t="s">
        <v>65</v>
      </c>
      <c r="G2473">
        <v>26804</v>
      </c>
      <c r="H2473">
        <v>21443.200000000001</v>
      </c>
      <c r="I2473" s="13">
        <v>0.66666666666666663</v>
      </c>
      <c r="J2473" t="s">
        <v>6207</v>
      </c>
      <c r="K2473">
        <v>2</v>
      </c>
      <c r="L2473">
        <v>1</v>
      </c>
      <c r="M2473" t="s">
        <v>0</v>
      </c>
      <c r="N2473" s="2">
        <v>0.46</v>
      </c>
      <c r="O2473" s="2">
        <v>0.54</v>
      </c>
      <c r="P2473">
        <v>16</v>
      </c>
      <c r="Q2473">
        <v>8</v>
      </c>
      <c r="R2473">
        <v>4</v>
      </c>
      <c r="S2473">
        <v>6</v>
      </c>
      <c r="T2473">
        <v>7</v>
      </c>
      <c r="U2473">
        <v>15</v>
      </c>
      <c r="V2473">
        <v>1</v>
      </c>
      <c r="W2473">
        <v>1</v>
      </c>
      <c r="X2473">
        <v>0</v>
      </c>
      <c r="Y2473">
        <v>1</v>
      </c>
      <c r="Z2473">
        <v>0</v>
      </c>
    </row>
    <row r="2474" spans="1:26" x14ac:dyDescent="0.2">
      <c r="A2474" t="s">
        <v>2592</v>
      </c>
      <c r="B2474" t="s">
        <v>76</v>
      </c>
      <c r="C2474">
        <v>2015</v>
      </c>
      <c r="D2474" t="s">
        <v>35</v>
      </c>
      <c r="E2474" t="s">
        <v>42</v>
      </c>
      <c r="F2474" t="s">
        <v>35</v>
      </c>
      <c r="G2474">
        <v>49000</v>
      </c>
      <c r="H2474">
        <v>39200</v>
      </c>
      <c r="I2474" s="13">
        <v>0.5714285714285714</v>
      </c>
      <c r="J2474" t="s">
        <v>6207</v>
      </c>
      <c r="K2474">
        <v>3</v>
      </c>
      <c r="L2474">
        <v>1</v>
      </c>
      <c r="M2474" t="s">
        <v>0</v>
      </c>
      <c r="N2474" s="2">
        <v>0.45</v>
      </c>
      <c r="O2474" s="2">
        <v>0.55000000000000004</v>
      </c>
      <c r="P2474">
        <v>15</v>
      </c>
      <c r="Q2474">
        <v>10</v>
      </c>
      <c r="R2474">
        <v>3</v>
      </c>
      <c r="S2474">
        <v>3</v>
      </c>
      <c r="T2474">
        <v>8</v>
      </c>
      <c r="U2474">
        <v>13</v>
      </c>
      <c r="V2474">
        <v>3</v>
      </c>
      <c r="W2474">
        <v>4</v>
      </c>
      <c r="X2474">
        <v>0</v>
      </c>
      <c r="Y2474">
        <v>0</v>
      </c>
      <c r="Z2474">
        <v>0</v>
      </c>
    </row>
    <row r="2475" spans="1:26" x14ac:dyDescent="0.2">
      <c r="A2475" t="s">
        <v>2593</v>
      </c>
      <c r="B2475" t="s">
        <v>44</v>
      </c>
      <c r="C2475">
        <v>2015</v>
      </c>
      <c r="D2475" t="s">
        <v>69</v>
      </c>
      <c r="E2475" t="s">
        <v>73</v>
      </c>
      <c r="F2475" t="s">
        <v>69</v>
      </c>
      <c r="G2475">
        <v>27359</v>
      </c>
      <c r="H2475">
        <v>21887.200000000001</v>
      </c>
      <c r="I2475" s="13">
        <v>0.33333333333333331</v>
      </c>
      <c r="J2475" t="s">
        <v>6207</v>
      </c>
      <c r="K2475">
        <v>1</v>
      </c>
      <c r="L2475">
        <v>0</v>
      </c>
      <c r="M2475" t="s">
        <v>0</v>
      </c>
      <c r="N2475" s="2">
        <v>0.41</v>
      </c>
      <c r="O2475" s="2">
        <v>0.59</v>
      </c>
      <c r="P2475">
        <v>9</v>
      </c>
      <c r="Q2475">
        <v>13</v>
      </c>
      <c r="R2475">
        <v>4</v>
      </c>
      <c r="S2475">
        <v>9</v>
      </c>
      <c r="T2475">
        <v>9</v>
      </c>
      <c r="U2475">
        <v>7</v>
      </c>
      <c r="V2475">
        <v>1</v>
      </c>
      <c r="W2475">
        <v>1</v>
      </c>
      <c r="X2475">
        <v>0</v>
      </c>
      <c r="Y2475">
        <v>1</v>
      </c>
      <c r="Z2475">
        <v>0</v>
      </c>
    </row>
    <row r="2476" spans="1:26" x14ac:dyDescent="0.2">
      <c r="A2476" t="s">
        <v>2594</v>
      </c>
      <c r="B2476" t="s">
        <v>68</v>
      </c>
      <c r="C2476">
        <v>2015</v>
      </c>
      <c r="D2476" t="s">
        <v>48</v>
      </c>
      <c r="E2476" t="s">
        <v>71</v>
      </c>
      <c r="F2476" t="s">
        <v>49</v>
      </c>
      <c r="G2476">
        <v>74197</v>
      </c>
      <c r="H2476">
        <v>59357.600000000006</v>
      </c>
      <c r="I2476" s="13">
        <v>0.66666666666666663</v>
      </c>
      <c r="J2476" t="s">
        <v>6207</v>
      </c>
      <c r="K2476">
        <v>2</v>
      </c>
      <c r="L2476">
        <v>1</v>
      </c>
      <c r="M2476" t="s">
        <v>0</v>
      </c>
      <c r="N2476" s="2">
        <v>0.54</v>
      </c>
      <c r="O2476" s="2">
        <v>0.46</v>
      </c>
      <c r="P2476">
        <v>11</v>
      </c>
      <c r="Q2476">
        <v>15</v>
      </c>
      <c r="R2476">
        <v>4</v>
      </c>
      <c r="S2476">
        <v>2</v>
      </c>
      <c r="T2476">
        <v>14</v>
      </c>
      <c r="U2476">
        <v>10</v>
      </c>
      <c r="V2476">
        <v>2</v>
      </c>
      <c r="W2476">
        <v>1</v>
      </c>
      <c r="X2476">
        <v>0</v>
      </c>
      <c r="Y2476">
        <v>0</v>
      </c>
      <c r="Z2476">
        <v>0</v>
      </c>
    </row>
    <row r="2477" spans="1:26" x14ac:dyDescent="0.2">
      <c r="A2477" t="s">
        <v>2595</v>
      </c>
      <c r="B2477" t="s">
        <v>37</v>
      </c>
      <c r="C2477">
        <v>2015</v>
      </c>
      <c r="D2477" t="s">
        <v>80</v>
      </c>
      <c r="E2477" t="s">
        <v>86</v>
      </c>
      <c r="F2477" t="s">
        <v>80</v>
      </c>
      <c r="G2477">
        <v>32261</v>
      </c>
      <c r="H2477">
        <v>25808.800000000003</v>
      </c>
      <c r="I2477" s="13">
        <v>0.33333333333333331</v>
      </c>
      <c r="J2477" t="s">
        <v>6206</v>
      </c>
      <c r="K2477">
        <v>0</v>
      </c>
      <c r="L2477">
        <v>0</v>
      </c>
      <c r="M2477" t="s">
        <v>58</v>
      </c>
      <c r="N2477" s="2">
        <v>0.53</v>
      </c>
      <c r="O2477" s="2">
        <v>0.47</v>
      </c>
      <c r="P2477">
        <v>6</v>
      </c>
      <c r="Q2477">
        <v>9</v>
      </c>
      <c r="R2477">
        <v>7</v>
      </c>
      <c r="S2477">
        <v>1</v>
      </c>
      <c r="T2477">
        <v>9</v>
      </c>
      <c r="U2477">
        <v>5</v>
      </c>
      <c r="V2477">
        <v>1</v>
      </c>
      <c r="W2477">
        <v>1</v>
      </c>
      <c r="X2477">
        <v>0</v>
      </c>
      <c r="Y2477">
        <v>1</v>
      </c>
      <c r="Z2477">
        <v>1</v>
      </c>
    </row>
    <row r="2478" spans="1:26" x14ac:dyDescent="0.2">
      <c r="A2478" t="s">
        <v>2596</v>
      </c>
      <c r="B2478" t="s">
        <v>61</v>
      </c>
      <c r="C2478">
        <v>2015</v>
      </c>
      <c r="D2478" t="s">
        <v>46</v>
      </c>
      <c r="E2478" t="s">
        <v>64</v>
      </c>
      <c r="F2478" t="s">
        <v>20</v>
      </c>
      <c r="G2478">
        <v>60704</v>
      </c>
      <c r="H2478">
        <v>48563.200000000004</v>
      </c>
      <c r="I2478" s="13">
        <v>0.75</v>
      </c>
      <c r="J2478" t="s">
        <v>6207</v>
      </c>
      <c r="K2478">
        <v>1</v>
      </c>
      <c r="L2478">
        <v>0</v>
      </c>
      <c r="M2478" t="s">
        <v>0</v>
      </c>
      <c r="N2478" s="2">
        <v>0.51</v>
      </c>
      <c r="O2478" s="2">
        <v>0.49</v>
      </c>
      <c r="P2478">
        <v>9</v>
      </c>
      <c r="Q2478">
        <v>12</v>
      </c>
      <c r="R2478">
        <v>7</v>
      </c>
      <c r="S2478">
        <v>4</v>
      </c>
      <c r="T2478">
        <v>10</v>
      </c>
      <c r="U2478">
        <v>9</v>
      </c>
      <c r="V2478">
        <v>2</v>
      </c>
      <c r="W2478">
        <v>2</v>
      </c>
      <c r="X2478">
        <v>0</v>
      </c>
      <c r="Y2478">
        <v>0</v>
      </c>
      <c r="Z2478">
        <v>0</v>
      </c>
    </row>
    <row r="2479" spans="1:26" x14ac:dyDescent="0.2">
      <c r="A2479" t="s">
        <v>2597</v>
      </c>
      <c r="B2479" t="s">
        <v>32</v>
      </c>
      <c r="C2479">
        <v>2015</v>
      </c>
      <c r="D2479" t="s">
        <v>85</v>
      </c>
      <c r="E2479" t="s">
        <v>40</v>
      </c>
      <c r="F2479" t="s">
        <v>85</v>
      </c>
      <c r="G2479">
        <v>22220</v>
      </c>
      <c r="H2479">
        <v>17776</v>
      </c>
      <c r="I2479" s="13">
        <v>1</v>
      </c>
      <c r="J2479" t="s">
        <v>6207</v>
      </c>
      <c r="K2479">
        <v>1</v>
      </c>
      <c r="L2479">
        <v>2</v>
      </c>
      <c r="M2479" t="s">
        <v>1</v>
      </c>
      <c r="N2479" s="2">
        <v>0.48</v>
      </c>
      <c r="O2479" s="2">
        <v>0.52</v>
      </c>
      <c r="P2479">
        <v>11</v>
      </c>
      <c r="Q2479">
        <v>7</v>
      </c>
      <c r="R2479">
        <v>4</v>
      </c>
      <c r="S2479">
        <v>5</v>
      </c>
      <c r="T2479">
        <v>6</v>
      </c>
      <c r="U2479">
        <v>10</v>
      </c>
      <c r="V2479">
        <v>1</v>
      </c>
      <c r="W2479">
        <v>0</v>
      </c>
      <c r="X2479">
        <v>0</v>
      </c>
      <c r="Y2479">
        <v>0</v>
      </c>
      <c r="Z2479">
        <v>0</v>
      </c>
    </row>
    <row r="2480" spans="1:26" x14ac:dyDescent="0.2">
      <c r="A2480" t="s">
        <v>2598</v>
      </c>
      <c r="B2480" t="s">
        <v>60</v>
      </c>
      <c r="C2480">
        <v>2015</v>
      </c>
      <c r="D2480" t="s">
        <v>79</v>
      </c>
      <c r="E2480" t="s">
        <v>18</v>
      </c>
      <c r="F2480" t="s">
        <v>20</v>
      </c>
      <c r="G2480">
        <v>25486</v>
      </c>
      <c r="H2480">
        <v>20388.800000000003</v>
      </c>
      <c r="I2480" s="13">
        <v>0.66666666666666663</v>
      </c>
      <c r="J2480" t="s">
        <v>6208</v>
      </c>
      <c r="K2480">
        <v>0</v>
      </c>
      <c r="L2480">
        <v>3</v>
      </c>
      <c r="M2480" t="s">
        <v>1</v>
      </c>
      <c r="N2480" s="2">
        <v>0.4</v>
      </c>
      <c r="O2480" s="2">
        <v>0.6</v>
      </c>
      <c r="P2480">
        <v>15</v>
      </c>
      <c r="Q2480">
        <v>12</v>
      </c>
      <c r="R2480">
        <v>5</v>
      </c>
      <c r="S2480">
        <v>7</v>
      </c>
      <c r="T2480">
        <v>12</v>
      </c>
      <c r="U2480">
        <v>15</v>
      </c>
      <c r="V2480">
        <v>3</v>
      </c>
      <c r="W2480">
        <v>0</v>
      </c>
      <c r="X2480">
        <v>0</v>
      </c>
      <c r="Y2480">
        <v>0</v>
      </c>
      <c r="Z2480">
        <v>0</v>
      </c>
    </row>
    <row r="2481" spans="1:26" x14ac:dyDescent="0.2">
      <c r="A2481" t="s">
        <v>2599</v>
      </c>
      <c r="B2481" t="s">
        <v>66</v>
      </c>
      <c r="C2481">
        <v>2015</v>
      </c>
      <c r="D2481" t="s">
        <v>45</v>
      </c>
      <c r="E2481" t="s">
        <v>51</v>
      </c>
      <c r="F2481" t="s">
        <v>26</v>
      </c>
      <c r="G2481">
        <v>39572</v>
      </c>
      <c r="H2481">
        <v>31657.600000000002</v>
      </c>
      <c r="I2481" s="13">
        <v>0.66666666666666663</v>
      </c>
      <c r="J2481" t="s">
        <v>6207</v>
      </c>
      <c r="K2481">
        <v>1</v>
      </c>
      <c r="L2481">
        <v>1</v>
      </c>
      <c r="M2481" t="s">
        <v>58</v>
      </c>
      <c r="N2481" s="2">
        <v>0.41</v>
      </c>
      <c r="O2481" s="2">
        <v>0.59</v>
      </c>
      <c r="P2481">
        <v>12</v>
      </c>
      <c r="Q2481">
        <v>12</v>
      </c>
      <c r="R2481">
        <v>4</v>
      </c>
      <c r="S2481">
        <v>4</v>
      </c>
      <c r="T2481">
        <v>8</v>
      </c>
      <c r="U2481">
        <v>11</v>
      </c>
      <c r="V2481">
        <v>1</v>
      </c>
      <c r="W2481">
        <v>2</v>
      </c>
      <c r="X2481">
        <v>0</v>
      </c>
      <c r="Y2481">
        <v>0</v>
      </c>
      <c r="Z2481">
        <v>0</v>
      </c>
    </row>
    <row r="2482" spans="1:26" x14ac:dyDescent="0.2">
      <c r="A2482" t="s">
        <v>2600</v>
      </c>
      <c r="B2482" t="s">
        <v>41</v>
      </c>
      <c r="C2482">
        <v>2015</v>
      </c>
      <c r="D2482" t="s">
        <v>64</v>
      </c>
      <c r="E2482" t="s">
        <v>48</v>
      </c>
      <c r="F2482" t="s">
        <v>64</v>
      </c>
      <c r="G2482">
        <v>52264</v>
      </c>
      <c r="H2482">
        <v>41811.200000000004</v>
      </c>
      <c r="I2482" s="13">
        <v>0.75</v>
      </c>
      <c r="J2482" t="s">
        <v>6207</v>
      </c>
      <c r="K2482">
        <v>3</v>
      </c>
      <c r="L2482">
        <v>3</v>
      </c>
      <c r="M2482" t="s">
        <v>58</v>
      </c>
      <c r="N2482" s="2">
        <v>0.54</v>
      </c>
      <c r="O2482" s="2">
        <v>0.46</v>
      </c>
      <c r="P2482">
        <v>13</v>
      </c>
      <c r="Q2482">
        <v>13</v>
      </c>
      <c r="R2482">
        <v>5</v>
      </c>
      <c r="S2482">
        <v>3</v>
      </c>
      <c r="T2482">
        <v>10</v>
      </c>
      <c r="U2482">
        <v>12</v>
      </c>
      <c r="V2482">
        <v>1</v>
      </c>
      <c r="W2482">
        <v>3</v>
      </c>
      <c r="X2482">
        <v>0</v>
      </c>
      <c r="Y2482">
        <v>0</v>
      </c>
      <c r="Z2482">
        <v>2</v>
      </c>
    </row>
    <row r="2483" spans="1:26" x14ac:dyDescent="0.2">
      <c r="A2483" t="s">
        <v>2601</v>
      </c>
      <c r="B2483" t="s">
        <v>32</v>
      </c>
      <c r="C2483">
        <v>2015</v>
      </c>
      <c r="D2483" t="s">
        <v>86</v>
      </c>
      <c r="E2483" t="s">
        <v>23</v>
      </c>
      <c r="F2483" t="s">
        <v>86</v>
      </c>
      <c r="G2483">
        <v>11364</v>
      </c>
      <c r="H2483">
        <v>9091.2000000000007</v>
      </c>
      <c r="I2483" s="13">
        <v>0.5</v>
      </c>
      <c r="J2483" t="s">
        <v>6207</v>
      </c>
      <c r="K2483">
        <v>1</v>
      </c>
      <c r="L2483">
        <v>3</v>
      </c>
      <c r="M2483" t="s">
        <v>1</v>
      </c>
      <c r="N2483" s="2">
        <v>0.48</v>
      </c>
      <c r="O2483" s="2">
        <v>0.52</v>
      </c>
      <c r="P2483">
        <v>10</v>
      </c>
      <c r="Q2483">
        <v>8</v>
      </c>
      <c r="R2483">
        <v>4</v>
      </c>
      <c r="S2483">
        <v>7</v>
      </c>
      <c r="T2483">
        <v>8</v>
      </c>
      <c r="U2483">
        <v>5</v>
      </c>
      <c r="V2483">
        <v>1</v>
      </c>
      <c r="W2483">
        <v>1</v>
      </c>
      <c r="X2483">
        <v>0</v>
      </c>
      <c r="Y2483">
        <v>0</v>
      </c>
      <c r="Z2483">
        <v>0</v>
      </c>
    </row>
    <row r="2484" spans="1:26" x14ac:dyDescent="0.2">
      <c r="A2484" t="s">
        <v>2602</v>
      </c>
      <c r="B2484" t="s">
        <v>44</v>
      </c>
      <c r="C2484">
        <v>2015</v>
      </c>
      <c r="D2484" t="s">
        <v>42</v>
      </c>
      <c r="E2484" t="s">
        <v>79</v>
      </c>
      <c r="F2484" t="s">
        <v>38</v>
      </c>
      <c r="G2484">
        <v>42918</v>
      </c>
      <c r="H2484">
        <v>34334.400000000001</v>
      </c>
      <c r="I2484" s="13">
        <v>0.66666666666666663</v>
      </c>
      <c r="J2484" t="s">
        <v>6207</v>
      </c>
      <c r="K2484">
        <v>1</v>
      </c>
      <c r="L2484">
        <v>0</v>
      </c>
      <c r="M2484" t="s">
        <v>0</v>
      </c>
      <c r="N2484" s="2">
        <v>0.51</v>
      </c>
      <c r="O2484" s="2">
        <v>0.49</v>
      </c>
      <c r="P2484">
        <v>14</v>
      </c>
      <c r="Q2484">
        <v>17</v>
      </c>
      <c r="R2484">
        <v>9</v>
      </c>
      <c r="S2484">
        <v>0</v>
      </c>
      <c r="T2484">
        <v>15</v>
      </c>
      <c r="U2484">
        <v>9</v>
      </c>
      <c r="V2484">
        <v>2</v>
      </c>
      <c r="W2484">
        <v>1</v>
      </c>
      <c r="X2484">
        <v>0</v>
      </c>
      <c r="Y2484">
        <v>0</v>
      </c>
      <c r="Z2484">
        <v>0</v>
      </c>
    </row>
    <row r="2485" spans="1:26" x14ac:dyDescent="0.2">
      <c r="A2485" t="s">
        <v>2603</v>
      </c>
      <c r="B2485" t="s">
        <v>83</v>
      </c>
      <c r="C2485">
        <v>2015</v>
      </c>
      <c r="D2485" t="s">
        <v>71</v>
      </c>
      <c r="E2485" t="s">
        <v>35</v>
      </c>
      <c r="F2485" t="s">
        <v>71</v>
      </c>
      <c r="G2485">
        <v>21088</v>
      </c>
      <c r="H2485">
        <v>16870.400000000001</v>
      </c>
      <c r="I2485" s="13">
        <v>0.33333333333333331</v>
      </c>
      <c r="J2485" t="s">
        <v>6208</v>
      </c>
      <c r="K2485">
        <v>2</v>
      </c>
      <c r="L2485">
        <v>4</v>
      </c>
      <c r="M2485" t="s">
        <v>1</v>
      </c>
      <c r="N2485" s="2">
        <v>0.51</v>
      </c>
      <c r="O2485" s="2">
        <v>0.49</v>
      </c>
      <c r="P2485">
        <v>13</v>
      </c>
      <c r="Q2485">
        <v>11</v>
      </c>
      <c r="R2485">
        <v>8</v>
      </c>
      <c r="S2485">
        <v>6</v>
      </c>
      <c r="T2485">
        <v>9</v>
      </c>
      <c r="U2485">
        <v>12</v>
      </c>
      <c r="V2485">
        <v>0</v>
      </c>
      <c r="W2485">
        <v>2</v>
      </c>
      <c r="X2485">
        <v>1</v>
      </c>
      <c r="Y2485">
        <v>0</v>
      </c>
      <c r="Z2485">
        <v>1</v>
      </c>
    </row>
    <row r="2486" spans="1:26" x14ac:dyDescent="0.2">
      <c r="A2486" t="s">
        <v>2604</v>
      </c>
      <c r="B2486" t="s">
        <v>67</v>
      </c>
      <c r="C2486">
        <v>2015</v>
      </c>
      <c r="D2486" t="s">
        <v>27</v>
      </c>
      <c r="E2486" t="s">
        <v>69</v>
      </c>
      <c r="F2486" t="s">
        <v>27</v>
      </c>
      <c r="G2486">
        <v>30089</v>
      </c>
      <c r="H2486">
        <v>24071.200000000001</v>
      </c>
      <c r="I2486" s="13">
        <v>0.5</v>
      </c>
      <c r="J2486" t="s">
        <v>6207</v>
      </c>
      <c r="K2486">
        <v>3</v>
      </c>
      <c r="L2486">
        <v>1</v>
      </c>
      <c r="M2486" t="s">
        <v>0</v>
      </c>
      <c r="N2486" s="2">
        <v>0.64</v>
      </c>
      <c r="O2486" s="2">
        <v>0.36</v>
      </c>
      <c r="P2486">
        <v>8</v>
      </c>
      <c r="Q2486">
        <v>6</v>
      </c>
      <c r="R2486">
        <v>7</v>
      </c>
      <c r="S2486">
        <v>3</v>
      </c>
      <c r="T2486">
        <v>5</v>
      </c>
      <c r="U2486">
        <v>8</v>
      </c>
      <c r="V2486">
        <v>0</v>
      </c>
      <c r="W2486">
        <v>1</v>
      </c>
      <c r="X2486">
        <v>0</v>
      </c>
      <c r="Y2486">
        <v>1</v>
      </c>
      <c r="Z2486">
        <v>0</v>
      </c>
    </row>
    <row r="2487" spans="1:26" x14ac:dyDescent="0.2">
      <c r="A2487" t="s">
        <v>2605</v>
      </c>
      <c r="B2487" t="s">
        <v>76</v>
      </c>
      <c r="C2487">
        <v>2015</v>
      </c>
      <c r="D2487" t="s">
        <v>73</v>
      </c>
      <c r="E2487" t="s">
        <v>85</v>
      </c>
      <c r="F2487" t="s">
        <v>73</v>
      </c>
      <c r="G2487">
        <v>32384</v>
      </c>
      <c r="H2487">
        <v>25907.200000000001</v>
      </c>
      <c r="I2487" s="13">
        <v>0.33333333333333331</v>
      </c>
      <c r="J2487" t="s">
        <v>6207</v>
      </c>
      <c r="K2487">
        <v>2</v>
      </c>
      <c r="L2487">
        <v>0</v>
      </c>
      <c r="M2487" t="s">
        <v>0</v>
      </c>
      <c r="N2487" s="2">
        <v>0.5</v>
      </c>
      <c r="O2487" s="2">
        <v>0.5</v>
      </c>
      <c r="P2487">
        <v>14</v>
      </c>
      <c r="Q2487">
        <v>13</v>
      </c>
      <c r="R2487">
        <v>8</v>
      </c>
      <c r="S2487">
        <v>1</v>
      </c>
      <c r="T2487">
        <v>9</v>
      </c>
      <c r="U2487">
        <v>11</v>
      </c>
      <c r="V2487">
        <v>1</v>
      </c>
      <c r="W2487">
        <v>2</v>
      </c>
      <c r="X2487">
        <v>0</v>
      </c>
      <c r="Y2487">
        <v>0</v>
      </c>
      <c r="Z2487">
        <v>0</v>
      </c>
    </row>
    <row r="2488" spans="1:26" x14ac:dyDescent="0.2">
      <c r="A2488" t="s">
        <v>2606</v>
      </c>
      <c r="B2488" t="s">
        <v>74</v>
      </c>
      <c r="C2488">
        <v>2015</v>
      </c>
      <c r="D2488" t="s">
        <v>40</v>
      </c>
      <c r="E2488" t="s">
        <v>45</v>
      </c>
      <c r="F2488" t="s">
        <v>49</v>
      </c>
      <c r="G2488">
        <v>53400</v>
      </c>
      <c r="H2488">
        <v>42720</v>
      </c>
      <c r="I2488" s="13">
        <v>1</v>
      </c>
      <c r="J2488" t="s">
        <v>6208</v>
      </c>
      <c r="K2488">
        <v>0</v>
      </c>
      <c r="L2488">
        <v>0</v>
      </c>
      <c r="M2488" t="s">
        <v>58</v>
      </c>
      <c r="N2488" s="2">
        <v>0.55000000000000004</v>
      </c>
      <c r="O2488" s="2">
        <v>0.45</v>
      </c>
      <c r="P2488">
        <v>10</v>
      </c>
      <c r="Q2488">
        <v>8</v>
      </c>
      <c r="R2488">
        <v>12</v>
      </c>
      <c r="S2488">
        <v>5</v>
      </c>
      <c r="T2488">
        <v>5</v>
      </c>
      <c r="U2488">
        <v>6</v>
      </c>
      <c r="V2488">
        <v>0</v>
      </c>
      <c r="W2488">
        <v>1</v>
      </c>
      <c r="X2488">
        <v>0</v>
      </c>
      <c r="Y2488">
        <v>0</v>
      </c>
      <c r="Z2488">
        <v>0</v>
      </c>
    </row>
    <row r="2489" spans="1:26" x14ac:dyDescent="0.2">
      <c r="A2489" t="s">
        <v>2607</v>
      </c>
      <c r="B2489" t="s">
        <v>61</v>
      </c>
      <c r="C2489">
        <v>2015</v>
      </c>
      <c r="D2489" t="s">
        <v>18</v>
      </c>
      <c r="E2489" t="s">
        <v>63</v>
      </c>
      <c r="F2489" t="s">
        <v>20</v>
      </c>
      <c r="G2489">
        <v>40341</v>
      </c>
      <c r="H2489">
        <v>32272.800000000003</v>
      </c>
      <c r="I2489" s="13">
        <v>0.83333333333333337</v>
      </c>
      <c r="J2489" t="s">
        <v>6207</v>
      </c>
      <c r="K2489">
        <v>2</v>
      </c>
      <c r="L2489">
        <v>2</v>
      </c>
      <c r="M2489" t="s">
        <v>58</v>
      </c>
      <c r="N2489" s="2">
        <v>0.62</v>
      </c>
      <c r="O2489" s="2">
        <v>0.38</v>
      </c>
      <c r="P2489">
        <v>9</v>
      </c>
      <c r="Q2489">
        <v>14</v>
      </c>
      <c r="R2489">
        <v>7</v>
      </c>
      <c r="S2489">
        <v>7</v>
      </c>
      <c r="T2489">
        <v>13</v>
      </c>
      <c r="U2489">
        <v>8</v>
      </c>
      <c r="V2489">
        <v>3</v>
      </c>
      <c r="W2489">
        <v>3</v>
      </c>
      <c r="X2489">
        <v>0</v>
      </c>
      <c r="Y2489">
        <v>0</v>
      </c>
      <c r="Z2489">
        <v>0</v>
      </c>
    </row>
    <row r="2490" spans="1:26" x14ac:dyDescent="0.2">
      <c r="A2490" t="s">
        <v>2608</v>
      </c>
      <c r="B2490" t="s">
        <v>50</v>
      </c>
      <c r="C2490">
        <v>2015</v>
      </c>
      <c r="D2490" t="s">
        <v>51</v>
      </c>
      <c r="E2490" t="s">
        <v>80</v>
      </c>
      <c r="F2490" t="s">
        <v>20</v>
      </c>
      <c r="G2490">
        <v>36284</v>
      </c>
      <c r="H2490">
        <v>29027.200000000001</v>
      </c>
      <c r="I2490" s="13">
        <v>0</v>
      </c>
      <c r="J2490" t="s">
        <v>6207</v>
      </c>
      <c r="K2490">
        <v>0</v>
      </c>
      <c r="L2490">
        <v>1</v>
      </c>
      <c r="M2490" t="s">
        <v>1</v>
      </c>
      <c r="N2490" s="2">
        <v>0.62</v>
      </c>
      <c r="O2490" s="2">
        <v>0.38</v>
      </c>
      <c r="P2490">
        <v>12</v>
      </c>
      <c r="Q2490">
        <v>15</v>
      </c>
      <c r="R2490">
        <v>16</v>
      </c>
      <c r="S2490">
        <v>8</v>
      </c>
      <c r="T2490">
        <v>13</v>
      </c>
      <c r="U2490">
        <v>10</v>
      </c>
      <c r="V2490">
        <v>1</v>
      </c>
      <c r="W2490">
        <v>0</v>
      </c>
      <c r="X2490">
        <v>0</v>
      </c>
      <c r="Y2490">
        <v>0</v>
      </c>
      <c r="Z2490">
        <v>0</v>
      </c>
    </row>
    <row r="2491" spans="1:26" x14ac:dyDescent="0.2">
      <c r="A2491" t="s">
        <v>2609</v>
      </c>
      <c r="B2491" t="s">
        <v>53</v>
      </c>
      <c r="C2491">
        <v>2015</v>
      </c>
      <c r="D2491" t="s">
        <v>26</v>
      </c>
      <c r="E2491" t="s">
        <v>46</v>
      </c>
      <c r="F2491" t="s">
        <v>26</v>
      </c>
      <c r="G2491">
        <v>61276</v>
      </c>
      <c r="H2491">
        <v>49020.800000000003</v>
      </c>
      <c r="I2491" s="13">
        <v>0.5</v>
      </c>
      <c r="J2491" t="s">
        <v>6207</v>
      </c>
      <c r="K2491">
        <v>3</v>
      </c>
      <c r="L2491">
        <v>3</v>
      </c>
      <c r="M2491" t="s">
        <v>58</v>
      </c>
      <c r="N2491" s="2">
        <v>0.59</v>
      </c>
      <c r="O2491" s="2">
        <v>0.41</v>
      </c>
      <c r="P2491">
        <v>12</v>
      </c>
      <c r="Q2491">
        <v>13</v>
      </c>
      <c r="R2491">
        <v>9</v>
      </c>
      <c r="S2491">
        <v>3</v>
      </c>
      <c r="T2491">
        <v>9</v>
      </c>
      <c r="U2491">
        <v>7</v>
      </c>
      <c r="V2491">
        <v>2</v>
      </c>
      <c r="W2491">
        <v>0</v>
      </c>
      <c r="X2491">
        <v>0</v>
      </c>
      <c r="Y2491">
        <v>0</v>
      </c>
      <c r="Z2491">
        <v>0</v>
      </c>
    </row>
    <row r="2492" spans="1:26" x14ac:dyDescent="0.2">
      <c r="A2492" t="s">
        <v>2610</v>
      </c>
      <c r="B2492" t="s">
        <v>41</v>
      </c>
      <c r="C2492">
        <v>2015</v>
      </c>
      <c r="D2492" t="s">
        <v>51</v>
      </c>
      <c r="E2492" t="s">
        <v>35</v>
      </c>
      <c r="F2492" t="s">
        <v>20</v>
      </c>
      <c r="G2492">
        <v>36284</v>
      </c>
      <c r="H2492">
        <v>29027.200000000001</v>
      </c>
      <c r="I2492" s="13">
        <v>0</v>
      </c>
      <c r="J2492" t="s">
        <v>6207</v>
      </c>
      <c r="K2492">
        <v>4</v>
      </c>
      <c r="L2492">
        <v>1</v>
      </c>
      <c r="M2492" t="s">
        <v>0</v>
      </c>
      <c r="N2492" s="2">
        <v>0.68</v>
      </c>
      <c r="O2492" s="2">
        <v>0.32</v>
      </c>
      <c r="P2492">
        <v>15</v>
      </c>
      <c r="Q2492">
        <v>9</v>
      </c>
      <c r="R2492">
        <v>11</v>
      </c>
      <c r="S2492">
        <v>3</v>
      </c>
      <c r="T2492">
        <v>8</v>
      </c>
      <c r="U2492">
        <v>13</v>
      </c>
      <c r="V2492">
        <v>0</v>
      </c>
      <c r="W2492">
        <v>2</v>
      </c>
      <c r="X2492">
        <v>0</v>
      </c>
      <c r="Y2492">
        <v>0</v>
      </c>
      <c r="Z2492">
        <v>1</v>
      </c>
    </row>
    <row r="2493" spans="1:26" x14ac:dyDescent="0.2">
      <c r="A2493" t="s">
        <v>2611</v>
      </c>
      <c r="B2493" t="s">
        <v>32</v>
      </c>
      <c r="C2493">
        <v>2015</v>
      </c>
      <c r="D2493" t="s">
        <v>73</v>
      </c>
      <c r="E2493" t="s">
        <v>63</v>
      </c>
      <c r="F2493" t="s">
        <v>73</v>
      </c>
      <c r="G2493">
        <v>32384</v>
      </c>
      <c r="H2493">
        <v>25907.200000000001</v>
      </c>
      <c r="I2493" s="13">
        <v>0</v>
      </c>
      <c r="J2493" t="s">
        <v>6207</v>
      </c>
      <c r="K2493">
        <v>3</v>
      </c>
      <c r="L2493">
        <v>0</v>
      </c>
      <c r="M2493" t="s">
        <v>0</v>
      </c>
      <c r="N2493" s="2">
        <v>0.56000000000000005</v>
      </c>
      <c r="O2493" s="2">
        <v>0.44</v>
      </c>
      <c r="P2493">
        <v>13</v>
      </c>
      <c r="Q2493">
        <v>13</v>
      </c>
      <c r="R2493">
        <v>1</v>
      </c>
      <c r="S2493">
        <v>3</v>
      </c>
      <c r="T2493">
        <v>10</v>
      </c>
      <c r="U2493">
        <v>11</v>
      </c>
      <c r="V2493">
        <v>0</v>
      </c>
      <c r="W2493">
        <v>0</v>
      </c>
      <c r="X2493">
        <v>0</v>
      </c>
      <c r="Y2493">
        <v>0</v>
      </c>
      <c r="Z2493">
        <v>1</v>
      </c>
    </row>
    <row r="2494" spans="1:26" x14ac:dyDescent="0.2">
      <c r="A2494" t="s">
        <v>2612</v>
      </c>
      <c r="B2494" t="s">
        <v>67</v>
      </c>
      <c r="C2494">
        <v>2015</v>
      </c>
      <c r="D2494" t="s">
        <v>64</v>
      </c>
      <c r="E2494" t="s">
        <v>23</v>
      </c>
      <c r="F2494" t="s">
        <v>64</v>
      </c>
      <c r="G2494">
        <v>52264</v>
      </c>
      <c r="H2494">
        <v>41811.200000000004</v>
      </c>
      <c r="I2494" s="13">
        <v>1</v>
      </c>
      <c r="J2494" t="s">
        <v>6207</v>
      </c>
      <c r="K2494">
        <v>2</v>
      </c>
      <c r="L2494">
        <v>1</v>
      </c>
      <c r="M2494" t="s">
        <v>0</v>
      </c>
      <c r="N2494" s="2">
        <v>0.5</v>
      </c>
      <c r="O2494" s="2">
        <v>0.5</v>
      </c>
      <c r="P2494">
        <v>7</v>
      </c>
      <c r="Q2494">
        <v>11</v>
      </c>
      <c r="R2494">
        <v>3</v>
      </c>
      <c r="S2494">
        <v>3</v>
      </c>
      <c r="T2494">
        <v>9</v>
      </c>
      <c r="U2494">
        <v>4</v>
      </c>
      <c r="V2494">
        <v>1</v>
      </c>
      <c r="W2494">
        <v>0</v>
      </c>
      <c r="X2494">
        <v>0</v>
      </c>
      <c r="Y2494">
        <v>0</v>
      </c>
      <c r="Z2494">
        <v>0</v>
      </c>
    </row>
    <row r="2495" spans="1:26" x14ac:dyDescent="0.2">
      <c r="A2495" t="s">
        <v>2613</v>
      </c>
      <c r="B2495" t="s">
        <v>68</v>
      </c>
      <c r="C2495">
        <v>2015</v>
      </c>
      <c r="D2495" t="s">
        <v>40</v>
      </c>
      <c r="E2495" t="s">
        <v>79</v>
      </c>
      <c r="F2495" t="s">
        <v>49</v>
      </c>
      <c r="G2495">
        <v>53400</v>
      </c>
      <c r="H2495">
        <v>42720</v>
      </c>
      <c r="I2495" s="13">
        <v>1</v>
      </c>
      <c r="J2495" t="s">
        <v>6207</v>
      </c>
      <c r="K2495">
        <v>4</v>
      </c>
      <c r="L2495">
        <v>0</v>
      </c>
      <c r="M2495" t="s">
        <v>0</v>
      </c>
      <c r="N2495" s="2">
        <v>0.53</v>
      </c>
      <c r="O2495" s="2">
        <v>0.47</v>
      </c>
      <c r="P2495">
        <v>12</v>
      </c>
      <c r="Q2495">
        <v>10</v>
      </c>
      <c r="R2495">
        <v>5</v>
      </c>
      <c r="S2495">
        <v>6</v>
      </c>
      <c r="T2495">
        <v>10</v>
      </c>
      <c r="U2495">
        <v>11</v>
      </c>
      <c r="V2495">
        <v>0</v>
      </c>
      <c r="W2495">
        <v>2</v>
      </c>
      <c r="X2495">
        <v>0</v>
      </c>
      <c r="Y2495">
        <v>0</v>
      </c>
      <c r="Z2495">
        <v>0</v>
      </c>
    </row>
    <row r="2496" spans="1:26" x14ac:dyDescent="0.2">
      <c r="A2496" t="s">
        <v>2614</v>
      </c>
      <c r="B2496" t="s">
        <v>53</v>
      </c>
      <c r="C2496">
        <v>2015</v>
      </c>
      <c r="D2496" t="s">
        <v>18</v>
      </c>
      <c r="E2496" t="s">
        <v>45</v>
      </c>
      <c r="F2496" t="s">
        <v>20</v>
      </c>
      <c r="G2496">
        <v>40341</v>
      </c>
      <c r="H2496">
        <v>32272.800000000003</v>
      </c>
      <c r="I2496" s="13">
        <v>0</v>
      </c>
      <c r="J2496" t="s">
        <v>6207</v>
      </c>
      <c r="K2496">
        <v>3</v>
      </c>
      <c r="L2496">
        <v>3</v>
      </c>
      <c r="M2496" t="s">
        <v>58</v>
      </c>
      <c r="N2496" s="2">
        <v>0.55000000000000004</v>
      </c>
      <c r="O2496" s="2">
        <v>0.45</v>
      </c>
      <c r="P2496">
        <v>6</v>
      </c>
      <c r="Q2496">
        <v>15</v>
      </c>
      <c r="R2496">
        <v>6</v>
      </c>
      <c r="S2496">
        <v>4</v>
      </c>
      <c r="T2496">
        <v>12</v>
      </c>
      <c r="U2496">
        <v>5</v>
      </c>
      <c r="V2496">
        <v>1</v>
      </c>
      <c r="W2496">
        <v>1</v>
      </c>
      <c r="X2496">
        <v>0</v>
      </c>
      <c r="Y2496">
        <v>0</v>
      </c>
      <c r="Z2496">
        <v>0</v>
      </c>
    </row>
    <row r="2497" spans="1:26" x14ac:dyDescent="0.2">
      <c r="A2497" t="s">
        <v>2615</v>
      </c>
      <c r="B2497" t="s">
        <v>77</v>
      </c>
      <c r="C2497">
        <v>2015</v>
      </c>
      <c r="D2497" t="s">
        <v>86</v>
      </c>
      <c r="E2497" t="s">
        <v>69</v>
      </c>
      <c r="F2497" t="s">
        <v>86</v>
      </c>
      <c r="G2497">
        <v>11364</v>
      </c>
      <c r="H2497">
        <v>9091.2000000000007</v>
      </c>
      <c r="I2497" s="13">
        <v>0.5</v>
      </c>
      <c r="J2497" t="s">
        <v>6207</v>
      </c>
      <c r="K2497">
        <v>3</v>
      </c>
      <c r="L2497">
        <v>0</v>
      </c>
      <c r="M2497" t="s">
        <v>0</v>
      </c>
      <c r="N2497" s="2">
        <v>0.46</v>
      </c>
      <c r="O2497" s="2">
        <v>0.54</v>
      </c>
      <c r="P2497">
        <v>16</v>
      </c>
      <c r="Q2497">
        <v>9</v>
      </c>
      <c r="R2497">
        <v>5</v>
      </c>
      <c r="S2497">
        <v>3</v>
      </c>
      <c r="T2497">
        <v>8</v>
      </c>
      <c r="U2497">
        <v>13</v>
      </c>
      <c r="V2497">
        <v>1</v>
      </c>
      <c r="W2497">
        <v>1</v>
      </c>
      <c r="X2497">
        <v>0</v>
      </c>
      <c r="Y2497">
        <v>0</v>
      </c>
      <c r="Z2497">
        <v>1</v>
      </c>
    </row>
    <row r="2498" spans="1:26" x14ac:dyDescent="0.2">
      <c r="A2498" t="s">
        <v>2616</v>
      </c>
      <c r="B2498" t="s">
        <v>74</v>
      </c>
      <c r="C2498">
        <v>2015</v>
      </c>
      <c r="D2498" t="s">
        <v>42</v>
      </c>
      <c r="E2498" t="s">
        <v>80</v>
      </c>
      <c r="F2498" t="s">
        <v>38</v>
      </c>
      <c r="G2498">
        <v>42918</v>
      </c>
      <c r="H2498">
        <v>34334.400000000001</v>
      </c>
      <c r="I2498" s="13">
        <v>0.6</v>
      </c>
      <c r="J2498" t="s">
        <v>6208</v>
      </c>
      <c r="K2498">
        <v>1</v>
      </c>
      <c r="L2498">
        <v>1</v>
      </c>
      <c r="M2498" t="s">
        <v>58</v>
      </c>
      <c r="N2498" s="2">
        <v>0.56000000000000005</v>
      </c>
      <c r="O2498" s="2">
        <v>0.44</v>
      </c>
      <c r="P2498">
        <v>19</v>
      </c>
      <c r="Q2498">
        <v>13</v>
      </c>
      <c r="R2498">
        <v>3</v>
      </c>
      <c r="S2498">
        <v>4</v>
      </c>
      <c r="T2498">
        <v>13</v>
      </c>
      <c r="U2498">
        <v>15</v>
      </c>
      <c r="V2498">
        <v>3</v>
      </c>
      <c r="W2498">
        <v>2</v>
      </c>
      <c r="X2498">
        <v>0</v>
      </c>
      <c r="Y2498">
        <v>0</v>
      </c>
      <c r="Z2498">
        <v>1</v>
      </c>
    </row>
    <row r="2499" spans="1:26" x14ac:dyDescent="0.2">
      <c r="A2499" t="s">
        <v>2617</v>
      </c>
      <c r="B2499" t="s">
        <v>44</v>
      </c>
      <c r="C2499">
        <v>2015</v>
      </c>
      <c r="D2499" t="s">
        <v>26</v>
      </c>
      <c r="E2499" t="s">
        <v>48</v>
      </c>
      <c r="F2499" t="s">
        <v>26</v>
      </c>
      <c r="G2499">
        <v>61276</v>
      </c>
      <c r="H2499">
        <v>49020.800000000003</v>
      </c>
      <c r="I2499" s="13">
        <v>0.5</v>
      </c>
      <c r="J2499" t="s">
        <v>6207</v>
      </c>
      <c r="K2499">
        <v>0</v>
      </c>
      <c r="L2499">
        <v>1</v>
      </c>
      <c r="M2499" t="s">
        <v>1</v>
      </c>
      <c r="N2499" s="2">
        <v>0.53</v>
      </c>
      <c r="O2499" s="2">
        <v>0.47</v>
      </c>
      <c r="P2499">
        <v>17</v>
      </c>
      <c r="Q2499">
        <v>9</v>
      </c>
      <c r="R2499">
        <v>5</v>
      </c>
      <c r="S2499">
        <v>4</v>
      </c>
      <c r="T2499">
        <v>6</v>
      </c>
      <c r="U2499">
        <v>18</v>
      </c>
      <c r="V2499">
        <v>0</v>
      </c>
      <c r="W2499">
        <v>2</v>
      </c>
      <c r="X2499">
        <v>0</v>
      </c>
      <c r="Y2499">
        <v>0</v>
      </c>
      <c r="Z2499">
        <v>0</v>
      </c>
    </row>
    <row r="2500" spans="1:26" x14ac:dyDescent="0.2">
      <c r="A2500" t="s">
        <v>2618</v>
      </c>
      <c r="B2500" t="s">
        <v>76</v>
      </c>
      <c r="C2500">
        <v>2015</v>
      </c>
      <c r="D2500" t="s">
        <v>27</v>
      </c>
      <c r="E2500" t="s">
        <v>46</v>
      </c>
      <c r="F2500" t="s">
        <v>27</v>
      </c>
      <c r="G2500">
        <v>30089</v>
      </c>
      <c r="H2500">
        <v>24071.200000000001</v>
      </c>
      <c r="I2500" s="13">
        <v>0</v>
      </c>
      <c r="J2500" t="s">
        <v>6207</v>
      </c>
      <c r="K2500">
        <v>0</v>
      </c>
      <c r="L2500">
        <v>0</v>
      </c>
      <c r="M2500" t="s">
        <v>58</v>
      </c>
      <c r="N2500" s="2">
        <v>0.45</v>
      </c>
      <c r="O2500" s="2">
        <v>0.55000000000000004</v>
      </c>
      <c r="P2500">
        <v>8</v>
      </c>
      <c r="Q2500">
        <v>23</v>
      </c>
      <c r="R2500">
        <v>6</v>
      </c>
      <c r="S2500">
        <v>6</v>
      </c>
      <c r="T2500">
        <v>16</v>
      </c>
      <c r="U2500">
        <v>10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1:26" x14ac:dyDescent="0.2">
      <c r="A2501" t="s">
        <v>2619</v>
      </c>
      <c r="B2501" t="s">
        <v>66</v>
      </c>
      <c r="C2501">
        <v>2015</v>
      </c>
      <c r="D2501" t="s">
        <v>71</v>
      </c>
      <c r="E2501" t="s">
        <v>85</v>
      </c>
      <c r="F2501" t="s">
        <v>71</v>
      </c>
      <c r="G2501">
        <v>21088</v>
      </c>
      <c r="H2501">
        <v>16870.400000000001</v>
      </c>
      <c r="I2501" s="13">
        <v>0.75</v>
      </c>
      <c r="J2501" t="s">
        <v>6207</v>
      </c>
      <c r="K2501">
        <v>1</v>
      </c>
      <c r="L2501">
        <v>0</v>
      </c>
      <c r="M2501" t="s">
        <v>0</v>
      </c>
      <c r="N2501" s="2">
        <v>0.56999999999999995</v>
      </c>
      <c r="O2501" s="2">
        <v>0.43</v>
      </c>
      <c r="P2501">
        <v>11</v>
      </c>
      <c r="Q2501">
        <v>14</v>
      </c>
      <c r="R2501">
        <v>6</v>
      </c>
      <c r="S2501">
        <v>3</v>
      </c>
      <c r="T2501">
        <v>8</v>
      </c>
      <c r="U2501">
        <v>11</v>
      </c>
      <c r="V2501">
        <v>2</v>
      </c>
      <c r="W2501">
        <v>2</v>
      </c>
      <c r="X2501">
        <v>0</v>
      </c>
      <c r="Y2501">
        <v>0</v>
      </c>
      <c r="Z2501">
        <v>0</v>
      </c>
    </row>
    <row r="2502" spans="1:26" x14ac:dyDescent="0.2">
      <c r="A2502" t="s">
        <v>2620</v>
      </c>
      <c r="B2502" t="s">
        <v>50</v>
      </c>
      <c r="C2502">
        <v>2015</v>
      </c>
      <c r="D2502" t="s">
        <v>69</v>
      </c>
      <c r="E2502" t="s">
        <v>26</v>
      </c>
      <c r="F2502" t="s">
        <v>69</v>
      </c>
      <c r="G2502">
        <v>27359</v>
      </c>
      <c r="H2502">
        <v>21887.200000000001</v>
      </c>
      <c r="I2502" s="13">
        <v>0</v>
      </c>
      <c r="J2502" t="s">
        <v>6207</v>
      </c>
      <c r="K2502">
        <v>4</v>
      </c>
      <c r="L2502">
        <v>5</v>
      </c>
      <c r="M2502" t="s">
        <v>1</v>
      </c>
      <c r="N2502" s="2">
        <v>0.47</v>
      </c>
      <c r="O2502" s="2">
        <v>0.53</v>
      </c>
      <c r="P2502">
        <v>17</v>
      </c>
      <c r="Q2502">
        <v>11</v>
      </c>
      <c r="R2502">
        <v>3</v>
      </c>
      <c r="S2502">
        <v>3</v>
      </c>
      <c r="T2502">
        <v>10</v>
      </c>
      <c r="U2502">
        <v>14</v>
      </c>
      <c r="V2502">
        <v>0</v>
      </c>
      <c r="W2502">
        <v>1</v>
      </c>
      <c r="X2502">
        <v>0</v>
      </c>
      <c r="Y2502">
        <v>0</v>
      </c>
      <c r="Z2502">
        <v>1</v>
      </c>
    </row>
    <row r="2503" spans="1:26" x14ac:dyDescent="0.2">
      <c r="A2503" t="s">
        <v>2621</v>
      </c>
      <c r="B2503" t="s">
        <v>77</v>
      </c>
      <c r="C2503">
        <v>2015</v>
      </c>
      <c r="D2503" t="s">
        <v>63</v>
      </c>
      <c r="E2503" t="s">
        <v>42</v>
      </c>
      <c r="F2503" t="s">
        <v>65</v>
      </c>
      <c r="G2503">
        <v>26804</v>
      </c>
      <c r="H2503">
        <v>21443.200000000001</v>
      </c>
      <c r="I2503" s="13">
        <v>0</v>
      </c>
      <c r="J2503" t="s">
        <v>6207</v>
      </c>
      <c r="K2503">
        <v>0</v>
      </c>
      <c r="L2503">
        <v>0</v>
      </c>
      <c r="M2503" t="s">
        <v>58</v>
      </c>
      <c r="N2503" s="2">
        <v>0.39</v>
      </c>
      <c r="O2503" s="2">
        <v>0.61</v>
      </c>
      <c r="P2503">
        <v>14</v>
      </c>
      <c r="Q2503">
        <v>8</v>
      </c>
      <c r="R2503">
        <v>2</v>
      </c>
      <c r="S2503">
        <v>6</v>
      </c>
      <c r="T2503">
        <v>7</v>
      </c>
      <c r="U2503">
        <v>13</v>
      </c>
      <c r="V2503">
        <v>0</v>
      </c>
      <c r="W2503">
        <v>1</v>
      </c>
      <c r="X2503">
        <v>0</v>
      </c>
      <c r="Y2503">
        <v>0</v>
      </c>
      <c r="Z2503">
        <v>0</v>
      </c>
    </row>
    <row r="2504" spans="1:26" x14ac:dyDescent="0.2">
      <c r="A2504" t="s">
        <v>2622</v>
      </c>
      <c r="B2504" t="s">
        <v>37</v>
      </c>
      <c r="C2504">
        <v>2015</v>
      </c>
      <c r="D2504" t="s">
        <v>85</v>
      </c>
      <c r="E2504" t="s">
        <v>64</v>
      </c>
      <c r="F2504" t="s">
        <v>85</v>
      </c>
      <c r="G2504">
        <v>22220</v>
      </c>
      <c r="H2504">
        <v>17776</v>
      </c>
      <c r="I2504" s="13">
        <v>1</v>
      </c>
      <c r="J2504" t="s">
        <v>6206</v>
      </c>
      <c r="K2504">
        <v>2</v>
      </c>
      <c r="L2504">
        <v>1</v>
      </c>
      <c r="M2504" t="s">
        <v>0</v>
      </c>
      <c r="N2504" s="2">
        <v>0.51</v>
      </c>
      <c r="O2504" s="2">
        <v>0.49</v>
      </c>
      <c r="P2504">
        <v>12</v>
      </c>
      <c r="Q2504">
        <v>8</v>
      </c>
      <c r="R2504">
        <v>2</v>
      </c>
      <c r="S2504">
        <v>7</v>
      </c>
      <c r="T2504">
        <v>10</v>
      </c>
      <c r="U2504">
        <v>12</v>
      </c>
      <c r="V2504">
        <v>2</v>
      </c>
      <c r="W2504">
        <v>1</v>
      </c>
      <c r="X2504">
        <v>0</v>
      </c>
      <c r="Y2504">
        <v>0</v>
      </c>
      <c r="Z2504">
        <v>0</v>
      </c>
    </row>
    <row r="2505" spans="1:26" x14ac:dyDescent="0.2">
      <c r="A2505" t="s">
        <v>2623</v>
      </c>
      <c r="B2505" t="s">
        <v>74</v>
      </c>
      <c r="C2505">
        <v>2015</v>
      </c>
      <c r="D2505" t="s">
        <v>35</v>
      </c>
      <c r="E2505" t="s">
        <v>86</v>
      </c>
      <c r="F2505" t="s">
        <v>35</v>
      </c>
      <c r="G2505">
        <v>49000</v>
      </c>
      <c r="H2505">
        <v>39200</v>
      </c>
      <c r="I2505" s="13">
        <v>0.5</v>
      </c>
      <c r="J2505" t="s">
        <v>6208</v>
      </c>
      <c r="K2505">
        <v>1</v>
      </c>
      <c r="L2505">
        <v>1</v>
      </c>
      <c r="M2505" t="s">
        <v>58</v>
      </c>
      <c r="N2505" s="2">
        <v>0.42</v>
      </c>
      <c r="O2505" s="2">
        <v>0.57999999999999996</v>
      </c>
      <c r="P2505">
        <v>9</v>
      </c>
      <c r="Q2505">
        <v>7</v>
      </c>
      <c r="R2505">
        <v>3</v>
      </c>
      <c r="S2505">
        <v>4</v>
      </c>
      <c r="T2505">
        <v>5</v>
      </c>
      <c r="U2505">
        <v>9</v>
      </c>
      <c r="V2505">
        <v>1</v>
      </c>
      <c r="W2505">
        <v>1</v>
      </c>
      <c r="X2505">
        <v>0</v>
      </c>
      <c r="Y2505">
        <v>0</v>
      </c>
      <c r="Z2505">
        <v>0</v>
      </c>
    </row>
    <row r="2506" spans="1:26" x14ac:dyDescent="0.2">
      <c r="A2506" t="s">
        <v>2624</v>
      </c>
      <c r="B2506" t="s">
        <v>53</v>
      </c>
      <c r="C2506">
        <v>2015</v>
      </c>
      <c r="D2506" t="s">
        <v>48</v>
      </c>
      <c r="E2506" t="s">
        <v>73</v>
      </c>
      <c r="F2506" t="s">
        <v>49</v>
      </c>
      <c r="G2506">
        <v>74197</v>
      </c>
      <c r="H2506">
        <v>59357.600000000006</v>
      </c>
      <c r="I2506" s="13">
        <v>0</v>
      </c>
      <c r="J2506" t="s">
        <v>6207</v>
      </c>
      <c r="K2506">
        <v>0</v>
      </c>
      <c r="L2506">
        <v>1</v>
      </c>
      <c r="M2506" t="s">
        <v>1</v>
      </c>
      <c r="N2506" s="2">
        <v>0.56000000000000005</v>
      </c>
      <c r="O2506" s="2">
        <v>0.44</v>
      </c>
      <c r="P2506">
        <v>8</v>
      </c>
      <c r="Q2506">
        <v>13</v>
      </c>
      <c r="R2506">
        <v>4</v>
      </c>
      <c r="S2506">
        <v>4</v>
      </c>
      <c r="T2506">
        <v>11</v>
      </c>
      <c r="U2506">
        <v>8</v>
      </c>
      <c r="V2506">
        <v>0</v>
      </c>
      <c r="W2506">
        <v>0</v>
      </c>
      <c r="X2506">
        <v>0</v>
      </c>
      <c r="Y2506">
        <v>0</v>
      </c>
      <c r="Z2506">
        <v>0</v>
      </c>
    </row>
    <row r="2507" spans="1:26" x14ac:dyDescent="0.2">
      <c r="A2507" t="s">
        <v>2625</v>
      </c>
      <c r="B2507" t="s">
        <v>41</v>
      </c>
      <c r="C2507">
        <v>2015</v>
      </c>
      <c r="D2507" t="s">
        <v>80</v>
      </c>
      <c r="E2507" t="s">
        <v>27</v>
      </c>
      <c r="F2507" t="s">
        <v>80</v>
      </c>
      <c r="G2507">
        <v>32261</v>
      </c>
      <c r="H2507">
        <v>25808.800000000003</v>
      </c>
      <c r="I2507" s="13">
        <v>1</v>
      </c>
      <c r="J2507" t="s">
        <v>6207</v>
      </c>
      <c r="K2507">
        <v>3</v>
      </c>
      <c r="L2507">
        <v>0</v>
      </c>
      <c r="M2507" t="s">
        <v>0</v>
      </c>
      <c r="N2507" s="2">
        <v>0.45</v>
      </c>
      <c r="O2507" s="2">
        <v>0.55000000000000004</v>
      </c>
      <c r="P2507">
        <v>13</v>
      </c>
      <c r="Q2507">
        <v>11</v>
      </c>
      <c r="R2507">
        <v>8</v>
      </c>
      <c r="S2507">
        <v>4</v>
      </c>
      <c r="T2507">
        <v>10</v>
      </c>
      <c r="U2507">
        <v>13</v>
      </c>
      <c r="V2507">
        <v>0</v>
      </c>
      <c r="W2507">
        <v>1</v>
      </c>
      <c r="X2507">
        <v>0</v>
      </c>
      <c r="Y2507">
        <v>0</v>
      </c>
      <c r="Z2507">
        <v>0</v>
      </c>
    </row>
    <row r="2508" spans="1:26" x14ac:dyDescent="0.2">
      <c r="A2508" t="s">
        <v>2626</v>
      </c>
      <c r="B2508" t="s">
        <v>32</v>
      </c>
      <c r="C2508">
        <v>2015</v>
      </c>
      <c r="D2508" t="s">
        <v>79</v>
      </c>
      <c r="E2508" t="s">
        <v>51</v>
      </c>
      <c r="F2508" t="s">
        <v>20</v>
      </c>
      <c r="G2508">
        <v>25486</v>
      </c>
      <c r="H2508">
        <v>20388.800000000003</v>
      </c>
      <c r="I2508" s="13">
        <v>0.25</v>
      </c>
      <c r="J2508" t="s">
        <v>6207</v>
      </c>
      <c r="K2508">
        <v>1</v>
      </c>
      <c r="L2508">
        <v>3</v>
      </c>
      <c r="M2508" t="s">
        <v>1</v>
      </c>
      <c r="N2508" s="2">
        <v>0.36</v>
      </c>
      <c r="O2508" s="2">
        <v>0.64</v>
      </c>
      <c r="P2508">
        <v>14</v>
      </c>
      <c r="Q2508">
        <v>11</v>
      </c>
      <c r="R2508">
        <v>3</v>
      </c>
      <c r="S2508">
        <v>10</v>
      </c>
      <c r="T2508">
        <v>11</v>
      </c>
      <c r="U2508">
        <v>12</v>
      </c>
      <c r="V2508">
        <v>2</v>
      </c>
      <c r="W2508">
        <v>2</v>
      </c>
      <c r="X2508">
        <v>0</v>
      </c>
      <c r="Y2508">
        <v>0</v>
      </c>
      <c r="Z2508">
        <v>0</v>
      </c>
    </row>
    <row r="2509" spans="1:26" x14ac:dyDescent="0.2">
      <c r="A2509" t="s">
        <v>2627</v>
      </c>
      <c r="B2509" t="s">
        <v>76</v>
      </c>
      <c r="C2509">
        <v>2015</v>
      </c>
      <c r="D2509" t="s">
        <v>23</v>
      </c>
      <c r="E2509" t="s">
        <v>40</v>
      </c>
      <c r="F2509" t="s">
        <v>20</v>
      </c>
      <c r="G2509">
        <v>62500</v>
      </c>
      <c r="H2509">
        <v>50000</v>
      </c>
      <c r="I2509" s="13">
        <v>0.6</v>
      </c>
      <c r="J2509" t="s">
        <v>6207</v>
      </c>
      <c r="K2509">
        <v>2</v>
      </c>
      <c r="L2509">
        <v>2</v>
      </c>
      <c r="M2509" t="s">
        <v>58</v>
      </c>
      <c r="N2509" s="2">
        <v>0.46</v>
      </c>
      <c r="O2509" s="2">
        <v>0.54</v>
      </c>
      <c r="P2509">
        <v>16</v>
      </c>
      <c r="Q2509">
        <v>12</v>
      </c>
      <c r="R2509">
        <v>5</v>
      </c>
      <c r="S2509">
        <v>2</v>
      </c>
      <c r="T2509">
        <v>11</v>
      </c>
      <c r="U2509">
        <v>15</v>
      </c>
      <c r="V2509">
        <v>2</v>
      </c>
      <c r="W2509">
        <v>3</v>
      </c>
      <c r="X2509">
        <v>0</v>
      </c>
      <c r="Y2509">
        <v>0</v>
      </c>
      <c r="Z2509">
        <v>1</v>
      </c>
    </row>
    <row r="2510" spans="1:26" x14ac:dyDescent="0.2">
      <c r="A2510" t="s">
        <v>2628</v>
      </c>
      <c r="B2510" t="s">
        <v>61</v>
      </c>
      <c r="C2510">
        <v>2015</v>
      </c>
      <c r="D2510" t="s">
        <v>45</v>
      </c>
      <c r="E2510" t="s">
        <v>71</v>
      </c>
      <c r="F2510" t="s">
        <v>26</v>
      </c>
      <c r="G2510">
        <v>39572</v>
      </c>
      <c r="H2510">
        <v>31657.600000000002</v>
      </c>
      <c r="I2510" s="13">
        <v>1</v>
      </c>
      <c r="J2510" t="s">
        <v>6207</v>
      </c>
      <c r="K2510">
        <v>1</v>
      </c>
      <c r="L2510">
        <v>2</v>
      </c>
      <c r="M2510" t="s">
        <v>1</v>
      </c>
      <c r="N2510" s="2">
        <v>0.6</v>
      </c>
      <c r="O2510" s="2">
        <v>0.4</v>
      </c>
      <c r="P2510">
        <v>12</v>
      </c>
      <c r="Q2510">
        <v>6</v>
      </c>
      <c r="R2510">
        <v>7</v>
      </c>
      <c r="S2510">
        <v>1</v>
      </c>
      <c r="T2510">
        <v>5</v>
      </c>
      <c r="U2510">
        <v>12</v>
      </c>
      <c r="V2510">
        <v>0</v>
      </c>
      <c r="W2510">
        <v>3</v>
      </c>
      <c r="X2510">
        <v>0</v>
      </c>
      <c r="Y2510">
        <v>0</v>
      </c>
      <c r="Z2510">
        <v>1</v>
      </c>
    </row>
    <row r="2511" spans="1:26" x14ac:dyDescent="0.2">
      <c r="A2511" t="s">
        <v>2629</v>
      </c>
      <c r="B2511" t="s">
        <v>44</v>
      </c>
      <c r="C2511">
        <v>2015</v>
      </c>
      <c r="D2511" t="s">
        <v>46</v>
      </c>
      <c r="E2511" t="s">
        <v>18</v>
      </c>
      <c r="F2511" t="s">
        <v>20</v>
      </c>
      <c r="G2511">
        <v>60704</v>
      </c>
      <c r="H2511">
        <v>48563.200000000004</v>
      </c>
      <c r="I2511" s="13">
        <v>1</v>
      </c>
      <c r="J2511" t="s">
        <v>6207</v>
      </c>
      <c r="K2511">
        <v>0</v>
      </c>
      <c r="L2511">
        <v>1</v>
      </c>
      <c r="M2511" t="s">
        <v>1</v>
      </c>
      <c r="N2511" s="2">
        <v>0.47</v>
      </c>
      <c r="O2511" s="2">
        <v>0.53</v>
      </c>
      <c r="P2511">
        <v>20</v>
      </c>
      <c r="Q2511">
        <v>16</v>
      </c>
      <c r="R2511">
        <v>6</v>
      </c>
      <c r="S2511">
        <v>7</v>
      </c>
      <c r="T2511">
        <v>14</v>
      </c>
      <c r="U2511">
        <v>13</v>
      </c>
      <c r="V2511">
        <v>1</v>
      </c>
      <c r="W2511">
        <v>3</v>
      </c>
      <c r="X2511">
        <v>1</v>
      </c>
      <c r="Y2511">
        <v>0</v>
      </c>
      <c r="Z2511">
        <v>0</v>
      </c>
    </row>
    <row r="2512" spans="1:26" x14ac:dyDescent="0.2">
      <c r="A2512" t="s">
        <v>2630</v>
      </c>
      <c r="B2512" t="s">
        <v>68</v>
      </c>
      <c r="C2512">
        <v>2015</v>
      </c>
      <c r="D2512" t="s">
        <v>23</v>
      </c>
      <c r="E2512" t="s">
        <v>42</v>
      </c>
      <c r="F2512" t="s">
        <v>20</v>
      </c>
      <c r="G2512">
        <v>62500</v>
      </c>
      <c r="H2512">
        <v>50000</v>
      </c>
      <c r="I2512" s="13">
        <v>0.5</v>
      </c>
      <c r="J2512" t="s">
        <v>6207</v>
      </c>
      <c r="K2512">
        <v>2</v>
      </c>
      <c r="L2512">
        <v>0</v>
      </c>
      <c r="M2512" t="s">
        <v>0</v>
      </c>
      <c r="N2512" s="2">
        <v>0.68</v>
      </c>
      <c r="O2512" s="2">
        <v>0.32</v>
      </c>
      <c r="P2512">
        <v>11</v>
      </c>
      <c r="Q2512">
        <v>14</v>
      </c>
      <c r="R2512">
        <v>5</v>
      </c>
      <c r="S2512">
        <v>5</v>
      </c>
      <c r="T2512">
        <v>9</v>
      </c>
      <c r="U2512">
        <v>11</v>
      </c>
      <c r="V2512">
        <v>3</v>
      </c>
      <c r="W2512">
        <v>0</v>
      </c>
      <c r="X2512">
        <v>0</v>
      </c>
      <c r="Y2512">
        <v>1</v>
      </c>
      <c r="Z2512">
        <v>0</v>
      </c>
    </row>
    <row r="2513" spans="1:26" x14ac:dyDescent="0.2">
      <c r="A2513" t="s">
        <v>2631</v>
      </c>
      <c r="B2513" t="s">
        <v>59</v>
      </c>
      <c r="C2513">
        <v>2015</v>
      </c>
      <c r="D2513" t="s">
        <v>35</v>
      </c>
      <c r="E2513" t="s">
        <v>40</v>
      </c>
      <c r="F2513" t="s">
        <v>35</v>
      </c>
      <c r="G2513">
        <v>49000</v>
      </c>
      <c r="H2513">
        <v>39200</v>
      </c>
      <c r="I2513" s="13">
        <v>1</v>
      </c>
      <c r="J2513" t="s">
        <v>6206</v>
      </c>
      <c r="K2513">
        <v>0</v>
      </c>
      <c r="L2513">
        <v>1</v>
      </c>
      <c r="M2513" t="s">
        <v>1</v>
      </c>
      <c r="N2513" s="2">
        <v>0.49</v>
      </c>
      <c r="O2513" s="2">
        <v>0.51</v>
      </c>
      <c r="P2513">
        <v>17</v>
      </c>
      <c r="Q2513">
        <v>9</v>
      </c>
      <c r="R2513">
        <v>8</v>
      </c>
      <c r="S2513">
        <v>4</v>
      </c>
      <c r="T2513">
        <v>6</v>
      </c>
      <c r="U2513">
        <v>15</v>
      </c>
      <c r="V2513">
        <v>1</v>
      </c>
      <c r="W2513">
        <v>4</v>
      </c>
      <c r="X2513">
        <v>0</v>
      </c>
      <c r="Y2513">
        <v>0</v>
      </c>
      <c r="Z2513">
        <v>0</v>
      </c>
    </row>
    <row r="2514" spans="1:26" x14ac:dyDescent="0.2">
      <c r="A2514" t="s">
        <v>2632</v>
      </c>
      <c r="B2514" t="s">
        <v>60</v>
      </c>
      <c r="C2514">
        <v>2015</v>
      </c>
      <c r="D2514" t="s">
        <v>69</v>
      </c>
      <c r="E2514" t="s">
        <v>51</v>
      </c>
      <c r="F2514" t="s">
        <v>69</v>
      </c>
      <c r="G2514">
        <v>27359</v>
      </c>
      <c r="H2514">
        <v>21887.200000000001</v>
      </c>
      <c r="I2514" s="13">
        <v>0.75</v>
      </c>
      <c r="J2514" t="s">
        <v>6208</v>
      </c>
      <c r="K2514">
        <v>0</v>
      </c>
      <c r="L2514">
        <v>3</v>
      </c>
      <c r="M2514" t="s">
        <v>1</v>
      </c>
      <c r="N2514" s="2">
        <v>0.46</v>
      </c>
      <c r="O2514" s="2">
        <v>0.54</v>
      </c>
      <c r="P2514">
        <v>9</v>
      </c>
      <c r="Q2514">
        <v>12</v>
      </c>
      <c r="R2514">
        <v>6</v>
      </c>
      <c r="S2514">
        <v>8</v>
      </c>
      <c r="T2514">
        <v>8</v>
      </c>
      <c r="U2514">
        <v>9</v>
      </c>
      <c r="V2514">
        <v>2</v>
      </c>
      <c r="W2514">
        <v>2</v>
      </c>
      <c r="X2514">
        <v>0</v>
      </c>
      <c r="Y2514">
        <v>0</v>
      </c>
      <c r="Z2514">
        <v>1</v>
      </c>
    </row>
    <row r="2515" spans="1:26" x14ac:dyDescent="0.2">
      <c r="A2515" t="s">
        <v>2633</v>
      </c>
      <c r="B2515" t="s">
        <v>37</v>
      </c>
      <c r="C2515">
        <v>2015</v>
      </c>
      <c r="D2515" t="s">
        <v>80</v>
      </c>
      <c r="E2515" t="s">
        <v>26</v>
      </c>
      <c r="F2515" t="s">
        <v>80</v>
      </c>
      <c r="G2515">
        <v>32261</v>
      </c>
      <c r="H2515">
        <v>25808.800000000003</v>
      </c>
      <c r="I2515" s="13">
        <v>1</v>
      </c>
      <c r="J2515" t="s">
        <v>6206</v>
      </c>
      <c r="K2515">
        <v>2</v>
      </c>
      <c r="L2515">
        <v>0</v>
      </c>
      <c r="M2515" t="s">
        <v>0</v>
      </c>
      <c r="N2515" s="2">
        <v>0.36</v>
      </c>
      <c r="O2515" s="2">
        <v>0.64</v>
      </c>
      <c r="P2515">
        <v>9</v>
      </c>
      <c r="Q2515">
        <v>10</v>
      </c>
      <c r="R2515">
        <v>3</v>
      </c>
      <c r="S2515">
        <v>12</v>
      </c>
      <c r="T2515">
        <v>6</v>
      </c>
      <c r="U2515">
        <v>7</v>
      </c>
      <c r="V2515">
        <v>0</v>
      </c>
      <c r="W2515">
        <v>1</v>
      </c>
      <c r="X2515">
        <v>0</v>
      </c>
      <c r="Y2515">
        <v>0</v>
      </c>
      <c r="Z2515">
        <v>0</v>
      </c>
    </row>
    <row r="2516" spans="1:26" x14ac:dyDescent="0.2">
      <c r="A2516" t="s">
        <v>2634</v>
      </c>
      <c r="B2516" t="s">
        <v>50</v>
      </c>
      <c r="C2516">
        <v>2015</v>
      </c>
      <c r="D2516" t="s">
        <v>46</v>
      </c>
      <c r="E2516" t="s">
        <v>73</v>
      </c>
      <c r="F2516" t="s">
        <v>20</v>
      </c>
      <c r="G2516">
        <v>60704</v>
      </c>
      <c r="H2516">
        <v>48563.200000000004</v>
      </c>
      <c r="I2516" s="13">
        <v>0.66666666666666663</v>
      </c>
      <c r="J2516" t="s">
        <v>6207</v>
      </c>
      <c r="K2516">
        <v>0</v>
      </c>
      <c r="L2516">
        <v>0</v>
      </c>
      <c r="M2516" t="s">
        <v>58</v>
      </c>
      <c r="N2516" s="2">
        <v>0.67</v>
      </c>
      <c r="O2516" s="2">
        <v>0.33</v>
      </c>
      <c r="P2516">
        <v>21</v>
      </c>
      <c r="Q2516">
        <v>11</v>
      </c>
      <c r="R2516">
        <v>13</v>
      </c>
      <c r="S2516">
        <v>3</v>
      </c>
      <c r="T2516">
        <v>11</v>
      </c>
      <c r="U2516">
        <v>19</v>
      </c>
      <c r="V2516">
        <v>2</v>
      </c>
      <c r="W2516">
        <v>1</v>
      </c>
      <c r="X2516">
        <v>0</v>
      </c>
      <c r="Y2516">
        <v>0</v>
      </c>
      <c r="Z2516">
        <v>0</v>
      </c>
    </row>
    <row r="2517" spans="1:26" x14ac:dyDescent="0.2">
      <c r="A2517" t="s">
        <v>2635</v>
      </c>
      <c r="B2517" t="s">
        <v>67</v>
      </c>
      <c r="C2517">
        <v>2015</v>
      </c>
      <c r="D2517" t="s">
        <v>63</v>
      </c>
      <c r="E2517" t="s">
        <v>71</v>
      </c>
      <c r="F2517" t="s">
        <v>65</v>
      </c>
      <c r="G2517">
        <v>26804</v>
      </c>
      <c r="H2517">
        <v>21443.200000000001</v>
      </c>
      <c r="I2517" s="13">
        <v>0</v>
      </c>
      <c r="J2517" t="s">
        <v>6207</v>
      </c>
      <c r="K2517">
        <v>1</v>
      </c>
      <c r="L2517">
        <v>1</v>
      </c>
      <c r="M2517" t="s">
        <v>58</v>
      </c>
      <c r="N2517" s="2">
        <v>0.45</v>
      </c>
      <c r="O2517" s="2">
        <v>0.55000000000000004</v>
      </c>
      <c r="P2517">
        <v>13</v>
      </c>
      <c r="Q2517">
        <v>14</v>
      </c>
      <c r="R2517">
        <v>7</v>
      </c>
      <c r="S2517">
        <v>7</v>
      </c>
      <c r="T2517">
        <v>12</v>
      </c>
      <c r="U2517">
        <v>13</v>
      </c>
      <c r="V2517">
        <v>0</v>
      </c>
      <c r="W2517">
        <v>0</v>
      </c>
      <c r="X2517">
        <v>0</v>
      </c>
      <c r="Y2517">
        <v>0</v>
      </c>
      <c r="Z2517">
        <v>0</v>
      </c>
    </row>
    <row r="2518" spans="1:26" x14ac:dyDescent="0.2">
      <c r="A2518" t="s">
        <v>2636</v>
      </c>
      <c r="B2518" t="s">
        <v>74</v>
      </c>
      <c r="C2518">
        <v>2015</v>
      </c>
      <c r="D2518" t="s">
        <v>48</v>
      </c>
      <c r="E2518" t="s">
        <v>27</v>
      </c>
      <c r="F2518" t="s">
        <v>49</v>
      </c>
      <c r="G2518">
        <v>74197</v>
      </c>
      <c r="H2518">
        <v>59357.600000000006</v>
      </c>
      <c r="I2518" s="13">
        <v>1</v>
      </c>
      <c r="J2518" t="s">
        <v>6208</v>
      </c>
      <c r="K2518">
        <v>3</v>
      </c>
      <c r="L2518">
        <v>0</v>
      </c>
      <c r="M2518" t="s">
        <v>0</v>
      </c>
      <c r="N2518" s="2">
        <v>0.47</v>
      </c>
      <c r="O2518" s="2">
        <v>0.53</v>
      </c>
      <c r="P2518">
        <v>14</v>
      </c>
      <c r="Q2518">
        <v>16</v>
      </c>
      <c r="R2518">
        <v>2</v>
      </c>
      <c r="S2518">
        <v>5</v>
      </c>
      <c r="T2518">
        <v>13</v>
      </c>
      <c r="U2518">
        <v>13</v>
      </c>
      <c r="V2518">
        <v>2</v>
      </c>
      <c r="W2518">
        <v>1</v>
      </c>
      <c r="X2518">
        <v>0</v>
      </c>
      <c r="Y2518">
        <v>0</v>
      </c>
      <c r="Z2518">
        <v>0</v>
      </c>
    </row>
    <row r="2519" spans="1:26" x14ac:dyDescent="0.2">
      <c r="A2519" t="s">
        <v>2637</v>
      </c>
      <c r="B2519" t="s">
        <v>53</v>
      </c>
      <c r="C2519">
        <v>2015</v>
      </c>
      <c r="D2519" t="s">
        <v>79</v>
      </c>
      <c r="E2519" t="s">
        <v>86</v>
      </c>
      <c r="F2519" t="s">
        <v>20</v>
      </c>
      <c r="G2519">
        <v>25486</v>
      </c>
      <c r="H2519">
        <v>20388.800000000003</v>
      </c>
      <c r="I2519" s="13">
        <v>0.42857142857142855</v>
      </c>
      <c r="J2519" t="s">
        <v>6207</v>
      </c>
      <c r="K2519">
        <v>1</v>
      </c>
      <c r="L2519">
        <v>2</v>
      </c>
      <c r="M2519" t="s">
        <v>1</v>
      </c>
      <c r="N2519" s="2">
        <v>0.5</v>
      </c>
      <c r="O2519" s="2">
        <v>0.5</v>
      </c>
      <c r="P2519">
        <v>15</v>
      </c>
      <c r="Q2519">
        <v>14</v>
      </c>
      <c r="R2519">
        <v>5</v>
      </c>
      <c r="S2519">
        <v>3</v>
      </c>
      <c r="T2519">
        <v>11</v>
      </c>
      <c r="U2519">
        <v>15</v>
      </c>
      <c r="V2519">
        <v>3</v>
      </c>
      <c r="W2519">
        <v>4</v>
      </c>
      <c r="X2519">
        <v>0</v>
      </c>
      <c r="Y2519">
        <v>0</v>
      </c>
      <c r="Z2519">
        <v>0</v>
      </c>
    </row>
    <row r="2520" spans="1:26" x14ac:dyDescent="0.2">
      <c r="A2520" t="s">
        <v>2638</v>
      </c>
      <c r="B2520" t="s">
        <v>41</v>
      </c>
      <c r="C2520">
        <v>2015</v>
      </c>
      <c r="D2520" t="s">
        <v>85</v>
      </c>
      <c r="E2520" t="s">
        <v>18</v>
      </c>
      <c r="F2520" t="s">
        <v>85</v>
      </c>
      <c r="G2520">
        <v>22220</v>
      </c>
      <c r="H2520">
        <v>17776</v>
      </c>
      <c r="I2520" s="13">
        <v>1</v>
      </c>
      <c r="J2520" t="s">
        <v>6207</v>
      </c>
      <c r="K2520">
        <v>0</v>
      </c>
      <c r="L2520">
        <v>0</v>
      </c>
      <c r="M2520" t="s">
        <v>58</v>
      </c>
      <c r="N2520" s="2">
        <v>0.45</v>
      </c>
      <c r="O2520" s="2">
        <v>0.55000000000000004</v>
      </c>
      <c r="P2520">
        <v>16</v>
      </c>
      <c r="Q2520">
        <v>9</v>
      </c>
      <c r="R2520">
        <v>7</v>
      </c>
      <c r="S2520">
        <v>7</v>
      </c>
      <c r="T2520">
        <v>10</v>
      </c>
      <c r="U2520">
        <v>13</v>
      </c>
      <c r="V2520">
        <v>2</v>
      </c>
      <c r="W2520">
        <v>1</v>
      </c>
      <c r="X2520">
        <v>0</v>
      </c>
      <c r="Y2520">
        <v>0</v>
      </c>
      <c r="Z2520">
        <v>0</v>
      </c>
    </row>
    <row r="2521" spans="1:26" x14ac:dyDescent="0.2">
      <c r="A2521" t="s">
        <v>2639</v>
      </c>
      <c r="B2521" t="s">
        <v>76</v>
      </c>
      <c r="C2521">
        <v>2015</v>
      </c>
      <c r="D2521" t="s">
        <v>45</v>
      </c>
      <c r="E2521" t="s">
        <v>64</v>
      </c>
      <c r="F2521" t="s">
        <v>26</v>
      </c>
      <c r="G2521">
        <v>39572</v>
      </c>
      <c r="H2521">
        <v>31657.600000000002</v>
      </c>
      <c r="I2521" s="13">
        <v>0.25</v>
      </c>
      <c r="J2521" t="s">
        <v>6207</v>
      </c>
      <c r="K2521">
        <v>3</v>
      </c>
      <c r="L2521">
        <v>0</v>
      </c>
      <c r="M2521" t="s">
        <v>0</v>
      </c>
      <c r="N2521" s="2">
        <v>0.56000000000000005</v>
      </c>
      <c r="O2521" s="2">
        <v>0.44</v>
      </c>
      <c r="P2521">
        <v>13</v>
      </c>
      <c r="Q2521">
        <v>8</v>
      </c>
      <c r="R2521">
        <v>3</v>
      </c>
      <c r="S2521">
        <v>3</v>
      </c>
      <c r="T2521">
        <v>8</v>
      </c>
      <c r="U2521">
        <v>15</v>
      </c>
      <c r="V2521">
        <v>1</v>
      </c>
      <c r="W2521">
        <v>2</v>
      </c>
      <c r="X2521">
        <v>0</v>
      </c>
      <c r="Y2521">
        <v>1</v>
      </c>
      <c r="Z2521">
        <v>2</v>
      </c>
    </row>
    <row r="2522" spans="1:26" x14ac:dyDescent="0.2">
      <c r="A2522" t="s">
        <v>2640</v>
      </c>
      <c r="B2522" t="s">
        <v>61</v>
      </c>
      <c r="C2522">
        <v>2015</v>
      </c>
      <c r="D2522" t="s">
        <v>40</v>
      </c>
      <c r="E2522" t="s">
        <v>80</v>
      </c>
      <c r="F2522" t="s">
        <v>49</v>
      </c>
      <c r="G2522">
        <v>53400</v>
      </c>
      <c r="H2522">
        <v>42720</v>
      </c>
      <c r="I2522" s="13">
        <v>0.75</v>
      </c>
      <c r="J2522" t="s">
        <v>6207</v>
      </c>
      <c r="K2522">
        <v>1</v>
      </c>
      <c r="L2522">
        <v>3</v>
      </c>
      <c r="M2522" t="s">
        <v>1</v>
      </c>
      <c r="N2522" s="2">
        <v>0.66</v>
      </c>
      <c r="O2522" s="2">
        <v>0.34</v>
      </c>
      <c r="P2522">
        <v>16</v>
      </c>
      <c r="Q2522">
        <v>10</v>
      </c>
      <c r="R2522">
        <v>11</v>
      </c>
      <c r="S2522">
        <v>4</v>
      </c>
      <c r="T2522">
        <v>9</v>
      </c>
      <c r="U2522">
        <v>15</v>
      </c>
      <c r="V2522">
        <v>2</v>
      </c>
      <c r="W2522">
        <v>2</v>
      </c>
      <c r="X2522">
        <v>0</v>
      </c>
      <c r="Y2522">
        <v>0</v>
      </c>
      <c r="Z2522">
        <v>0</v>
      </c>
    </row>
    <row r="2523" spans="1:26" x14ac:dyDescent="0.2">
      <c r="A2523" t="s">
        <v>2641</v>
      </c>
      <c r="B2523" t="s">
        <v>74</v>
      </c>
      <c r="C2523">
        <v>2015</v>
      </c>
      <c r="D2523" t="s">
        <v>51</v>
      </c>
      <c r="E2523" t="s">
        <v>85</v>
      </c>
      <c r="F2523" t="s">
        <v>20</v>
      </c>
      <c r="G2523">
        <v>36284</v>
      </c>
      <c r="H2523">
        <v>29027.200000000001</v>
      </c>
      <c r="I2523" s="13">
        <v>1</v>
      </c>
      <c r="J2523" t="s">
        <v>6208</v>
      </c>
      <c r="K2523">
        <v>1</v>
      </c>
      <c r="L2523">
        <v>0</v>
      </c>
      <c r="M2523" t="s">
        <v>0</v>
      </c>
      <c r="N2523" s="2">
        <v>0.66</v>
      </c>
      <c r="O2523" s="2">
        <v>0.34</v>
      </c>
      <c r="P2523">
        <v>12</v>
      </c>
      <c r="Q2523">
        <v>14</v>
      </c>
      <c r="R2523">
        <v>15</v>
      </c>
      <c r="S2523">
        <v>1</v>
      </c>
      <c r="T2523">
        <v>12</v>
      </c>
      <c r="U2523">
        <v>9</v>
      </c>
      <c r="V2523">
        <v>0</v>
      </c>
      <c r="W2523">
        <v>1</v>
      </c>
      <c r="X2523">
        <v>0</v>
      </c>
      <c r="Y2523">
        <v>0</v>
      </c>
      <c r="Z2523">
        <v>0</v>
      </c>
    </row>
    <row r="2524" spans="1:26" x14ac:dyDescent="0.2">
      <c r="A2524" t="s">
        <v>2642</v>
      </c>
      <c r="B2524" t="s">
        <v>41</v>
      </c>
      <c r="C2524">
        <v>2015</v>
      </c>
      <c r="D2524" t="s">
        <v>71</v>
      </c>
      <c r="E2524" t="s">
        <v>79</v>
      </c>
      <c r="F2524" t="s">
        <v>71</v>
      </c>
      <c r="G2524">
        <v>21088</v>
      </c>
      <c r="H2524">
        <v>16870.400000000001</v>
      </c>
      <c r="I2524" s="13">
        <v>1</v>
      </c>
      <c r="J2524" t="s">
        <v>6207</v>
      </c>
      <c r="K2524">
        <v>1</v>
      </c>
      <c r="L2524">
        <v>1</v>
      </c>
      <c r="M2524" t="s">
        <v>58</v>
      </c>
      <c r="N2524" s="2">
        <v>0.57999999999999996</v>
      </c>
      <c r="O2524" s="2">
        <v>0.42</v>
      </c>
      <c r="P2524">
        <v>15</v>
      </c>
      <c r="Q2524">
        <v>12</v>
      </c>
      <c r="R2524">
        <v>9</v>
      </c>
      <c r="S2524">
        <v>5</v>
      </c>
      <c r="T2524">
        <v>11</v>
      </c>
      <c r="U2524">
        <v>14</v>
      </c>
      <c r="V2524">
        <v>1</v>
      </c>
      <c r="W2524">
        <v>2</v>
      </c>
      <c r="X2524">
        <v>0</v>
      </c>
      <c r="Y2524">
        <v>0</v>
      </c>
      <c r="Z2524">
        <v>0</v>
      </c>
    </row>
    <row r="2525" spans="1:26" x14ac:dyDescent="0.2">
      <c r="A2525" t="s">
        <v>2643</v>
      </c>
      <c r="B2525" t="s">
        <v>37</v>
      </c>
      <c r="C2525">
        <v>2015</v>
      </c>
      <c r="D2525" t="s">
        <v>27</v>
      </c>
      <c r="E2525" t="s">
        <v>45</v>
      </c>
      <c r="F2525" t="s">
        <v>27</v>
      </c>
      <c r="G2525">
        <v>30089</v>
      </c>
      <c r="H2525">
        <v>24071.200000000001</v>
      </c>
      <c r="I2525" s="13">
        <v>1</v>
      </c>
      <c r="J2525" t="s">
        <v>6206</v>
      </c>
      <c r="K2525">
        <v>0</v>
      </c>
      <c r="L2525">
        <v>3</v>
      </c>
      <c r="M2525" t="s">
        <v>1</v>
      </c>
      <c r="N2525" s="2">
        <v>0.66</v>
      </c>
      <c r="O2525" s="2">
        <v>0.34</v>
      </c>
      <c r="P2525">
        <v>10</v>
      </c>
      <c r="Q2525">
        <v>12</v>
      </c>
      <c r="R2525">
        <v>6</v>
      </c>
      <c r="S2525">
        <v>4</v>
      </c>
      <c r="T2525">
        <v>11</v>
      </c>
      <c r="U2525">
        <v>8</v>
      </c>
      <c r="V2525">
        <v>1</v>
      </c>
      <c r="W2525">
        <v>0</v>
      </c>
      <c r="X2525">
        <v>0</v>
      </c>
      <c r="Y2525">
        <v>0</v>
      </c>
      <c r="Z2525">
        <v>1</v>
      </c>
    </row>
    <row r="2526" spans="1:26" x14ac:dyDescent="0.2">
      <c r="A2526" t="s">
        <v>2644</v>
      </c>
      <c r="B2526" t="s">
        <v>50</v>
      </c>
      <c r="C2526">
        <v>2015</v>
      </c>
      <c r="D2526" t="s">
        <v>64</v>
      </c>
      <c r="E2526" t="s">
        <v>63</v>
      </c>
      <c r="F2526" t="s">
        <v>64</v>
      </c>
      <c r="G2526">
        <v>52264</v>
      </c>
      <c r="H2526">
        <v>41811.200000000004</v>
      </c>
      <c r="I2526" s="13">
        <v>0.33333333333333331</v>
      </c>
      <c r="J2526" t="s">
        <v>6207</v>
      </c>
      <c r="K2526">
        <v>1</v>
      </c>
      <c r="L2526">
        <v>0</v>
      </c>
      <c r="M2526" t="s">
        <v>0</v>
      </c>
      <c r="N2526" s="2">
        <v>0.69</v>
      </c>
      <c r="O2526" s="2">
        <v>0.31</v>
      </c>
      <c r="P2526">
        <v>14</v>
      </c>
      <c r="Q2526">
        <v>13</v>
      </c>
      <c r="R2526">
        <v>8</v>
      </c>
      <c r="S2526">
        <v>4</v>
      </c>
      <c r="T2526">
        <v>12</v>
      </c>
      <c r="U2526">
        <v>12</v>
      </c>
      <c r="V2526">
        <v>0</v>
      </c>
      <c r="W2526">
        <v>3</v>
      </c>
      <c r="X2526">
        <v>0</v>
      </c>
      <c r="Y2526">
        <v>0</v>
      </c>
      <c r="Z2526">
        <v>0</v>
      </c>
    </row>
    <row r="2527" spans="1:26" x14ac:dyDescent="0.2">
      <c r="A2527" t="s">
        <v>2645</v>
      </c>
      <c r="B2527" t="s">
        <v>77</v>
      </c>
      <c r="C2527">
        <v>2015</v>
      </c>
      <c r="D2527" t="s">
        <v>26</v>
      </c>
      <c r="E2527" t="s">
        <v>35</v>
      </c>
      <c r="F2527" t="s">
        <v>26</v>
      </c>
      <c r="G2527">
        <v>61276</v>
      </c>
      <c r="H2527">
        <v>49020.800000000003</v>
      </c>
      <c r="I2527" s="13">
        <v>1</v>
      </c>
      <c r="J2527" t="s">
        <v>6207</v>
      </c>
      <c r="K2527">
        <v>2</v>
      </c>
      <c r="L2527">
        <v>2</v>
      </c>
      <c r="M2527" t="s">
        <v>58</v>
      </c>
      <c r="N2527" s="2">
        <v>0.72</v>
      </c>
      <c r="O2527" s="2">
        <v>0.28000000000000003</v>
      </c>
      <c r="P2527">
        <v>14</v>
      </c>
      <c r="Q2527">
        <v>7</v>
      </c>
      <c r="R2527">
        <v>7</v>
      </c>
      <c r="S2527">
        <v>2</v>
      </c>
      <c r="T2527">
        <v>4</v>
      </c>
      <c r="U2527">
        <v>12</v>
      </c>
      <c r="V2527">
        <v>1</v>
      </c>
      <c r="W2527">
        <v>1</v>
      </c>
      <c r="X2527">
        <v>0</v>
      </c>
      <c r="Y2527">
        <v>0</v>
      </c>
      <c r="Z2527">
        <v>0</v>
      </c>
    </row>
    <row r="2528" spans="1:26" x14ac:dyDescent="0.2">
      <c r="A2528" t="s">
        <v>2646</v>
      </c>
      <c r="B2528" t="s">
        <v>32</v>
      </c>
      <c r="C2528">
        <v>2015</v>
      </c>
      <c r="D2528" t="s">
        <v>42</v>
      </c>
      <c r="E2528" t="s">
        <v>69</v>
      </c>
      <c r="F2528" t="s">
        <v>38</v>
      </c>
      <c r="G2528">
        <v>42918</v>
      </c>
      <c r="H2528">
        <v>34334.400000000001</v>
      </c>
      <c r="I2528" s="13">
        <v>0.5</v>
      </c>
      <c r="J2528" t="s">
        <v>6207</v>
      </c>
      <c r="K2528">
        <v>2</v>
      </c>
      <c r="L2528">
        <v>0</v>
      </c>
      <c r="M2528" t="s">
        <v>0</v>
      </c>
      <c r="N2528" s="2">
        <v>0.49</v>
      </c>
      <c r="O2528" s="2">
        <v>0.51</v>
      </c>
      <c r="P2528">
        <v>16</v>
      </c>
      <c r="Q2528">
        <v>11</v>
      </c>
      <c r="R2528">
        <v>2</v>
      </c>
      <c r="S2528">
        <v>11</v>
      </c>
      <c r="T2528">
        <v>10</v>
      </c>
      <c r="U2528">
        <v>11</v>
      </c>
      <c r="V2528">
        <v>0</v>
      </c>
      <c r="W2528">
        <v>2</v>
      </c>
      <c r="X2528">
        <v>0</v>
      </c>
      <c r="Y2528">
        <v>0</v>
      </c>
      <c r="Z2528">
        <v>0</v>
      </c>
    </row>
    <row r="2529" spans="1:26" x14ac:dyDescent="0.2">
      <c r="A2529" t="s">
        <v>2647</v>
      </c>
      <c r="B2529" t="s">
        <v>44</v>
      </c>
      <c r="C2529">
        <v>2015</v>
      </c>
      <c r="D2529" t="s">
        <v>73</v>
      </c>
      <c r="E2529" t="s">
        <v>23</v>
      </c>
      <c r="F2529" t="s">
        <v>73</v>
      </c>
      <c r="G2529">
        <v>32384</v>
      </c>
      <c r="H2529">
        <v>25907.200000000001</v>
      </c>
      <c r="I2529" s="13">
        <v>0.75</v>
      </c>
      <c r="J2529" t="s">
        <v>6207</v>
      </c>
      <c r="K2529">
        <v>1</v>
      </c>
      <c r="L2529">
        <v>0</v>
      </c>
      <c r="M2529" t="s">
        <v>0</v>
      </c>
      <c r="N2529" s="2">
        <v>0.34</v>
      </c>
      <c r="O2529" s="2">
        <v>0.66</v>
      </c>
      <c r="P2529">
        <v>13</v>
      </c>
      <c r="Q2529">
        <v>17</v>
      </c>
      <c r="R2529">
        <v>4</v>
      </c>
      <c r="S2529">
        <v>5</v>
      </c>
      <c r="T2529">
        <v>17</v>
      </c>
      <c r="U2529">
        <v>10</v>
      </c>
      <c r="V2529">
        <v>1</v>
      </c>
      <c r="W2529">
        <v>2</v>
      </c>
      <c r="X2529">
        <v>1</v>
      </c>
      <c r="Y2529">
        <v>0</v>
      </c>
      <c r="Z2529">
        <v>0</v>
      </c>
    </row>
    <row r="2530" spans="1:26" x14ac:dyDescent="0.2">
      <c r="A2530" t="s">
        <v>2648</v>
      </c>
      <c r="B2530" t="s">
        <v>60</v>
      </c>
      <c r="C2530">
        <v>2015</v>
      </c>
      <c r="D2530" t="s">
        <v>86</v>
      </c>
      <c r="E2530" t="s">
        <v>46</v>
      </c>
      <c r="F2530" t="s">
        <v>86</v>
      </c>
      <c r="G2530">
        <v>11364</v>
      </c>
      <c r="H2530">
        <v>9091.2000000000007</v>
      </c>
      <c r="I2530" s="13">
        <v>1</v>
      </c>
      <c r="J2530" t="s">
        <v>6208</v>
      </c>
      <c r="K2530">
        <v>0</v>
      </c>
      <c r="L2530">
        <v>2</v>
      </c>
      <c r="M2530" t="s">
        <v>1</v>
      </c>
      <c r="N2530" s="2">
        <v>0.51</v>
      </c>
      <c r="O2530" s="2">
        <v>0.49</v>
      </c>
      <c r="P2530">
        <v>14</v>
      </c>
      <c r="Q2530">
        <v>9</v>
      </c>
      <c r="R2530">
        <v>7</v>
      </c>
      <c r="S2530">
        <v>3</v>
      </c>
      <c r="T2530">
        <v>6</v>
      </c>
      <c r="U2530">
        <v>8</v>
      </c>
      <c r="V2530">
        <v>0</v>
      </c>
      <c r="W2530">
        <v>1</v>
      </c>
      <c r="X2530">
        <v>0</v>
      </c>
      <c r="Y2530">
        <v>0</v>
      </c>
      <c r="Z2530">
        <v>0</v>
      </c>
    </row>
    <row r="2531" spans="1:26" x14ac:dyDescent="0.2">
      <c r="A2531" t="s">
        <v>2649</v>
      </c>
      <c r="B2531" t="s">
        <v>66</v>
      </c>
      <c r="C2531">
        <v>2015</v>
      </c>
      <c r="D2531" t="s">
        <v>18</v>
      </c>
      <c r="E2531" t="s">
        <v>48</v>
      </c>
      <c r="F2531" t="s">
        <v>20</v>
      </c>
      <c r="G2531">
        <v>40341</v>
      </c>
      <c r="H2531">
        <v>32272.800000000003</v>
      </c>
      <c r="I2531" s="13">
        <v>0.33333333333333331</v>
      </c>
      <c r="J2531" t="s">
        <v>6207</v>
      </c>
      <c r="K2531">
        <v>1</v>
      </c>
      <c r="L2531">
        <v>1</v>
      </c>
      <c r="M2531" t="s">
        <v>58</v>
      </c>
      <c r="N2531" s="2">
        <v>0.49</v>
      </c>
      <c r="O2531" s="2">
        <v>0.51</v>
      </c>
      <c r="P2531">
        <v>10</v>
      </c>
      <c r="Q2531">
        <v>7</v>
      </c>
      <c r="R2531">
        <v>10</v>
      </c>
      <c r="S2531">
        <v>11</v>
      </c>
      <c r="T2531">
        <v>6</v>
      </c>
      <c r="U2531">
        <v>9</v>
      </c>
      <c r="V2531">
        <v>0</v>
      </c>
      <c r="W2531">
        <v>3</v>
      </c>
      <c r="X2531">
        <v>0</v>
      </c>
      <c r="Y2531">
        <v>0</v>
      </c>
      <c r="Z2531">
        <v>0</v>
      </c>
    </row>
    <row r="2532" spans="1:26" x14ac:dyDescent="0.2">
      <c r="A2532" t="s">
        <v>2650</v>
      </c>
      <c r="B2532" t="s">
        <v>37</v>
      </c>
      <c r="C2532">
        <v>2015</v>
      </c>
      <c r="D2532" t="s">
        <v>35</v>
      </c>
      <c r="E2532" t="s">
        <v>48</v>
      </c>
      <c r="F2532" t="s">
        <v>35</v>
      </c>
      <c r="G2532">
        <v>49000</v>
      </c>
      <c r="H2532">
        <v>39200</v>
      </c>
      <c r="I2532" s="13">
        <v>0.6</v>
      </c>
      <c r="J2532" t="s">
        <v>6206</v>
      </c>
      <c r="K2532">
        <v>2</v>
      </c>
      <c r="L2532">
        <v>1</v>
      </c>
      <c r="M2532" t="s">
        <v>0</v>
      </c>
      <c r="N2532" s="2">
        <v>0.34</v>
      </c>
      <c r="O2532" s="2">
        <v>0.66</v>
      </c>
      <c r="P2532">
        <v>21</v>
      </c>
      <c r="Q2532">
        <v>8</v>
      </c>
      <c r="R2532">
        <v>6</v>
      </c>
      <c r="S2532">
        <v>8</v>
      </c>
      <c r="T2532">
        <v>7</v>
      </c>
      <c r="U2532">
        <v>15</v>
      </c>
      <c r="V2532">
        <v>2</v>
      </c>
      <c r="W2532">
        <v>3</v>
      </c>
      <c r="X2532">
        <v>0</v>
      </c>
      <c r="Y2532">
        <v>0</v>
      </c>
      <c r="Z2532">
        <v>0</v>
      </c>
    </row>
    <row r="2533" spans="1:26" x14ac:dyDescent="0.2">
      <c r="A2533" t="s">
        <v>2651</v>
      </c>
      <c r="B2533" t="s">
        <v>68</v>
      </c>
      <c r="C2533">
        <v>2015</v>
      </c>
      <c r="D2533" t="s">
        <v>71</v>
      </c>
      <c r="E2533" t="s">
        <v>73</v>
      </c>
      <c r="F2533" t="s">
        <v>71</v>
      </c>
      <c r="G2533">
        <v>21088</v>
      </c>
      <c r="H2533">
        <v>16870.400000000001</v>
      </c>
      <c r="I2533" s="13">
        <v>0.66666666666666663</v>
      </c>
      <c r="J2533" t="s">
        <v>6207</v>
      </c>
      <c r="K2533">
        <v>0</v>
      </c>
      <c r="L2533">
        <v>1</v>
      </c>
      <c r="M2533" t="s">
        <v>1</v>
      </c>
      <c r="N2533" s="2">
        <v>0.55000000000000004</v>
      </c>
      <c r="O2533" s="2">
        <v>0.45</v>
      </c>
      <c r="P2533">
        <v>14</v>
      </c>
      <c r="Q2533">
        <v>10</v>
      </c>
      <c r="R2533">
        <v>5</v>
      </c>
      <c r="S2533">
        <v>4</v>
      </c>
      <c r="T2533">
        <v>10</v>
      </c>
      <c r="U2533">
        <v>12</v>
      </c>
      <c r="V2533">
        <v>0</v>
      </c>
      <c r="W2533">
        <v>3</v>
      </c>
      <c r="X2533">
        <v>0</v>
      </c>
      <c r="Y2533">
        <v>0</v>
      </c>
      <c r="Z2533">
        <v>0</v>
      </c>
    </row>
    <row r="2534" spans="1:26" x14ac:dyDescent="0.2">
      <c r="A2534" t="s">
        <v>2652</v>
      </c>
      <c r="B2534" t="s">
        <v>53</v>
      </c>
      <c r="C2534">
        <v>2015</v>
      </c>
      <c r="D2534" t="s">
        <v>69</v>
      </c>
      <c r="E2534" t="s">
        <v>23</v>
      </c>
      <c r="F2534" t="s">
        <v>69</v>
      </c>
      <c r="G2534">
        <v>27359</v>
      </c>
      <c r="H2534">
        <v>21887.200000000001</v>
      </c>
      <c r="I2534" s="13">
        <v>0.25</v>
      </c>
      <c r="J2534" t="s">
        <v>6207</v>
      </c>
      <c r="K2534">
        <v>2</v>
      </c>
      <c r="L2534">
        <v>2</v>
      </c>
      <c r="M2534" t="s">
        <v>58</v>
      </c>
      <c r="N2534" s="2">
        <v>0.48</v>
      </c>
      <c r="O2534" s="2">
        <v>0.52</v>
      </c>
      <c r="P2534">
        <v>19</v>
      </c>
      <c r="Q2534">
        <v>19</v>
      </c>
      <c r="R2534">
        <v>3</v>
      </c>
      <c r="S2534">
        <v>3</v>
      </c>
      <c r="T2534">
        <v>16</v>
      </c>
      <c r="U2534">
        <v>11</v>
      </c>
      <c r="V2534">
        <v>2</v>
      </c>
      <c r="W2534">
        <v>2</v>
      </c>
      <c r="X2534">
        <v>0</v>
      </c>
      <c r="Y2534">
        <v>0</v>
      </c>
      <c r="Z2534">
        <v>0</v>
      </c>
    </row>
    <row r="2535" spans="1:26" x14ac:dyDescent="0.2">
      <c r="A2535" t="s">
        <v>2653</v>
      </c>
      <c r="B2535" t="s">
        <v>66</v>
      </c>
      <c r="C2535">
        <v>2015</v>
      </c>
      <c r="D2535" t="s">
        <v>45</v>
      </c>
      <c r="E2535" t="s">
        <v>63</v>
      </c>
      <c r="F2535" t="s">
        <v>26</v>
      </c>
      <c r="G2535">
        <v>39572</v>
      </c>
      <c r="H2535">
        <v>31657.600000000002</v>
      </c>
      <c r="I2535" s="13">
        <v>0.2</v>
      </c>
      <c r="J2535" t="s">
        <v>6207</v>
      </c>
      <c r="K2535">
        <v>0</v>
      </c>
      <c r="L2535">
        <v>1</v>
      </c>
      <c r="M2535" t="s">
        <v>1</v>
      </c>
      <c r="N2535" s="2">
        <v>0.76</v>
      </c>
      <c r="O2535" s="2">
        <v>0.24</v>
      </c>
      <c r="P2535">
        <v>14</v>
      </c>
      <c r="Q2535">
        <v>11</v>
      </c>
      <c r="R2535">
        <v>14</v>
      </c>
      <c r="S2535">
        <v>1</v>
      </c>
      <c r="T2535">
        <v>9</v>
      </c>
      <c r="U2535">
        <v>12</v>
      </c>
      <c r="V2535">
        <v>1</v>
      </c>
      <c r="W2535">
        <v>4</v>
      </c>
      <c r="X2535">
        <v>0</v>
      </c>
      <c r="Y2535">
        <v>0</v>
      </c>
      <c r="Z2535">
        <v>0</v>
      </c>
    </row>
    <row r="2536" spans="1:26" x14ac:dyDescent="0.2">
      <c r="A2536" t="s">
        <v>2654</v>
      </c>
      <c r="B2536" t="s">
        <v>77</v>
      </c>
      <c r="C2536">
        <v>2015</v>
      </c>
      <c r="D2536" t="s">
        <v>79</v>
      </c>
      <c r="E2536" t="s">
        <v>85</v>
      </c>
      <c r="F2536" t="s">
        <v>20</v>
      </c>
      <c r="G2536">
        <v>25486</v>
      </c>
      <c r="H2536">
        <v>20388.800000000003</v>
      </c>
      <c r="I2536" s="13">
        <v>1</v>
      </c>
      <c r="J2536" t="s">
        <v>6207</v>
      </c>
      <c r="K2536">
        <v>1</v>
      </c>
      <c r="L2536">
        <v>2</v>
      </c>
      <c r="M2536" t="s">
        <v>1</v>
      </c>
      <c r="N2536" s="2">
        <v>0.54</v>
      </c>
      <c r="O2536" s="2">
        <v>0.46</v>
      </c>
      <c r="P2536">
        <v>14</v>
      </c>
      <c r="Q2536">
        <v>21</v>
      </c>
      <c r="R2536">
        <v>8</v>
      </c>
      <c r="S2536">
        <v>3</v>
      </c>
      <c r="T2536">
        <v>16</v>
      </c>
      <c r="U2536">
        <v>14</v>
      </c>
      <c r="V2536">
        <v>0</v>
      </c>
      <c r="W2536">
        <v>1</v>
      </c>
      <c r="X2536">
        <v>1</v>
      </c>
      <c r="Y2536">
        <v>0</v>
      </c>
      <c r="Z2536">
        <v>1</v>
      </c>
    </row>
    <row r="2537" spans="1:26" x14ac:dyDescent="0.2">
      <c r="A2537" t="s">
        <v>2655</v>
      </c>
      <c r="B2537" t="s">
        <v>83</v>
      </c>
      <c r="C2537">
        <v>2015</v>
      </c>
      <c r="D2537" t="s">
        <v>86</v>
      </c>
      <c r="E2537" t="s">
        <v>27</v>
      </c>
      <c r="F2537" t="s">
        <v>86</v>
      </c>
      <c r="G2537">
        <v>11364</v>
      </c>
      <c r="H2537">
        <v>9091.2000000000007</v>
      </c>
      <c r="I2537" s="13">
        <v>0.5</v>
      </c>
      <c r="J2537" t="s">
        <v>6208</v>
      </c>
      <c r="K2537">
        <v>1</v>
      </c>
      <c r="L2537">
        <v>3</v>
      </c>
      <c r="M2537" t="s">
        <v>1</v>
      </c>
      <c r="N2537" s="2">
        <v>0.65</v>
      </c>
      <c r="O2537" s="2">
        <v>0.35</v>
      </c>
      <c r="P2537">
        <v>20</v>
      </c>
      <c r="Q2537">
        <v>9</v>
      </c>
      <c r="R2537">
        <v>9</v>
      </c>
      <c r="S2537">
        <v>2</v>
      </c>
      <c r="T2537">
        <v>7</v>
      </c>
      <c r="U2537">
        <v>18</v>
      </c>
      <c r="V2537">
        <v>4</v>
      </c>
      <c r="W2537">
        <v>2</v>
      </c>
      <c r="X2537">
        <v>0</v>
      </c>
      <c r="Y2537">
        <v>0</v>
      </c>
      <c r="Z2537">
        <v>0</v>
      </c>
    </row>
    <row r="2538" spans="1:26" x14ac:dyDescent="0.2">
      <c r="A2538" t="s">
        <v>2656</v>
      </c>
      <c r="B2538" t="s">
        <v>74</v>
      </c>
      <c r="C2538">
        <v>2015</v>
      </c>
      <c r="D2538" t="s">
        <v>18</v>
      </c>
      <c r="E2538" t="s">
        <v>64</v>
      </c>
      <c r="F2538" t="s">
        <v>20</v>
      </c>
      <c r="G2538">
        <v>40341</v>
      </c>
      <c r="H2538">
        <v>32272.800000000003</v>
      </c>
      <c r="I2538" s="13">
        <v>0</v>
      </c>
      <c r="J2538" t="s">
        <v>6208</v>
      </c>
      <c r="K2538">
        <v>5</v>
      </c>
      <c r="L2538">
        <v>1</v>
      </c>
      <c r="M2538" t="s">
        <v>0</v>
      </c>
      <c r="N2538" s="2">
        <v>0.55000000000000004</v>
      </c>
      <c r="O2538" s="2">
        <v>0.45</v>
      </c>
      <c r="P2538">
        <v>16</v>
      </c>
      <c r="Q2538">
        <v>14</v>
      </c>
      <c r="R2538">
        <v>8</v>
      </c>
      <c r="S2538">
        <v>5</v>
      </c>
      <c r="T2538">
        <v>11</v>
      </c>
      <c r="U2538">
        <v>16</v>
      </c>
      <c r="V2538">
        <v>0</v>
      </c>
      <c r="W2538">
        <v>2</v>
      </c>
      <c r="X2538">
        <v>0</v>
      </c>
      <c r="Y2538">
        <v>0</v>
      </c>
      <c r="Z2538">
        <v>0</v>
      </c>
    </row>
    <row r="2539" spans="1:26" x14ac:dyDescent="0.2">
      <c r="A2539" t="s">
        <v>2657</v>
      </c>
      <c r="B2539" t="s">
        <v>32</v>
      </c>
      <c r="C2539">
        <v>2015</v>
      </c>
      <c r="D2539" t="s">
        <v>46</v>
      </c>
      <c r="E2539" t="s">
        <v>80</v>
      </c>
      <c r="F2539" t="s">
        <v>20</v>
      </c>
      <c r="G2539">
        <v>60704</v>
      </c>
      <c r="H2539">
        <v>48563.200000000004</v>
      </c>
      <c r="I2539" s="13">
        <v>0.55555555555555558</v>
      </c>
      <c r="J2539" t="s">
        <v>6207</v>
      </c>
      <c r="K2539">
        <v>2</v>
      </c>
      <c r="L2539">
        <v>1</v>
      </c>
      <c r="M2539" t="s">
        <v>0</v>
      </c>
      <c r="N2539" s="2">
        <v>0.72</v>
      </c>
      <c r="O2539" s="2">
        <v>0.28000000000000003</v>
      </c>
      <c r="P2539">
        <v>12</v>
      </c>
      <c r="Q2539">
        <v>13</v>
      </c>
      <c r="R2539">
        <v>11</v>
      </c>
      <c r="S2539">
        <v>1</v>
      </c>
      <c r="T2539">
        <v>9</v>
      </c>
      <c r="U2539">
        <v>10</v>
      </c>
      <c r="V2539">
        <v>4</v>
      </c>
      <c r="W2539">
        <v>4</v>
      </c>
      <c r="X2539">
        <v>0</v>
      </c>
      <c r="Y2539">
        <v>1</v>
      </c>
      <c r="Z2539">
        <v>1</v>
      </c>
    </row>
    <row r="2540" spans="1:26" x14ac:dyDescent="0.2">
      <c r="A2540" t="s">
        <v>2658</v>
      </c>
      <c r="B2540" t="s">
        <v>67</v>
      </c>
      <c r="C2540">
        <v>2015</v>
      </c>
      <c r="D2540" t="s">
        <v>42</v>
      </c>
      <c r="E2540" t="s">
        <v>26</v>
      </c>
      <c r="F2540" t="s">
        <v>38</v>
      </c>
      <c r="G2540">
        <v>42918</v>
      </c>
      <c r="H2540">
        <v>34334.400000000001</v>
      </c>
      <c r="I2540" s="13">
        <v>0.75</v>
      </c>
      <c r="J2540" t="s">
        <v>6207</v>
      </c>
      <c r="K2540">
        <v>0</v>
      </c>
      <c r="L2540">
        <v>6</v>
      </c>
      <c r="M2540" t="s">
        <v>1</v>
      </c>
      <c r="N2540" s="2">
        <v>0.39</v>
      </c>
      <c r="O2540" s="2">
        <v>0.61</v>
      </c>
      <c r="P2540">
        <v>10</v>
      </c>
      <c r="Q2540">
        <v>10</v>
      </c>
      <c r="R2540">
        <v>0</v>
      </c>
      <c r="S2540">
        <v>6</v>
      </c>
      <c r="T2540">
        <v>10</v>
      </c>
      <c r="U2540">
        <v>9</v>
      </c>
      <c r="V2540">
        <v>3</v>
      </c>
      <c r="W2540">
        <v>1</v>
      </c>
      <c r="X2540">
        <v>0</v>
      </c>
      <c r="Y2540">
        <v>0</v>
      </c>
      <c r="Z2540">
        <v>0</v>
      </c>
    </row>
    <row r="2541" spans="1:26" x14ac:dyDescent="0.2">
      <c r="A2541" t="s">
        <v>2659</v>
      </c>
      <c r="B2541" t="s">
        <v>44</v>
      </c>
      <c r="C2541">
        <v>2015</v>
      </c>
      <c r="D2541" t="s">
        <v>40</v>
      </c>
      <c r="E2541" t="s">
        <v>51</v>
      </c>
      <c r="F2541" t="s">
        <v>49</v>
      </c>
      <c r="G2541">
        <v>53400</v>
      </c>
      <c r="H2541">
        <v>42720</v>
      </c>
      <c r="I2541" s="13">
        <v>0.5</v>
      </c>
      <c r="J2541" t="s">
        <v>6207</v>
      </c>
      <c r="K2541">
        <v>1</v>
      </c>
      <c r="L2541">
        <v>2</v>
      </c>
      <c r="M2541" t="s">
        <v>1</v>
      </c>
      <c r="N2541" s="2">
        <v>0.46</v>
      </c>
      <c r="O2541" s="2">
        <v>0.54</v>
      </c>
      <c r="P2541">
        <v>18</v>
      </c>
      <c r="Q2541">
        <v>15</v>
      </c>
      <c r="R2541">
        <v>7</v>
      </c>
      <c r="S2541">
        <v>1</v>
      </c>
      <c r="T2541">
        <v>12</v>
      </c>
      <c r="U2541">
        <v>17</v>
      </c>
      <c r="V2541">
        <v>1</v>
      </c>
      <c r="W2541">
        <v>3</v>
      </c>
      <c r="X2541">
        <v>0</v>
      </c>
      <c r="Y2541">
        <v>0</v>
      </c>
      <c r="Z2541">
        <v>1</v>
      </c>
    </row>
    <row r="2542" spans="1:26" x14ac:dyDescent="0.2">
      <c r="A2542" t="s">
        <v>2660</v>
      </c>
      <c r="B2542" t="s">
        <v>41</v>
      </c>
      <c r="C2542">
        <v>2015</v>
      </c>
      <c r="D2542" t="s">
        <v>23</v>
      </c>
      <c r="E2542" t="s">
        <v>35</v>
      </c>
      <c r="F2542" t="s">
        <v>20</v>
      </c>
      <c r="G2542">
        <v>62500</v>
      </c>
      <c r="H2542">
        <v>50000</v>
      </c>
      <c r="I2542" s="13">
        <v>0</v>
      </c>
      <c r="J2542" t="s">
        <v>6207</v>
      </c>
      <c r="K2542">
        <v>1</v>
      </c>
      <c r="L2542">
        <v>0</v>
      </c>
      <c r="M2542" t="s">
        <v>0</v>
      </c>
      <c r="N2542" s="2">
        <v>0.53</v>
      </c>
      <c r="O2542" s="2">
        <v>0.47</v>
      </c>
      <c r="P2542">
        <v>11</v>
      </c>
      <c r="Q2542">
        <v>11</v>
      </c>
      <c r="R2542">
        <v>5</v>
      </c>
      <c r="S2542">
        <v>6</v>
      </c>
      <c r="T2542">
        <v>11</v>
      </c>
      <c r="U2542">
        <v>9</v>
      </c>
      <c r="V2542">
        <v>1</v>
      </c>
      <c r="W2542">
        <v>0</v>
      </c>
      <c r="X2542">
        <v>0</v>
      </c>
      <c r="Y2542">
        <v>0</v>
      </c>
      <c r="Z2542">
        <v>0</v>
      </c>
    </row>
    <row r="2543" spans="1:26" x14ac:dyDescent="0.2">
      <c r="A2543" t="s">
        <v>2661</v>
      </c>
      <c r="B2543" t="s">
        <v>61</v>
      </c>
      <c r="C2543">
        <v>2015</v>
      </c>
      <c r="D2543" t="s">
        <v>85</v>
      </c>
      <c r="E2543" t="s">
        <v>86</v>
      </c>
      <c r="F2543" t="s">
        <v>85</v>
      </c>
      <c r="G2543">
        <v>22220</v>
      </c>
      <c r="H2543">
        <v>17776</v>
      </c>
      <c r="I2543" s="13">
        <v>0.25</v>
      </c>
      <c r="J2543" t="s">
        <v>6207</v>
      </c>
      <c r="K2543">
        <v>0</v>
      </c>
      <c r="L2543">
        <v>0</v>
      </c>
      <c r="M2543" t="s">
        <v>58</v>
      </c>
      <c r="N2543" s="2">
        <v>0.47</v>
      </c>
      <c r="O2543" s="2">
        <v>0.53</v>
      </c>
      <c r="P2543">
        <v>19</v>
      </c>
      <c r="Q2543">
        <v>17</v>
      </c>
      <c r="R2543">
        <v>4</v>
      </c>
      <c r="S2543">
        <v>5</v>
      </c>
      <c r="T2543">
        <v>14</v>
      </c>
      <c r="U2543">
        <v>17</v>
      </c>
      <c r="V2543">
        <v>3</v>
      </c>
      <c r="W2543">
        <v>1</v>
      </c>
      <c r="X2543">
        <v>0</v>
      </c>
      <c r="Y2543">
        <v>0</v>
      </c>
      <c r="Z2543">
        <v>0</v>
      </c>
    </row>
    <row r="2544" spans="1:26" x14ac:dyDescent="0.2">
      <c r="A2544" t="s">
        <v>2662</v>
      </c>
      <c r="B2544" t="s">
        <v>60</v>
      </c>
      <c r="C2544">
        <v>2015</v>
      </c>
      <c r="D2544" t="s">
        <v>27</v>
      </c>
      <c r="E2544" t="s">
        <v>42</v>
      </c>
      <c r="F2544" t="s">
        <v>27</v>
      </c>
      <c r="G2544">
        <v>30089</v>
      </c>
      <c r="H2544">
        <v>24071.200000000001</v>
      </c>
      <c r="I2544" s="13">
        <v>0.66666666666666663</v>
      </c>
      <c r="J2544" t="s">
        <v>6208</v>
      </c>
      <c r="K2544">
        <v>2</v>
      </c>
      <c r="L2544">
        <v>1</v>
      </c>
      <c r="M2544" t="s">
        <v>0</v>
      </c>
      <c r="N2544" s="2">
        <v>0.55000000000000004</v>
      </c>
      <c r="O2544" s="2">
        <v>0.45</v>
      </c>
      <c r="P2544">
        <v>15</v>
      </c>
      <c r="Q2544">
        <v>9</v>
      </c>
      <c r="R2544">
        <v>11</v>
      </c>
      <c r="S2544">
        <v>0</v>
      </c>
      <c r="T2544">
        <v>7</v>
      </c>
      <c r="U2544">
        <v>15</v>
      </c>
      <c r="V2544">
        <v>0</v>
      </c>
      <c r="W2544">
        <v>3</v>
      </c>
      <c r="X2544">
        <v>0</v>
      </c>
      <c r="Y2544">
        <v>0</v>
      </c>
      <c r="Z2544">
        <v>1</v>
      </c>
    </row>
    <row r="2545" spans="1:26" x14ac:dyDescent="0.2">
      <c r="A2545" t="s">
        <v>2663</v>
      </c>
      <c r="B2545" t="s">
        <v>32</v>
      </c>
      <c r="C2545">
        <v>2015</v>
      </c>
      <c r="D2545" t="s">
        <v>73</v>
      </c>
      <c r="E2545" t="s">
        <v>18</v>
      </c>
      <c r="F2545" t="s">
        <v>73</v>
      </c>
      <c r="G2545">
        <v>32384</v>
      </c>
      <c r="H2545">
        <v>25907.200000000001</v>
      </c>
      <c r="I2545" s="13">
        <v>0.5</v>
      </c>
      <c r="J2545" t="s">
        <v>6207</v>
      </c>
      <c r="K2545">
        <v>1</v>
      </c>
      <c r="L2545">
        <v>2</v>
      </c>
      <c r="M2545" t="s">
        <v>1</v>
      </c>
      <c r="N2545" s="2">
        <v>0.34</v>
      </c>
      <c r="O2545" s="2">
        <v>0.66</v>
      </c>
      <c r="P2545">
        <v>13</v>
      </c>
      <c r="Q2545">
        <v>15</v>
      </c>
      <c r="R2545">
        <v>7</v>
      </c>
      <c r="S2545">
        <v>8</v>
      </c>
      <c r="T2545">
        <v>10</v>
      </c>
      <c r="U2545">
        <v>11</v>
      </c>
      <c r="V2545">
        <v>3</v>
      </c>
      <c r="W2545">
        <v>1</v>
      </c>
      <c r="X2545">
        <v>0</v>
      </c>
      <c r="Y2545">
        <v>0</v>
      </c>
      <c r="Z2545">
        <v>0</v>
      </c>
    </row>
    <row r="2546" spans="1:26" x14ac:dyDescent="0.2">
      <c r="A2546" t="s">
        <v>2664</v>
      </c>
      <c r="B2546" t="s">
        <v>67</v>
      </c>
      <c r="C2546">
        <v>2015</v>
      </c>
      <c r="D2546" t="s">
        <v>80</v>
      </c>
      <c r="E2546" t="s">
        <v>69</v>
      </c>
      <c r="F2546" t="s">
        <v>80</v>
      </c>
      <c r="G2546">
        <v>32261</v>
      </c>
      <c r="H2546">
        <v>25808.800000000003</v>
      </c>
      <c r="I2546" s="13">
        <v>0</v>
      </c>
      <c r="J2546" t="s">
        <v>6207</v>
      </c>
      <c r="K2546">
        <v>1</v>
      </c>
      <c r="L2546">
        <v>0</v>
      </c>
      <c r="M2546" t="s">
        <v>0</v>
      </c>
      <c r="N2546" s="2">
        <v>0.59</v>
      </c>
      <c r="O2546" s="2">
        <v>0.41</v>
      </c>
      <c r="P2546">
        <v>15</v>
      </c>
      <c r="Q2546">
        <v>10</v>
      </c>
      <c r="R2546">
        <v>3</v>
      </c>
      <c r="S2546">
        <v>4</v>
      </c>
      <c r="T2546">
        <v>9</v>
      </c>
      <c r="U2546">
        <v>11</v>
      </c>
      <c r="V2546">
        <v>0</v>
      </c>
      <c r="W2546">
        <v>2</v>
      </c>
      <c r="X2546">
        <v>0</v>
      </c>
      <c r="Y2546">
        <v>0</v>
      </c>
      <c r="Z2546">
        <v>0</v>
      </c>
    </row>
    <row r="2547" spans="1:26" x14ac:dyDescent="0.2">
      <c r="A2547" t="s">
        <v>2665</v>
      </c>
      <c r="B2547" t="s">
        <v>68</v>
      </c>
      <c r="C2547">
        <v>2015</v>
      </c>
      <c r="D2547" t="s">
        <v>63</v>
      </c>
      <c r="E2547" t="s">
        <v>79</v>
      </c>
      <c r="F2547" t="s">
        <v>65</v>
      </c>
      <c r="G2547">
        <v>26804</v>
      </c>
      <c r="H2547">
        <v>21443.200000000001</v>
      </c>
      <c r="I2547" s="13">
        <v>0.5</v>
      </c>
      <c r="J2547" t="s">
        <v>6207</v>
      </c>
      <c r="K2547">
        <v>3</v>
      </c>
      <c r="L2547">
        <v>2</v>
      </c>
      <c r="M2547" t="s">
        <v>0</v>
      </c>
      <c r="N2547" s="2">
        <v>0.46</v>
      </c>
      <c r="O2547" s="2">
        <v>0.54</v>
      </c>
      <c r="P2547">
        <v>17</v>
      </c>
      <c r="Q2547">
        <v>15</v>
      </c>
      <c r="R2547">
        <v>3</v>
      </c>
      <c r="S2547">
        <v>6</v>
      </c>
      <c r="T2547">
        <v>14</v>
      </c>
      <c r="U2547">
        <v>16</v>
      </c>
      <c r="V2547">
        <v>2</v>
      </c>
      <c r="W2547">
        <v>2</v>
      </c>
      <c r="X2547">
        <v>0</v>
      </c>
      <c r="Y2547">
        <v>0</v>
      </c>
      <c r="Z2547">
        <v>0</v>
      </c>
    </row>
    <row r="2548" spans="1:26" x14ac:dyDescent="0.2">
      <c r="A2548" t="s">
        <v>2666</v>
      </c>
      <c r="B2548" t="s">
        <v>53</v>
      </c>
      <c r="C2548">
        <v>2015</v>
      </c>
      <c r="D2548" t="s">
        <v>51</v>
      </c>
      <c r="E2548" t="s">
        <v>71</v>
      </c>
      <c r="F2548" t="s">
        <v>20</v>
      </c>
      <c r="G2548">
        <v>36284</v>
      </c>
      <c r="H2548">
        <v>29027.200000000001</v>
      </c>
      <c r="I2548" s="13">
        <v>0.4</v>
      </c>
      <c r="J2548" t="s">
        <v>6207</v>
      </c>
      <c r="K2548">
        <v>2</v>
      </c>
      <c r="L2548">
        <v>1</v>
      </c>
      <c r="M2548" t="s">
        <v>0</v>
      </c>
      <c r="N2548" s="2">
        <v>0.56999999999999995</v>
      </c>
      <c r="O2548" s="2">
        <v>0.43</v>
      </c>
      <c r="P2548">
        <v>17</v>
      </c>
      <c r="Q2548">
        <v>14</v>
      </c>
      <c r="R2548">
        <v>7</v>
      </c>
      <c r="S2548">
        <v>7</v>
      </c>
      <c r="T2548">
        <v>11</v>
      </c>
      <c r="U2548">
        <v>14</v>
      </c>
      <c r="V2548">
        <v>2</v>
      </c>
      <c r="W2548">
        <v>3</v>
      </c>
      <c r="X2548">
        <v>0</v>
      </c>
      <c r="Y2548">
        <v>0</v>
      </c>
      <c r="Z2548">
        <v>0</v>
      </c>
    </row>
    <row r="2549" spans="1:26" x14ac:dyDescent="0.2">
      <c r="A2549" t="s">
        <v>2667</v>
      </c>
      <c r="B2549" t="s">
        <v>76</v>
      </c>
      <c r="C2549">
        <v>2015</v>
      </c>
      <c r="D2549" t="s">
        <v>48</v>
      </c>
      <c r="E2549" t="s">
        <v>46</v>
      </c>
      <c r="F2549" t="s">
        <v>49</v>
      </c>
      <c r="G2549">
        <v>74197</v>
      </c>
      <c r="H2549">
        <v>59357.600000000006</v>
      </c>
      <c r="I2549" s="13">
        <v>0.7142857142857143</v>
      </c>
      <c r="J2549" t="s">
        <v>6207</v>
      </c>
      <c r="K2549">
        <v>3</v>
      </c>
      <c r="L2549">
        <v>2</v>
      </c>
      <c r="M2549" t="s">
        <v>0</v>
      </c>
      <c r="N2549" s="2">
        <v>0.39</v>
      </c>
      <c r="O2549" s="2">
        <v>0.61</v>
      </c>
      <c r="P2549">
        <v>16</v>
      </c>
      <c r="Q2549">
        <v>23</v>
      </c>
      <c r="R2549">
        <v>2</v>
      </c>
      <c r="S2549">
        <v>3</v>
      </c>
      <c r="T2549">
        <v>21</v>
      </c>
      <c r="U2549">
        <v>15</v>
      </c>
      <c r="V2549">
        <v>4</v>
      </c>
      <c r="W2549">
        <v>3</v>
      </c>
      <c r="X2549">
        <v>0</v>
      </c>
      <c r="Y2549">
        <v>0</v>
      </c>
      <c r="Z2549">
        <v>0</v>
      </c>
    </row>
    <row r="2550" spans="1:26" x14ac:dyDescent="0.2">
      <c r="A2550" t="s">
        <v>2668</v>
      </c>
      <c r="B2550" t="s">
        <v>61</v>
      </c>
      <c r="C2550">
        <v>2015</v>
      </c>
      <c r="D2550" t="s">
        <v>35</v>
      </c>
      <c r="E2550" t="s">
        <v>79</v>
      </c>
      <c r="F2550" t="s">
        <v>35</v>
      </c>
      <c r="G2550">
        <v>49000</v>
      </c>
      <c r="H2550">
        <v>39200</v>
      </c>
      <c r="I2550" s="13">
        <v>0</v>
      </c>
      <c r="J2550" t="s">
        <v>6207</v>
      </c>
      <c r="K2550">
        <v>2</v>
      </c>
      <c r="L2550">
        <v>2</v>
      </c>
      <c r="M2550" t="s">
        <v>58</v>
      </c>
      <c r="N2550" s="2">
        <v>0.57999999999999996</v>
      </c>
      <c r="O2550" s="2">
        <v>0.42</v>
      </c>
      <c r="P2550">
        <v>15</v>
      </c>
      <c r="Q2550">
        <v>11</v>
      </c>
      <c r="R2550">
        <v>4</v>
      </c>
      <c r="S2550">
        <v>5</v>
      </c>
      <c r="T2550">
        <v>11</v>
      </c>
      <c r="U2550">
        <v>14</v>
      </c>
      <c r="V2550">
        <v>1</v>
      </c>
      <c r="W2550">
        <v>1</v>
      </c>
      <c r="X2550">
        <v>0</v>
      </c>
      <c r="Y2550">
        <v>0</v>
      </c>
      <c r="Z2550">
        <v>0</v>
      </c>
    </row>
    <row r="2551" spans="1:26" x14ac:dyDescent="0.2">
      <c r="A2551" t="s">
        <v>2669</v>
      </c>
      <c r="B2551" t="s">
        <v>50</v>
      </c>
      <c r="C2551">
        <v>2015</v>
      </c>
      <c r="D2551" t="s">
        <v>69</v>
      </c>
      <c r="E2551" t="s">
        <v>18</v>
      </c>
      <c r="F2551" t="s">
        <v>69</v>
      </c>
      <c r="G2551">
        <v>27359</v>
      </c>
      <c r="H2551">
        <v>21887.200000000001</v>
      </c>
      <c r="I2551" s="13">
        <v>0.6</v>
      </c>
      <c r="J2551" t="s">
        <v>6207</v>
      </c>
      <c r="K2551">
        <v>1</v>
      </c>
      <c r="L2551">
        <v>2</v>
      </c>
      <c r="M2551" t="s">
        <v>1</v>
      </c>
      <c r="N2551" s="2">
        <v>0.47</v>
      </c>
      <c r="O2551" s="2">
        <v>0.53</v>
      </c>
      <c r="P2551">
        <v>7</v>
      </c>
      <c r="Q2551">
        <v>20</v>
      </c>
      <c r="R2551">
        <v>4</v>
      </c>
      <c r="S2551">
        <v>4</v>
      </c>
      <c r="T2551">
        <v>17</v>
      </c>
      <c r="U2551">
        <v>5</v>
      </c>
      <c r="V2551">
        <v>3</v>
      </c>
      <c r="W2551">
        <v>2</v>
      </c>
      <c r="X2551">
        <v>0</v>
      </c>
      <c r="Y2551">
        <v>0</v>
      </c>
      <c r="Z2551">
        <v>0</v>
      </c>
    </row>
    <row r="2552" spans="1:26" x14ac:dyDescent="0.2">
      <c r="A2552" t="s">
        <v>2670</v>
      </c>
      <c r="B2552" t="s">
        <v>44</v>
      </c>
      <c r="C2552">
        <v>2015</v>
      </c>
      <c r="D2552" t="s">
        <v>80</v>
      </c>
      <c r="E2552" t="s">
        <v>63</v>
      </c>
      <c r="F2552" t="s">
        <v>80</v>
      </c>
      <c r="G2552">
        <v>32261</v>
      </c>
      <c r="H2552">
        <v>25808.800000000003</v>
      </c>
      <c r="I2552" s="13">
        <v>1</v>
      </c>
      <c r="J2552" t="s">
        <v>6207</v>
      </c>
      <c r="K2552">
        <v>2</v>
      </c>
      <c r="L2552">
        <v>2</v>
      </c>
      <c r="M2552" t="s">
        <v>58</v>
      </c>
      <c r="N2552" s="2">
        <v>0.65</v>
      </c>
      <c r="O2552" s="2">
        <v>0.35</v>
      </c>
      <c r="P2552">
        <v>12</v>
      </c>
      <c r="Q2552">
        <v>11</v>
      </c>
      <c r="R2552">
        <v>11</v>
      </c>
      <c r="S2552">
        <v>3</v>
      </c>
      <c r="T2552">
        <v>10</v>
      </c>
      <c r="U2552">
        <v>8</v>
      </c>
      <c r="V2552">
        <v>0</v>
      </c>
      <c r="W2552">
        <v>2</v>
      </c>
      <c r="X2552">
        <v>0</v>
      </c>
      <c r="Y2552">
        <v>0</v>
      </c>
      <c r="Z2552">
        <v>0</v>
      </c>
    </row>
    <row r="2553" spans="1:26" x14ac:dyDescent="0.2">
      <c r="A2553" t="s">
        <v>2671</v>
      </c>
      <c r="B2553" t="s">
        <v>41</v>
      </c>
      <c r="C2553">
        <v>2015</v>
      </c>
      <c r="D2553" t="s">
        <v>86</v>
      </c>
      <c r="E2553" t="s">
        <v>73</v>
      </c>
      <c r="F2553" t="s">
        <v>86</v>
      </c>
      <c r="G2553">
        <v>11364</v>
      </c>
      <c r="H2553">
        <v>9091.2000000000007</v>
      </c>
      <c r="I2553" s="13">
        <v>0</v>
      </c>
      <c r="J2553" t="s">
        <v>6207</v>
      </c>
      <c r="K2553">
        <v>2</v>
      </c>
      <c r="L2553">
        <v>0</v>
      </c>
      <c r="M2553" t="s">
        <v>0</v>
      </c>
      <c r="N2553" s="2">
        <v>0.45</v>
      </c>
      <c r="O2553" s="2">
        <v>0.55000000000000004</v>
      </c>
      <c r="P2553">
        <v>22</v>
      </c>
      <c r="Q2553">
        <v>12</v>
      </c>
      <c r="R2553">
        <v>10</v>
      </c>
      <c r="S2553">
        <v>2</v>
      </c>
      <c r="T2553">
        <v>11</v>
      </c>
      <c r="U2553">
        <v>18</v>
      </c>
      <c r="V2553">
        <v>0</v>
      </c>
      <c r="W2553">
        <v>0</v>
      </c>
      <c r="X2553">
        <v>0</v>
      </c>
      <c r="Y2553">
        <v>0</v>
      </c>
      <c r="Z2553">
        <v>0</v>
      </c>
    </row>
    <row r="2554" spans="1:26" x14ac:dyDescent="0.2">
      <c r="A2554" t="s">
        <v>2672</v>
      </c>
      <c r="B2554" t="s">
        <v>74</v>
      </c>
      <c r="C2554">
        <v>2015</v>
      </c>
      <c r="D2554" t="s">
        <v>42</v>
      </c>
      <c r="E2554" t="s">
        <v>45</v>
      </c>
      <c r="F2554" t="s">
        <v>38</v>
      </c>
      <c r="G2554">
        <v>42918</v>
      </c>
      <c r="H2554">
        <v>34334.400000000001</v>
      </c>
      <c r="I2554" s="13">
        <v>1</v>
      </c>
      <c r="J2554" t="s">
        <v>6208</v>
      </c>
      <c r="K2554">
        <v>1</v>
      </c>
      <c r="L2554">
        <v>3</v>
      </c>
      <c r="M2554" t="s">
        <v>1</v>
      </c>
      <c r="N2554" s="2">
        <v>0.46</v>
      </c>
      <c r="O2554" s="2">
        <v>0.54</v>
      </c>
      <c r="P2554">
        <v>8</v>
      </c>
      <c r="Q2554">
        <v>8</v>
      </c>
      <c r="R2554">
        <v>9</v>
      </c>
      <c r="S2554">
        <v>8</v>
      </c>
      <c r="T2554">
        <v>8</v>
      </c>
      <c r="U2554">
        <v>7</v>
      </c>
      <c r="V2554">
        <v>3</v>
      </c>
      <c r="W2554">
        <v>1</v>
      </c>
      <c r="X2554">
        <v>0</v>
      </c>
      <c r="Y2554">
        <v>0</v>
      </c>
      <c r="Z2554">
        <v>0</v>
      </c>
    </row>
    <row r="2555" spans="1:26" x14ac:dyDescent="0.2">
      <c r="A2555" t="s">
        <v>2673</v>
      </c>
      <c r="B2555" t="s">
        <v>37</v>
      </c>
      <c r="C2555">
        <v>2015</v>
      </c>
      <c r="D2555" t="s">
        <v>23</v>
      </c>
      <c r="E2555" t="s">
        <v>51</v>
      </c>
      <c r="F2555" t="s">
        <v>20</v>
      </c>
      <c r="G2555">
        <v>62500</v>
      </c>
      <c r="H2555">
        <v>50000</v>
      </c>
      <c r="I2555" s="13">
        <v>0.66666666666666663</v>
      </c>
      <c r="J2555" t="s">
        <v>6206</v>
      </c>
      <c r="K2555">
        <v>1</v>
      </c>
      <c r="L2555">
        <v>0</v>
      </c>
      <c r="M2555" t="s">
        <v>0</v>
      </c>
      <c r="N2555" s="2">
        <v>0.35</v>
      </c>
      <c r="O2555" s="2">
        <v>0.65</v>
      </c>
      <c r="P2555">
        <v>13</v>
      </c>
      <c r="Q2555">
        <v>17</v>
      </c>
      <c r="R2555">
        <v>6</v>
      </c>
      <c r="S2555">
        <v>3</v>
      </c>
      <c r="T2555">
        <v>10</v>
      </c>
      <c r="U2555">
        <v>11</v>
      </c>
      <c r="V2555">
        <v>0</v>
      </c>
      <c r="W2555">
        <v>3</v>
      </c>
      <c r="X2555">
        <v>0</v>
      </c>
      <c r="Y2555">
        <v>0</v>
      </c>
      <c r="Z2555">
        <v>0</v>
      </c>
    </row>
    <row r="2556" spans="1:26" x14ac:dyDescent="0.2">
      <c r="A2556" t="s">
        <v>2674</v>
      </c>
      <c r="B2556" t="s">
        <v>67</v>
      </c>
      <c r="C2556">
        <v>2015</v>
      </c>
      <c r="D2556" t="s">
        <v>27</v>
      </c>
      <c r="E2556" t="s">
        <v>64</v>
      </c>
      <c r="F2556" t="s">
        <v>27</v>
      </c>
      <c r="G2556">
        <v>30089</v>
      </c>
      <c r="H2556">
        <v>24071.200000000001</v>
      </c>
      <c r="I2556" s="13">
        <v>1</v>
      </c>
      <c r="J2556" t="s">
        <v>6207</v>
      </c>
      <c r="K2556">
        <v>1</v>
      </c>
      <c r="L2556">
        <v>0</v>
      </c>
      <c r="M2556" t="s">
        <v>0</v>
      </c>
      <c r="N2556" s="2">
        <v>0.55000000000000004</v>
      </c>
      <c r="O2556" s="2">
        <v>0.45</v>
      </c>
      <c r="P2556">
        <v>7</v>
      </c>
      <c r="Q2556">
        <v>11</v>
      </c>
      <c r="R2556">
        <v>5</v>
      </c>
      <c r="S2556">
        <v>2</v>
      </c>
      <c r="T2556">
        <v>11</v>
      </c>
      <c r="U2556">
        <v>6</v>
      </c>
      <c r="V2556">
        <v>1</v>
      </c>
      <c r="W2556">
        <v>0</v>
      </c>
      <c r="X2556">
        <v>0</v>
      </c>
      <c r="Y2556">
        <v>0</v>
      </c>
      <c r="Z2556">
        <v>0</v>
      </c>
    </row>
    <row r="2557" spans="1:26" x14ac:dyDescent="0.2">
      <c r="A2557" t="s">
        <v>2675</v>
      </c>
      <c r="B2557" t="s">
        <v>77</v>
      </c>
      <c r="C2557">
        <v>2015</v>
      </c>
      <c r="D2557" t="s">
        <v>46</v>
      </c>
      <c r="E2557" t="s">
        <v>71</v>
      </c>
      <c r="F2557" t="s">
        <v>20</v>
      </c>
      <c r="G2557">
        <v>60704</v>
      </c>
      <c r="H2557">
        <v>48563.200000000004</v>
      </c>
      <c r="I2557" s="13">
        <v>0.5</v>
      </c>
      <c r="J2557" t="s">
        <v>6207</v>
      </c>
      <c r="K2557">
        <v>1</v>
      </c>
      <c r="L2557">
        <v>2</v>
      </c>
      <c r="M2557" t="s">
        <v>1</v>
      </c>
      <c r="N2557" s="2">
        <v>0.63</v>
      </c>
      <c r="O2557" s="2">
        <v>0.37</v>
      </c>
      <c r="P2557">
        <v>14</v>
      </c>
      <c r="Q2557">
        <v>11</v>
      </c>
      <c r="R2557">
        <v>7</v>
      </c>
      <c r="S2557">
        <v>3</v>
      </c>
      <c r="T2557">
        <v>8</v>
      </c>
      <c r="U2557">
        <v>11</v>
      </c>
      <c r="V2557">
        <v>0</v>
      </c>
      <c r="W2557">
        <v>2</v>
      </c>
      <c r="X2557">
        <v>0</v>
      </c>
      <c r="Y2557">
        <v>0</v>
      </c>
      <c r="Z2557">
        <v>0</v>
      </c>
    </row>
    <row r="2558" spans="1:26" x14ac:dyDescent="0.2">
      <c r="A2558" t="s">
        <v>2676</v>
      </c>
      <c r="B2558" t="s">
        <v>53</v>
      </c>
      <c r="C2558">
        <v>2015</v>
      </c>
      <c r="D2558" t="s">
        <v>48</v>
      </c>
      <c r="E2558" t="s">
        <v>85</v>
      </c>
      <c r="F2558" t="s">
        <v>49</v>
      </c>
      <c r="G2558">
        <v>74197</v>
      </c>
      <c r="H2558">
        <v>59357.600000000006</v>
      </c>
      <c r="I2558" s="13">
        <v>1</v>
      </c>
      <c r="J2558" t="s">
        <v>6207</v>
      </c>
      <c r="K2558">
        <v>1</v>
      </c>
      <c r="L2558">
        <v>0</v>
      </c>
      <c r="M2558" t="s">
        <v>0</v>
      </c>
      <c r="N2558" s="2">
        <v>0.61</v>
      </c>
      <c r="O2558" s="2">
        <v>0.39</v>
      </c>
      <c r="P2558">
        <v>17</v>
      </c>
      <c r="Q2558">
        <v>9</v>
      </c>
      <c r="R2558">
        <v>9</v>
      </c>
      <c r="S2558">
        <v>7</v>
      </c>
      <c r="T2558">
        <v>7</v>
      </c>
      <c r="U2558">
        <v>17</v>
      </c>
      <c r="V2558">
        <v>1</v>
      </c>
      <c r="W2558">
        <v>2</v>
      </c>
      <c r="X2558">
        <v>0</v>
      </c>
      <c r="Y2558">
        <v>0</v>
      </c>
      <c r="Z2558">
        <v>0</v>
      </c>
    </row>
    <row r="2559" spans="1:26" x14ac:dyDescent="0.2">
      <c r="A2559" t="s">
        <v>2677</v>
      </c>
      <c r="B2559" t="s">
        <v>32</v>
      </c>
      <c r="C2559">
        <v>2015</v>
      </c>
      <c r="D2559" t="s">
        <v>26</v>
      </c>
      <c r="E2559" t="s">
        <v>40</v>
      </c>
      <c r="F2559" t="s">
        <v>26</v>
      </c>
      <c r="G2559">
        <v>61276</v>
      </c>
      <c r="H2559">
        <v>49020.800000000003</v>
      </c>
      <c r="I2559" s="13">
        <v>1</v>
      </c>
      <c r="J2559" t="s">
        <v>6207</v>
      </c>
      <c r="K2559">
        <v>3</v>
      </c>
      <c r="L2559">
        <v>0</v>
      </c>
      <c r="M2559" t="s">
        <v>0</v>
      </c>
      <c r="N2559" s="2">
        <v>0.5</v>
      </c>
      <c r="O2559" s="2">
        <v>0.5</v>
      </c>
      <c r="P2559">
        <v>15</v>
      </c>
      <c r="Q2559">
        <v>18</v>
      </c>
      <c r="R2559">
        <v>3</v>
      </c>
      <c r="S2559">
        <v>2</v>
      </c>
      <c r="T2559">
        <v>14</v>
      </c>
      <c r="U2559">
        <v>14</v>
      </c>
      <c r="V2559">
        <v>0</v>
      </c>
      <c r="W2559">
        <v>1</v>
      </c>
      <c r="X2559">
        <v>0</v>
      </c>
      <c r="Y2559">
        <v>0</v>
      </c>
      <c r="Z2559">
        <v>0</v>
      </c>
    </row>
    <row r="2560" spans="1:26" x14ac:dyDescent="0.2">
      <c r="A2560" t="s">
        <v>2678</v>
      </c>
      <c r="B2560" t="s">
        <v>66</v>
      </c>
      <c r="C2560">
        <v>2015</v>
      </c>
      <c r="D2560" t="s">
        <v>51</v>
      </c>
      <c r="E2560" t="s">
        <v>46</v>
      </c>
      <c r="F2560" t="s">
        <v>20</v>
      </c>
      <c r="G2560">
        <v>36284</v>
      </c>
      <c r="H2560">
        <v>29027.200000000001</v>
      </c>
      <c r="I2560" s="13">
        <v>0.66666666666666663</v>
      </c>
      <c r="J2560" t="s">
        <v>6207</v>
      </c>
      <c r="K2560">
        <v>2</v>
      </c>
      <c r="L2560">
        <v>2</v>
      </c>
      <c r="M2560" t="s">
        <v>58</v>
      </c>
      <c r="N2560" s="2">
        <v>0.52</v>
      </c>
      <c r="O2560" s="2">
        <v>0.48</v>
      </c>
      <c r="P2560">
        <v>11</v>
      </c>
      <c r="Q2560">
        <v>12</v>
      </c>
      <c r="R2560">
        <v>9</v>
      </c>
      <c r="S2560">
        <v>2</v>
      </c>
      <c r="T2560">
        <v>9</v>
      </c>
      <c r="U2560">
        <v>10</v>
      </c>
      <c r="V2560">
        <v>2</v>
      </c>
      <c r="W2560">
        <v>3</v>
      </c>
      <c r="X2560">
        <v>0</v>
      </c>
      <c r="Y2560">
        <v>1</v>
      </c>
      <c r="Z2560">
        <v>0</v>
      </c>
    </row>
    <row r="2561" spans="1:26" x14ac:dyDescent="0.2">
      <c r="A2561" t="s">
        <v>2679</v>
      </c>
      <c r="B2561" t="s">
        <v>76</v>
      </c>
      <c r="C2561">
        <v>2015</v>
      </c>
      <c r="D2561" t="s">
        <v>71</v>
      </c>
      <c r="E2561" t="s">
        <v>69</v>
      </c>
      <c r="F2561" t="s">
        <v>71</v>
      </c>
      <c r="G2561">
        <v>21088</v>
      </c>
      <c r="H2561">
        <v>16870.400000000001</v>
      </c>
      <c r="I2561" s="13">
        <v>0.2857142857142857</v>
      </c>
      <c r="J2561" t="s">
        <v>6207</v>
      </c>
      <c r="K2561">
        <v>1</v>
      </c>
      <c r="L2561">
        <v>0</v>
      </c>
      <c r="M2561" t="s">
        <v>0</v>
      </c>
      <c r="N2561" s="2">
        <v>0.56000000000000005</v>
      </c>
      <c r="O2561" s="2">
        <v>0.44</v>
      </c>
      <c r="P2561">
        <v>18</v>
      </c>
      <c r="Q2561">
        <v>17</v>
      </c>
      <c r="R2561">
        <v>5</v>
      </c>
      <c r="S2561">
        <v>0</v>
      </c>
      <c r="T2561">
        <v>14</v>
      </c>
      <c r="U2561">
        <v>15</v>
      </c>
      <c r="V2561">
        <v>2</v>
      </c>
      <c r="W2561">
        <v>5</v>
      </c>
      <c r="X2561">
        <v>0</v>
      </c>
      <c r="Y2561">
        <v>0</v>
      </c>
      <c r="Z2561">
        <v>0</v>
      </c>
    </row>
    <row r="2562" spans="1:26" x14ac:dyDescent="0.2">
      <c r="A2562" t="s">
        <v>2680</v>
      </c>
      <c r="B2562" t="s">
        <v>67</v>
      </c>
      <c r="C2562">
        <v>2015</v>
      </c>
      <c r="D2562" t="s">
        <v>73</v>
      </c>
      <c r="E2562" t="s">
        <v>35</v>
      </c>
      <c r="F2562" t="s">
        <v>73</v>
      </c>
      <c r="G2562">
        <v>32384</v>
      </c>
      <c r="H2562">
        <v>25907.200000000001</v>
      </c>
      <c r="I2562" s="13">
        <v>0.5</v>
      </c>
      <c r="J2562" t="s">
        <v>6207</v>
      </c>
      <c r="K2562">
        <v>1</v>
      </c>
      <c r="L2562">
        <v>1</v>
      </c>
      <c r="M2562" t="s">
        <v>58</v>
      </c>
      <c r="N2562" s="2">
        <v>0.65</v>
      </c>
      <c r="O2562" s="2">
        <v>0.35</v>
      </c>
      <c r="P2562">
        <v>8</v>
      </c>
      <c r="Q2562">
        <v>10</v>
      </c>
      <c r="R2562">
        <v>12</v>
      </c>
      <c r="S2562">
        <v>2</v>
      </c>
      <c r="T2562">
        <v>9</v>
      </c>
      <c r="U2562">
        <v>9</v>
      </c>
      <c r="V2562">
        <v>2</v>
      </c>
      <c r="W2562">
        <v>1</v>
      </c>
      <c r="X2562">
        <v>1</v>
      </c>
      <c r="Y2562">
        <v>0</v>
      </c>
      <c r="Z2562">
        <v>0</v>
      </c>
    </row>
    <row r="2563" spans="1:26" x14ac:dyDescent="0.2">
      <c r="A2563" t="s">
        <v>2681</v>
      </c>
      <c r="B2563" t="s">
        <v>81</v>
      </c>
      <c r="C2563">
        <v>2015</v>
      </c>
      <c r="D2563" t="s">
        <v>64</v>
      </c>
      <c r="E2563" t="s">
        <v>86</v>
      </c>
      <c r="F2563" t="s">
        <v>64</v>
      </c>
      <c r="G2563">
        <v>52264</v>
      </c>
      <c r="H2563">
        <v>41811.200000000004</v>
      </c>
      <c r="I2563" s="13">
        <v>0.5</v>
      </c>
      <c r="J2563" t="s">
        <v>6207</v>
      </c>
      <c r="K2563">
        <v>1</v>
      </c>
      <c r="L2563">
        <v>3</v>
      </c>
      <c r="M2563" t="s">
        <v>1</v>
      </c>
      <c r="N2563" s="2">
        <v>0.49</v>
      </c>
      <c r="O2563" s="2">
        <v>0.51</v>
      </c>
      <c r="P2563">
        <v>9</v>
      </c>
      <c r="Q2563">
        <v>15</v>
      </c>
      <c r="R2563">
        <v>5</v>
      </c>
      <c r="S2563">
        <v>4</v>
      </c>
      <c r="T2563">
        <v>13</v>
      </c>
      <c r="U2563">
        <v>8</v>
      </c>
      <c r="V2563">
        <v>1</v>
      </c>
      <c r="W2563">
        <v>3</v>
      </c>
      <c r="X2563">
        <v>0</v>
      </c>
      <c r="Y2563">
        <v>0</v>
      </c>
      <c r="Z2563">
        <v>0</v>
      </c>
    </row>
    <row r="2564" spans="1:26" x14ac:dyDescent="0.2">
      <c r="A2564" t="s">
        <v>2682</v>
      </c>
      <c r="B2564" t="s">
        <v>50</v>
      </c>
      <c r="C2564">
        <v>2015</v>
      </c>
      <c r="D2564" t="s">
        <v>40</v>
      </c>
      <c r="E2564" t="s">
        <v>42</v>
      </c>
      <c r="F2564" t="s">
        <v>49</v>
      </c>
      <c r="G2564">
        <v>53400</v>
      </c>
      <c r="H2564">
        <v>42720</v>
      </c>
      <c r="I2564" s="13">
        <v>1</v>
      </c>
      <c r="J2564" t="s">
        <v>6207</v>
      </c>
      <c r="K2564">
        <v>4</v>
      </c>
      <c r="L2564">
        <v>0</v>
      </c>
      <c r="M2564" t="s">
        <v>0</v>
      </c>
      <c r="N2564" s="2">
        <v>0.71</v>
      </c>
      <c r="O2564" s="2">
        <v>0.28999999999999998</v>
      </c>
      <c r="P2564">
        <v>9</v>
      </c>
      <c r="Q2564">
        <v>12</v>
      </c>
      <c r="R2564">
        <v>9</v>
      </c>
      <c r="S2564">
        <v>1</v>
      </c>
      <c r="T2564">
        <v>10</v>
      </c>
      <c r="U2564">
        <v>10</v>
      </c>
      <c r="V2564">
        <v>0</v>
      </c>
      <c r="W2564">
        <v>1</v>
      </c>
      <c r="X2564">
        <v>0</v>
      </c>
      <c r="Y2564">
        <v>0</v>
      </c>
      <c r="Z2564">
        <v>1</v>
      </c>
    </row>
    <row r="2565" spans="1:26" x14ac:dyDescent="0.2">
      <c r="A2565" t="s">
        <v>2683</v>
      </c>
      <c r="B2565" t="s">
        <v>61</v>
      </c>
      <c r="C2565">
        <v>2015</v>
      </c>
      <c r="D2565" t="s">
        <v>45</v>
      </c>
      <c r="E2565" t="s">
        <v>23</v>
      </c>
      <c r="F2565" t="s">
        <v>26</v>
      </c>
      <c r="G2565">
        <v>39572</v>
      </c>
      <c r="H2565">
        <v>31657.600000000002</v>
      </c>
      <c r="I2565" s="13">
        <v>0.7142857142857143</v>
      </c>
      <c r="J2565" t="s">
        <v>6207</v>
      </c>
      <c r="K2565">
        <v>2</v>
      </c>
      <c r="L2565">
        <v>3</v>
      </c>
      <c r="M2565" t="s">
        <v>1</v>
      </c>
      <c r="N2565" s="2">
        <v>0.42</v>
      </c>
      <c r="O2565" s="2">
        <v>0.57999999999999996</v>
      </c>
      <c r="P2565">
        <v>14</v>
      </c>
      <c r="Q2565">
        <v>13</v>
      </c>
      <c r="R2565">
        <v>9</v>
      </c>
      <c r="S2565">
        <v>6</v>
      </c>
      <c r="T2565">
        <v>12</v>
      </c>
      <c r="U2565">
        <v>13</v>
      </c>
      <c r="V2565">
        <v>3</v>
      </c>
      <c r="W2565">
        <v>3</v>
      </c>
      <c r="X2565">
        <v>1</v>
      </c>
      <c r="Y2565">
        <v>0</v>
      </c>
      <c r="Z2565">
        <v>1</v>
      </c>
    </row>
    <row r="2566" spans="1:26" x14ac:dyDescent="0.2">
      <c r="A2566" t="s">
        <v>2684</v>
      </c>
      <c r="B2566" t="s">
        <v>44</v>
      </c>
      <c r="C2566">
        <v>2015</v>
      </c>
      <c r="D2566" t="s">
        <v>18</v>
      </c>
      <c r="E2566" t="s">
        <v>27</v>
      </c>
      <c r="F2566" t="s">
        <v>20</v>
      </c>
      <c r="G2566">
        <v>40341</v>
      </c>
      <c r="H2566">
        <v>32272.800000000003</v>
      </c>
      <c r="I2566" s="13">
        <v>1</v>
      </c>
      <c r="J2566" t="s">
        <v>6207</v>
      </c>
      <c r="K2566">
        <v>1</v>
      </c>
      <c r="L2566">
        <v>1</v>
      </c>
      <c r="M2566" t="s">
        <v>58</v>
      </c>
      <c r="N2566" s="2">
        <v>0.48</v>
      </c>
      <c r="O2566" s="2">
        <v>0.52</v>
      </c>
      <c r="P2566">
        <v>14</v>
      </c>
      <c r="Q2566">
        <v>11</v>
      </c>
      <c r="R2566">
        <v>8</v>
      </c>
      <c r="S2566">
        <v>4</v>
      </c>
      <c r="T2566">
        <v>9</v>
      </c>
      <c r="U2566">
        <v>10</v>
      </c>
      <c r="V2566">
        <v>1</v>
      </c>
      <c r="W2566">
        <v>2</v>
      </c>
      <c r="X2566">
        <v>0</v>
      </c>
      <c r="Y2566">
        <v>0</v>
      </c>
      <c r="Z2566">
        <v>0</v>
      </c>
    </row>
    <row r="2567" spans="1:26" x14ac:dyDescent="0.2">
      <c r="A2567" t="s">
        <v>2685</v>
      </c>
      <c r="B2567" t="s">
        <v>68</v>
      </c>
      <c r="C2567">
        <v>2015</v>
      </c>
      <c r="D2567" t="s">
        <v>85</v>
      </c>
      <c r="E2567" t="s">
        <v>80</v>
      </c>
      <c r="F2567" t="s">
        <v>85</v>
      </c>
      <c r="G2567">
        <v>22220</v>
      </c>
      <c r="H2567">
        <v>17776</v>
      </c>
      <c r="I2567" s="13">
        <v>1</v>
      </c>
      <c r="J2567" t="s">
        <v>6207</v>
      </c>
      <c r="K2567">
        <v>0</v>
      </c>
      <c r="L2567">
        <v>1</v>
      </c>
      <c r="M2567" t="s">
        <v>1</v>
      </c>
      <c r="N2567" s="2">
        <v>0.5</v>
      </c>
      <c r="O2567" s="2">
        <v>0.5</v>
      </c>
      <c r="P2567">
        <v>12</v>
      </c>
      <c r="Q2567">
        <v>12</v>
      </c>
      <c r="R2567">
        <v>3</v>
      </c>
      <c r="S2567">
        <v>8</v>
      </c>
      <c r="T2567">
        <v>10</v>
      </c>
      <c r="U2567">
        <v>11</v>
      </c>
      <c r="V2567">
        <v>2</v>
      </c>
      <c r="W2567">
        <v>2</v>
      </c>
      <c r="X2567">
        <v>0</v>
      </c>
      <c r="Y2567">
        <v>0</v>
      </c>
      <c r="Z2567">
        <v>0</v>
      </c>
    </row>
    <row r="2568" spans="1:26" x14ac:dyDescent="0.2">
      <c r="A2568" t="s">
        <v>2686</v>
      </c>
      <c r="B2568" t="s">
        <v>37</v>
      </c>
      <c r="C2568">
        <v>2015</v>
      </c>
      <c r="D2568" t="s">
        <v>79</v>
      </c>
      <c r="E2568" t="s">
        <v>26</v>
      </c>
      <c r="F2568" t="s">
        <v>20</v>
      </c>
      <c r="G2568">
        <v>25486</v>
      </c>
      <c r="H2568">
        <v>20388.800000000003</v>
      </c>
      <c r="I2568" s="13">
        <v>0.2</v>
      </c>
      <c r="J2568" t="s">
        <v>6206</v>
      </c>
      <c r="K2568">
        <v>1</v>
      </c>
      <c r="L2568">
        <v>2</v>
      </c>
      <c r="M2568" t="s">
        <v>1</v>
      </c>
      <c r="N2568" s="2">
        <v>0.38</v>
      </c>
      <c r="O2568" s="2">
        <v>0.62</v>
      </c>
      <c r="P2568">
        <v>18</v>
      </c>
      <c r="Q2568">
        <v>14</v>
      </c>
      <c r="R2568">
        <v>6</v>
      </c>
      <c r="S2568">
        <v>6</v>
      </c>
      <c r="T2568">
        <v>12</v>
      </c>
      <c r="U2568">
        <v>16</v>
      </c>
      <c r="V2568">
        <v>1</v>
      </c>
      <c r="W2568">
        <v>3</v>
      </c>
      <c r="X2568">
        <v>0</v>
      </c>
      <c r="Y2568">
        <v>1</v>
      </c>
      <c r="Z2568">
        <v>1</v>
      </c>
    </row>
    <row r="2569" spans="1:26" x14ac:dyDescent="0.2">
      <c r="A2569" t="s">
        <v>2687</v>
      </c>
      <c r="B2569" t="s">
        <v>41</v>
      </c>
      <c r="C2569">
        <v>2015</v>
      </c>
      <c r="D2569" t="s">
        <v>63</v>
      </c>
      <c r="E2569" t="s">
        <v>48</v>
      </c>
      <c r="F2569" t="s">
        <v>65</v>
      </c>
      <c r="G2569">
        <v>26804</v>
      </c>
      <c r="H2569">
        <v>21443.200000000001</v>
      </c>
      <c r="I2569" s="13">
        <v>0.66666666666666663</v>
      </c>
      <c r="J2569" t="s">
        <v>6207</v>
      </c>
      <c r="K2569">
        <v>1</v>
      </c>
      <c r="L2569">
        <v>0</v>
      </c>
      <c r="M2569" t="s">
        <v>0</v>
      </c>
      <c r="N2569" s="2">
        <v>0.47</v>
      </c>
      <c r="O2569" s="2">
        <v>0.53</v>
      </c>
      <c r="P2569">
        <v>8</v>
      </c>
      <c r="Q2569">
        <v>13</v>
      </c>
      <c r="R2569">
        <v>4</v>
      </c>
      <c r="S2569">
        <v>5</v>
      </c>
      <c r="T2569">
        <v>8</v>
      </c>
      <c r="U2569">
        <v>7</v>
      </c>
      <c r="V2569">
        <v>1</v>
      </c>
      <c r="W2569">
        <v>1</v>
      </c>
      <c r="X2569">
        <v>0</v>
      </c>
      <c r="Y2569">
        <v>1</v>
      </c>
      <c r="Z2569">
        <v>0</v>
      </c>
    </row>
    <row r="2570" spans="1:26" x14ac:dyDescent="0.2">
      <c r="A2570" t="s">
        <v>2688</v>
      </c>
      <c r="B2570" t="s">
        <v>68</v>
      </c>
      <c r="C2570">
        <v>2015</v>
      </c>
      <c r="D2570" t="s">
        <v>69</v>
      </c>
      <c r="E2570" t="s">
        <v>40</v>
      </c>
      <c r="F2570" t="s">
        <v>69</v>
      </c>
      <c r="G2570">
        <v>27359</v>
      </c>
      <c r="H2570">
        <v>21887.200000000001</v>
      </c>
      <c r="I2570" s="13">
        <v>0.25</v>
      </c>
      <c r="J2570" t="s">
        <v>6207</v>
      </c>
      <c r="K2570">
        <v>0</v>
      </c>
      <c r="L2570">
        <v>0</v>
      </c>
      <c r="M2570" t="s">
        <v>58</v>
      </c>
      <c r="N2570" s="2">
        <v>0.34</v>
      </c>
      <c r="O2570" s="2">
        <v>0.66</v>
      </c>
      <c r="P2570">
        <v>11</v>
      </c>
      <c r="Q2570">
        <v>18</v>
      </c>
      <c r="R2570">
        <v>3</v>
      </c>
      <c r="S2570">
        <v>8</v>
      </c>
      <c r="T2570">
        <v>15</v>
      </c>
      <c r="U2570">
        <v>10</v>
      </c>
      <c r="V2570">
        <v>3</v>
      </c>
      <c r="W2570">
        <v>1</v>
      </c>
      <c r="X2570">
        <v>0</v>
      </c>
      <c r="Y2570">
        <v>0</v>
      </c>
      <c r="Z2570">
        <v>0</v>
      </c>
    </row>
    <row r="2571" spans="1:26" x14ac:dyDescent="0.2">
      <c r="A2571" t="s">
        <v>2689</v>
      </c>
      <c r="B2571" t="s">
        <v>50</v>
      </c>
      <c r="C2571">
        <v>2015</v>
      </c>
      <c r="D2571" t="s">
        <v>27</v>
      </c>
      <c r="E2571" t="s">
        <v>73</v>
      </c>
      <c r="F2571" t="s">
        <v>27</v>
      </c>
      <c r="G2571">
        <v>30089</v>
      </c>
      <c r="H2571">
        <v>24071.200000000001</v>
      </c>
      <c r="I2571" s="13">
        <v>0.75</v>
      </c>
      <c r="J2571" t="s">
        <v>6207</v>
      </c>
      <c r="K2571">
        <v>1</v>
      </c>
      <c r="L2571">
        <v>2</v>
      </c>
      <c r="M2571" t="s">
        <v>1</v>
      </c>
      <c r="N2571" s="2">
        <v>0.61</v>
      </c>
      <c r="O2571" s="2">
        <v>0.39</v>
      </c>
      <c r="P2571">
        <v>13</v>
      </c>
      <c r="Q2571">
        <v>13</v>
      </c>
      <c r="R2571">
        <v>1</v>
      </c>
      <c r="S2571">
        <v>4</v>
      </c>
      <c r="T2571">
        <v>13</v>
      </c>
      <c r="U2571">
        <v>12</v>
      </c>
      <c r="V2571">
        <v>1</v>
      </c>
      <c r="W2571">
        <v>2</v>
      </c>
      <c r="X2571">
        <v>0</v>
      </c>
      <c r="Y2571">
        <v>1</v>
      </c>
      <c r="Z2571">
        <v>0</v>
      </c>
    </row>
    <row r="2572" spans="1:26" x14ac:dyDescent="0.2">
      <c r="A2572" t="s">
        <v>2690</v>
      </c>
      <c r="B2572" t="s">
        <v>74</v>
      </c>
      <c r="C2572">
        <v>2015</v>
      </c>
      <c r="D2572" t="s">
        <v>86</v>
      </c>
      <c r="E2572" t="s">
        <v>71</v>
      </c>
      <c r="F2572" t="s">
        <v>86</v>
      </c>
      <c r="G2572">
        <v>11364</v>
      </c>
      <c r="H2572">
        <v>9091.2000000000007</v>
      </c>
      <c r="I2572" s="13">
        <v>0</v>
      </c>
      <c r="J2572" t="s">
        <v>6208</v>
      </c>
      <c r="K2572">
        <v>3</v>
      </c>
      <c r="L2572">
        <v>2</v>
      </c>
      <c r="M2572" t="s">
        <v>0</v>
      </c>
      <c r="N2572" s="2">
        <v>0.44</v>
      </c>
      <c r="O2572" s="2">
        <v>0.56000000000000005</v>
      </c>
      <c r="P2572">
        <v>12</v>
      </c>
      <c r="Q2572">
        <v>14</v>
      </c>
      <c r="R2572">
        <v>5</v>
      </c>
      <c r="S2572">
        <v>3</v>
      </c>
      <c r="T2572">
        <v>12</v>
      </c>
      <c r="U2572">
        <v>11</v>
      </c>
      <c r="V2572">
        <v>1</v>
      </c>
      <c r="W2572">
        <v>0</v>
      </c>
      <c r="X2572">
        <v>0</v>
      </c>
      <c r="Y2572">
        <v>0</v>
      </c>
      <c r="Z2572">
        <v>0</v>
      </c>
    </row>
    <row r="2573" spans="1:26" x14ac:dyDescent="0.2">
      <c r="A2573" t="s">
        <v>2691</v>
      </c>
      <c r="B2573" t="s">
        <v>61</v>
      </c>
      <c r="C2573">
        <v>2015</v>
      </c>
      <c r="D2573" t="s">
        <v>42</v>
      </c>
      <c r="E2573" t="s">
        <v>51</v>
      </c>
      <c r="F2573" t="s">
        <v>38</v>
      </c>
      <c r="G2573">
        <v>42918</v>
      </c>
      <c r="H2573">
        <v>34334.400000000001</v>
      </c>
      <c r="I2573" s="13">
        <v>0</v>
      </c>
      <c r="J2573" t="s">
        <v>6207</v>
      </c>
      <c r="K2573">
        <v>0</v>
      </c>
      <c r="L2573">
        <v>2</v>
      </c>
      <c r="M2573" t="s">
        <v>1</v>
      </c>
      <c r="N2573" s="2">
        <v>0.38</v>
      </c>
      <c r="O2573" s="2">
        <v>0.62</v>
      </c>
      <c r="P2573">
        <v>9</v>
      </c>
      <c r="Q2573">
        <v>9</v>
      </c>
      <c r="R2573">
        <v>5</v>
      </c>
      <c r="S2573">
        <v>8</v>
      </c>
      <c r="T2573">
        <v>6</v>
      </c>
      <c r="U2573">
        <v>6</v>
      </c>
      <c r="V2573">
        <v>0</v>
      </c>
      <c r="W2573">
        <v>0</v>
      </c>
      <c r="X2573">
        <v>0</v>
      </c>
      <c r="Y2573">
        <v>0</v>
      </c>
      <c r="Z2573">
        <v>0</v>
      </c>
    </row>
    <row r="2574" spans="1:26" x14ac:dyDescent="0.2">
      <c r="A2574" t="s">
        <v>2692</v>
      </c>
      <c r="B2574" t="s">
        <v>76</v>
      </c>
      <c r="C2574">
        <v>2015</v>
      </c>
      <c r="D2574" t="s">
        <v>80</v>
      </c>
      <c r="E2574" t="s">
        <v>64</v>
      </c>
      <c r="F2574" t="s">
        <v>80</v>
      </c>
      <c r="G2574">
        <v>32261</v>
      </c>
      <c r="H2574">
        <v>25808.800000000003</v>
      </c>
      <c r="I2574" s="13">
        <v>0</v>
      </c>
      <c r="J2574" t="s">
        <v>6207</v>
      </c>
      <c r="K2574">
        <v>1</v>
      </c>
      <c r="L2574">
        <v>0</v>
      </c>
      <c r="M2574" t="s">
        <v>0</v>
      </c>
      <c r="N2574" s="2">
        <v>0.5</v>
      </c>
      <c r="O2574" s="2">
        <v>0.5</v>
      </c>
      <c r="P2574">
        <v>10</v>
      </c>
      <c r="Q2574">
        <v>4</v>
      </c>
      <c r="R2574">
        <v>8</v>
      </c>
      <c r="S2574">
        <v>4</v>
      </c>
      <c r="T2574">
        <v>4</v>
      </c>
      <c r="U2574">
        <v>9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1:26" x14ac:dyDescent="0.2">
      <c r="A2575" t="s">
        <v>2693</v>
      </c>
      <c r="B2575" t="s">
        <v>44</v>
      </c>
      <c r="C2575">
        <v>2015</v>
      </c>
      <c r="D2575" t="s">
        <v>45</v>
      </c>
      <c r="E2575" t="s">
        <v>46</v>
      </c>
      <c r="F2575" t="s">
        <v>26</v>
      </c>
      <c r="G2575">
        <v>39572</v>
      </c>
      <c r="H2575">
        <v>31657.600000000002</v>
      </c>
      <c r="I2575" s="13">
        <v>0</v>
      </c>
      <c r="J2575" t="s">
        <v>6207</v>
      </c>
      <c r="K2575">
        <v>0</v>
      </c>
      <c r="L2575">
        <v>2</v>
      </c>
      <c r="M2575" t="s">
        <v>1</v>
      </c>
      <c r="N2575" s="2">
        <v>0.54</v>
      </c>
      <c r="O2575" s="2">
        <v>0.46</v>
      </c>
      <c r="P2575">
        <v>13</v>
      </c>
      <c r="Q2575">
        <v>7</v>
      </c>
      <c r="R2575">
        <v>7</v>
      </c>
      <c r="S2575">
        <v>5</v>
      </c>
      <c r="T2575">
        <v>7</v>
      </c>
      <c r="U2575">
        <v>10</v>
      </c>
      <c r="V2575">
        <v>0</v>
      </c>
      <c r="W2575">
        <v>0</v>
      </c>
      <c r="X2575">
        <v>0</v>
      </c>
      <c r="Y2575">
        <v>0</v>
      </c>
      <c r="Z2575">
        <v>0</v>
      </c>
    </row>
    <row r="2576" spans="1:26" x14ac:dyDescent="0.2">
      <c r="A2576" t="s">
        <v>2694</v>
      </c>
      <c r="B2576" t="s">
        <v>61</v>
      </c>
      <c r="C2576">
        <v>2015</v>
      </c>
      <c r="D2576" t="s">
        <v>63</v>
      </c>
      <c r="E2576" t="s">
        <v>69</v>
      </c>
      <c r="F2576" t="s">
        <v>65</v>
      </c>
      <c r="G2576">
        <v>26804</v>
      </c>
      <c r="H2576">
        <v>21443.200000000001</v>
      </c>
      <c r="I2576" s="13">
        <v>0.33333333333333331</v>
      </c>
      <c r="J2576" t="s">
        <v>6207</v>
      </c>
      <c r="K2576">
        <v>0</v>
      </c>
      <c r="L2576">
        <v>1</v>
      </c>
      <c r="M2576" t="s">
        <v>1</v>
      </c>
      <c r="N2576" s="2">
        <v>0.5</v>
      </c>
      <c r="O2576" s="2">
        <v>0.5</v>
      </c>
      <c r="P2576">
        <v>15</v>
      </c>
      <c r="Q2576">
        <v>12</v>
      </c>
      <c r="R2576">
        <v>4</v>
      </c>
      <c r="S2576">
        <v>3</v>
      </c>
      <c r="T2576">
        <v>8</v>
      </c>
      <c r="U2576">
        <v>13</v>
      </c>
      <c r="V2576">
        <v>1</v>
      </c>
      <c r="W2576">
        <v>2</v>
      </c>
      <c r="X2576">
        <v>0</v>
      </c>
      <c r="Y2576">
        <v>0</v>
      </c>
      <c r="Z2576">
        <v>0</v>
      </c>
    </row>
    <row r="2577" spans="1:26" x14ac:dyDescent="0.2">
      <c r="A2577" t="s">
        <v>2695</v>
      </c>
      <c r="B2577" t="s">
        <v>76</v>
      </c>
      <c r="C2577">
        <v>2015</v>
      </c>
      <c r="D2577" t="s">
        <v>85</v>
      </c>
      <c r="E2577" t="s">
        <v>27</v>
      </c>
      <c r="F2577" t="s">
        <v>85</v>
      </c>
      <c r="G2577">
        <v>22220</v>
      </c>
      <c r="H2577">
        <v>17776</v>
      </c>
      <c r="I2577" s="13">
        <v>1</v>
      </c>
      <c r="J2577" t="s">
        <v>6207</v>
      </c>
      <c r="K2577">
        <v>1</v>
      </c>
      <c r="L2577">
        <v>2</v>
      </c>
      <c r="M2577" t="s">
        <v>1</v>
      </c>
      <c r="N2577" s="2">
        <v>0.52</v>
      </c>
      <c r="O2577" s="2">
        <v>0.48</v>
      </c>
      <c r="P2577">
        <v>18</v>
      </c>
      <c r="Q2577">
        <v>12</v>
      </c>
      <c r="R2577">
        <v>9</v>
      </c>
      <c r="S2577">
        <v>2</v>
      </c>
      <c r="T2577">
        <v>10</v>
      </c>
      <c r="U2577">
        <v>14</v>
      </c>
      <c r="V2577">
        <v>3</v>
      </c>
      <c r="W2577">
        <v>1</v>
      </c>
      <c r="X2577">
        <v>0</v>
      </c>
      <c r="Y2577">
        <v>0</v>
      </c>
      <c r="Z2577">
        <v>0</v>
      </c>
    </row>
    <row r="2578" spans="1:26" x14ac:dyDescent="0.2">
      <c r="A2578" t="s">
        <v>2696</v>
      </c>
      <c r="B2578" t="s">
        <v>53</v>
      </c>
      <c r="C2578">
        <v>2015</v>
      </c>
      <c r="D2578" t="s">
        <v>79</v>
      </c>
      <c r="E2578" t="s">
        <v>80</v>
      </c>
      <c r="F2578" t="s">
        <v>20</v>
      </c>
      <c r="G2578">
        <v>25486</v>
      </c>
      <c r="H2578">
        <v>20388.800000000003</v>
      </c>
      <c r="I2578" s="13">
        <v>1</v>
      </c>
      <c r="J2578" t="s">
        <v>6207</v>
      </c>
      <c r="K2578">
        <v>0</v>
      </c>
      <c r="L2578">
        <v>1</v>
      </c>
      <c r="M2578" t="s">
        <v>1</v>
      </c>
      <c r="N2578" s="2">
        <v>0.56000000000000005</v>
      </c>
      <c r="O2578" s="2">
        <v>0.44</v>
      </c>
      <c r="P2578">
        <v>13</v>
      </c>
      <c r="Q2578">
        <v>9</v>
      </c>
      <c r="R2578">
        <v>10</v>
      </c>
      <c r="S2578">
        <v>7</v>
      </c>
      <c r="T2578">
        <v>9</v>
      </c>
      <c r="U2578">
        <v>13</v>
      </c>
      <c r="V2578">
        <v>1</v>
      </c>
      <c r="W2578">
        <v>1</v>
      </c>
      <c r="X2578">
        <v>0</v>
      </c>
      <c r="Y2578">
        <v>0</v>
      </c>
      <c r="Z2578">
        <v>0</v>
      </c>
    </row>
    <row r="2579" spans="1:26" x14ac:dyDescent="0.2">
      <c r="A2579" t="s">
        <v>2697</v>
      </c>
      <c r="B2579" t="s">
        <v>77</v>
      </c>
      <c r="C2579">
        <v>2015</v>
      </c>
      <c r="D2579" t="s">
        <v>18</v>
      </c>
      <c r="E2579" t="s">
        <v>23</v>
      </c>
      <c r="F2579" t="s">
        <v>20</v>
      </c>
      <c r="G2579">
        <v>40341</v>
      </c>
      <c r="H2579">
        <v>32272.800000000003</v>
      </c>
      <c r="I2579" s="13">
        <v>1</v>
      </c>
      <c r="J2579" t="s">
        <v>6207</v>
      </c>
      <c r="K2579">
        <v>2</v>
      </c>
      <c r="L2579">
        <v>2</v>
      </c>
      <c r="M2579" t="s">
        <v>58</v>
      </c>
      <c r="N2579" s="2">
        <v>0.59</v>
      </c>
      <c r="O2579" s="2">
        <v>0.41</v>
      </c>
      <c r="P2579">
        <v>15</v>
      </c>
      <c r="Q2579">
        <v>17</v>
      </c>
      <c r="R2579">
        <v>10</v>
      </c>
      <c r="S2579">
        <v>9</v>
      </c>
      <c r="T2579">
        <v>13</v>
      </c>
      <c r="U2579">
        <v>14</v>
      </c>
      <c r="V2579">
        <v>3</v>
      </c>
      <c r="W2579">
        <v>5</v>
      </c>
      <c r="X2579">
        <v>0</v>
      </c>
      <c r="Y2579">
        <v>0</v>
      </c>
      <c r="Z2579">
        <v>1</v>
      </c>
    </row>
    <row r="2580" spans="1:26" x14ac:dyDescent="0.2">
      <c r="A2580" t="s">
        <v>2698</v>
      </c>
      <c r="B2580" t="s">
        <v>41</v>
      </c>
      <c r="C2580">
        <v>2015</v>
      </c>
      <c r="D2580" t="s">
        <v>71</v>
      </c>
      <c r="E2580" t="s">
        <v>42</v>
      </c>
      <c r="F2580" t="s">
        <v>71</v>
      </c>
      <c r="G2580">
        <v>21088</v>
      </c>
      <c r="H2580">
        <v>16870.400000000001</v>
      </c>
      <c r="I2580" s="13">
        <v>0.4</v>
      </c>
      <c r="J2580" t="s">
        <v>6207</v>
      </c>
      <c r="K2580">
        <v>1</v>
      </c>
      <c r="L2580">
        <v>0</v>
      </c>
      <c r="M2580" t="s">
        <v>0</v>
      </c>
      <c r="N2580" s="2">
        <v>0.54</v>
      </c>
      <c r="O2580" s="2">
        <v>0.46</v>
      </c>
      <c r="P2580">
        <v>10</v>
      </c>
      <c r="Q2580">
        <v>12</v>
      </c>
      <c r="R2580">
        <v>4</v>
      </c>
      <c r="S2580">
        <v>6</v>
      </c>
      <c r="T2580">
        <v>9</v>
      </c>
      <c r="U2580">
        <v>10</v>
      </c>
      <c r="V2580">
        <v>3</v>
      </c>
      <c r="W2580">
        <v>2</v>
      </c>
      <c r="X2580">
        <v>0</v>
      </c>
      <c r="Y2580">
        <v>0</v>
      </c>
      <c r="Z2580">
        <v>0</v>
      </c>
    </row>
    <row r="2581" spans="1:26" x14ac:dyDescent="0.2">
      <c r="A2581" t="s">
        <v>2699</v>
      </c>
      <c r="B2581" t="s">
        <v>74</v>
      </c>
      <c r="C2581">
        <v>2015</v>
      </c>
      <c r="D2581" t="s">
        <v>73</v>
      </c>
      <c r="E2581" t="s">
        <v>26</v>
      </c>
      <c r="F2581" t="s">
        <v>73</v>
      </c>
      <c r="G2581">
        <v>32384</v>
      </c>
      <c r="H2581">
        <v>25907.200000000001</v>
      </c>
      <c r="I2581" s="13">
        <v>1</v>
      </c>
      <c r="J2581" t="s">
        <v>6208</v>
      </c>
      <c r="K2581">
        <v>3</v>
      </c>
      <c r="L2581">
        <v>2</v>
      </c>
      <c r="M2581" t="s">
        <v>0</v>
      </c>
      <c r="N2581" s="2">
        <v>0.49</v>
      </c>
      <c r="O2581" s="2">
        <v>0.51</v>
      </c>
      <c r="P2581">
        <v>14</v>
      </c>
      <c r="Q2581">
        <v>13</v>
      </c>
      <c r="R2581">
        <v>3</v>
      </c>
      <c r="S2581">
        <v>5</v>
      </c>
      <c r="T2581">
        <v>10</v>
      </c>
      <c r="U2581">
        <v>13</v>
      </c>
      <c r="V2581">
        <v>1</v>
      </c>
      <c r="W2581">
        <v>3</v>
      </c>
      <c r="X2581">
        <v>0</v>
      </c>
      <c r="Y2581">
        <v>0</v>
      </c>
      <c r="Z2581">
        <v>1</v>
      </c>
    </row>
    <row r="2582" spans="1:26" x14ac:dyDescent="0.2">
      <c r="A2582" t="s">
        <v>2700</v>
      </c>
      <c r="B2582" t="s">
        <v>32</v>
      </c>
      <c r="C2582">
        <v>2015</v>
      </c>
      <c r="D2582" t="s">
        <v>64</v>
      </c>
      <c r="E2582" t="s">
        <v>35</v>
      </c>
      <c r="F2582" t="s">
        <v>64</v>
      </c>
      <c r="G2582">
        <v>52264</v>
      </c>
      <c r="H2582">
        <v>41811.200000000004</v>
      </c>
      <c r="I2582" s="13">
        <v>0.6</v>
      </c>
      <c r="J2582" t="s">
        <v>6207</v>
      </c>
      <c r="K2582">
        <v>1</v>
      </c>
      <c r="L2582">
        <v>1</v>
      </c>
      <c r="M2582" t="s">
        <v>58</v>
      </c>
      <c r="N2582" s="2">
        <v>0.6</v>
      </c>
      <c r="O2582" s="2">
        <v>0.4</v>
      </c>
      <c r="P2582">
        <v>8</v>
      </c>
      <c r="Q2582">
        <v>15</v>
      </c>
      <c r="R2582">
        <v>2</v>
      </c>
      <c r="S2582">
        <v>5</v>
      </c>
      <c r="T2582">
        <v>14</v>
      </c>
      <c r="U2582">
        <v>7</v>
      </c>
      <c r="V2582">
        <v>4</v>
      </c>
      <c r="W2582">
        <v>1</v>
      </c>
      <c r="X2582">
        <v>0</v>
      </c>
      <c r="Y2582">
        <v>0</v>
      </c>
      <c r="Z2582">
        <v>0</v>
      </c>
    </row>
    <row r="2583" spans="1:26" x14ac:dyDescent="0.2">
      <c r="A2583" t="s">
        <v>2701</v>
      </c>
      <c r="B2583" t="s">
        <v>67</v>
      </c>
      <c r="C2583">
        <v>2015</v>
      </c>
      <c r="D2583" t="s">
        <v>51</v>
      </c>
      <c r="E2583" t="s">
        <v>86</v>
      </c>
      <c r="F2583" t="s">
        <v>20</v>
      </c>
      <c r="G2583">
        <v>36284</v>
      </c>
      <c r="H2583">
        <v>29027.200000000001</v>
      </c>
      <c r="I2583" s="13">
        <v>0</v>
      </c>
      <c r="J2583" t="s">
        <v>6207</v>
      </c>
      <c r="K2583">
        <v>3</v>
      </c>
      <c r="L2583">
        <v>0</v>
      </c>
      <c r="M2583" t="s">
        <v>0</v>
      </c>
      <c r="N2583" s="2">
        <v>0.63</v>
      </c>
      <c r="O2583" s="2">
        <v>0.37</v>
      </c>
      <c r="P2583">
        <v>11</v>
      </c>
      <c r="Q2583">
        <v>14</v>
      </c>
      <c r="R2583">
        <v>4</v>
      </c>
      <c r="S2583">
        <v>5</v>
      </c>
      <c r="T2583">
        <v>11</v>
      </c>
      <c r="U2583">
        <v>6</v>
      </c>
      <c r="V2583">
        <v>0</v>
      </c>
      <c r="W2583">
        <v>1</v>
      </c>
      <c r="X2583">
        <v>0</v>
      </c>
      <c r="Y2583">
        <v>0</v>
      </c>
      <c r="Z2583">
        <v>0</v>
      </c>
    </row>
    <row r="2584" spans="1:26" x14ac:dyDescent="0.2">
      <c r="A2584" t="s">
        <v>2702</v>
      </c>
      <c r="B2584" t="s">
        <v>66</v>
      </c>
      <c r="C2584">
        <v>2015</v>
      </c>
      <c r="D2584" t="s">
        <v>40</v>
      </c>
      <c r="E2584" t="s">
        <v>48</v>
      </c>
      <c r="F2584" t="s">
        <v>49</v>
      </c>
      <c r="G2584">
        <v>53400</v>
      </c>
      <c r="H2584">
        <v>42720</v>
      </c>
      <c r="I2584" s="13">
        <v>0.5</v>
      </c>
      <c r="J2584" t="s">
        <v>6207</v>
      </c>
      <c r="K2584">
        <v>0</v>
      </c>
      <c r="L2584">
        <v>1</v>
      </c>
      <c r="M2584" t="s">
        <v>1</v>
      </c>
      <c r="N2584" s="2">
        <v>0.54</v>
      </c>
      <c r="O2584" s="2">
        <v>0.46</v>
      </c>
      <c r="P2584">
        <v>13</v>
      </c>
      <c r="Q2584">
        <v>11</v>
      </c>
      <c r="R2584">
        <v>11</v>
      </c>
      <c r="S2584">
        <v>5</v>
      </c>
      <c r="T2584">
        <v>9</v>
      </c>
      <c r="U2584">
        <v>12</v>
      </c>
      <c r="V2584">
        <v>1</v>
      </c>
      <c r="W2584">
        <v>1</v>
      </c>
      <c r="X2584">
        <v>0</v>
      </c>
      <c r="Y2584">
        <v>0</v>
      </c>
      <c r="Z2584">
        <v>0</v>
      </c>
    </row>
    <row r="2585" spans="1:26" x14ac:dyDescent="0.2">
      <c r="A2585" t="s">
        <v>2703</v>
      </c>
      <c r="B2585" t="s">
        <v>67</v>
      </c>
      <c r="C2585">
        <v>2015</v>
      </c>
      <c r="D2585" t="s">
        <v>42</v>
      </c>
      <c r="E2585" t="s">
        <v>18</v>
      </c>
      <c r="F2585" t="s">
        <v>38</v>
      </c>
      <c r="G2585">
        <v>42918</v>
      </c>
      <c r="H2585">
        <v>34334.400000000001</v>
      </c>
      <c r="I2585" s="13">
        <v>0.5714285714285714</v>
      </c>
      <c r="J2585" t="s">
        <v>6207</v>
      </c>
      <c r="K2585">
        <v>0</v>
      </c>
      <c r="L2585">
        <v>4</v>
      </c>
      <c r="M2585" t="s">
        <v>1</v>
      </c>
      <c r="N2585" s="2">
        <v>0.42</v>
      </c>
      <c r="O2585" s="2">
        <v>0.57999999999999996</v>
      </c>
      <c r="P2585">
        <v>11</v>
      </c>
      <c r="Q2585">
        <v>11</v>
      </c>
      <c r="R2585">
        <v>7</v>
      </c>
      <c r="S2585">
        <v>2</v>
      </c>
      <c r="T2585">
        <v>12</v>
      </c>
      <c r="U2585">
        <v>8</v>
      </c>
      <c r="V2585">
        <v>5</v>
      </c>
      <c r="W2585">
        <v>1</v>
      </c>
      <c r="X2585">
        <v>1</v>
      </c>
      <c r="Y2585">
        <v>0</v>
      </c>
      <c r="Z2585">
        <v>1</v>
      </c>
    </row>
    <row r="2586" spans="1:26" x14ac:dyDescent="0.2">
      <c r="A2586" t="s">
        <v>2704</v>
      </c>
      <c r="B2586" t="s">
        <v>44</v>
      </c>
      <c r="C2586">
        <v>2015</v>
      </c>
      <c r="D2586" t="s">
        <v>23</v>
      </c>
      <c r="E2586" t="s">
        <v>79</v>
      </c>
      <c r="F2586" t="s">
        <v>20</v>
      </c>
      <c r="G2586">
        <v>62500</v>
      </c>
      <c r="H2586">
        <v>50000</v>
      </c>
      <c r="I2586" s="13">
        <v>0.6</v>
      </c>
      <c r="J2586" t="s">
        <v>6207</v>
      </c>
      <c r="K2586">
        <v>2</v>
      </c>
      <c r="L2586">
        <v>2</v>
      </c>
      <c r="M2586" t="s">
        <v>58</v>
      </c>
      <c r="N2586" s="2">
        <v>0.67</v>
      </c>
      <c r="O2586" s="2">
        <v>0.33</v>
      </c>
      <c r="P2586">
        <v>24</v>
      </c>
      <c r="Q2586">
        <v>13</v>
      </c>
      <c r="R2586">
        <v>4</v>
      </c>
      <c r="S2586">
        <v>5</v>
      </c>
      <c r="T2586">
        <v>12</v>
      </c>
      <c r="U2586">
        <v>19</v>
      </c>
      <c r="V2586">
        <v>2</v>
      </c>
      <c r="W2586">
        <v>2</v>
      </c>
      <c r="X2586">
        <v>1</v>
      </c>
      <c r="Y2586">
        <v>0</v>
      </c>
      <c r="Z2586">
        <v>0</v>
      </c>
    </row>
    <row r="2587" spans="1:26" x14ac:dyDescent="0.2">
      <c r="A2587" t="s">
        <v>2705</v>
      </c>
      <c r="B2587" t="s">
        <v>74</v>
      </c>
      <c r="C2587">
        <v>2015</v>
      </c>
      <c r="D2587" t="s">
        <v>35</v>
      </c>
      <c r="E2587" t="s">
        <v>63</v>
      </c>
      <c r="F2587" t="s">
        <v>35</v>
      </c>
      <c r="G2587">
        <v>49000</v>
      </c>
      <c r="H2587">
        <v>39200</v>
      </c>
      <c r="I2587" s="13">
        <v>0.33333333333333331</v>
      </c>
      <c r="J2587" t="s">
        <v>6208</v>
      </c>
      <c r="K2587">
        <v>0</v>
      </c>
      <c r="L2587">
        <v>0</v>
      </c>
      <c r="M2587" t="s">
        <v>58</v>
      </c>
      <c r="N2587" s="2">
        <v>0.56000000000000005</v>
      </c>
      <c r="O2587" s="2">
        <v>0.44</v>
      </c>
      <c r="P2587">
        <v>13</v>
      </c>
      <c r="Q2587">
        <v>16</v>
      </c>
      <c r="R2587">
        <v>9</v>
      </c>
      <c r="S2587">
        <v>3</v>
      </c>
      <c r="T2587">
        <v>11</v>
      </c>
      <c r="U2587">
        <v>13</v>
      </c>
      <c r="V2587">
        <v>1</v>
      </c>
      <c r="W2587">
        <v>2</v>
      </c>
      <c r="X2587">
        <v>0</v>
      </c>
      <c r="Y2587">
        <v>0</v>
      </c>
      <c r="Z2587">
        <v>0</v>
      </c>
    </row>
    <row r="2588" spans="1:26" x14ac:dyDescent="0.2">
      <c r="A2588" t="s">
        <v>2706</v>
      </c>
      <c r="B2588" t="s">
        <v>32</v>
      </c>
      <c r="C2588">
        <v>2015</v>
      </c>
      <c r="D2588" t="s">
        <v>27</v>
      </c>
      <c r="E2588" t="s">
        <v>71</v>
      </c>
      <c r="F2588" t="s">
        <v>27</v>
      </c>
      <c r="G2588">
        <v>30089</v>
      </c>
      <c r="H2588">
        <v>24071.200000000001</v>
      </c>
      <c r="I2588" s="13">
        <v>0</v>
      </c>
      <c r="J2588" t="s">
        <v>6207</v>
      </c>
      <c r="K2588">
        <v>2</v>
      </c>
      <c r="L2588">
        <v>2</v>
      </c>
      <c r="M2588" t="s">
        <v>58</v>
      </c>
      <c r="N2588" s="2">
        <v>0.47</v>
      </c>
      <c r="O2588" s="2">
        <v>0.53</v>
      </c>
      <c r="P2588">
        <v>18</v>
      </c>
      <c r="Q2588">
        <v>11</v>
      </c>
      <c r="R2588">
        <v>5</v>
      </c>
      <c r="S2588">
        <v>5</v>
      </c>
      <c r="T2588">
        <v>6</v>
      </c>
      <c r="U2588">
        <v>16</v>
      </c>
      <c r="V2588">
        <v>0</v>
      </c>
      <c r="W2588">
        <v>1</v>
      </c>
      <c r="X2588">
        <v>0</v>
      </c>
      <c r="Y2588">
        <v>0</v>
      </c>
      <c r="Z2588">
        <v>0</v>
      </c>
    </row>
    <row r="2589" spans="1:26" x14ac:dyDescent="0.2">
      <c r="A2589" t="s">
        <v>2707</v>
      </c>
      <c r="B2589" t="s">
        <v>41</v>
      </c>
      <c r="C2589">
        <v>2015</v>
      </c>
      <c r="D2589" t="s">
        <v>69</v>
      </c>
      <c r="E2589" t="s">
        <v>64</v>
      </c>
      <c r="F2589" t="s">
        <v>69</v>
      </c>
      <c r="G2589">
        <v>27359</v>
      </c>
      <c r="H2589">
        <v>21887.200000000001</v>
      </c>
      <c r="I2589" s="13">
        <v>0</v>
      </c>
      <c r="J2589" t="s">
        <v>6207</v>
      </c>
      <c r="K2589">
        <v>3</v>
      </c>
      <c r="L2589">
        <v>2</v>
      </c>
      <c r="M2589" t="s">
        <v>0</v>
      </c>
      <c r="N2589" s="2">
        <v>0.41</v>
      </c>
      <c r="O2589" s="2">
        <v>0.59</v>
      </c>
      <c r="P2589">
        <v>13</v>
      </c>
      <c r="Q2589">
        <v>9</v>
      </c>
      <c r="R2589">
        <v>6</v>
      </c>
      <c r="S2589">
        <v>5</v>
      </c>
      <c r="T2589">
        <v>6</v>
      </c>
      <c r="U2589">
        <v>11</v>
      </c>
      <c r="V2589">
        <v>0</v>
      </c>
      <c r="W2589">
        <v>0</v>
      </c>
      <c r="X2589">
        <v>0</v>
      </c>
      <c r="Y2589">
        <v>0</v>
      </c>
      <c r="Z2589">
        <v>1</v>
      </c>
    </row>
    <row r="2590" spans="1:26" x14ac:dyDescent="0.2">
      <c r="A2590" t="s">
        <v>2708</v>
      </c>
      <c r="B2590" t="s">
        <v>77</v>
      </c>
      <c r="C2590">
        <v>2015</v>
      </c>
      <c r="D2590" t="s">
        <v>86</v>
      </c>
      <c r="E2590" t="s">
        <v>40</v>
      </c>
      <c r="F2590" t="s">
        <v>86</v>
      </c>
      <c r="G2590">
        <v>11364</v>
      </c>
      <c r="H2590">
        <v>9091.2000000000007</v>
      </c>
      <c r="I2590" s="13">
        <v>1</v>
      </c>
      <c r="J2590" t="s">
        <v>6207</v>
      </c>
      <c r="K2590">
        <v>0</v>
      </c>
      <c r="L2590">
        <v>4</v>
      </c>
      <c r="M2590" t="s">
        <v>1</v>
      </c>
      <c r="N2590" s="2">
        <v>0.46</v>
      </c>
      <c r="O2590" s="2">
        <v>0.54</v>
      </c>
      <c r="P2590">
        <v>12</v>
      </c>
      <c r="Q2590">
        <v>11</v>
      </c>
      <c r="R2590">
        <v>4</v>
      </c>
      <c r="S2590">
        <v>4</v>
      </c>
      <c r="T2590">
        <v>9</v>
      </c>
      <c r="U2590">
        <v>8</v>
      </c>
      <c r="V2590">
        <v>0</v>
      </c>
      <c r="W2590">
        <v>1</v>
      </c>
      <c r="X2590">
        <v>0</v>
      </c>
      <c r="Y2590">
        <v>0</v>
      </c>
      <c r="Z2590">
        <v>0</v>
      </c>
    </row>
    <row r="2591" spans="1:26" x14ac:dyDescent="0.2">
      <c r="A2591" t="s">
        <v>2709</v>
      </c>
      <c r="B2591" t="s">
        <v>61</v>
      </c>
      <c r="C2591">
        <v>2015</v>
      </c>
      <c r="D2591" t="s">
        <v>46</v>
      </c>
      <c r="E2591" t="s">
        <v>85</v>
      </c>
      <c r="F2591" t="s">
        <v>20</v>
      </c>
      <c r="G2591">
        <v>60704</v>
      </c>
      <c r="H2591">
        <v>48563.200000000004</v>
      </c>
      <c r="I2591" s="13">
        <v>1</v>
      </c>
      <c r="J2591" t="s">
        <v>6207</v>
      </c>
      <c r="K2591">
        <v>4</v>
      </c>
      <c r="L2591">
        <v>0</v>
      </c>
      <c r="M2591" t="s">
        <v>0</v>
      </c>
      <c r="N2591" s="2">
        <v>0.69</v>
      </c>
      <c r="O2591" s="2">
        <v>0.31</v>
      </c>
      <c r="P2591">
        <v>13</v>
      </c>
      <c r="Q2591">
        <v>8</v>
      </c>
      <c r="R2591">
        <v>8</v>
      </c>
      <c r="S2591">
        <v>3</v>
      </c>
      <c r="T2591">
        <v>7</v>
      </c>
      <c r="U2591">
        <v>10</v>
      </c>
      <c r="V2591">
        <v>1</v>
      </c>
      <c r="W2591">
        <v>1</v>
      </c>
      <c r="X2591">
        <v>0</v>
      </c>
      <c r="Y2591">
        <v>0</v>
      </c>
      <c r="Z2591">
        <v>0</v>
      </c>
    </row>
    <row r="2592" spans="1:26" x14ac:dyDescent="0.2">
      <c r="A2592" t="s">
        <v>2710</v>
      </c>
      <c r="B2592" t="s">
        <v>68</v>
      </c>
      <c r="C2592">
        <v>2015</v>
      </c>
      <c r="D2592" t="s">
        <v>26</v>
      </c>
      <c r="E2592" t="s">
        <v>51</v>
      </c>
      <c r="F2592" t="s">
        <v>26</v>
      </c>
      <c r="G2592">
        <v>61276</v>
      </c>
      <c r="H2592">
        <v>49020.800000000003</v>
      </c>
      <c r="I2592" s="13">
        <v>1</v>
      </c>
      <c r="J2592" t="s">
        <v>6207</v>
      </c>
      <c r="K2592">
        <v>1</v>
      </c>
      <c r="L2592">
        <v>1</v>
      </c>
      <c r="M2592" t="s">
        <v>58</v>
      </c>
      <c r="N2592" s="2">
        <v>0.42</v>
      </c>
      <c r="O2592" s="2">
        <v>0.57999999999999996</v>
      </c>
      <c r="P2592">
        <v>12</v>
      </c>
      <c r="Q2592">
        <v>11</v>
      </c>
      <c r="R2592">
        <v>12</v>
      </c>
      <c r="S2592">
        <v>9</v>
      </c>
      <c r="T2592">
        <v>11</v>
      </c>
      <c r="U2592">
        <v>11</v>
      </c>
      <c r="V2592">
        <v>2</v>
      </c>
      <c r="W2592">
        <v>0</v>
      </c>
      <c r="X2592">
        <v>0</v>
      </c>
      <c r="Y2592">
        <v>0</v>
      </c>
      <c r="Z2592">
        <v>0</v>
      </c>
    </row>
    <row r="2593" spans="1:26" x14ac:dyDescent="0.2">
      <c r="A2593" t="s">
        <v>2711</v>
      </c>
      <c r="B2593" t="s">
        <v>66</v>
      </c>
      <c r="C2593">
        <v>2015</v>
      </c>
      <c r="D2593" t="s">
        <v>80</v>
      </c>
      <c r="E2593" t="s">
        <v>73</v>
      </c>
      <c r="F2593" t="s">
        <v>80</v>
      </c>
      <c r="G2593">
        <v>32261</v>
      </c>
      <c r="H2593">
        <v>25808.800000000003</v>
      </c>
      <c r="I2593" s="13">
        <v>0.75</v>
      </c>
      <c r="J2593" t="s">
        <v>6207</v>
      </c>
      <c r="K2593">
        <v>1</v>
      </c>
      <c r="L2593">
        <v>0</v>
      </c>
      <c r="M2593" t="s">
        <v>0</v>
      </c>
      <c r="N2593" s="2">
        <v>0.46</v>
      </c>
      <c r="O2593" s="2">
        <v>0.54</v>
      </c>
      <c r="P2593">
        <v>15</v>
      </c>
      <c r="Q2593">
        <v>14</v>
      </c>
      <c r="R2593">
        <v>7</v>
      </c>
      <c r="S2593">
        <v>8</v>
      </c>
      <c r="T2593">
        <v>12</v>
      </c>
      <c r="U2593">
        <v>13</v>
      </c>
      <c r="V2593">
        <v>2</v>
      </c>
      <c r="W2593">
        <v>2</v>
      </c>
      <c r="X2593">
        <v>0</v>
      </c>
      <c r="Y2593">
        <v>0</v>
      </c>
      <c r="Z2593">
        <v>0</v>
      </c>
    </row>
    <row r="2594" spans="1:26" x14ac:dyDescent="0.2">
      <c r="A2594" t="s">
        <v>2712</v>
      </c>
      <c r="B2594" t="s">
        <v>37</v>
      </c>
      <c r="C2594">
        <v>2015</v>
      </c>
      <c r="D2594" t="s">
        <v>48</v>
      </c>
      <c r="E2594" t="s">
        <v>45</v>
      </c>
      <c r="F2594" t="s">
        <v>49</v>
      </c>
      <c r="G2594">
        <v>74197</v>
      </c>
      <c r="H2594">
        <v>59357.600000000006</v>
      </c>
      <c r="I2594" s="13">
        <v>0</v>
      </c>
      <c r="J2594" t="s">
        <v>6206</v>
      </c>
      <c r="K2594">
        <v>1</v>
      </c>
      <c r="L2594">
        <v>0</v>
      </c>
      <c r="M2594" t="s">
        <v>0</v>
      </c>
      <c r="N2594" s="2">
        <v>0.54</v>
      </c>
      <c r="O2594" s="2">
        <v>0.46</v>
      </c>
      <c r="P2594">
        <v>9</v>
      </c>
      <c r="Q2594">
        <v>17</v>
      </c>
      <c r="R2594">
        <v>5</v>
      </c>
      <c r="S2594">
        <v>5</v>
      </c>
      <c r="T2594">
        <v>15</v>
      </c>
      <c r="U2594">
        <v>6</v>
      </c>
      <c r="V2594">
        <v>2</v>
      </c>
      <c r="W2594">
        <v>0</v>
      </c>
      <c r="X2594">
        <v>0</v>
      </c>
      <c r="Y2594">
        <v>0</v>
      </c>
      <c r="Z2594">
        <v>0</v>
      </c>
    </row>
    <row r="2595" spans="1:26" x14ac:dyDescent="0.2">
      <c r="A2595" t="s">
        <v>2713</v>
      </c>
      <c r="B2595" t="s">
        <v>76</v>
      </c>
      <c r="C2595">
        <v>2015</v>
      </c>
      <c r="D2595" t="s">
        <v>23</v>
      </c>
      <c r="E2595" t="s">
        <v>46</v>
      </c>
      <c r="F2595" t="s">
        <v>20</v>
      </c>
      <c r="G2595">
        <v>62500</v>
      </c>
      <c r="H2595">
        <v>50000</v>
      </c>
      <c r="I2595" s="13">
        <v>0.5</v>
      </c>
      <c r="J2595" t="s">
        <v>6207</v>
      </c>
      <c r="K2595">
        <v>3</v>
      </c>
      <c r="L2595">
        <v>3</v>
      </c>
      <c r="M2595" t="s">
        <v>58</v>
      </c>
      <c r="N2595" s="2">
        <v>0.39</v>
      </c>
      <c r="O2595" s="2">
        <v>0.61</v>
      </c>
      <c r="P2595">
        <v>10</v>
      </c>
      <c r="Q2595">
        <v>11</v>
      </c>
      <c r="R2595">
        <v>7</v>
      </c>
      <c r="S2595">
        <v>4</v>
      </c>
      <c r="T2595">
        <v>11</v>
      </c>
      <c r="U2595">
        <v>8</v>
      </c>
      <c r="V2595">
        <v>2</v>
      </c>
      <c r="W2595">
        <v>0</v>
      </c>
      <c r="X2595">
        <v>0</v>
      </c>
      <c r="Y2595">
        <v>0</v>
      </c>
      <c r="Z2595">
        <v>0</v>
      </c>
    </row>
    <row r="2596" spans="1:26" x14ac:dyDescent="0.2">
      <c r="A2596" t="s">
        <v>2714</v>
      </c>
      <c r="B2596" t="s">
        <v>60</v>
      </c>
      <c r="C2596">
        <v>2015</v>
      </c>
      <c r="D2596" t="s">
        <v>85</v>
      </c>
      <c r="E2596" t="s">
        <v>45</v>
      </c>
      <c r="F2596" t="s">
        <v>85</v>
      </c>
      <c r="G2596">
        <v>22220</v>
      </c>
      <c r="H2596">
        <v>17776</v>
      </c>
      <c r="I2596" s="13">
        <v>1</v>
      </c>
      <c r="J2596" t="s">
        <v>6208</v>
      </c>
      <c r="K2596">
        <v>1</v>
      </c>
      <c r="L2596">
        <v>1</v>
      </c>
      <c r="M2596" t="s">
        <v>58</v>
      </c>
      <c r="N2596" s="2">
        <v>0.42</v>
      </c>
      <c r="O2596" s="2">
        <v>0.57999999999999996</v>
      </c>
      <c r="P2596">
        <v>13</v>
      </c>
      <c r="Q2596">
        <v>16</v>
      </c>
      <c r="R2596">
        <v>7</v>
      </c>
      <c r="S2596">
        <v>6</v>
      </c>
      <c r="T2596">
        <v>13</v>
      </c>
      <c r="U2596">
        <v>10</v>
      </c>
      <c r="V2596">
        <v>2</v>
      </c>
      <c r="W2596">
        <v>1</v>
      </c>
      <c r="X2596">
        <v>0</v>
      </c>
      <c r="Y2596">
        <v>0</v>
      </c>
      <c r="Z2596">
        <v>0</v>
      </c>
    </row>
    <row r="2597" spans="1:26" x14ac:dyDescent="0.2">
      <c r="A2597" t="s">
        <v>2715</v>
      </c>
      <c r="B2597" t="s">
        <v>37</v>
      </c>
      <c r="C2597">
        <v>2015</v>
      </c>
      <c r="D2597" t="s">
        <v>71</v>
      </c>
      <c r="E2597" t="s">
        <v>18</v>
      </c>
      <c r="F2597" t="s">
        <v>71</v>
      </c>
      <c r="G2597">
        <v>21088</v>
      </c>
      <c r="H2597">
        <v>16870.400000000001</v>
      </c>
      <c r="I2597" s="13">
        <v>0.77777777777777779</v>
      </c>
      <c r="J2597" t="s">
        <v>6206</v>
      </c>
      <c r="K2597">
        <v>1</v>
      </c>
      <c r="L2597">
        <v>0</v>
      </c>
      <c r="M2597" t="s">
        <v>0</v>
      </c>
      <c r="N2597" s="2">
        <v>0.39</v>
      </c>
      <c r="O2597" s="2">
        <v>0.61</v>
      </c>
      <c r="P2597">
        <v>16</v>
      </c>
      <c r="Q2597">
        <v>17</v>
      </c>
      <c r="R2597">
        <v>1</v>
      </c>
      <c r="S2597">
        <v>9</v>
      </c>
      <c r="T2597">
        <v>15</v>
      </c>
      <c r="U2597">
        <v>13</v>
      </c>
      <c r="V2597">
        <v>5</v>
      </c>
      <c r="W2597">
        <v>4</v>
      </c>
      <c r="X2597">
        <v>0</v>
      </c>
      <c r="Y2597">
        <v>0</v>
      </c>
      <c r="Z2597">
        <v>0</v>
      </c>
    </row>
    <row r="2598" spans="1:26" x14ac:dyDescent="0.2">
      <c r="A2598" t="s">
        <v>2716</v>
      </c>
      <c r="B2598" t="s">
        <v>77</v>
      </c>
      <c r="C2598">
        <v>2015</v>
      </c>
      <c r="D2598" t="s">
        <v>73</v>
      </c>
      <c r="E2598" t="s">
        <v>64</v>
      </c>
      <c r="F2598" t="s">
        <v>73</v>
      </c>
      <c r="G2598">
        <v>32384</v>
      </c>
      <c r="H2598">
        <v>25907.200000000001</v>
      </c>
      <c r="I2598" s="13">
        <v>0</v>
      </c>
      <c r="J2598" t="s">
        <v>6207</v>
      </c>
      <c r="K2598">
        <v>3</v>
      </c>
      <c r="L2598">
        <v>1</v>
      </c>
      <c r="M2598" t="s">
        <v>0</v>
      </c>
      <c r="N2598" s="2">
        <v>0.51</v>
      </c>
      <c r="O2598" s="2">
        <v>0.49</v>
      </c>
      <c r="P2598">
        <v>8</v>
      </c>
      <c r="Q2598">
        <v>10</v>
      </c>
      <c r="R2598">
        <v>11</v>
      </c>
      <c r="S2598">
        <v>2</v>
      </c>
      <c r="T2598">
        <v>8</v>
      </c>
      <c r="U2598">
        <v>7</v>
      </c>
      <c r="V2598">
        <v>0</v>
      </c>
      <c r="W2598">
        <v>0</v>
      </c>
      <c r="X2598">
        <v>0</v>
      </c>
      <c r="Y2598">
        <v>0</v>
      </c>
      <c r="Z2598">
        <v>0</v>
      </c>
    </row>
    <row r="2599" spans="1:26" x14ac:dyDescent="0.2">
      <c r="A2599" t="s">
        <v>2717</v>
      </c>
      <c r="B2599" t="s">
        <v>66</v>
      </c>
      <c r="C2599">
        <v>2015</v>
      </c>
      <c r="D2599" t="s">
        <v>79</v>
      </c>
      <c r="E2599" t="s">
        <v>69</v>
      </c>
      <c r="F2599" t="s">
        <v>20</v>
      </c>
      <c r="G2599">
        <v>25486</v>
      </c>
      <c r="H2599">
        <v>20388.800000000003</v>
      </c>
      <c r="I2599" s="13">
        <v>1</v>
      </c>
      <c r="J2599" t="s">
        <v>6207</v>
      </c>
      <c r="K2599">
        <v>1</v>
      </c>
      <c r="L2599">
        <v>0</v>
      </c>
      <c r="M2599" t="s">
        <v>0</v>
      </c>
      <c r="N2599" s="2">
        <v>0.53</v>
      </c>
      <c r="O2599" s="2">
        <v>0.47</v>
      </c>
      <c r="P2599">
        <v>12</v>
      </c>
      <c r="Q2599">
        <v>16</v>
      </c>
      <c r="R2599">
        <v>10</v>
      </c>
      <c r="S2599">
        <v>4</v>
      </c>
      <c r="T2599">
        <v>13</v>
      </c>
      <c r="U2599">
        <v>10</v>
      </c>
      <c r="V2599">
        <v>2</v>
      </c>
      <c r="W2599">
        <v>1</v>
      </c>
      <c r="X2599">
        <v>0</v>
      </c>
      <c r="Y2599">
        <v>0</v>
      </c>
      <c r="Z2599">
        <v>0</v>
      </c>
    </row>
    <row r="2600" spans="1:26" x14ac:dyDescent="0.2">
      <c r="A2600" t="s">
        <v>2718</v>
      </c>
      <c r="B2600" t="s">
        <v>32</v>
      </c>
      <c r="C2600">
        <v>2015</v>
      </c>
      <c r="D2600" t="s">
        <v>42</v>
      </c>
      <c r="E2600" t="s">
        <v>86</v>
      </c>
      <c r="F2600" t="s">
        <v>38</v>
      </c>
      <c r="G2600">
        <v>42918</v>
      </c>
      <c r="H2600">
        <v>34334.400000000001</v>
      </c>
      <c r="I2600" s="13">
        <v>0.5</v>
      </c>
      <c r="J2600" t="s">
        <v>6207</v>
      </c>
      <c r="K2600">
        <v>1</v>
      </c>
      <c r="L2600">
        <v>2</v>
      </c>
      <c r="M2600" t="s">
        <v>1</v>
      </c>
      <c r="N2600" s="2">
        <v>0.41</v>
      </c>
      <c r="O2600" s="2">
        <v>0.59</v>
      </c>
      <c r="P2600">
        <v>12</v>
      </c>
      <c r="Q2600">
        <v>15</v>
      </c>
      <c r="R2600">
        <v>3</v>
      </c>
      <c r="S2600">
        <v>8</v>
      </c>
      <c r="T2600">
        <v>13</v>
      </c>
      <c r="U2600">
        <v>11</v>
      </c>
      <c r="V2600">
        <v>2</v>
      </c>
      <c r="W2600">
        <v>2</v>
      </c>
      <c r="X2600">
        <v>0</v>
      </c>
      <c r="Y2600">
        <v>0</v>
      </c>
      <c r="Z2600">
        <v>0</v>
      </c>
    </row>
    <row r="2601" spans="1:26" x14ac:dyDescent="0.2">
      <c r="A2601" t="s">
        <v>2719</v>
      </c>
      <c r="B2601" t="s">
        <v>53</v>
      </c>
      <c r="C2601">
        <v>2015</v>
      </c>
      <c r="D2601" t="s">
        <v>40</v>
      </c>
      <c r="E2601" t="s">
        <v>63</v>
      </c>
      <c r="F2601" t="s">
        <v>49</v>
      </c>
      <c r="G2601">
        <v>53400</v>
      </c>
      <c r="H2601">
        <v>42720</v>
      </c>
      <c r="I2601" s="13">
        <v>0</v>
      </c>
      <c r="J2601" t="s">
        <v>6207</v>
      </c>
      <c r="K2601">
        <v>2</v>
      </c>
      <c r="L2601">
        <v>1</v>
      </c>
      <c r="M2601" t="s">
        <v>0</v>
      </c>
      <c r="N2601" s="2">
        <v>0.62</v>
      </c>
      <c r="O2601" s="2">
        <v>0.38</v>
      </c>
      <c r="P2601">
        <v>7</v>
      </c>
      <c r="Q2601">
        <v>13</v>
      </c>
      <c r="R2601">
        <v>8</v>
      </c>
      <c r="S2601">
        <v>8</v>
      </c>
      <c r="T2601">
        <v>10</v>
      </c>
      <c r="U2601">
        <v>7</v>
      </c>
      <c r="V2601">
        <v>0</v>
      </c>
      <c r="W2601">
        <v>1</v>
      </c>
      <c r="X2601">
        <v>0</v>
      </c>
      <c r="Y2601">
        <v>0</v>
      </c>
      <c r="Z2601">
        <v>1</v>
      </c>
    </row>
    <row r="2602" spans="1:26" x14ac:dyDescent="0.2">
      <c r="A2602" t="s">
        <v>2720</v>
      </c>
      <c r="B2602" t="s">
        <v>61</v>
      </c>
      <c r="C2602">
        <v>2015</v>
      </c>
      <c r="D2602" t="s">
        <v>35</v>
      </c>
      <c r="E2602" t="s">
        <v>80</v>
      </c>
      <c r="F2602" t="s">
        <v>35</v>
      </c>
      <c r="G2602">
        <v>49000</v>
      </c>
      <c r="H2602">
        <v>39200</v>
      </c>
      <c r="I2602" s="13">
        <v>1</v>
      </c>
      <c r="J2602" t="s">
        <v>6207</v>
      </c>
      <c r="K2602">
        <v>0</v>
      </c>
      <c r="L2602">
        <v>2</v>
      </c>
      <c r="M2602" t="s">
        <v>1</v>
      </c>
      <c r="N2602" s="2">
        <v>0.45</v>
      </c>
      <c r="O2602" s="2">
        <v>0.55000000000000004</v>
      </c>
      <c r="P2602">
        <v>10</v>
      </c>
      <c r="Q2602">
        <v>11</v>
      </c>
      <c r="R2602">
        <v>1</v>
      </c>
      <c r="S2602">
        <v>7</v>
      </c>
      <c r="T2602">
        <v>9</v>
      </c>
      <c r="U2602">
        <v>9</v>
      </c>
      <c r="V2602">
        <v>1</v>
      </c>
      <c r="W2602">
        <v>1</v>
      </c>
      <c r="X2602">
        <v>0</v>
      </c>
      <c r="Y2602">
        <v>0</v>
      </c>
      <c r="Z2602">
        <v>0</v>
      </c>
    </row>
    <row r="2603" spans="1:26" x14ac:dyDescent="0.2">
      <c r="A2603" t="s">
        <v>2721</v>
      </c>
      <c r="B2603" t="s">
        <v>41</v>
      </c>
      <c r="C2603">
        <v>2015</v>
      </c>
      <c r="D2603" t="s">
        <v>51</v>
      </c>
      <c r="E2603" t="s">
        <v>48</v>
      </c>
      <c r="F2603" t="s">
        <v>20</v>
      </c>
      <c r="G2603">
        <v>36284</v>
      </c>
      <c r="H2603">
        <v>29027.200000000001</v>
      </c>
      <c r="I2603" s="13">
        <v>0.33333333333333331</v>
      </c>
      <c r="J2603" t="s">
        <v>6207</v>
      </c>
      <c r="K2603">
        <v>3</v>
      </c>
      <c r="L2603">
        <v>0</v>
      </c>
      <c r="M2603" t="s">
        <v>0</v>
      </c>
      <c r="N2603" s="2">
        <v>0.47</v>
      </c>
      <c r="O2603" s="2">
        <v>0.53</v>
      </c>
      <c r="P2603">
        <v>13</v>
      </c>
      <c r="Q2603">
        <v>13</v>
      </c>
      <c r="R2603">
        <v>2</v>
      </c>
      <c r="S2603">
        <v>7</v>
      </c>
      <c r="T2603">
        <v>10</v>
      </c>
      <c r="U2603">
        <v>10</v>
      </c>
      <c r="V2603">
        <v>3</v>
      </c>
      <c r="W2603">
        <v>3</v>
      </c>
      <c r="X2603">
        <v>0</v>
      </c>
      <c r="Y2603">
        <v>0</v>
      </c>
      <c r="Z2603">
        <v>0</v>
      </c>
    </row>
    <row r="2604" spans="1:26" x14ac:dyDescent="0.2">
      <c r="A2604" t="s">
        <v>2722</v>
      </c>
      <c r="B2604" t="s">
        <v>44</v>
      </c>
      <c r="C2604">
        <v>2015</v>
      </c>
      <c r="D2604" t="s">
        <v>26</v>
      </c>
      <c r="E2604" t="s">
        <v>27</v>
      </c>
      <c r="F2604" t="s">
        <v>26</v>
      </c>
      <c r="G2604">
        <v>61276</v>
      </c>
      <c r="H2604">
        <v>49020.800000000003</v>
      </c>
      <c r="I2604" s="13">
        <v>0.5</v>
      </c>
      <c r="J2604" t="s">
        <v>6207</v>
      </c>
      <c r="K2604">
        <v>4</v>
      </c>
      <c r="L2604">
        <v>1</v>
      </c>
      <c r="M2604" t="s">
        <v>0</v>
      </c>
      <c r="N2604" s="2">
        <v>0.53</v>
      </c>
      <c r="O2604" s="2">
        <v>0.47</v>
      </c>
      <c r="P2604">
        <v>17</v>
      </c>
      <c r="Q2604">
        <v>16</v>
      </c>
      <c r="R2604">
        <v>6</v>
      </c>
      <c r="S2604">
        <v>3</v>
      </c>
      <c r="T2604">
        <v>14</v>
      </c>
      <c r="U2604">
        <v>14</v>
      </c>
      <c r="V2604">
        <v>0</v>
      </c>
      <c r="W2604">
        <v>2</v>
      </c>
      <c r="X2604">
        <v>0</v>
      </c>
      <c r="Y2604">
        <v>0</v>
      </c>
      <c r="Z2604">
        <v>0</v>
      </c>
    </row>
    <row r="2605" spans="1:26" x14ac:dyDescent="0.2">
      <c r="A2605" t="s">
        <v>2723</v>
      </c>
      <c r="B2605" t="s">
        <v>53</v>
      </c>
      <c r="C2605">
        <v>2015</v>
      </c>
      <c r="D2605" t="s">
        <v>79</v>
      </c>
      <c r="E2605" t="s">
        <v>45</v>
      </c>
      <c r="F2605" t="s">
        <v>20</v>
      </c>
      <c r="G2605">
        <v>25486</v>
      </c>
      <c r="H2605">
        <v>20388.800000000003</v>
      </c>
      <c r="I2605" s="13">
        <v>0.33333333333333331</v>
      </c>
      <c r="J2605" t="s">
        <v>6207</v>
      </c>
      <c r="K2605">
        <v>0</v>
      </c>
      <c r="L2605">
        <v>0</v>
      </c>
      <c r="M2605" t="s">
        <v>58</v>
      </c>
      <c r="N2605" s="2">
        <v>0.56999999999999995</v>
      </c>
      <c r="O2605" s="2">
        <v>0.43</v>
      </c>
      <c r="P2605">
        <v>9</v>
      </c>
      <c r="Q2605">
        <v>7</v>
      </c>
      <c r="R2605">
        <v>10</v>
      </c>
      <c r="S2605">
        <v>7</v>
      </c>
      <c r="T2605">
        <v>7</v>
      </c>
      <c r="U2605">
        <v>9</v>
      </c>
      <c r="V2605">
        <v>0</v>
      </c>
      <c r="W2605">
        <v>2</v>
      </c>
      <c r="X2605">
        <v>0</v>
      </c>
      <c r="Y2605">
        <v>1</v>
      </c>
      <c r="Z2605">
        <v>0</v>
      </c>
    </row>
    <row r="2606" spans="1:26" x14ac:dyDescent="0.2">
      <c r="A2606" t="s">
        <v>2724</v>
      </c>
      <c r="B2606" t="s">
        <v>37</v>
      </c>
      <c r="C2606">
        <v>2015</v>
      </c>
      <c r="D2606" t="s">
        <v>69</v>
      </c>
      <c r="E2606" t="s">
        <v>35</v>
      </c>
      <c r="F2606" t="s">
        <v>69</v>
      </c>
      <c r="G2606">
        <v>27359</v>
      </c>
      <c r="H2606">
        <v>21887.200000000001</v>
      </c>
      <c r="I2606" s="13">
        <v>0.5</v>
      </c>
      <c r="J2606" t="s">
        <v>6206</v>
      </c>
      <c r="K2606">
        <v>0</v>
      </c>
      <c r="L2606">
        <v>3</v>
      </c>
      <c r="M2606" t="s">
        <v>1</v>
      </c>
      <c r="N2606" s="2">
        <v>0.64</v>
      </c>
      <c r="O2606" s="2">
        <v>0.36</v>
      </c>
      <c r="P2606">
        <v>16</v>
      </c>
      <c r="Q2606">
        <v>10</v>
      </c>
      <c r="R2606">
        <v>14</v>
      </c>
      <c r="S2606">
        <v>0</v>
      </c>
      <c r="T2606">
        <v>7</v>
      </c>
      <c r="U2606">
        <v>11</v>
      </c>
      <c r="V2606">
        <v>2</v>
      </c>
      <c r="W2606">
        <v>2</v>
      </c>
      <c r="X2606">
        <v>0</v>
      </c>
      <c r="Y2606">
        <v>0</v>
      </c>
      <c r="Z2606">
        <v>1</v>
      </c>
    </row>
    <row r="2607" spans="1:26" x14ac:dyDescent="0.2">
      <c r="A2607" t="s">
        <v>2725</v>
      </c>
      <c r="B2607" t="s">
        <v>66</v>
      </c>
      <c r="C2607">
        <v>2015</v>
      </c>
      <c r="D2607" t="s">
        <v>63</v>
      </c>
      <c r="E2607" t="s">
        <v>85</v>
      </c>
      <c r="F2607" t="s">
        <v>65</v>
      </c>
      <c r="G2607">
        <v>26804</v>
      </c>
      <c r="H2607">
        <v>21443.200000000001</v>
      </c>
      <c r="I2607" s="13">
        <v>0.66666666666666663</v>
      </c>
      <c r="J2607" t="s">
        <v>6207</v>
      </c>
      <c r="K2607">
        <v>0</v>
      </c>
      <c r="L2607">
        <v>1</v>
      </c>
      <c r="M2607" t="s">
        <v>1</v>
      </c>
      <c r="N2607" s="2">
        <v>0.56999999999999995</v>
      </c>
      <c r="O2607" s="2">
        <v>0.43</v>
      </c>
      <c r="P2607">
        <v>14</v>
      </c>
      <c r="Q2607">
        <v>12</v>
      </c>
      <c r="R2607">
        <v>9</v>
      </c>
      <c r="S2607">
        <v>3</v>
      </c>
      <c r="T2607">
        <v>11</v>
      </c>
      <c r="U2607">
        <v>17</v>
      </c>
      <c r="V2607">
        <v>0</v>
      </c>
      <c r="W2607">
        <v>3</v>
      </c>
      <c r="X2607">
        <v>0</v>
      </c>
      <c r="Y2607">
        <v>0</v>
      </c>
      <c r="Z2607">
        <v>2</v>
      </c>
    </row>
    <row r="2608" spans="1:26" x14ac:dyDescent="0.2">
      <c r="A2608" t="s">
        <v>2726</v>
      </c>
      <c r="B2608" t="s">
        <v>50</v>
      </c>
      <c r="C2608">
        <v>2015</v>
      </c>
      <c r="D2608" t="s">
        <v>64</v>
      </c>
      <c r="E2608" t="s">
        <v>71</v>
      </c>
      <c r="F2608" t="s">
        <v>64</v>
      </c>
      <c r="G2608">
        <v>52264</v>
      </c>
      <c r="H2608">
        <v>41811.200000000004</v>
      </c>
      <c r="I2608" s="13">
        <v>1</v>
      </c>
      <c r="J2608" t="s">
        <v>6207</v>
      </c>
      <c r="K2608">
        <v>3</v>
      </c>
      <c r="L2608">
        <v>0</v>
      </c>
      <c r="M2608" t="s">
        <v>0</v>
      </c>
      <c r="N2608" s="2">
        <v>0.34</v>
      </c>
      <c r="O2608" s="2">
        <v>0.66</v>
      </c>
      <c r="P2608">
        <v>10</v>
      </c>
      <c r="Q2608">
        <v>15</v>
      </c>
      <c r="R2608">
        <v>3</v>
      </c>
      <c r="S2608">
        <v>7</v>
      </c>
      <c r="T2608">
        <v>13</v>
      </c>
      <c r="U2608">
        <v>9</v>
      </c>
      <c r="V2608">
        <v>2</v>
      </c>
      <c r="W2608">
        <v>1</v>
      </c>
      <c r="X2608">
        <v>0</v>
      </c>
      <c r="Y2608">
        <v>0</v>
      </c>
      <c r="Z2608">
        <v>0</v>
      </c>
    </row>
    <row r="2609" spans="1:26" x14ac:dyDescent="0.2">
      <c r="A2609" t="s">
        <v>2727</v>
      </c>
      <c r="B2609" t="s">
        <v>60</v>
      </c>
      <c r="C2609">
        <v>2015</v>
      </c>
      <c r="D2609" t="s">
        <v>48</v>
      </c>
      <c r="E2609" t="s">
        <v>42</v>
      </c>
      <c r="F2609" t="s">
        <v>49</v>
      </c>
      <c r="G2609">
        <v>74197</v>
      </c>
      <c r="H2609">
        <v>59357.600000000006</v>
      </c>
      <c r="I2609" s="13">
        <v>0</v>
      </c>
      <c r="J2609" t="s">
        <v>6208</v>
      </c>
      <c r="K2609">
        <v>1</v>
      </c>
      <c r="L2609">
        <v>0</v>
      </c>
      <c r="M2609" t="s">
        <v>0</v>
      </c>
      <c r="N2609" s="2">
        <v>0.66</v>
      </c>
      <c r="O2609" s="2">
        <v>0.34</v>
      </c>
      <c r="P2609">
        <v>10</v>
      </c>
      <c r="Q2609">
        <v>13</v>
      </c>
      <c r="R2609">
        <v>14</v>
      </c>
      <c r="S2609">
        <v>3</v>
      </c>
      <c r="T2609">
        <v>9</v>
      </c>
      <c r="U2609">
        <v>10</v>
      </c>
      <c r="V2609">
        <v>0</v>
      </c>
      <c r="W2609">
        <v>1</v>
      </c>
      <c r="X2609">
        <v>0</v>
      </c>
      <c r="Y2609">
        <v>0</v>
      </c>
      <c r="Z2609">
        <v>0</v>
      </c>
    </row>
    <row r="2610" spans="1:26" x14ac:dyDescent="0.2">
      <c r="A2610" t="s">
        <v>2728</v>
      </c>
      <c r="B2610" t="s">
        <v>76</v>
      </c>
      <c r="C2610">
        <v>2015</v>
      </c>
      <c r="D2610" t="s">
        <v>45</v>
      </c>
      <c r="E2610" t="s">
        <v>73</v>
      </c>
      <c r="F2610" t="s">
        <v>26</v>
      </c>
      <c r="G2610">
        <v>39572</v>
      </c>
      <c r="H2610">
        <v>31657.600000000002</v>
      </c>
      <c r="I2610" s="13">
        <v>1</v>
      </c>
      <c r="J2610" t="s">
        <v>6207</v>
      </c>
      <c r="K2610">
        <v>1</v>
      </c>
      <c r="L2610">
        <v>1</v>
      </c>
      <c r="M2610" t="s">
        <v>58</v>
      </c>
      <c r="N2610" s="2">
        <v>0.49</v>
      </c>
      <c r="O2610" s="2">
        <v>0.51</v>
      </c>
      <c r="P2610">
        <v>17</v>
      </c>
      <c r="Q2610">
        <v>7</v>
      </c>
      <c r="R2610">
        <v>3</v>
      </c>
      <c r="S2610">
        <v>10</v>
      </c>
      <c r="T2610">
        <v>8</v>
      </c>
      <c r="U2610">
        <v>14</v>
      </c>
      <c r="V2610">
        <v>1</v>
      </c>
      <c r="W2610">
        <v>1</v>
      </c>
      <c r="X2610">
        <v>0</v>
      </c>
      <c r="Y2610">
        <v>0</v>
      </c>
      <c r="Z2610">
        <v>0</v>
      </c>
    </row>
    <row r="2611" spans="1:26" x14ac:dyDescent="0.2">
      <c r="A2611" t="s">
        <v>2729</v>
      </c>
      <c r="B2611" t="s">
        <v>41</v>
      </c>
      <c r="C2611">
        <v>2015</v>
      </c>
      <c r="D2611" t="s">
        <v>18</v>
      </c>
      <c r="E2611" t="s">
        <v>40</v>
      </c>
      <c r="F2611" t="s">
        <v>20</v>
      </c>
      <c r="G2611">
        <v>40341</v>
      </c>
      <c r="H2611">
        <v>32272.800000000003</v>
      </c>
      <c r="I2611" s="13">
        <v>1</v>
      </c>
      <c r="J2611" t="s">
        <v>6207</v>
      </c>
      <c r="K2611">
        <v>0</v>
      </c>
      <c r="L2611">
        <v>3</v>
      </c>
      <c r="M2611" t="s">
        <v>1</v>
      </c>
      <c r="N2611" s="2">
        <v>0.52</v>
      </c>
      <c r="O2611" s="2">
        <v>0.48</v>
      </c>
      <c r="P2611">
        <v>16</v>
      </c>
      <c r="Q2611">
        <v>17</v>
      </c>
      <c r="R2611">
        <v>11</v>
      </c>
      <c r="S2611">
        <v>3</v>
      </c>
      <c r="T2611">
        <v>12</v>
      </c>
      <c r="U2611">
        <v>15</v>
      </c>
      <c r="V2611">
        <v>2</v>
      </c>
      <c r="W2611">
        <v>3</v>
      </c>
      <c r="X2611">
        <v>1</v>
      </c>
      <c r="Y2611">
        <v>0</v>
      </c>
      <c r="Z2611">
        <v>1</v>
      </c>
    </row>
    <row r="2612" spans="1:26" x14ac:dyDescent="0.2">
      <c r="A2612" t="s">
        <v>2730</v>
      </c>
      <c r="B2612" t="s">
        <v>68</v>
      </c>
      <c r="C2612">
        <v>2015</v>
      </c>
      <c r="D2612" t="s">
        <v>80</v>
      </c>
      <c r="E2612" t="s">
        <v>23</v>
      </c>
      <c r="F2612" t="s">
        <v>80</v>
      </c>
      <c r="G2612">
        <v>32261</v>
      </c>
      <c r="H2612">
        <v>25808.800000000003</v>
      </c>
      <c r="I2612" s="13">
        <v>0.5</v>
      </c>
      <c r="J2612" t="s">
        <v>6207</v>
      </c>
      <c r="K2612">
        <v>2</v>
      </c>
      <c r="L2612">
        <v>2</v>
      </c>
      <c r="M2612" t="s">
        <v>58</v>
      </c>
      <c r="N2612" s="2">
        <v>0.43</v>
      </c>
      <c r="O2612" s="2">
        <v>0.56999999999999995</v>
      </c>
      <c r="P2612">
        <v>13</v>
      </c>
      <c r="Q2612">
        <v>15</v>
      </c>
      <c r="R2612">
        <v>0</v>
      </c>
      <c r="S2612">
        <v>5</v>
      </c>
      <c r="T2612">
        <v>14</v>
      </c>
      <c r="U2612">
        <v>14</v>
      </c>
      <c r="V2612">
        <v>2</v>
      </c>
      <c r="W2612">
        <v>3</v>
      </c>
      <c r="X2612">
        <v>1</v>
      </c>
      <c r="Y2612">
        <v>0</v>
      </c>
      <c r="Z2612">
        <v>2</v>
      </c>
    </row>
    <row r="2613" spans="1:26" x14ac:dyDescent="0.2">
      <c r="A2613" t="s">
        <v>2731</v>
      </c>
      <c r="B2613" t="s">
        <v>53</v>
      </c>
      <c r="C2613">
        <v>2015</v>
      </c>
      <c r="D2613" t="s">
        <v>86</v>
      </c>
      <c r="E2613" t="s">
        <v>26</v>
      </c>
      <c r="F2613" t="s">
        <v>86</v>
      </c>
      <c r="G2613">
        <v>11364</v>
      </c>
      <c r="H2613">
        <v>9091.2000000000007</v>
      </c>
      <c r="I2613" s="13">
        <v>0</v>
      </c>
      <c r="J2613" t="s">
        <v>6207</v>
      </c>
      <c r="K2613">
        <v>1</v>
      </c>
      <c r="L2613">
        <v>2</v>
      </c>
      <c r="M2613" t="s">
        <v>1</v>
      </c>
      <c r="N2613" s="2">
        <v>0.51</v>
      </c>
      <c r="O2613" s="2">
        <v>0.49</v>
      </c>
      <c r="P2613">
        <v>12</v>
      </c>
      <c r="Q2613">
        <v>12</v>
      </c>
      <c r="R2613">
        <v>5</v>
      </c>
      <c r="S2613">
        <v>4</v>
      </c>
      <c r="T2613">
        <v>9</v>
      </c>
      <c r="U2613">
        <v>9</v>
      </c>
      <c r="V2613">
        <v>0</v>
      </c>
      <c r="W2613">
        <v>0</v>
      </c>
      <c r="X2613">
        <v>0</v>
      </c>
      <c r="Y2613">
        <v>0</v>
      </c>
      <c r="Z2613">
        <v>0</v>
      </c>
    </row>
    <row r="2614" spans="1:26" x14ac:dyDescent="0.2">
      <c r="A2614" t="s">
        <v>2732</v>
      </c>
      <c r="B2614" t="s">
        <v>74</v>
      </c>
      <c r="C2614">
        <v>2015</v>
      </c>
      <c r="D2614" t="s">
        <v>46</v>
      </c>
      <c r="E2614" t="s">
        <v>79</v>
      </c>
      <c r="F2614" t="s">
        <v>20</v>
      </c>
      <c r="G2614">
        <v>60704</v>
      </c>
      <c r="H2614">
        <v>48563.200000000004</v>
      </c>
      <c r="I2614" s="13">
        <v>0</v>
      </c>
      <c r="J2614" t="s">
        <v>6208</v>
      </c>
      <c r="K2614">
        <v>1</v>
      </c>
      <c r="L2614">
        <v>1</v>
      </c>
      <c r="M2614" t="s">
        <v>58</v>
      </c>
      <c r="N2614" s="2">
        <v>0.72</v>
      </c>
      <c r="O2614" s="2">
        <v>0.28000000000000003</v>
      </c>
      <c r="P2614">
        <v>15</v>
      </c>
      <c r="Q2614">
        <v>9</v>
      </c>
      <c r="R2614">
        <v>10</v>
      </c>
      <c r="S2614">
        <v>5</v>
      </c>
      <c r="T2614">
        <v>7</v>
      </c>
      <c r="U2614">
        <v>13</v>
      </c>
      <c r="V2614">
        <v>0</v>
      </c>
      <c r="W2614">
        <v>2</v>
      </c>
      <c r="X2614">
        <v>0</v>
      </c>
      <c r="Y2614">
        <v>0</v>
      </c>
      <c r="Z2614">
        <v>0</v>
      </c>
    </row>
    <row r="2615" spans="1:26" x14ac:dyDescent="0.2">
      <c r="A2615" t="s">
        <v>2733</v>
      </c>
      <c r="B2615" t="s">
        <v>67</v>
      </c>
      <c r="C2615">
        <v>2015</v>
      </c>
      <c r="D2615" t="s">
        <v>27</v>
      </c>
      <c r="E2615" t="s">
        <v>51</v>
      </c>
      <c r="F2615" t="s">
        <v>27</v>
      </c>
      <c r="G2615">
        <v>30089</v>
      </c>
      <c r="H2615">
        <v>24071.200000000001</v>
      </c>
      <c r="I2615" s="13">
        <v>0.5</v>
      </c>
      <c r="J2615" t="s">
        <v>6207</v>
      </c>
      <c r="K2615">
        <v>0</v>
      </c>
      <c r="L2615">
        <v>4</v>
      </c>
      <c r="M2615" t="s">
        <v>1</v>
      </c>
      <c r="N2615" s="2">
        <v>0.51</v>
      </c>
      <c r="O2615" s="2">
        <v>0.49</v>
      </c>
      <c r="P2615">
        <v>13</v>
      </c>
      <c r="Q2615">
        <v>10</v>
      </c>
      <c r="R2615">
        <v>5</v>
      </c>
      <c r="S2615">
        <v>3</v>
      </c>
      <c r="T2615">
        <v>12</v>
      </c>
      <c r="U2615">
        <v>12</v>
      </c>
      <c r="V2615">
        <v>2</v>
      </c>
      <c r="W2615">
        <v>0</v>
      </c>
      <c r="X2615">
        <v>0</v>
      </c>
      <c r="Y2615">
        <v>0</v>
      </c>
      <c r="Z2615">
        <v>0</v>
      </c>
    </row>
    <row r="2616" spans="1:26" x14ac:dyDescent="0.2">
      <c r="A2616" t="s">
        <v>2734</v>
      </c>
      <c r="B2616" t="s">
        <v>60</v>
      </c>
      <c r="C2616">
        <v>2015</v>
      </c>
      <c r="D2616" t="s">
        <v>64</v>
      </c>
      <c r="E2616" t="s">
        <v>40</v>
      </c>
      <c r="F2616" t="s">
        <v>64</v>
      </c>
      <c r="G2616">
        <v>52264</v>
      </c>
      <c r="H2616">
        <v>41811.200000000004</v>
      </c>
      <c r="I2616" s="13">
        <v>1</v>
      </c>
      <c r="J2616" t="s">
        <v>6208</v>
      </c>
      <c r="K2616">
        <v>1</v>
      </c>
      <c r="L2616">
        <v>1</v>
      </c>
      <c r="M2616" t="s">
        <v>58</v>
      </c>
      <c r="N2616" s="2">
        <v>0.43</v>
      </c>
      <c r="O2616" s="2">
        <v>0.56999999999999995</v>
      </c>
      <c r="P2616">
        <v>11</v>
      </c>
      <c r="Q2616">
        <v>15</v>
      </c>
      <c r="R2616">
        <v>5</v>
      </c>
      <c r="S2616">
        <v>3</v>
      </c>
      <c r="T2616">
        <v>13</v>
      </c>
      <c r="U2616">
        <v>8</v>
      </c>
      <c r="V2616">
        <v>3</v>
      </c>
      <c r="W2616">
        <v>2</v>
      </c>
      <c r="X2616">
        <v>0</v>
      </c>
      <c r="Y2616">
        <v>0</v>
      </c>
      <c r="Z2616">
        <v>0</v>
      </c>
    </row>
    <row r="2617" spans="1:26" x14ac:dyDescent="0.2">
      <c r="A2617" t="s">
        <v>2735</v>
      </c>
      <c r="B2617" t="s">
        <v>41</v>
      </c>
      <c r="C2617">
        <v>2015</v>
      </c>
      <c r="D2617" t="s">
        <v>23</v>
      </c>
      <c r="E2617" t="s">
        <v>85</v>
      </c>
      <c r="F2617" t="s">
        <v>20</v>
      </c>
      <c r="G2617">
        <v>62500</v>
      </c>
      <c r="H2617">
        <v>50000</v>
      </c>
      <c r="I2617" s="13">
        <v>0.75</v>
      </c>
      <c r="J2617" t="s">
        <v>6207</v>
      </c>
      <c r="K2617">
        <v>3</v>
      </c>
      <c r="L2617">
        <v>1</v>
      </c>
      <c r="M2617" t="s">
        <v>0</v>
      </c>
      <c r="N2617" s="2">
        <v>0.46</v>
      </c>
      <c r="O2617" s="2">
        <v>0.54</v>
      </c>
      <c r="P2617">
        <v>17</v>
      </c>
      <c r="Q2617">
        <v>13</v>
      </c>
      <c r="R2617">
        <v>4</v>
      </c>
      <c r="S2617">
        <v>2</v>
      </c>
      <c r="T2617">
        <v>11</v>
      </c>
      <c r="U2617">
        <v>17</v>
      </c>
      <c r="V2617">
        <v>0</v>
      </c>
      <c r="W2617">
        <v>3</v>
      </c>
      <c r="X2617">
        <v>0</v>
      </c>
      <c r="Y2617">
        <v>1</v>
      </c>
      <c r="Z2617">
        <v>3</v>
      </c>
    </row>
    <row r="2618" spans="1:26" x14ac:dyDescent="0.2">
      <c r="A2618" t="s">
        <v>2736</v>
      </c>
      <c r="B2618" t="s">
        <v>50</v>
      </c>
      <c r="C2618">
        <v>2015</v>
      </c>
      <c r="D2618" t="s">
        <v>48</v>
      </c>
      <c r="E2618" t="s">
        <v>79</v>
      </c>
      <c r="F2618" t="s">
        <v>49</v>
      </c>
      <c r="G2618">
        <v>74197</v>
      </c>
      <c r="H2618">
        <v>59357.600000000006</v>
      </c>
      <c r="I2618" s="13">
        <v>0.66666666666666663</v>
      </c>
      <c r="J2618" t="s">
        <v>6207</v>
      </c>
      <c r="K2618">
        <v>2</v>
      </c>
      <c r="L2618">
        <v>0</v>
      </c>
      <c r="M2618" t="s">
        <v>0</v>
      </c>
      <c r="N2618" s="2">
        <v>0.66</v>
      </c>
      <c r="O2618" s="2">
        <v>0.34</v>
      </c>
      <c r="P2618">
        <v>8</v>
      </c>
      <c r="Q2618">
        <v>16</v>
      </c>
      <c r="R2618">
        <v>10</v>
      </c>
      <c r="S2618">
        <v>2</v>
      </c>
      <c r="T2618">
        <v>13</v>
      </c>
      <c r="U2618">
        <v>7</v>
      </c>
      <c r="V2618">
        <v>1</v>
      </c>
      <c r="W2618">
        <v>2</v>
      </c>
      <c r="X2618">
        <v>0</v>
      </c>
      <c r="Y2618">
        <v>0</v>
      </c>
      <c r="Z2618">
        <v>0</v>
      </c>
    </row>
    <row r="2619" spans="1:26" x14ac:dyDescent="0.2">
      <c r="A2619" t="s">
        <v>2737</v>
      </c>
      <c r="B2619" t="s">
        <v>77</v>
      </c>
      <c r="C2619">
        <v>2015</v>
      </c>
      <c r="D2619" t="s">
        <v>26</v>
      </c>
      <c r="E2619" t="s">
        <v>45</v>
      </c>
      <c r="F2619" t="s">
        <v>26</v>
      </c>
      <c r="G2619">
        <v>61276</v>
      </c>
      <c r="H2619">
        <v>49020.800000000003</v>
      </c>
      <c r="I2619" s="13">
        <v>0</v>
      </c>
      <c r="J2619" t="s">
        <v>6207</v>
      </c>
      <c r="K2619">
        <v>4</v>
      </c>
      <c r="L2619">
        <v>0</v>
      </c>
      <c r="M2619" t="s">
        <v>0</v>
      </c>
      <c r="N2619" s="2">
        <v>0.67</v>
      </c>
      <c r="O2619" s="2">
        <v>0.33</v>
      </c>
      <c r="P2619">
        <v>11</v>
      </c>
      <c r="Q2619">
        <v>9</v>
      </c>
      <c r="R2619">
        <v>9</v>
      </c>
      <c r="S2619">
        <v>1</v>
      </c>
      <c r="T2619">
        <v>8</v>
      </c>
      <c r="U2619">
        <v>11</v>
      </c>
      <c r="V2619">
        <v>1</v>
      </c>
      <c r="W2619">
        <v>1</v>
      </c>
      <c r="X2619">
        <v>0</v>
      </c>
      <c r="Y2619">
        <v>1</v>
      </c>
      <c r="Z2619">
        <v>0</v>
      </c>
    </row>
    <row r="2620" spans="1:26" x14ac:dyDescent="0.2">
      <c r="A2620" t="s">
        <v>2738</v>
      </c>
      <c r="B2620" t="s">
        <v>68</v>
      </c>
      <c r="C2620">
        <v>2015</v>
      </c>
      <c r="D2620" t="s">
        <v>46</v>
      </c>
      <c r="E2620" t="s">
        <v>63</v>
      </c>
      <c r="F2620" t="s">
        <v>20</v>
      </c>
      <c r="G2620">
        <v>60704</v>
      </c>
      <c r="H2620">
        <v>48563.200000000004</v>
      </c>
      <c r="I2620" s="13">
        <v>0</v>
      </c>
      <c r="J2620" t="s">
        <v>6207</v>
      </c>
      <c r="K2620">
        <v>2</v>
      </c>
      <c r="L2620">
        <v>0</v>
      </c>
      <c r="M2620" t="s">
        <v>0</v>
      </c>
      <c r="N2620" s="2">
        <v>0.71</v>
      </c>
      <c r="O2620" s="2">
        <v>0.28999999999999998</v>
      </c>
      <c r="P2620">
        <v>14</v>
      </c>
      <c r="Q2620">
        <v>17</v>
      </c>
      <c r="R2620">
        <v>2</v>
      </c>
      <c r="S2620">
        <v>6</v>
      </c>
      <c r="T2620">
        <v>14</v>
      </c>
      <c r="U2620">
        <v>14</v>
      </c>
      <c r="V2620">
        <v>0</v>
      </c>
      <c r="W2620">
        <v>1</v>
      </c>
      <c r="X2620">
        <v>0</v>
      </c>
      <c r="Y2620">
        <v>0</v>
      </c>
      <c r="Z2620">
        <v>0</v>
      </c>
    </row>
    <row r="2621" spans="1:26" x14ac:dyDescent="0.2">
      <c r="A2621" t="s">
        <v>2739</v>
      </c>
      <c r="B2621" t="s">
        <v>77</v>
      </c>
      <c r="C2621">
        <v>2015</v>
      </c>
      <c r="D2621" t="s">
        <v>40</v>
      </c>
      <c r="E2621" t="s">
        <v>27</v>
      </c>
      <c r="F2621" t="s">
        <v>49</v>
      </c>
      <c r="G2621">
        <v>53400</v>
      </c>
      <c r="H2621">
        <v>42720</v>
      </c>
      <c r="I2621" s="13">
        <v>0</v>
      </c>
      <c r="J2621" t="s">
        <v>6207</v>
      </c>
      <c r="K2621">
        <v>4</v>
      </c>
      <c r="L2621">
        <v>0</v>
      </c>
      <c r="M2621" t="s">
        <v>0</v>
      </c>
      <c r="N2621" s="2">
        <v>0.53</v>
      </c>
      <c r="O2621" s="2">
        <v>0.47</v>
      </c>
      <c r="P2621">
        <v>9</v>
      </c>
      <c r="Q2621">
        <v>9</v>
      </c>
      <c r="R2621">
        <v>9</v>
      </c>
      <c r="S2621">
        <v>4</v>
      </c>
      <c r="T2621">
        <v>8</v>
      </c>
      <c r="U2621">
        <v>8</v>
      </c>
      <c r="V2621">
        <v>0</v>
      </c>
      <c r="W2621">
        <v>0</v>
      </c>
      <c r="X2621">
        <v>0</v>
      </c>
      <c r="Y2621">
        <v>0</v>
      </c>
      <c r="Z2621">
        <v>1</v>
      </c>
    </row>
    <row r="2622" spans="1:26" x14ac:dyDescent="0.2">
      <c r="A2622" t="s">
        <v>2740</v>
      </c>
      <c r="B2622" t="s">
        <v>37</v>
      </c>
      <c r="C2622">
        <v>2015</v>
      </c>
      <c r="D2622" t="s">
        <v>26</v>
      </c>
      <c r="E2622" t="s">
        <v>64</v>
      </c>
      <c r="F2622" t="s">
        <v>26</v>
      </c>
      <c r="G2622">
        <v>61276</v>
      </c>
      <c r="H2622">
        <v>49020.800000000003</v>
      </c>
      <c r="I2622" s="13">
        <v>0.5</v>
      </c>
      <c r="J2622" t="s">
        <v>6206</v>
      </c>
      <c r="K2622">
        <v>2</v>
      </c>
      <c r="L2622">
        <v>2</v>
      </c>
      <c r="M2622" t="s">
        <v>58</v>
      </c>
      <c r="N2622" s="2">
        <v>0.67</v>
      </c>
      <c r="O2622" s="2">
        <v>0.33</v>
      </c>
      <c r="P2622">
        <v>18</v>
      </c>
      <c r="Q2622">
        <v>11</v>
      </c>
      <c r="R2622">
        <v>5</v>
      </c>
      <c r="S2622">
        <v>4</v>
      </c>
      <c r="T2622">
        <v>8</v>
      </c>
      <c r="U2622">
        <v>17</v>
      </c>
      <c r="V2622">
        <v>1</v>
      </c>
      <c r="W2622">
        <v>1</v>
      </c>
      <c r="X2622">
        <v>0</v>
      </c>
      <c r="Y2622">
        <v>0</v>
      </c>
      <c r="Z2622">
        <v>0</v>
      </c>
    </row>
    <row r="2623" spans="1:26" x14ac:dyDescent="0.2">
      <c r="A2623" t="s">
        <v>2741</v>
      </c>
      <c r="B2623" t="s">
        <v>74</v>
      </c>
      <c r="C2623">
        <v>2015</v>
      </c>
      <c r="D2623" t="s">
        <v>86</v>
      </c>
      <c r="E2623" t="s">
        <v>18</v>
      </c>
      <c r="F2623" t="s">
        <v>86</v>
      </c>
      <c r="G2623">
        <v>11364</v>
      </c>
      <c r="H2623">
        <v>9091.2000000000007</v>
      </c>
      <c r="I2623" s="13">
        <v>0</v>
      </c>
      <c r="J2623" t="s">
        <v>6208</v>
      </c>
      <c r="K2623">
        <v>1</v>
      </c>
      <c r="L2623">
        <v>4</v>
      </c>
      <c r="M2623" t="s">
        <v>1</v>
      </c>
      <c r="N2623" s="2">
        <v>0.45</v>
      </c>
      <c r="O2623" s="2">
        <v>0.55000000000000004</v>
      </c>
      <c r="P2623">
        <v>7</v>
      </c>
      <c r="Q2623">
        <v>11</v>
      </c>
      <c r="R2623">
        <v>10</v>
      </c>
      <c r="S2623">
        <v>7</v>
      </c>
      <c r="T2623">
        <v>11</v>
      </c>
      <c r="U2623">
        <v>4</v>
      </c>
      <c r="V2623">
        <v>1</v>
      </c>
      <c r="W2623">
        <v>0</v>
      </c>
      <c r="X2623">
        <v>0</v>
      </c>
      <c r="Y2623">
        <v>0</v>
      </c>
      <c r="Z2623">
        <v>0</v>
      </c>
    </row>
    <row r="2624" spans="1:26" x14ac:dyDescent="0.2">
      <c r="A2624" t="s">
        <v>2742</v>
      </c>
      <c r="B2624" t="s">
        <v>67</v>
      </c>
      <c r="C2624">
        <v>2015</v>
      </c>
      <c r="D2624" t="s">
        <v>42</v>
      </c>
      <c r="E2624" t="s">
        <v>73</v>
      </c>
      <c r="F2624" t="s">
        <v>38</v>
      </c>
      <c r="G2624">
        <v>42918</v>
      </c>
      <c r="H2624">
        <v>34334.400000000001</v>
      </c>
      <c r="I2624" s="13">
        <v>0.5</v>
      </c>
      <c r="J2624" t="s">
        <v>6207</v>
      </c>
      <c r="K2624">
        <v>2</v>
      </c>
      <c r="L2624">
        <v>4</v>
      </c>
      <c r="M2624" t="s">
        <v>1</v>
      </c>
      <c r="N2624" s="2">
        <v>0.42</v>
      </c>
      <c r="O2624" s="2">
        <v>0.57999999999999996</v>
      </c>
      <c r="P2624">
        <v>12</v>
      </c>
      <c r="Q2624">
        <v>9</v>
      </c>
      <c r="R2624">
        <v>6</v>
      </c>
      <c r="S2624">
        <v>11</v>
      </c>
      <c r="T2624">
        <v>8</v>
      </c>
      <c r="U2624">
        <v>9</v>
      </c>
      <c r="V2624">
        <v>2</v>
      </c>
      <c r="W2624">
        <v>0</v>
      </c>
      <c r="X2624">
        <v>0</v>
      </c>
      <c r="Y2624">
        <v>0</v>
      </c>
      <c r="Z2624">
        <v>0</v>
      </c>
    </row>
    <row r="2625" spans="1:26" x14ac:dyDescent="0.2">
      <c r="A2625" t="s">
        <v>2743</v>
      </c>
      <c r="B2625" t="s">
        <v>41</v>
      </c>
      <c r="C2625">
        <v>2015</v>
      </c>
      <c r="D2625" t="s">
        <v>35</v>
      </c>
      <c r="E2625" t="s">
        <v>46</v>
      </c>
      <c r="F2625" t="s">
        <v>35</v>
      </c>
      <c r="G2625">
        <v>49000</v>
      </c>
      <c r="H2625">
        <v>39200</v>
      </c>
      <c r="I2625" s="13">
        <v>0.83333333333333337</v>
      </c>
      <c r="J2625" t="s">
        <v>6207</v>
      </c>
      <c r="K2625">
        <v>0</v>
      </c>
      <c r="L2625">
        <v>0</v>
      </c>
      <c r="M2625" t="s">
        <v>58</v>
      </c>
      <c r="N2625" s="2">
        <v>0.3</v>
      </c>
      <c r="O2625" s="2">
        <v>0.7</v>
      </c>
      <c r="P2625">
        <v>12</v>
      </c>
      <c r="Q2625">
        <v>15</v>
      </c>
      <c r="R2625">
        <v>7</v>
      </c>
      <c r="S2625">
        <v>7</v>
      </c>
      <c r="T2625">
        <v>10</v>
      </c>
      <c r="U2625">
        <v>8</v>
      </c>
      <c r="V2625">
        <v>2</v>
      </c>
      <c r="W2625">
        <v>4</v>
      </c>
      <c r="X2625">
        <v>0</v>
      </c>
      <c r="Y2625">
        <v>0</v>
      </c>
      <c r="Z2625">
        <v>0</v>
      </c>
    </row>
    <row r="2626" spans="1:26" x14ac:dyDescent="0.2">
      <c r="A2626" t="s">
        <v>2744</v>
      </c>
      <c r="B2626" t="s">
        <v>44</v>
      </c>
      <c r="C2626">
        <v>2015</v>
      </c>
      <c r="D2626" t="s">
        <v>80</v>
      </c>
      <c r="E2626" t="s">
        <v>71</v>
      </c>
      <c r="F2626" t="s">
        <v>80</v>
      </c>
      <c r="G2626">
        <v>32261</v>
      </c>
      <c r="H2626">
        <v>25808.800000000003</v>
      </c>
      <c r="I2626" s="13">
        <v>0.66666666666666663</v>
      </c>
      <c r="J2626" t="s">
        <v>6207</v>
      </c>
      <c r="K2626">
        <v>4</v>
      </c>
      <c r="L2626">
        <v>0</v>
      </c>
      <c r="M2626" t="s">
        <v>0</v>
      </c>
      <c r="N2626" s="2">
        <v>0.38</v>
      </c>
      <c r="O2626" s="2">
        <v>0.62</v>
      </c>
      <c r="P2626">
        <v>11</v>
      </c>
      <c r="Q2626">
        <v>18</v>
      </c>
      <c r="R2626">
        <v>4</v>
      </c>
      <c r="S2626">
        <v>6</v>
      </c>
      <c r="T2626">
        <v>15</v>
      </c>
      <c r="U2626">
        <v>10</v>
      </c>
      <c r="V2626">
        <v>1</v>
      </c>
      <c r="W2626">
        <v>2</v>
      </c>
      <c r="X2626">
        <v>0</v>
      </c>
      <c r="Y2626">
        <v>0</v>
      </c>
      <c r="Z2626">
        <v>0</v>
      </c>
    </row>
    <row r="2627" spans="1:26" x14ac:dyDescent="0.2">
      <c r="A2627" t="s">
        <v>2745</v>
      </c>
      <c r="B2627" t="s">
        <v>53</v>
      </c>
      <c r="C2627">
        <v>2015</v>
      </c>
      <c r="D2627" t="s">
        <v>51</v>
      </c>
      <c r="E2627" t="s">
        <v>63</v>
      </c>
      <c r="F2627" t="s">
        <v>20</v>
      </c>
      <c r="G2627">
        <v>36284</v>
      </c>
      <c r="H2627">
        <v>29027.200000000001</v>
      </c>
      <c r="I2627" s="13">
        <v>0</v>
      </c>
      <c r="J2627" t="s">
        <v>6207</v>
      </c>
      <c r="K2627">
        <v>1</v>
      </c>
      <c r="L2627">
        <v>1</v>
      </c>
      <c r="M2627" t="s">
        <v>58</v>
      </c>
      <c r="N2627" s="2">
        <v>0.66</v>
      </c>
      <c r="O2627" s="2">
        <v>0.34</v>
      </c>
      <c r="P2627">
        <v>14</v>
      </c>
      <c r="Q2627">
        <v>9</v>
      </c>
      <c r="R2627">
        <v>9</v>
      </c>
      <c r="S2627">
        <v>7</v>
      </c>
      <c r="T2627">
        <v>8</v>
      </c>
      <c r="U2627">
        <v>13</v>
      </c>
      <c r="V2627">
        <v>0</v>
      </c>
      <c r="W2627">
        <v>1</v>
      </c>
      <c r="X2627">
        <v>0</v>
      </c>
      <c r="Y2627">
        <v>0</v>
      </c>
      <c r="Z2627">
        <v>0</v>
      </c>
    </row>
    <row r="2628" spans="1:26" x14ac:dyDescent="0.2">
      <c r="A2628" t="s">
        <v>2746</v>
      </c>
      <c r="B2628" t="s">
        <v>50</v>
      </c>
      <c r="C2628">
        <v>2015</v>
      </c>
      <c r="D2628" t="s">
        <v>63</v>
      </c>
      <c r="E2628" t="s">
        <v>23</v>
      </c>
      <c r="F2628" t="s">
        <v>65</v>
      </c>
      <c r="G2628">
        <v>26804</v>
      </c>
      <c r="H2628">
        <v>21443.200000000001</v>
      </c>
      <c r="I2628" s="13">
        <v>0</v>
      </c>
      <c r="J2628" t="s">
        <v>6207</v>
      </c>
      <c r="K2628">
        <v>0</v>
      </c>
      <c r="L2628">
        <v>3</v>
      </c>
      <c r="M2628" t="s">
        <v>1</v>
      </c>
      <c r="N2628" s="2">
        <v>0.41</v>
      </c>
      <c r="O2628" s="2">
        <v>0.59</v>
      </c>
      <c r="P2628">
        <v>8</v>
      </c>
      <c r="Q2628">
        <v>17</v>
      </c>
      <c r="R2628">
        <v>8</v>
      </c>
      <c r="S2628">
        <v>6</v>
      </c>
      <c r="T2628">
        <v>14</v>
      </c>
      <c r="U2628">
        <v>7</v>
      </c>
      <c r="V2628">
        <v>0</v>
      </c>
      <c r="W2628">
        <v>0</v>
      </c>
      <c r="X2628">
        <v>0</v>
      </c>
      <c r="Y2628">
        <v>0</v>
      </c>
      <c r="Z2628">
        <v>0</v>
      </c>
    </row>
    <row r="2629" spans="1:26" x14ac:dyDescent="0.2">
      <c r="A2629" t="s">
        <v>2747</v>
      </c>
      <c r="B2629" t="s">
        <v>61</v>
      </c>
      <c r="C2629">
        <v>2015</v>
      </c>
      <c r="D2629" t="s">
        <v>85</v>
      </c>
      <c r="E2629" t="s">
        <v>42</v>
      </c>
      <c r="F2629" t="s">
        <v>85</v>
      </c>
      <c r="G2629">
        <v>22220</v>
      </c>
      <c r="H2629">
        <v>17776</v>
      </c>
      <c r="I2629" s="13">
        <v>0.83333333333333337</v>
      </c>
      <c r="J2629" t="s">
        <v>6207</v>
      </c>
      <c r="K2629">
        <v>3</v>
      </c>
      <c r="L2629">
        <v>2</v>
      </c>
      <c r="M2629" t="s">
        <v>0</v>
      </c>
      <c r="N2629" s="2">
        <v>0.65</v>
      </c>
      <c r="O2629" s="2">
        <v>0.35</v>
      </c>
      <c r="P2629">
        <v>13</v>
      </c>
      <c r="Q2629">
        <v>15</v>
      </c>
      <c r="R2629">
        <v>8</v>
      </c>
      <c r="S2629">
        <v>4</v>
      </c>
      <c r="T2629">
        <v>14</v>
      </c>
      <c r="U2629">
        <v>10</v>
      </c>
      <c r="V2629">
        <v>2</v>
      </c>
      <c r="W2629">
        <v>3</v>
      </c>
      <c r="X2629">
        <v>0</v>
      </c>
      <c r="Y2629">
        <v>1</v>
      </c>
      <c r="Z2629">
        <v>0</v>
      </c>
    </row>
    <row r="2630" spans="1:26" x14ac:dyDescent="0.2">
      <c r="A2630" t="s">
        <v>2748</v>
      </c>
      <c r="B2630" t="s">
        <v>76</v>
      </c>
      <c r="C2630">
        <v>2015</v>
      </c>
      <c r="D2630" t="s">
        <v>27</v>
      </c>
      <c r="E2630" t="s">
        <v>35</v>
      </c>
      <c r="F2630" t="s">
        <v>27</v>
      </c>
      <c r="G2630">
        <v>30089</v>
      </c>
      <c r="H2630">
        <v>24071.200000000001</v>
      </c>
      <c r="I2630" s="13">
        <v>0.75</v>
      </c>
      <c r="J2630" t="s">
        <v>6207</v>
      </c>
      <c r="K2630">
        <v>1</v>
      </c>
      <c r="L2630">
        <v>1</v>
      </c>
      <c r="M2630" t="s">
        <v>58</v>
      </c>
      <c r="N2630" s="2">
        <v>0.53</v>
      </c>
      <c r="O2630" s="2">
        <v>0.47</v>
      </c>
      <c r="P2630">
        <v>13</v>
      </c>
      <c r="Q2630">
        <v>11</v>
      </c>
      <c r="R2630">
        <v>2</v>
      </c>
      <c r="S2630">
        <v>8</v>
      </c>
      <c r="T2630">
        <v>13</v>
      </c>
      <c r="U2630">
        <v>13</v>
      </c>
      <c r="V2630">
        <v>2</v>
      </c>
      <c r="W2630">
        <v>2</v>
      </c>
      <c r="X2630">
        <v>0</v>
      </c>
      <c r="Y2630">
        <v>0</v>
      </c>
      <c r="Z2630">
        <v>1</v>
      </c>
    </row>
    <row r="2631" spans="1:26" x14ac:dyDescent="0.2">
      <c r="A2631" t="s">
        <v>2749</v>
      </c>
      <c r="B2631" t="s">
        <v>41</v>
      </c>
      <c r="C2631">
        <v>2015</v>
      </c>
      <c r="D2631" t="s">
        <v>64</v>
      </c>
      <c r="E2631" t="s">
        <v>79</v>
      </c>
      <c r="F2631" t="s">
        <v>64</v>
      </c>
      <c r="G2631">
        <v>52264</v>
      </c>
      <c r="H2631">
        <v>41811.200000000004</v>
      </c>
      <c r="I2631" s="13">
        <v>0.5</v>
      </c>
      <c r="J2631" t="s">
        <v>6207</v>
      </c>
      <c r="K2631">
        <v>1</v>
      </c>
      <c r="L2631">
        <v>0</v>
      </c>
      <c r="M2631" t="s">
        <v>0</v>
      </c>
      <c r="N2631" s="2">
        <v>0.5</v>
      </c>
      <c r="O2631" s="2">
        <v>0.5</v>
      </c>
      <c r="P2631">
        <v>13</v>
      </c>
      <c r="Q2631">
        <v>10</v>
      </c>
      <c r="R2631">
        <v>4</v>
      </c>
      <c r="S2631">
        <v>8</v>
      </c>
      <c r="T2631">
        <v>11</v>
      </c>
      <c r="U2631">
        <v>12</v>
      </c>
      <c r="V2631">
        <v>2</v>
      </c>
      <c r="W2631">
        <v>0</v>
      </c>
      <c r="X2631">
        <v>0</v>
      </c>
      <c r="Y2631">
        <v>0</v>
      </c>
      <c r="Z2631">
        <v>1</v>
      </c>
    </row>
    <row r="2632" spans="1:26" x14ac:dyDescent="0.2">
      <c r="A2632" t="s">
        <v>2750</v>
      </c>
      <c r="B2632" t="s">
        <v>67</v>
      </c>
      <c r="C2632">
        <v>2015</v>
      </c>
      <c r="D2632" t="s">
        <v>45</v>
      </c>
      <c r="E2632" t="s">
        <v>86</v>
      </c>
      <c r="F2632" t="s">
        <v>26</v>
      </c>
      <c r="G2632">
        <v>39572</v>
      </c>
      <c r="H2632">
        <v>31657.600000000002</v>
      </c>
      <c r="I2632" s="13">
        <v>1</v>
      </c>
      <c r="J2632" t="s">
        <v>6207</v>
      </c>
      <c r="K2632">
        <v>2</v>
      </c>
      <c r="L2632">
        <v>1</v>
      </c>
      <c r="M2632" t="s">
        <v>0</v>
      </c>
      <c r="N2632" s="2">
        <v>0.56999999999999995</v>
      </c>
      <c r="O2632" s="2">
        <v>0.43</v>
      </c>
      <c r="P2632">
        <v>9</v>
      </c>
      <c r="Q2632">
        <v>5</v>
      </c>
      <c r="R2632">
        <v>3</v>
      </c>
      <c r="S2632">
        <v>5</v>
      </c>
      <c r="T2632">
        <v>4</v>
      </c>
      <c r="U2632">
        <v>8</v>
      </c>
      <c r="V2632">
        <v>1</v>
      </c>
      <c r="W2632">
        <v>0</v>
      </c>
      <c r="X2632">
        <v>0</v>
      </c>
      <c r="Y2632">
        <v>0</v>
      </c>
      <c r="Z2632">
        <v>0</v>
      </c>
    </row>
    <row r="2633" spans="1:26" x14ac:dyDescent="0.2">
      <c r="A2633" t="s">
        <v>2751</v>
      </c>
      <c r="B2633" t="s">
        <v>53</v>
      </c>
      <c r="C2633">
        <v>2015</v>
      </c>
      <c r="D2633" t="s">
        <v>46</v>
      </c>
      <c r="E2633" t="s">
        <v>69</v>
      </c>
      <c r="F2633" t="s">
        <v>20</v>
      </c>
      <c r="G2633">
        <v>60704</v>
      </c>
      <c r="H2633">
        <v>48563.200000000004</v>
      </c>
      <c r="I2633" s="13">
        <v>1</v>
      </c>
      <c r="J2633" t="s">
        <v>6207</v>
      </c>
      <c r="K2633">
        <v>1</v>
      </c>
      <c r="L2633">
        <v>0</v>
      </c>
      <c r="M2633" t="s">
        <v>0</v>
      </c>
      <c r="N2633" s="2">
        <v>0.69</v>
      </c>
      <c r="O2633" s="2">
        <v>0.31</v>
      </c>
      <c r="P2633">
        <v>9</v>
      </c>
      <c r="Q2633">
        <v>11</v>
      </c>
      <c r="R2633">
        <v>7</v>
      </c>
      <c r="S2633">
        <v>3</v>
      </c>
      <c r="T2633">
        <v>8</v>
      </c>
      <c r="U2633">
        <v>7</v>
      </c>
      <c r="V2633">
        <v>1</v>
      </c>
      <c r="W2633">
        <v>0</v>
      </c>
      <c r="X2633">
        <v>0</v>
      </c>
      <c r="Y2633">
        <v>0</v>
      </c>
      <c r="Z2633">
        <v>0</v>
      </c>
    </row>
    <row r="2634" spans="1:26" x14ac:dyDescent="0.2">
      <c r="A2634" t="s">
        <v>2752</v>
      </c>
      <c r="B2634" t="s">
        <v>74</v>
      </c>
      <c r="C2634">
        <v>2015</v>
      </c>
      <c r="D2634" t="s">
        <v>71</v>
      </c>
      <c r="E2634" t="s">
        <v>26</v>
      </c>
      <c r="F2634" t="s">
        <v>71</v>
      </c>
      <c r="G2634">
        <v>21088</v>
      </c>
      <c r="H2634">
        <v>16870.400000000001</v>
      </c>
      <c r="I2634" s="13">
        <v>0.5</v>
      </c>
      <c r="J2634" t="s">
        <v>6208</v>
      </c>
      <c r="K2634">
        <v>3</v>
      </c>
      <c r="L2634">
        <v>1</v>
      </c>
      <c r="M2634" t="s">
        <v>0</v>
      </c>
      <c r="N2634" s="2">
        <v>0.48</v>
      </c>
      <c r="O2634" s="2">
        <v>0.52</v>
      </c>
      <c r="P2634">
        <v>12</v>
      </c>
      <c r="Q2634">
        <v>14</v>
      </c>
      <c r="R2634">
        <v>4</v>
      </c>
      <c r="S2634">
        <v>7</v>
      </c>
      <c r="T2634">
        <v>12</v>
      </c>
      <c r="U2634">
        <v>13</v>
      </c>
      <c r="V2634">
        <v>2</v>
      </c>
      <c r="W2634">
        <v>3</v>
      </c>
      <c r="X2634">
        <v>0</v>
      </c>
      <c r="Y2634">
        <v>1</v>
      </c>
      <c r="Z2634">
        <v>0</v>
      </c>
    </row>
    <row r="2635" spans="1:26" x14ac:dyDescent="0.2">
      <c r="A2635" t="s">
        <v>2753</v>
      </c>
      <c r="B2635" t="s">
        <v>66</v>
      </c>
      <c r="C2635">
        <v>2015</v>
      </c>
      <c r="D2635" t="s">
        <v>48</v>
      </c>
      <c r="E2635" t="s">
        <v>80</v>
      </c>
      <c r="F2635" t="s">
        <v>49</v>
      </c>
      <c r="G2635">
        <v>74197</v>
      </c>
      <c r="H2635">
        <v>59357.600000000006</v>
      </c>
      <c r="I2635" s="13">
        <v>0</v>
      </c>
      <c r="J2635" t="s">
        <v>6207</v>
      </c>
      <c r="K2635">
        <v>1</v>
      </c>
      <c r="L2635">
        <v>1</v>
      </c>
      <c r="M2635" t="s">
        <v>58</v>
      </c>
      <c r="N2635" s="2">
        <v>0.7</v>
      </c>
      <c r="O2635" s="2">
        <v>0.3</v>
      </c>
      <c r="P2635">
        <v>10</v>
      </c>
      <c r="Q2635">
        <v>17</v>
      </c>
      <c r="R2635">
        <v>6</v>
      </c>
      <c r="S2635">
        <v>5</v>
      </c>
      <c r="T2635">
        <v>16</v>
      </c>
      <c r="U2635">
        <v>10</v>
      </c>
      <c r="V2635">
        <v>3</v>
      </c>
      <c r="W2635">
        <v>1</v>
      </c>
      <c r="X2635">
        <v>0</v>
      </c>
      <c r="Y2635">
        <v>1</v>
      </c>
      <c r="Z2635">
        <v>0</v>
      </c>
    </row>
    <row r="2636" spans="1:26" x14ac:dyDescent="0.2">
      <c r="A2636" t="s">
        <v>2754</v>
      </c>
      <c r="B2636" t="s">
        <v>37</v>
      </c>
      <c r="C2636">
        <v>2015</v>
      </c>
      <c r="D2636" t="s">
        <v>73</v>
      </c>
      <c r="E2636" t="s">
        <v>40</v>
      </c>
      <c r="F2636" t="s">
        <v>73</v>
      </c>
      <c r="G2636">
        <v>32384</v>
      </c>
      <c r="H2636">
        <v>25907.200000000001</v>
      </c>
      <c r="I2636" s="13">
        <v>1</v>
      </c>
      <c r="J2636" t="s">
        <v>6206</v>
      </c>
      <c r="K2636">
        <v>4</v>
      </c>
      <c r="L2636">
        <v>2</v>
      </c>
      <c r="M2636" t="s">
        <v>0</v>
      </c>
      <c r="N2636" s="2">
        <v>0.4</v>
      </c>
      <c r="O2636" s="2">
        <v>0.6</v>
      </c>
      <c r="P2636">
        <v>9</v>
      </c>
      <c r="Q2636">
        <v>15</v>
      </c>
      <c r="R2636">
        <v>8</v>
      </c>
      <c r="S2636">
        <v>2</v>
      </c>
      <c r="T2636">
        <v>12</v>
      </c>
      <c r="U2636">
        <v>9</v>
      </c>
      <c r="V2636">
        <v>2</v>
      </c>
      <c r="W2636">
        <v>1</v>
      </c>
      <c r="X2636">
        <v>0</v>
      </c>
      <c r="Y2636">
        <v>0</v>
      </c>
      <c r="Z2636">
        <v>0</v>
      </c>
    </row>
    <row r="2637" spans="1:26" x14ac:dyDescent="0.2">
      <c r="A2637" t="s">
        <v>2755</v>
      </c>
      <c r="B2637" t="s">
        <v>44</v>
      </c>
      <c r="C2637">
        <v>2015</v>
      </c>
      <c r="D2637" t="s">
        <v>18</v>
      </c>
      <c r="E2637" t="s">
        <v>51</v>
      </c>
      <c r="F2637" t="s">
        <v>20</v>
      </c>
      <c r="G2637">
        <v>40341</v>
      </c>
      <c r="H2637">
        <v>32272.800000000003</v>
      </c>
      <c r="I2637" s="13">
        <v>0.58333333333333337</v>
      </c>
      <c r="J2637" t="s">
        <v>6207</v>
      </c>
      <c r="K2637">
        <v>2</v>
      </c>
      <c r="L2637">
        <v>2</v>
      </c>
      <c r="M2637" t="s">
        <v>58</v>
      </c>
      <c r="N2637" s="2">
        <v>0.48</v>
      </c>
      <c r="O2637" s="2">
        <v>0.52</v>
      </c>
      <c r="P2637">
        <v>19</v>
      </c>
      <c r="Q2637">
        <v>14</v>
      </c>
      <c r="R2637">
        <v>7</v>
      </c>
      <c r="S2637">
        <v>8</v>
      </c>
      <c r="T2637">
        <v>9</v>
      </c>
      <c r="U2637">
        <v>20</v>
      </c>
      <c r="V2637">
        <v>3</v>
      </c>
      <c r="W2637">
        <v>9</v>
      </c>
      <c r="X2637">
        <v>0</v>
      </c>
      <c r="Y2637">
        <v>0</v>
      </c>
      <c r="Z2637">
        <v>0</v>
      </c>
    </row>
    <row r="2638" spans="1:26" x14ac:dyDescent="0.2">
      <c r="A2638" t="s">
        <v>2756</v>
      </c>
      <c r="B2638" t="s">
        <v>76</v>
      </c>
      <c r="C2638">
        <v>2015</v>
      </c>
      <c r="D2638" t="s">
        <v>69</v>
      </c>
      <c r="E2638" t="s">
        <v>48</v>
      </c>
      <c r="F2638" t="s">
        <v>69</v>
      </c>
      <c r="G2638">
        <v>27359</v>
      </c>
      <c r="H2638">
        <v>21887.200000000001</v>
      </c>
      <c r="I2638" s="13">
        <v>0</v>
      </c>
      <c r="J2638" t="s">
        <v>6207</v>
      </c>
      <c r="K2638">
        <v>0</v>
      </c>
      <c r="L2638">
        <v>1</v>
      </c>
      <c r="M2638" t="s">
        <v>1</v>
      </c>
      <c r="N2638" s="2">
        <v>0.33</v>
      </c>
      <c r="O2638" s="2">
        <v>0.67</v>
      </c>
      <c r="P2638">
        <v>11</v>
      </c>
      <c r="Q2638">
        <v>11</v>
      </c>
      <c r="R2638">
        <v>1</v>
      </c>
      <c r="S2638">
        <v>6</v>
      </c>
      <c r="T2638">
        <v>11</v>
      </c>
      <c r="U2638">
        <v>10</v>
      </c>
      <c r="V2638">
        <v>1</v>
      </c>
      <c r="W2638">
        <v>0</v>
      </c>
      <c r="X2638">
        <v>0</v>
      </c>
      <c r="Y2638">
        <v>0</v>
      </c>
      <c r="Z2638">
        <v>0</v>
      </c>
    </row>
    <row r="2639" spans="1:26" x14ac:dyDescent="0.2">
      <c r="A2639" t="s">
        <v>2757</v>
      </c>
      <c r="B2639" t="s">
        <v>66</v>
      </c>
      <c r="C2639">
        <v>2015</v>
      </c>
      <c r="D2639" t="s">
        <v>23</v>
      </c>
      <c r="E2639" t="s">
        <v>71</v>
      </c>
      <c r="F2639" t="s">
        <v>20</v>
      </c>
      <c r="G2639">
        <v>62500</v>
      </c>
      <c r="H2639">
        <v>50000</v>
      </c>
      <c r="I2639" s="13">
        <v>1</v>
      </c>
      <c r="J2639" t="s">
        <v>6207</v>
      </c>
      <c r="K2639">
        <v>1</v>
      </c>
      <c r="L2639">
        <v>4</v>
      </c>
      <c r="M2639" t="s">
        <v>1</v>
      </c>
      <c r="N2639" s="2">
        <v>0.52</v>
      </c>
      <c r="O2639" s="2">
        <v>0.48</v>
      </c>
      <c r="P2639">
        <v>10</v>
      </c>
      <c r="Q2639">
        <v>14</v>
      </c>
      <c r="R2639">
        <v>13</v>
      </c>
      <c r="S2639">
        <v>3</v>
      </c>
      <c r="T2639">
        <v>11</v>
      </c>
      <c r="U2639">
        <v>8</v>
      </c>
      <c r="V2639">
        <v>3</v>
      </c>
      <c r="W2639">
        <v>0</v>
      </c>
      <c r="X2639">
        <v>0</v>
      </c>
      <c r="Y2639">
        <v>0</v>
      </c>
      <c r="Z2639">
        <v>0</v>
      </c>
    </row>
    <row r="2640" spans="1:26" x14ac:dyDescent="0.2">
      <c r="A2640" t="s">
        <v>2758</v>
      </c>
      <c r="B2640" t="s">
        <v>53</v>
      </c>
      <c r="C2640">
        <v>2015</v>
      </c>
      <c r="D2640" t="s">
        <v>35</v>
      </c>
      <c r="E2640" t="s">
        <v>18</v>
      </c>
      <c r="F2640" t="s">
        <v>35</v>
      </c>
      <c r="G2640">
        <v>49000</v>
      </c>
      <c r="H2640">
        <v>39200</v>
      </c>
      <c r="I2640" s="13">
        <v>0.2857142857142857</v>
      </c>
      <c r="J2640" t="s">
        <v>6207</v>
      </c>
      <c r="K2640">
        <v>3</v>
      </c>
      <c r="L2640">
        <v>2</v>
      </c>
      <c r="M2640" t="s">
        <v>0</v>
      </c>
      <c r="N2640" s="2">
        <v>0.31</v>
      </c>
      <c r="O2640" s="2">
        <v>0.69</v>
      </c>
      <c r="P2640">
        <v>10</v>
      </c>
      <c r="Q2640">
        <v>17</v>
      </c>
      <c r="R2640">
        <v>3</v>
      </c>
      <c r="S2640">
        <v>3</v>
      </c>
      <c r="T2640">
        <v>11</v>
      </c>
      <c r="U2640">
        <v>9</v>
      </c>
      <c r="V2640">
        <v>4</v>
      </c>
      <c r="W2640">
        <v>2</v>
      </c>
      <c r="X2640">
        <v>0</v>
      </c>
      <c r="Y2640">
        <v>1</v>
      </c>
      <c r="Z2640">
        <v>0</v>
      </c>
    </row>
    <row r="2641" spans="1:26" x14ac:dyDescent="0.2">
      <c r="A2641" t="s">
        <v>2759</v>
      </c>
      <c r="B2641" t="s">
        <v>60</v>
      </c>
      <c r="C2641">
        <v>2015</v>
      </c>
      <c r="D2641" t="s">
        <v>79</v>
      </c>
      <c r="E2641" t="s">
        <v>27</v>
      </c>
      <c r="F2641" t="s">
        <v>20</v>
      </c>
      <c r="G2641">
        <v>25486</v>
      </c>
      <c r="H2641">
        <v>20388.800000000003</v>
      </c>
      <c r="I2641" s="13">
        <v>0.8</v>
      </c>
      <c r="J2641" t="s">
        <v>6208</v>
      </c>
      <c r="K2641">
        <v>2</v>
      </c>
      <c r="L2641">
        <v>1</v>
      </c>
      <c r="M2641" t="s">
        <v>0</v>
      </c>
      <c r="N2641" s="2">
        <v>0.57999999999999996</v>
      </c>
      <c r="O2641" s="2">
        <v>0.42</v>
      </c>
      <c r="P2641">
        <v>22</v>
      </c>
      <c r="Q2641">
        <v>9</v>
      </c>
      <c r="R2641">
        <v>4</v>
      </c>
      <c r="S2641">
        <v>3</v>
      </c>
      <c r="T2641">
        <v>8</v>
      </c>
      <c r="U2641">
        <v>18</v>
      </c>
      <c r="V2641">
        <v>2</v>
      </c>
      <c r="W2641">
        <v>3</v>
      </c>
      <c r="X2641">
        <v>0</v>
      </c>
      <c r="Y2641">
        <v>0</v>
      </c>
      <c r="Z2641">
        <v>0</v>
      </c>
    </row>
    <row r="2642" spans="1:26" x14ac:dyDescent="0.2">
      <c r="A2642" t="s">
        <v>2760</v>
      </c>
      <c r="B2642" t="s">
        <v>44</v>
      </c>
      <c r="C2642">
        <v>2015</v>
      </c>
      <c r="D2642" t="s">
        <v>86</v>
      </c>
      <c r="E2642" t="s">
        <v>63</v>
      </c>
      <c r="F2642" t="s">
        <v>86</v>
      </c>
      <c r="G2642">
        <v>11364</v>
      </c>
      <c r="H2642">
        <v>9091.2000000000007</v>
      </c>
      <c r="I2642" s="13">
        <v>0.66666666666666663</v>
      </c>
      <c r="J2642" t="s">
        <v>6207</v>
      </c>
      <c r="K2642">
        <v>1</v>
      </c>
      <c r="L2642">
        <v>1</v>
      </c>
      <c r="M2642" t="s">
        <v>58</v>
      </c>
      <c r="N2642" s="2">
        <v>0.69</v>
      </c>
      <c r="O2642" s="2">
        <v>0.31</v>
      </c>
      <c r="P2642">
        <v>10</v>
      </c>
      <c r="Q2642">
        <v>6</v>
      </c>
      <c r="R2642">
        <v>5</v>
      </c>
      <c r="S2642">
        <v>3</v>
      </c>
      <c r="T2642">
        <v>5</v>
      </c>
      <c r="U2642">
        <v>8</v>
      </c>
      <c r="V2642">
        <v>2</v>
      </c>
      <c r="W2642">
        <v>1</v>
      </c>
      <c r="X2642">
        <v>0</v>
      </c>
      <c r="Y2642">
        <v>0</v>
      </c>
      <c r="Z2642">
        <v>1</v>
      </c>
    </row>
    <row r="2643" spans="1:26" x14ac:dyDescent="0.2">
      <c r="A2643" t="s">
        <v>2761</v>
      </c>
      <c r="B2643" t="s">
        <v>77</v>
      </c>
      <c r="C2643">
        <v>2015</v>
      </c>
      <c r="D2643" t="s">
        <v>42</v>
      </c>
      <c r="E2643" t="s">
        <v>64</v>
      </c>
      <c r="F2643" t="s">
        <v>38</v>
      </c>
      <c r="G2643">
        <v>42918</v>
      </c>
      <c r="H2643">
        <v>34334.400000000001</v>
      </c>
      <c r="I2643" s="13">
        <v>0.5</v>
      </c>
      <c r="J2643" t="s">
        <v>6207</v>
      </c>
      <c r="K2643">
        <v>0</v>
      </c>
      <c r="L2643">
        <v>0</v>
      </c>
      <c r="M2643" t="s">
        <v>58</v>
      </c>
      <c r="N2643" s="2">
        <v>0.46</v>
      </c>
      <c r="O2643" s="2">
        <v>0.54</v>
      </c>
      <c r="P2643">
        <v>14</v>
      </c>
      <c r="Q2643">
        <v>9</v>
      </c>
      <c r="R2643">
        <v>0</v>
      </c>
      <c r="S2643">
        <v>5</v>
      </c>
      <c r="T2643">
        <v>8</v>
      </c>
      <c r="U2643">
        <v>13</v>
      </c>
      <c r="V2643">
        <v>1</v>
      </c>
      <c r="W2643">
        <v>1</v>
      </c>
      <c r="X2643">
        <v>0</v>
      </c>
      <c r="Y2643">
        <v>0</v>
      </c>
      <c r="Z2643">
        <v>0</v>
      </c>
    </row>
    <row r="2644" spans="1:26" x14ac:dyDescent="0.2">
      <c r="A2644" t="s">
        <v>2762</v>
      </c>
      <c r="B2644" t="s">
        <v>37</v>
      </c>
      <c r="C2644">
        <v>2015</v>
      </c>
      <c r="D2644" t="s">
        <v>80</v>
      </c>
      <c r="E2644" t="s">
        <v>45</v>
      </c>
      <c r="F2644" t="s">
        <v>80</v>
      </c>
      <c r="G2644">
        <v>32261</v>
      </c>
      <c r="H2644">
        <v>25808.800000000003</v>
      </c>
      <c r="I2644" s="13">
        <v>0.33333333333333331</v>
      </c>
      <c r="J2644" t="s">
        <v>6206</v>
      </c>
      <c r="K2644">
        <v>3</v>
      </c>
      <c r="L2644">
        <v>1</v>
      </c>
      <c r="M2644" t="s">
        <v>0</v>
      </c>
      <c r="N2644" s="2">
        <v>0.41</v>
      </c>
      <c r="O2644" s="2">
        <v>0.59</v>
      </c>
      <c r="P2644">
        <v>10</v>
      </c>
      <c r="Q2644">
        <v>6</v>
      </c>
      <c r="R2644">
        <v>12</v>
      </c>
      <c r="S2644">
        <v>4</v>
      </c>
      <c r="T2644">
        <v>4</v>
      </c>
      <c r="U2644">
        <v>12</v>
      </c>
      <c r="V2644">
        <v>0</v>
      </c>
      <c r="W2644">
        <v>3</v>
      </c>
      <c r="X2644">
        <v>0</v>
      </c>
      <c r="Y2644">
        <v>0</v>
      </c>
      <c r="Z2644">
        <v>2</v>
      </c>
    </row>
    <row r="2645" spans="1:26" x14ac:dyDescent="0.2">
      <c r="A2645" t="s">
        <v>2763</v>
      </c>
      <c r="B2645" t="s">
        <v>68</v>
      </c>
      <c r="C2645">
        <v>2015</v>
      </c>
      <c r="D2645" t="s">
        <v>51</v>
      </c>
      <c r="E2645" t="s">
        <v>73</v>
      </c>
      <c r="F2645" t="s">
        <v>20</v>
      </c>
      <c r="G2645">
        <v>36284</v>
      </c>
      <c r="H2645">
        <v>29027.200000000001</v>
      </c>
      <c r="I2645" s="13">
        <v>1</v>
      </c>
      <c r="J2645" t="s">
        <v>6207</v>
      </c>
      <c r="K2645">
        <v>1</v>
      </c>
      <c r="L2645">
        <v>2</v>
      </c>
      <c r="M2645" t="s">
        <v>1</v>
      </c>
      <c r="N2645" s="2">
        <v>0.71</v>
      </c>
      <c r="O2645" s="2">
        <v>0.28999999999999998</v>
      </c>
      <c r="P2645">
        <v>19</v>
      </c>
      <c r="Q2645">
        <v>9</v>
      </c>
      <c r="R2645">
        <v>10</v>
      </c>
      <c r="S2645">
        <v>2</v>
      </c>
      <c r="T2645">
        <v>8</v>
      </c>
      <c r="U2645">
        <v>15</v>
      </c>
      <c r="V2645">
        <v>0</v>
      </c>
      <c r="W2645">
        <v>3</v>
      </c>
      <c r="X2645">
        <v>0</v>
      </c>
      <c r="Y2645">
        <v>0</v>
      </c>
      <c r="Z2645">
        <v>0</v>
      </c>
    </row>
    <row r="2646" spans="1:26" x14ac:dyDescent="0.2">
      <c r="A2646" t="s">
        <v>2764</v>
      </c>
      <c r="B2646" t="s">
        <v>61</v>
      </c>
      <c r="C2646">
        <v>2015</v>
      </c>
      <c r="D2646" t="s">
        <v>40</v>
      </c>
      <c r="E2646" t="s">
        <v>46</v>
      </c>
      <c r="F2646" t="s">
        <v>49</v>
      </c>
      <c r="G2646">
        <v>53400</v>
      </c>
      <c r="H2646">
        <v>42720</v>
      </c>
      <c r="I2646" s="13">
        <v>1</v>
      </c>
      <c r="J2646" t="s">
        <v>6207</v>
      </c>
      <c r="K2646">
        <v>2</v>
      </c>
      <c r="L2646">
        <v>2</v>
      </c>
      <c r="M2646" t="s">
        <v>58</v>
      </c>
      <c r="N2646" s="2">
        <v>0.56999999999999995</v>
      </c>
      <c r="O2646" s="2">
        <v>0.43</v>
      </c>
      <c r="P2646">
        <v>13</v>
      </c>
      <c r="Q2646">
        <v>19</v>
      </c>
      <c r="R2646">
        <v>7</v>
      </c>
      <c r="S2646">
        <v>2</v>
      </c>
      <c r="T2646">
        <v>16</v>
      </c>
      <c r="U2646">
        <v>10</v>
      </c>
      <c r="V2646">
        <v>2</v>
      </c>
      <c r="W2646">
        <v>1</v>
      </c>
      <c r="X2646">
        <v>0</v>
      </c>
      <c r="Y2646">
        <v>0</v>
      </c>
      <c r="Z2646">
        <v>0</v>
      </c>
    </row>
    <row r="2647" spans="1:26" x14ac:dyDescent="0.2">
      <c r="A2647" t="s">
        <v>2765</v>
      </c>
      <c r="B2647" t="s">
        <v>50</v>
      </c>
      <c r="C2647">
        <v>2015</v>
      </c>
      <c r="D2647" t="s">
        <v>26</v>
      </c>
      <c r="E2647" t="s">
        <v>85</v>
      </c>
      <c r="F2647" t="s">
        <v>26</v>
      </c>
      <c r="G2647">
        <v>61276</v>
      </c>
      <c r="H2647">
        <v>49020.800000000003</v>
      </c>
      <c r="I2647" s="13">
        <v>0.66666666666666663</v>
      </c>
      <c r="J2647" t="s">
        <v>6207</v>
      </c>
      <c r="K2647">
        <v>2</v>
      </c>
      <c r="L2647">
        <v>0</v>
      </c>
      <c r="M2647" t="s">
        <v>0</v>
      </c>
      <c r="N2647" s="2">
        <v>0.66</v>
      </c>
      <c r="O2647" s="2">
        <v>0.34</v>
      </c>
      <c r="P2647">
        <v>17</v>
      </c>
      <c r="Q2647">
        <v>12</v>
      </c>
      <c r="R2647">
        <v>8</v>
      </c>
      <c r="S2647">
        <v>8</v>
      </c>
      <c r="T2647">
        <v>10</v>
      </c>
      <c r="U2647">
        <v>15</v>
      </c>
      <c r="V2647">
        <v>1</v>
      </c>
      <c r="W2647">
        <v>2</v>
      </c>
      <c r="X2647">
        <v>0</v>
      </c>
      <c r="Y2647">
        <v>0</v>
      </c>
      <c r="Z2647">
        <v>0</v>
      </c>
    </row>
    <row r="2648" spans="1:26" x14ac:dyDescent="0.2">
      <c r="A2648" t="s">
        <v>2766</v>
      </c>
      <c r="B2648" t="s">
        <v>41</v>
      </c>
      <c r="C2648">
        <v>2015</v>
      </c>
      <c r="D2648" t="s">
        <v>23</v>
      </c>
      <c r="E2648" t="s">
        <v>48</v>
      </c>
      <c r="F2648" t="s">
        <v>20</v>
      </c>
      <c r="G2648">
        <v>62500</v>
      </c>
      <c r="H2648">
        <v>50000</v>
      </c>
      <c r="I2648" s="13">
        <v>0.75</v>
      </c>
      <c r="J2648" t="s">
        <v>6207</v>
      </c>
      <c r="K2648">
        <v>3</v>
      </c>
      <c r="L2648">
        <v>2</v>
      </c>
      <c r="M2648" t="s">
        <v>0</v>
      </c>
      <c r="N2648" s="2">
        <v>0.41</v>
      </c>
      <c r="O2648" s="2">
        <v>0.59</v>
      </c>
      <c r="P2648">
        <v>21</v>
      </c>
      <c r="Q2648">
        <v>7</v>
      </c>
      <c r="R2648">
        <v>6</v>
      </c>
      <c r="S2648">
        <v>2</v>
      </c>
      <c r="T2648">
        <v>6</v>
      </c>
      <c r="U2648">
        <v>18</v>
      </c>
      <c r="V2648">
        <v>1</v>
      </c>
      <c r="W2648">
        <v>3</v>
      </c>
      <c r="X2648">
        <v>0</v>
      </c>
      <c r="Y2648">
        <v>0</v>
      </c>
      <c r="Z2648">
        <v>0</v>
      </c>
    </row>
    <row r="2649" spans="1:26" x14ac:dyDescent="0.2">
      <c r="A2649" t="s">
        <v>2767</v>
      </c>
      <c r="B2649" t="s">
        <v>61</v>
      </c>
      <c r="C2649">
        <v>2015</v>
      </c>
      <c r="D2649" t="s">
        <v>35</v>
      </c>
      <c r="E2649" t="s">
        <v>45</v>
      </c>
      <c r="F2649" t="s">
        <v>35</v>
      </c>
      <c r="G2649">
        <v>49000</v>
      </c>
      <c r="H2649">
        <v>39200</v>
      </c>
      <c r="I2649" s="13">
        <v>0</v>
      </c>
      <c r="J2649" t="s">
        <v>6207</v>
      </c>
      <c r="K2649">
        <v>3</v>
      </c>
      <c r="L2649">
        <v>0</v>
      </c>
      <c r="M2649" t="s">
        <v>0</v>
      </c>
      <c r="N2649" s="2">
        <v>0.38</v>
      </c>
      <c r="O2649" s="2">
        <v>0.62</v>
      </c>
      <c r="P2649">
        <v>8</v>
      </c>
      <c r="Q2649">
        <v>17</v>
      </c>
      <c r="R2649">
        <v>5</v>
      </c>
      <c r="S2649">
        <v>5</v>
      </c>
      <c r="T2649">
        <v>15</v>
      </c>
      <c r="U2649">
        <v>7</v>
      </c>
      <c r="V2649">
        <v>1</v>
      </c>
      <c r="W2649">
        <v>0</v>
      </c>
      <c r="X2649">
        <v>0</v>
      </c>
      <c r="Y2649">
        <v>0</v>
      </c>
      <c r="Z2649">
        <v>0</v>
      </c>
    </row>
    <row r="2650" spans="1:26" x14ac:dyDescent="0.2">
      <c r="A2650" t="s">
        <v>2768</v>
      </c>
      <c r="B2650" t="s">
        <v>74</v>
      </c>
      <c r="C2650">
        <v>2015</v>
      </c>
      <c r="D2650" t="s">
        <v>69</v>
      </c>
      <c r="E2650" t="s">
        <v>85</v>
      </c>
      <c r="F2650" t="s">
        <v>69</v>
      </c>
      <c r="G2650">
        <v>27359</v>
      </c>
      <c r="H2650">
        <v>21887.200000000001</v>
      </c>
      <c r="I2650" s="13">
        <v>0.6</v>
      </c>
      <c r="J2650" t="s">
        <v>6208</v>
      </c>
      <c r="K2650">
        <v>4</v>
      </c>
      <c r="L2650">
        <v>2</v>
      </c>
      <c r="M2650" t="s">
        <v>0</v>
      </c>
      <c r="N2650" s="2">
        <v>0.56000000000000005</v>
      </c>
      <c r="O2650" s="2">
        <v>0.44</v>
      </c>
      <c r="P2650">
        <v>16</v>
      </c>
      <c r="Q2650">
        <v>12</v>
      </c>
      <c r="R2650">
        <v>5</v>
      </c>
      <c r="S2650">
        <v>1</v>
      </c>
      <c r="T2650">
        <v>8</v>
      </c>
      <c r="U2650">
        <v>12</v>
      </c>
      <c r="V2650">
        <v>2</v>
      </c>
      <c r="W2650">
        <v>3</v>
      </c>
      <c r="X2650">
        <v>0</v>
      </c>
      <c r="Y2650">
        <v>0</v>
      </c>
      <c r="Z2650">
        <v>0</v>
      </c>
    </row>
    <row r="2651" spans="1:26" x14ac:dyDescent="0.2">
      <c r="A2651" t="s">
        <v>2769</v>
      </c>
      <c r="B2651" t="s">
        <v>66</v>
      </c>
      <c r="C2651">
        <v>2015</v>
      </c>
      <c r="D2651" t="s">
        <v>26</v>
      </c>
      <c r="E2651" t="s">
        <v>18</v>
      </c>
      <c r="F2651" t="s">
        <v>26</v>
      </c>
      <c r="G2651">
        <v>61276</v>
      </c>
      <c r="H2651">
        <v>49020.800000000003</v>
      </c>
      <c r="I2651" s="13">
        <v>0.75</v>
      </c>
      <c r="J2651" t="s">
        <v>6207</v>
      </c>
      <c r="K2651">
        <v>1</v>
      </c>
      <c r="L2651">
        <v>1</v>
      </c>
      <c r="M2651" t="s">
        <v>58</v>
      </c>
      <c r="N2651" s="2">
        <v>0.55000000000000004</v>
      </c>
      <c r="O2651" s="2">
        <v>0.45</v>
      </c>
      <c r="P2651">
        <v>14</v>
      </c>
      <c r="Q2651">
        <v>12</v>
      </c>
      <c r="R2651">
        <v>7</v>
      </c>
      <c r="S2651">
        <v>3</v>
      </c>
      <c r="T2651">
        <v>11</v>
      </c>
      <c r="U2651">
        <v>12</v>
      </c>
      <c r="V2651">
        <v>3</v>
      </c>
      <c r="W2651">
        <v>1</v>
      </c>
      <c r="X2651">
        <v>0</v>
      </c>
      <c r="Y2651">
        <v>0</v>
      </c>
      <c r="Z2651">
        <v>0</v>
      </c>
    </row>
    <row r="2652" spans="1:26" x14ac:dyDescent="0.2">
      <c r="A2652" t="s">
        <v>2770</v>
      </c>
      <c r="B2652" t="s">
        <v>77</v>
      </c>
      <c r="C2652">
        <v>2015</v>
      </c>
      <c r="D2652" t="s">
        <v>63</v>
      </c>
      <c r="E2652" t="s">
        <v>26</v>
      </c>
      <c r="F2652" t="s">
        <v>65</v>
      </c>
      <c r="G2652">
        <v>26804</v>
      </c>
      <c r="H2652">
        <v>21443.200000000001</v>
      </c>
      <c r="I2652" s="13">
        <v>0.5</v>
      </c>
      <c r="J2652" t="s">
        <v>6207</v>
      </c>
      <c r="K2652">
        <v>1</v>
      </c>
      <c r="L2652">
        <v>1</v>
      </c>
      <c r="M2652" t="s">
        <v>58</v>
      </c>
      <c r="N2652" s="2">
        <v>0.33</v>
      </c>
      <c r="O2652" s="2">
        <v>0.67</v>
      </c>
      <c r="P2652">
        <v>14</v>
      </c>
      <c r="Q2652">
        <v>12</v>
      </c>
      <c r="R2652">
        <v>7</v>
      </c>
      <c r="S2652">
        <v>5</v>
      </c>
      <c r="T2652">
        <v>11</v>
      </c>
      <c r="U2652">
        <v>14</v>
      </c>
      <c r="V2652">
        <v>3</v>
      </c>
      <c r="W2652">
        <v>1</v>
      </c>
      <c r="X2652">
        <v>0</v>
      </c>
      <c r="Y2652">
        <v>0</v>
      </c>
      <c r="Z2652">
        <v>0</v>
      </c>
    </row>
    <row r="2653" spans="1:26" x14ac:dyDescent="0.2">
      <c r="A2653" t="s">
        <v>2771</v>
      </c>
      <c r="B2653" t="s">
        <v>60</v>
      </c>
      <c r="C2653">
        <v>2015</v>
      </c>
      <c r="D2653" t="s">
        <v>85</v>
      </c>
      <c r="E2653" t="s">
        <v>35</v>
      </c>
      <c r="F2653" t="s">
        <v>85</v>
      </c>
      <c r="G2653">
        <v>22220</v>
      </c>
      <c r="H2653">
        <v>17776</v>
      </c>
      <c r="I2653" s="13">
        <v>1</v>
      </c>
      <c r="J2653" t="s">
        <v>6208</v>
      </c>
      <c r="K2653">
        <v>2</v>
      </c>
      <c r="L2653">
        <v>2</v>
      </c>
      <c r="M2653" t="s">
        <v>58</v>
      </c>
      <c r="N2653" s="2">
        <v>0.54</v>
      </c>
      <c r="O2653" s="2">
        <v>0.46</v>
      </c>
      <c r="P2653">
        <v>12</v>
      </c>
      <c r="Q2653">
        <v>12</v>
      </c>
      <c r="R2653">
        <v>7</v>
      </c>
      <c r="S2653">
        <v>4</v>
      </c>
      <c r="T2653">
        <v>11</v>
      </c>
      <c r="U2653">
        <v>10</v>
      </c>
      <c r="V2653">
        <v>1</v>
      </c>
      <c r="W2653">
        <v>0</v>
      </c>
      <c r="X2653">
        <v>0</v>
      </c>
      <c r="Y2653">
        <v>0</v>
      </c>
      <c r="Z2653">
        <v>1</v>
      </c>
    </row>
    <row r="2654" spans="1:26" x14ac:dyDescent="0.2">
      <c r="A2654" t="s">
        <v>2772</v>
      </c>
      <c r="B2654" t="s">
        <v>41</v>
      </c>
      <c r="C2654">
        <v>2015</v>
      </c>
      <c r="D2654" t="s">
        <v>71</v>
      </c>
      <c r="E2654" t="s">
        <v>40</v>
      </c>
      <c r="F2654" t="s">
        <v>71</v>
      </c>
      <c r="G2654">
        <v>21088</v>
      </c>
      <c r="H2654">
        <v>16870.400000000001</v>
      </c>
      <c r="I2654" s="13">
        <v>0.75</v>
      </c>
      <c r="J2654" t="s">
        <v>6207</v>
      </c>
      <c r="K2654">
        <v>1</v>
      </c>
      <c r="L2654">
        <v>1</v>
      </c>
      <c r="M2654" t="s">
        <v>58</v>
      </c>
      <c r="N2654" s="2">
        <v>0.5</v>
      </c>
      <c r="O2654" s="2">
        <v>0.5</v>
      </c>
      <c r="P2654">
        <v>19</v>
      </c>
      <c r="Q2654">
        <v>6</v>
      </c>
      <c r="R2654">
        <v>4</v>
      </c>
      <c r="S2654">
        <v>4</v>
      </c>
      <c r="T2654">
        <v>4</v>
      </c>
      <c r="U2654">
        <v>19</v>
      </c>
      <c r="V2654">
        <v>1</v>
      </c>
      <c r="W2654">
        <v>3</v>
      </c>
      <c r="X2654">
        <v>0</v>
      </c>
      <c r="Y2654">
        <v>0</v>
      </c>
      <c r="Z2654">
        <v>0</v>
      </c>
    </row>
    <row r="2655" spans="1:26" x14ac:dyDescent="0.2">
      <c r="A2655" t="s">
        <v>2773</v>
      </c>
      <c r="B2655" t="s">
        <v>53</v>
      </c>
      <c r="C2655">
        <v>2015</v>
      </c>
      <c r="D2655" t="s">
        <v>27</v>
      </c>
      <c r="E2655" t="s">
        <v>23</v>
      </c>
      <c r="F2655" t="s">
        <v>27</v>
      </c>
      <c r="G2655">
        <v>30089</v>
      </c>
      <c r="H2655">
        <v>24071.200000000001</v>
      </c>
      <c r="I2655" s="13">
        <v>1</v>
      </c>
      <c r="J2655" t="s">
        <v>6207</v>
      </c>
      <c r="K2655">
        <v>2</v>
      </c>
      <c r="L2655">
        <v>1</v>
      </c>
      <c r="M2655" t="s">
        <v>0</v>
      </c>
      <c r="N2655" s="2">
        <v>0.47</v>
      </c>
      <c r="O2655" s="2">
        <v>0.53</v>
      </c>
      <c r="P2655">
        <v>14</v>
      </c>
      <c r="Q2655">
        <v>15</v>
      </c>
      <c r="R2655">
        <v>4</v>
      </c>
      <c r="S2655">
        <v>10</v>
      </c>
      <c r="T2655">
        <v>8</v>
      </c>
      <c r="U2655">
        <v>12</v>
      </c>
      <c r="V2655">
        <v>3</v>
      </c>
      <c r="W2655">
        <v>1</v>
      </c>
      <c r="X2655">
        <v>0</v>
      </c>
      <c r="Y2655">
        <v>0</v>
      </c>
      <c r="Z2655">
        <v>0</v>
      </c>
    </row>
    <row r="2656" spans="1:26" x14ac:dyDescent="0.2">
      <c r="A2656" t="s">
        <v>2774</v>
      </c>
      <c r="B2656" t="s">
        <v>66</v>
      </c>
      <c r="C2656">
        <v>2015</v>
      </c>
      <c r="D2656" t="s">
        <v>73</v>
      </c>
      <c r="E2656" t="s">
        <v>79</v>
      </c>
      <c r="F2656" t="s">
        <v>73</v>
      </c>
      <c r="G2656">
        <v>32384</v>
      </c>
      <c r="H2656">
        <v>25907.200000000001</v>
      </c>
      <c r="I2656" s="13">
        <v>0.33333333333333331</v>
      </c>
      <c r="J2656" t="s">
        <v>6207</v>
      </c>
      <c r="K2656">
        <v>4</v>
      </c>
      <c r="L2656">
        <v>1</v>
      </c>
      <c r="M2656" t="s">
        <v>0</v>
      </c>
      <c r="N2656" s="2">
        <v>0.5</v>
      </c>
      <c r="O2656" s="2">
        <v>0.5</v>
      </c>
      <c r="P2656">
        <v>14</v>
      </c>
      <c r="Q2656">
        <v>9</v>
      </c>
      <c r="R2656">
        <v>2</v>
      </c>
      <c r="S2656">
        <v>5</v>
      </c>
      <c r="T2656">
        <v>7</v>
      </c>
      <c r="U2656">
        <v>14</v>
      </c>
      <c r="V2656">
        <v>1</v>
      </c>
      <c r="W2656">
        <v>2</v>
      </c>
      <c r="X2656">
        <v>0</v>
      </c>
      <c r="Y2656">
        <v>0</v>
      </c>
      <c r="Z2656">
        <v>1</v>
      </c>
    </row>
    <row r="2657" spans="1:26" x14ac:dyDescent="0.2">
      <c r="A2657" t="s">
        <v>2775</v>
      </c>
      <c r="B2657" t="s">
        <v>61</v>
      </c>
      <c r="C2657">
        <v>2015</v>
      </c>
      <c r="D2657" t="s">
        <v>64</v>
      </c>
      <c r="E2657" t="s">
        <v>51</v>
      </c>
      <c r="F2657" t="s">
        <v>64</v>
      </c>
      <c r="G2657">
        <v>52264</v>
      </c>
      <c r="H2657">
        <v>41811.200000000004</v>
      </c>
      <c r="I2657" s="13">
        <v>0.75</v>
      </c>
      <c r="J2657" t="s">
        <v>6207</v>
      </c>
      <c r="K2657">
        <v>5</v>
      </c>
      <c r="L2657">
        <v>1</v>
      </c>
      <c r="M2657" t="s">
        <v>0</v>
      </c>
      <c r="N2657" s="2">
        <v>0.37</v>
      </c>
      <c r="O2657" s="2">
        <v>0.63</v>
      </c>
      <c r="P2657">
        <v>5</v>
      </c>
      <c r="Q2657">
        <v>9</v>
      </c>
      <c r="R2657">
        <v>3</v>
      </c>
      <c r="S2657">
        <v>8</v>
      </c>
      <c r="T2657">
        <v>7</v>
      </c>
      <c r="U2657">
        <v>6</v>
      </c>
      <c r="V2657">
        <v>1</v>
      </c>
      <c r="W2657">
        <v>2</v>
      </c>
      <c r="X2657">
        <v>1</v>
      </c>
      <c r="Y2657">
        <v>0</v>
      </c>
      <c r="Z2657">
        <v>1</v>
      </c>
    </row>
    <row r="2658" spans="1:26" x14ac:dyDescent="0.2">
      <c r="A2658" t="s">
        <v>2776</v>
      </c>
      <c r="B2658" t="s">
        <v>50</v>
      </c>
      <c r="C2658">
        <v>2015</v>
      </c>
      <c r="D2658" t="s">
        <v>45</v>
      </c>
      <c r="E2658" t="s">
        <v>69</v>
      </c>
      <c r="F2658" t="s">
        <v>26</v>
      </c>
      <c r="G2658">
        <v>39572</v>
      </c>
      <c r="H2658">
        <v>31657.600000000002</v>
      </c>
      <c r="I2658" s="13">
        <v>0</v>
      </c>
      <c r="J2658" t="s">
        <v>6207</v>
      </c>
      <c r="K2658">
        <v>3</v>
      </c>
      <c r="L2658">
        <v>0</v>
      </c>
      <c r="M2658" t="s">
        <v>0</v>
      </c>
      <c r="N2658" s="2">
        <v>0.46</v>
      </c>
      <c r="O2658" s="2">
        <v>0.54</v>
      </c>
      <c r="P2658">
        <v>11</v>
      </c>
      <c r="Q2658">
        <v>8</v>
      </c>
      <c r="R2658">
        <v>4</v>
      </c>
      <c r="S2658">
        <v>11</v>
      </c>
      <c r="T2658">
        <v>7</v>
      </c>
      <c r="U2658">
        <v>11</v>
      </c>
      <c r="V2658">
        <v>0</v>
      </c>
      <c r="W2658">
        <v>0</v>
      </c>
      <c r="X2658">
        <v>0</v>
      </c>
      <c r="Y2658">
        <v>0</v>
      </c>
      <c r="Z2658">
        <v>1</v>
      </c>
    </row>
    <row r="2659" spans="1:26" x14ac:dyDescent="0.2">
      <c r="A2659" t="s">
        <v>2777</v>
      </c>
      <c r="B2659" t="s">
        <v>76</v>
      </c>
      <c r="C2659">
        <v>2015</v>
      </c>
      <c r="D2659" t="s">
        <v>18</v>
      </c>
      <c r="E2659" t="s">
        <v>80</v>
      </c>
      <c r="F2659" t="s">
        <v>20</v>
      </c>
      <c r="G2659">
        <v>40341</v>
      </c>
      <c r="H2659">
        <v>32272.800000000003</v>
      </c>
      <c r="I2659" s="13">
        <v>0</v>
      </c>
      <c r="J2659" t="s">
        <v>6207</v>
      </c>
      <c r="K2659">
        <v>1</v>
      </c>
      <c r="L2659">
        <v>1</v>
      </c>
      <c r="M2659" t="s">
        <v>58</v>
      </c>
      <c r="N2659" s="2">
        <v>0.54</v>
      </c>
      <c r="O2659" s="2">
        <v>0.46</v>
      </c>
      <c r="P2659">
        <v>11</v>
      </c>
      <c r="Q2659">
        <v>13</v>
      </c>
      <c r="R2659">
        <v>7</v>
      </c>
      <c r="S2659">
        <v>6</v>
      </c>
      <c r="T2659">
        <v>5</v>
      </c>
      <c r="U2659">
        <v>12</v>
      </c>
      <c r="V2659">
        <v>0</v>
      </c>
      <c r="W2659">
        <v>0</v>
      </c>
      <c r="X2659">
        <v>0</v>
      </c>
      <c r="Y2659">
        <v>0</v>
      </c>
      <c r="Z2659">
        <v>1</v>
      </c>
    </row>
    <row r="2660" spans="1:26" x14ac:dyDescent="0.2">
      <c r="A2660" t="s">
        <v>2778</v>
      </c>
      <c r="B2660" t="s">
        <v>44</v>
      </c>
      <c r="C2660">
        <v>2015</v>
      </c>
      <c r="D2660" t="s">
        <v>46</v>
      </c>
      <c r="E2660" t="s">
        <v>42</v>
      </c>
      <c r="F2660" t="s">
        <v>20</v>
      </c>
      <c r="G2660">
        <v>60704</v>
      </c>
      <c r="H2660">
        <v>48563.200000000004</v>
      </c>
      <c r="I2660" s="13">
        <v>1</v>
      </c>
      <c r="J2660" t="s">
        <v>6207</v>
      </c>
      <c r="K2660">
        <v>4</v>
      </c>
      <c r="L2660">
        <v>0</v>
      </c>
      <c r="M2660" t="s">
        <v>0</v>
      </c>
      <c r="N2660" s="2">
        <v>0.6</v>
      </c>
      <c r="O2660" s="2">
        <v>0.4</v>
      </c>
      <c r="P2660">
        <v>6</v>
      </c>
      <c r="Q2660">
        <v>12</v>
      </c>
      <c r="R2660">
        <v>5</v>
      </c>
      <c r="S2660">
        <v>4</v>
      </c>
      <c r="T2660">
        <v>12</v>
      </c>
      <c r="U2660">
        <v>6</v>
      </c>
      <c r="V2660">
        <v>0</v>
      </c>
      <c r="W2660">
        <v>1</v>
      </c>
      <c r="X2660">
        <v>0</v>
      </c>
      <c r="Y2660">
        <v>0</v>
      </c>
      <c r="Z2660">
        <v>0</v>
      </c>
    </row>
    <row r="2661" spans="1:26" x14ac:dyDescent="0.2">
      <c r="A2661" t="s">
        <v>2779</v>
      </c>
      <c r="B2661" t="s">
        <v>68</v>
      </c>
      <c r="C2661">
        <v>2015</v>
      </c>
      <c r="D2661" t="s">
        <v>48</v>
      </c>
      <c r="E2661" t="s">
        <v>86</v>
      </c>
      <c r="F2661" t="s">
        <v>49</v>
      </c>
      <c r="G2661">
        <v>74197</v>
      </c>
      <c r="H2661">
        <v>59357.600000000006</v>
      </c>
      <c r="I2661" s="13">
        <v>1</v>
      </c>
      <c r="J2661" t="s">
        <v>6207</v>
      </c>
      <c r="K2661">
        <v>3</v>
      </c>
      <c r="L2661">
        <v>1</v>
      </c>
      <c r="M2661" t="s">
        <v>0</v>
      </c>
      <c r="N2661" s="2">
        <v>0.67</v>
      </c>
      <c r="O2661" s="2">
        <v>0.33</v>
      </c>
      <c r="P2661">
        <v>10</v>
      </c>
      <c r="Q2661">
        <v>14</v>
      </c>
      <c r="R2661">
        <v>7</v>
      </c>
      <c r="S2661">
        <v>1</v>
      </c>
      <c r="T2661">
        <v>9</v>
      </c>
      <c r="U2661">
        <v>8</v>
      </c>
      <c r="V2661">
        <v>1</v>
      </c>
      <c r="W2661">
        <v>0</v>
      </c>
      <c r="X2661">
        <v>0</v>
      </c>
      <c r="Y2661">
        <v>0</v>
      </c>
      <c r="Z2661">
        <v>0</v>
      </c>
    </row>
    <row r="2662" spans="1:26" x14ac:dyDescent="0.2">
      <c r="A2662" t="s">
        <v>2780</v>
      </c>
      <c r="B2662" t="s">
        <v>41</v>
      </c>
      <c r="C2662">
        <v>2016</v>
      </c>
      <c r="D2662" t="s">
        <v>19</v>
      </c>
      <c r="E2662" t="s">
        <v>80</v>
      </c>
      <c r="F2662" t="s">
        <v>19</v>
      </c>
      <c r="G2662">
        <v>25586</v>
      </c>
      <c r="H2662">
        <v>20468.800000000003</v>
      </c>
      <c r="I2662" s="13">
        <v>0.5</v>
      </c>
      <c r="J2662" t="s">
        <v>6207</v>
      </c>
      <c r="K2662">
        <v>2</v>
      </c>
      <c r="L2662">
        <v>1</v>
      </c>
      <c r="M2662" t="s">
        <v>0</v>
      </c>
      <c r="N2662" s="2">
        <v>0.5</v>
      </c>
      <c r="O2662" s="2">
        <v>0.5</v>
      </c>
      <c r="P2662">
        <v>17</v>
      </c>
      <c r="Q2662">
        <v>8</v>
      </c>
      <c r="R2662">
        <v>5</v>
      </c>
      <c r="S2662">
        <v>3</v>
      </c>
      <c r="T2662">
        <v>8</v>
      </c>
      <c r="U2662">
        <v>17</v>
      </c>
      <c r="V2662">
        <v>2</v>
      </c>
      <c r="W2662">
        <v>2</v>
      </c>
      <c r="X2662">
        <v>0</v>
      </c>
      <c r="Y2662">
        <v>0</v>
      </c>
      <c r="Z2662">
        <v>1</v>
      </c>
    </row>
    <row r="2663" spans="1:26" x14ac:dyDescent="0.2">
      <c r="A2663" t="s">
        <v>2781</v>
      </c>
      <c r="B2663" t="s">
        <v>74</v>
      </c>
      <c r="C2663">
        <v>2016</v>
      </c>
      <c r="D2663" t="s">
        <v>73</v>
      </c>
      <c r="E2663" t="s">
        <v>85</v>
      </c>
      <c r="F2663" t="s">
        <v>73</v>
      </c>
      <c r="G2663">
        <v>32384</v>
      </c>
      <c r="H2663">
        <v>25907.200000000001</v>
      </c>
      <c r="I2663" s="13">
        <v>0.5</v>
      </c>
      <c r="J2663" t="s">
        <v>6208</v>
      </c>
      <c r="K2663">
        <v>1</v>
      </c>
      <c r="L2663">
        <v>1</v>
      </c>
      <c r="M2663" t="s">
        <v>58</v>
      </c>
      <c r="N2663" s="2">
        <v>0.65</v>
      </c>
      <c r="O2663" s="2">
        <v>0.35</v>
      </c>
      <c r="P2663">
        <v>12</v>
      </c>
      <c r="Q2663">
        <v>9</v>
      </c>
      <c r="R2663">
        <v>6</v>
      </c>
      <c r="S2663">
        <v>2</v>
      </c>
      <c r="T2663">
        <v>8</v>
      </c>
      <c r="U2663">
        <v>12</v>
      </c>
      <c r="V2663">
        <v>1</v>
      </c>
      <c r="W2663">
        <v>2</v>
      </c>
      <c r="X2663">
        <v>0</v>
      </c>
      <c r="Y2663">
        <v>1</v>
      </c>
      <c r="Z2663">
        <v>0</v>
      </c>
    </row>
    <row r="2664" spans="1:26" x14ac:dyDescent="0.2">
      <c r="A2664" t="s">
        <v>2782</v>
      </c>
      <c r="B2664" t="s">
        <v>60</v>
      </c>
      <c r="C2664">
        <v>2016</v>
      </c>
      <c r="D2664" t="s">
        <v>87</v>
      </c>
      <c r="E2664" t="s">
        <v>27</v>
      </c>
      <c r="F2664" t="s">
        <v>87</v>
      </c>
      <c r="G2664">
        <v>34742</v>
      </c>
      <c r="H2664">
        <v>27793.600000000002</v>
      </c>
      <c r="I2664" s="13">
        <v>0.5</v>
      </c>
      <c r="J2664" t="s">
        <v>6208</v>
      </c>
      <c r="K2664">
        <v>1</v>
      </c>
      <c r="L2664">
        <v>1</v>
      </c>
      <c r="M2664" t="s">
        <v>58</v>
      </c>
      <c r="N2664" s="2">
        <v>0.46</v>
      </c>
      <c r="O2664" s="2">
        <v>0.54</v>
      </c>
      <c r="P2664">
        <v>16</v>
      </c>
      <c r="Q2664">
        <v>19</v>
      </c>
      <c r="R2664">
        <v>9</v>
      </c>
      <c r="S2664">
        <v>6</v>
      </c>
      <c r="T2664">
        <v>16</v>
      </c>
      <c r="U2664">
        <v>14</v>
      </c>
      <c r="V2664">
        <v>3</v>
      </c>
      <c r="W2664">
        <v>5</v>
      </c>
      <c r="X2664">
        <v>0</v>
      </c>
      <c r="Y2664">
        <v>0</v>
      </c>
      <c r="Z2664">
        <v>0</v>
      </c>
    </row>
    <row r="2665" spans="1:26" x14ac:dyDescent="0.2">
      <c r="A2665" t="s">
        <v>2783</v>
      </c>
      <c r="B2665" t="s">
        <v>32</v>
      </c>
      <c r="C2665">
        <v>2016</v>
      </c>
      <c r="D2665" t="s">
        <v>45</v>
      </c>
      <c r="E2665" t="s">
        <v>51</v>
      </c>
      <c r="F2665" t="s">
        <v>26</v>
      </c>
      <c r="G2665">
        <v>39572</v>
      </c>
      <c r="H2665">
        <v>31657.600000000002</v>
      </c>
      <c r="I2665" s="13">
        <v>0</v>
      </c>
      <c r="J2665" t="s">
        <v>6207</v>
      </c>
      <c r="K2665">
        <v>1</v>
      </c>
      <c r="L2665">
        <v>1</v>
      </c>
      <c r="M2665" t="s">
        <v>58</v>
      </c>
      <c r="N2665" s="2">
        <v>0.42</v>
      </c>
      <c r="O2665" s="2">
        <v>0.57999999999999996</v>
      </c>
      <c r="P2665">
        <v>14</v>
      </c>
      <c r="Q2665">
        <v>14</v>
      </c>
      <c r="R2665">
        <v>5</v>
      </c>
      <c r="S2665">
        <v>6</v>
      </c>
      <c r="T2665">
        <v>10</v>
      </c>
      <c r="U2665">
        <v>14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 x14ac:dyDescent="0.2">
      <c r="A2666" t="s">
        <v>2784</v>
      </c>
      <c r="B2666" t="s">
        <v>76</v>
      </c>
      <c r="C2666">
        <v>2016</v>
      </c>
      <c r="D2666" t="s">
        <v>79</v>
      </c>
      <c r="E2666" t="s">
        <v>63</v>
      </c>
      <c r="F2666" t="s">
        <v>20</v>
      </c>
      <c r="G2666">
        <v>25486</v>
      </c>
      <c r="H2666">
        <v>20388.800000000003</v>
      </c>
      <c r="I2666" s="13">
        <v>0.5</v>
      </c>
      <c r="J2666" t="s">
        <v>6207</v>
      </c>
      <c r="K2666">
        <v>0</v>
      </c>
      <c r="L2666">
        <v>1</v>
      </c>
      <c r="M2666" t="s">
        <v>1</v>
      </c>
      <c r="N2666" s="2">
        <v>0.63</v>
      </c>
      <c r="O2666" s="2">
        <v>0.37</v>
      </c>
      <c r="P2666">
        <v>17</v>
      </c>
      <c r="Q2666">
        <v>12</v>
      </c>
      <c r="R2666">
        <v>3</v>
      </c>
      <c r="S2666">
        <v>6</v>
      </c>
      <c r="T2666">
        <v>12</v>
      </c>
      <c r="U2666">
        <v>15</v>
      </c>
      <c r="V2666">
        <v>2</v>
      </c>
      <c r="W2666">
        <v>2</v>
      </c>
      <c r="X2666">
        <v>0</v>
      </c>
      <c r="Y2666">
        <v>0</v>
      </c>
      <c r="Z2666">
        <v>0</v>
      </c>
    </row>
    <row r="2667" spans="1:26" x14ac:dyDescent="0.2">
      <c r="A2667" t="s">
        <v>2785</v>
      </c>
      <c r="B2667" t="s">
        <v>68</v>
      </c>
      <c r="C2667">
        <v>2016</v>
      </c>
      <c r="D2667" t="s">
        <v>28</v>
      </c>
      <c r="E2667" t="s">
        <v>71</v>
      </c>
      <c r="F2667" t="s">
        <v>28</v>
      </c>
      <c r="G2667">
        <v>21944</v>
      </c>
      <c r="H2667">
        <v>17555.2</v>
      </c>
      <c r="I2667" s="13">
        <v>0.6</v>
      </c>
      <c r="J2667" t="s">
        <v>6207</v>
      </c>
      <c r="K2667">
        <v>0</v>
      </c>
      <c r="L2667">
        <v>1</v>
      </c>
      <c r="M2667" t="s">
        <v>1</v>
      </c>
      <c r="N2667" s="2">
        <v>0.47</v>
      </c>
      <c r="O2667" s="2">
        <v>0.53</v>
      </c>
      <c r="P2667">
        <v>16</v>
      </c>
      <c r="Q2667">
        <v>12</v>
      </c>
      <c r="R2667">
        <v>7</v>
      </c>
      <c r="S2667">
        <v>4</v>
      </c>
      <c r="T2667">
        <v>10</v>
      </c>
      <c r="U2667">
        <v>14</v>
      </c>
      <c r="V2667">
        <v>3</v>
      </c>
      <c r="W2667">
        <v>2</v>
      </c>
      <c r="X2667">
        <v>0</v>
      </c>
      <c r="Y2667">
        <v>0</v>
      </c>
      <c r="Z2667">
        <v>0</v>
      </c>
    </row>
    <row r="2668" spans="1:26" x14ac:dyDescent="0.2">
      <c r="A2668" t="s">
        <v>2786</v>
      </c>
      <c r="B2668" t="s">
        <v>77</v>
      </c>
      <c r="C2668">
        <v>2016</v>
      </c>
      <c r="D2668" t="s">
        <v>40</v>
      </c>
      <c r="E2668" t="s">
        <v>35</v>
      </c>
      <c r="F2668" t="s">
        <v>49</v>
      </c>
      <c r="G2668">
        <v>53400</v>
      </c>
      <c r="H2668">
        <v>42720</v>
      </c>
      <c r="I2668" s="13">
        <v>0.66666666666666663</v>
      </c>
      <c r="J2668" t="s">
        <v>6207</v>
      </c>
      <c r="K2668">
        <v>2</v>
      </c>
      <c r="L2668">
        <v>1</v>
      </c>
      <c r="M2668" t="s">
        <v>0</v>
      </c>
      <c r="N2668" s="2">
        <v>0.77</v>
      </c>
      <c r="O2668" s="2">
        <v>0.23</v>
      </c>
      <c r="P2668">
        <v>14</v>
      </c>
      <c r="Q2668">
        <v>12</v>
      </c>
      <c r="R2668">
        <v>9</v>
      </c>
      <c r="S2668">
        <v>6</v>
      </c>
      <c r="T2668">
        <v>11</v>
      </c>
      <c r="U2668">
        <v>14</v>
      </c>
      <c r="V2668">
        <v>1</v>
      </c>
      <c r="W2668">
        <v>2</v>
      </c>
      <c r="X2668">
        <v>0</v>
      </c>
      <c r="Y2668">
        <v>0</v>
      </c>
      <c r="Z2668">
        <v>1</v>
      </c>
    </row>
    <row r="2669" spans="1:26" x14ac:dyDescent="0.2">
      <c r="A2669" t="s">
        <v>2787</v>
      </c>
      <c r="B2669" t="s">
        <v>37</v>
      </c>
      <c r="C2669">
        <v>2016</v>
      </c>
      <c r="D2669" t="s">
        <v>86</v>
      </c>
      <c r="E2669" t="s">
        <v>48</v>
      </c>
      <c r="F2669" t="s">
        <v>86</v>
      </c>
      <c r="G2669">
        <v>11364</v>
      </c>
      <c r="H2669">
        <v>9091.2000000000007</v>
      </c>
      <c r="I2669" s="13">
        <v>1</v>
      </c>
      <c r="J2669" t="s">
        <v>6206</v>
      </c>
      <c r="K2669">
        <v>1</v>
      </c>
      <c r="L2669">
        <v>3</v>
      </c>
      <c r="M2669" t="s">
        <v>1</v>
      </c>
      <c r="N2669" s="2">
        <v>0.47</v>
      </c>
      <c r="O2669" s="2">
        <v>0.53</v>
      </c>
      <c r="P2669">
        <v>14</v>
      </c>
      <c r="Q2669">
        <v>9</v>
      </c>
      <c r="R2669">
        <v>4</v>
      </c>
      <c r="S2669">
        <v>2</v>
      </c>
      <c r="T2669">
        <v>7</v>
      </c>
      <c r="U2669">
        <v>10</v>
      </c>
      <c r="V2669">
        <v>0</v>
      </c>
      <c r="W2669">
        <v>1</v>
      </c>
      <c r="X2669">
        <v>0</v>
      </c>
      <c r="Y2669">
        <v>0</v>
      </c>
      <c r="Z2669">
        <v>0</v>
      </c>
    </row>
    <row r="2670" spans="1:26" x14ac:dyDescent="0.2">
      <c r="A2670" t="s">
        <v>2788</v>
      </c>
      <c r="B2670" t="s">
        <v>66</v>
      </c>
      <c r="C2670">
        <v>2016</v>
      </c>
      <c r="D2670" t="s">
        <v>46</v>
      </c>
      <c r="E2670" t="s">
        <v>26</v>
      </c>
      <c r="F2670" t="s">
        <v>20</v>
      </c>
      <c r="G2670">
        <v>60704</v>
      </c>
      <c r="H2670">
        <v>48563.200000000004</v>
      </c>
      <c r="I2670" s="13">
        <v>0.83333333333333337</v>
      </c>
      <c r="J2670" t="s">
        <v>6207</v>
      </c>
      <c r="K2670">
        <v>3</v>
      </c>
      <c r="L2670">
        <v>4</v>
      </c>
      <c r="M2670" t="s">
        <v>1</v>
      </c>
      <c r="N2670" s="2">
        <v>0.51</v>
      </c>
      <c r="O2670" s="2">
        <v>0.49</v>
      </c>
      <c r="P2670">
        <v>20</v>
      </c>
      <c r="Q2670">
        <v>17</v>
      </c>
      <c r="R2670">
        <v>5</v>
      </c>
      <c r="S2670">
        <v>4</v>
      </c>
      <c r="T2670">
        <v>13</v>
      </c>
      <c r="U2670">
        <v>17</v>
      </c>
      <c r="V2670">
        <v>3</v>
      </c>
      <c r="W2670">
        <v>3</v>
      </c>
      <c r="X2670">
        <v>0</v>
      </c>
      <c r="Y2670">
        <v>0</v>
      </c>
      <c r="Z2670">
        <v>1</v>
      </c>
    </row>
    <row r="2671" spans="1:26" x14ac:dyDescent="0.2">
      <c r="A2671" t="s">
        <v>2789</v>
      </c>
      <c r="B2671" t="s">
        <v>61</v>
      </c>
      <c r="C2671">
        <v>2016</v>
      </c>
      <c r="D2671" t="s">
        <v>18</v>
      </c>
      <c r="E2671" t="s">
        <v>23</v>
      </c>
      <c r="F2671" t="s">
        <v>20</v>
      </c>
      <c r="G2671">
        <v>40341</v>
      </c>
      <c r="H2671">
        <v>32272.800000000003</v>
      </c>
      <c r="I2671" s="13">
        <v>0.8571428571428571</v>
      </c>
      <c r="J2671" t="s">
        <v>6207</v>
      </c>
      <c r="K2671">
        <v>2</v>
      </c>
      <c r="L2671">
        <v>1</v>
      </c>
      <c r="M2671" t="s">
        <v>0</v>
      </c>
      <c r="N2671" s="2">
        <v>0.62</v>
      </c>
      <c r="O2671" s="2">
        <v>0.38</v>
      </c>
      <c r="P2671">
        <v>16</v>
      </c>
      <c r="Q2671">
        <v>16</v>
      </c>
      <c r="R2671">
        <v>7</v>
      </c>
      <c r="S2671">
        <v>1</v>
      </c>
      <c r="T2671">
        <v>15</v>
      </c>
      <c r="U2671">
        <v>16</v>
      </c>
      <c r="V2671">
        <v>5</v>
      </c>
      <c r="W2671">
        <v>2</v>
      </c>
      <c r="X2671">
        <v>0</v>
      </c>
      <c r="Y2671">
        <v>0</v>
      </c>
      <c r="Z2671">
        <v>1</v>
      </c>
    </row>
    <row r="2672" spans="1:26" x14ac:dyDescent="0.2">
      <c r="A2672" t="s">
        <v>2790</v>
      </c>
      <c r="B2672" t="s">
        <v>61</v>
      </c>
      <c r="C2672">
        <v>2016</v>
      </c>
      <c r="D2672" t="s">
        <v>48</v>
      </c>
      <c r="E2672" t="s">
        <v>73</v>
      </c>
      <c r="F2672" t="s">
        <v>49</v>
      </c>
      <c r="G2672">
        <v>74197</v>
      </c>
      <c r="H2672">
        <v>59357.600000000006</v>
      </c>
      <c r="I2672" s="13">
        <v>0</v>
      </c>
      <c r="J2672" t="s">
        <v>6207</v>
      </c>
      <c r="K2672">
        <v>2</v>
      </c>
      <c r="L2672">
        <v>0</v>
      </c>
      <c r="M2672" t="s">
        <v>0</v>
      </c>
      <c r="N2672" s="2">
        <v>0.43</v>
      </c>
      <c r="O2672" s="2">
        <v>0.56999999999999995</v>
      </c>
      <c r="P2672">
        <v>9</v>
      </c>
      <c r="Q2672">
        <v>13</v>
      </c>
      <c r="R2672">
        <v>4</v>
      </c>
      <c r="S2672">
        <v>0</v>
      </c>
      <c r="T2672">
        <v>11</v>
      </c>
      <c r="U2672">
        <v>9</v>
      </c>
      <c r="V2672">
        <v>0</v>
      </c>
      <c r="W2672">
        <v>0</v>
      </c>
      <c r="X2672">
        <v>0</v>
      </c>
      <c r="Y2672">
        <v>0</v>
      </c>
      <c r="Z2672">
        <v>1</v>
      </c>
    </row>
    <row r="2673" spans="1:26" x14ac:dyDescent="0.2">
      <c r="A2673" t="s">
        <v>2791</v>
      </c>
      <c r="B2673" t="s">
        <v>41</v>
      </c>
      <c r="C2673">
        <v>2016</v>
      </c>
      <c r="D2673" t="s">
        <v>27</v>
      </c>
      <c r="E2673" t="s">
        <v>40</v>
      </c>
      <c r="F2673" t="s">
        <v>27</v>
      </c>
      <c r="G2673">
        <v>30089</v>
      </c>
      <c r="H2673">
        <v>24071.200000000001</v>
      </c>
      <c r="I2673" s="13">
        <v>0.42857142857142855</v>
      </c>
      <c r="J2673" t="s">
        <v>6207</v>
      </c>
      <c r="K2673">
        <v>1</v>
      </c>
      <c r="L2673">
        <v>4</v>
      </c>
      <c r="M2673" t="s">
        <v>1</v>
      </c>
      <c r="N2673" s="2">
        <v>0.43</v>
      </c>
      <c r="O2673" s="2">
        <v>0.56999999999999995</v>
      </c>
      <c r="P2673">
        <v>13</v>
      </c>
      <c r="Q2673">
        <v>14</v>
      </c>
      <c r="R2673">
        <v>7</v>
      </c>
      <c r="S2673">
        <v>7</v>
      </c>
      <c r="T2673">
        <v>12</v>
      </c>
      <c r="U2673">
        <v>13</v>
      </c>
      <c r="V2673">
        <v>3</v>
      </c>
      <c r="W2673">
        <v>4</v>
      </c>
      <c r="X2673">
        <v>0</v>
      </c>
      <c r="Y2673">
        <v>0</v>
      </c>
      <c r="Z2673">
        <v>2</v>
      </c>
    </row>
    <row r="2674" spans="1:26" x14ac:dyDescent="0.2">
      <c r="A2674" t="s">
        <v>2792</v>
      </c>
      <c r="B2674" t="s">
        <v>67</v>
      </c>
      <c r="C2674">
        <v>2016</v>
      </c>
      <c r="D2674" t="s">
        <v>63</v>
      </c>
      <c r="E2674" t="s">
        <v>45</v>
      </c>
      <c r="F2674" t="s">
        <v>65</v>
      </c>
      <c r="G2674">
        <v>26804</v>
      </c>
      <c r="H2674">
        <v>21443.200000000001</v>
      </c>
      <c r="I2674" s="13">
        <v>0.75</v>
      </c>
      <c r="J2674" t="s">
        <v>6207</v>
      </c>
      <c r="K2674">
        <v>1</v>
      </c>
      <c r="L2674">
        <v>2</v>
      </c>
      <c r="M2674" t="s">
        <v>1</v>
      </c>
      <c r="N2674" s="2">
        <v>0.34</v>
      </c>
      <c r="O2674" s="2">
        <v>0.66</v>
      </c>
      <c r="P2674">
        <v>11</v>
      </c>
      <c r="Q2674">
        <v>16</v>
      </c>
      <c r="R2674">
        <v>7</v>
      </c>
      <c r="S2674">
        <v>4</v>
      </c>
      <c r="T2674">
        <v>16</v>
      </c>
      <c r="U2674">
        <v>10</v>
      </c>
      <c r="V2674">
        <v>3</v>
      </c>
      <c r="W2674">
        <v>1</v>
      </c>
      <c r="X2674">
        <v>0</v>
      </c>
      <c r="Y2674">
        <v>0</v>
      </c>
      <c r="Z2674">
        <v>0</v>
      </c>
    </row>
    <row r="2675" spans="1:26" x14ac:dyDescent="0.2">
      <c r="A2675" t="s">
        <v>2793</v>
      </c>
      <c r="B2675" t="s">
        <v>68</v>
      </c>
      <c r="C2675">
        <v>2016</v>
      </c>
      <c r="D2675" t="s">
        <v>85</v>
      </c>
      <c r="E2675" t="s">
        <v>18</v>
      </c>
      <c r="F2675" t="s">
        <v>85</v>
      </c>
      <c r="G2675">
        <v>22220</v>
      </c>
      <c r="H2675">
        <v>17776</v>
      </c>
      <c r="I2675" s="13">
        <v>0.7142857142857143</v>
      </c>
      <c r="J2675" t="s">
        <v>6207</v>
      </c>
      <c r="K2675">
        <v>1</v>
      </c>
      <c r="L2675">
        <v>2</v>
      </c>
      <c r="M2675" t="s">
        <v>1</v>
      </c>
      <c r="N2675" s="2">
        <v>0.38</v>
      </c>
      <c r="O2675" s="2">
        <v>0.62</v>
      </c>
      <c r="P2675">
        <v>12</v>
      </c>
      <c r="Q2675">
        <v>21</v>
      </c>
      <c r="R2675">
        <v>0</v>
      </c>
      <c r="S2675">
        <v>5</v>
      </c>
      <c r="T2675">
        <v>20</v>
      </c>
      <c r="U2675">
        <v>10</v>
      </c>
      <c r="V2675">
        <v>4</v>
      </c>
      <c r="W2675">
        <v>3</v>
      </c>
      <c r="X2675">
        <v>0</v>
      </c>
      <c r="Y2675">
        <v>0</v>
      </c>
      <c r="Z2675">
        <v>0</v>
      </c>
    </row>
    <row r="2676" spans="1:26" x14ac:dyDescent="0.2">
      <c r="A2676" t="s">
        <v>2794</v>
      </c>
      <c r="B2676" t="s">
        <v>66</v>
      </c>
      <c r="C2676">
        <v>2016</v>
      </c>
      <c r="D2676" t="s">
        <v>51</v>
      </c>
      <c r="E2676" t="s">
        <v>79</v>
      </c>
      <c r="F2676" t="s">
        <v>20</v>
      </c>
      <c r="G2676">
        <v>36284</v>
      </c>
      <c r="H2676">
        <v>29027.200000000001</v>
      </c>
      <c r="I2676" s="13">
        <v>0.5</v>
      </c>
      <c r="J2676" t="s">
        <v>6207</v>
      </c>
      <c r="K2676">
        <v>1</v>
      </c>
      <c r="L2676">
        <v>0</v>
      </c>
      <c r="M2676" t="s">
        <v>0</v>
      </c>
      <c r="N2676" s="2">
        <v>0.56999999999999995</v>
      </c>
      <c r="O2676" s="2">
        <v>0.43</v>
      </c>
      <c r="P2676">
        <v>9</v>
      </c>
      <c r="Q2676">
        <v>21</v>
      </c>
      <c r="R2676">
        <v>10</v>
      </c>
      <c r="S2676">
        <v>4</v>
      </c>
      <c r="T2676">
        <v>19</v>
      </c>
      <c r="U2676">
        <v>9</v>
      </c>
      <c r="V2676">
        <v>3</v>
      </c>
      <c r="W2676">
        <v>3</v>
      </c>
      <c r="X2676">
        <v>0</v>
      </c>
      <c r="Y2676">
        <v>0</v>
      </c>
      <c r="Z2676">
        <v>0</v>
      </c>
    </row>
    <row r="2677" spans="1:26" x14ac:dyDescent="0.2">
      <c r="A2677" t="s">
        <v>2795</v>
      </c>
      <c r="B2677" t="s">
        <v>59</v>
      </c>
      <c r="C2677">
        <v>2016</v>
      </c>
      <c r="D2677" t="s">
        <v>71</v>
      </c>
      <c r="E2677" t="s">
        <v>19</v>
      </c>
      <c r="F2677" t="s">
        <v>71</v>
      </c>
      <c r="G2677">
        <v>21088</v>
      </c>
      <c r="H2677">
        <v>16870.400000000001</v>
      </c>
      <c r="I2677" s="13">
        <v>0</v>
      </c>
      <c r="J2677" t="s">
        <v>6206</v>
      </c>
      <c r="K2677">
        <v>0</v>
      </c>
      <c r="L2677">
        <v>2</v>
      </c>
      <c r="M2677" t="s">
        <v>1</v>
      </c>
      <c r="N2677" s="2">
        <v>0.56999999999999995</v>
      </c>
      <c r="O2677" s="2">
        <v>0.43</v>
      </c>
      <c r="P2677">
        <v>15</v>
      </c>
      <c r="Q2677">
        <v>7</v>
      </c>
      <c r="R2677">
        <v>8</v>
      </c>
      <c r="S2677">
        <v>3</v>
      </c>
      <c r="T2677">
        <v>7</v>
      </c>
      <c r="U2677">
        <v>10</v>
      </c>
      <c r="V2677">
        <v>0</v>
      </c>
      <c r="W2677">
        <v>0</v>
      </c>
      <c r="X2677">
        <v>0</v>
      </c>
      <c r="Y2677">
        <v>0</v>
      </c>
      <c r="Z2677">
        <v>0</v>
      </c>
    </row>
    <row r="2678" spans="1:26" x14ac:dyDescent="0.2">
      <c r="A2678" t="s">
        <v>2796</v>
      </c>
      <c r="B2678" t="s">
        <v>50</v>
      </c>
      <c r="C2678">
        <v>2016</v>
      </c>
      <c r="D2678" t="s">
        <v>28</v>
      </c>
      <c r="E2678" t="s">
        <v>26</v>
      </c>
      <c r="F2678" t="s">
        <v>28</v>
      </c>
      <c r="G2678">
        <v>21944</v>
      </c>
      <c r="H2678">
        <v>17555.2</v>
      </c>
      <c r="I2678" s="13">
        <v>0</v>
      </c>
      <c r="J2678" t="s">
        <v>6207</v>
      </c>
      <c r="K2678">
        <v>2</v>
      </c>
      <c r="L2678">
        <v>0</v>
      </c>
      <c r="M2678" t="s">
        <v>0</v>
      </c>
      <c r="N2678" s="2">
        <v>0.2</v>
      </c>
      <c r="O2678" s="2">
        <v>0.8</v>
      </c>
      <c r="P2678">
        <v>5</v>
      </c>
      <c r="Q2678">
        <v>16</v>
      </c>
      <c r="R2678">
        <v>1</v>
      </c>
      <c r="S2678">
        <v>12</v>
      </c>
      <c r="T2678">
        <v>14</v>
      </c>
      <c r="U2678">
        <v>5</v>
      </c>
      <c r="V2678">
        <v>0</v>
      </c>
      <c r="W2678">
        <v>1</v>
      </c>
      <c r="X2678">
        <v>0</v>
      </c>
      <c r="Y2678">
        <v>0</v>
      </c>
      <c r="Z2678">
        <v>0</v>
      </c>
    </row>
    <row r="2679" spans="1:26" x14ac:dyDescent="0.2">
      <c r="A2679" t="s">
        <v>2797</v>
      </c>
      <c r="B2679" t="s">
        <v>44</v>
      </c>
      <c r="C2679">
        <v>2016</v>
      </c>
      <c r="D2679" t="s">
        <v>80</v>
      </c>
      <c r="E2679" t="s">
        <v>46</v>
      </c>
      <c r="F2679" t="s">
        <v>80</v>
      </c>
      <c r="G2679">
        <v>32261</v>
      </c>
      <c r="H2679">
        <v>25808.800000000003</v>
      </c>
      <c r="I2679" s="13">
        <v>0.66666666666666663</v>
      </c>
      <c r="J2679" t="s">
        <v>6207</v>
      </c>
      <c r="K2679">
        <v>0</v>
      </c>
      <c r="L2679">
        <v>0</v>
      </c>
      <c r="M2679" t="s">
        <v>58</v>
      </c>
      <c r="N2679" s="2">
        <v>0.4</v>
      </c>
      <c r="O2679" s="2">
        <v>0.6</v>
      </c>
      <c r="P2679">
        <v>9</v>
      </c>
      <c r="Q2679">
        <v>12</v>
      </c>
      <c r="R2679">
        <v>2</v>
      </c>
      <c r="S2679">
        <v>7</v>
      </c>
      <c r="T2679">
        <v>11</v>
      </c>
      <c r="U2679">
        <v>7</v>
      </c>
      <c r="V2679">
        <v>1</v>
      </c>
      <c r="W2679">
        <v>2</v>
      </c>
      <c r="X2679">
        <v>0</v>
      </c>
      <c r="Y2679">
        <v>0</v>
      </c>
      <c r="Z2679">
        <v>0</v>
      </c>
    </row>
    <row r="2680" spans="1:26" x14ac:dyDescent="0.2">
      <c r="A2680" t="s">
        <v>2798</v>
      </c>
      <c r="B2680" t="s">
        <v>32</v>
      </c>
      <c r="C2680">
        <v>2016</v>
      </c>
      <c r="D2680" t="s">
        <v>35</v>
      </c>
      <c r="E2680" t="s">
        <v>87</v>
      </c>
      <c r="F2680" t="s">
        <v>35</v>
      </c>
      <c r="G2680">
        <v>49000</v>
      </c>
      <c r="H2680">
        <v>39200</v>
      </c>
      <c r="I2680" s="13">
        <v>0.5</v>
      </c>
      <c r="J2680" t="s">
        <v>6207</v>
      </c>
      <c r="K2680">
        <v>1</v>
      </c>
      <c r="L2680">
        <v>2</v>
      </c>
      <c r="M2680" t="s">
        <v>1</v>
      </c>
      <c r="N2680" s="2">
        <v>0.47</v>
      </c>
      <c r="O2680" s="2">
        <v>0.53</v>
      </c>
      <c r="P2680">
        <v>14</v>
      </c>
      <c r="Q2680">
        <v>13</v>
      </c>
      <c r="R2680">
        <v>8</v>
      </c>
      <c r="S2680">
        <v>1</v>
      </c>
      <c r="T2680">
        <v>11</v>
      </c>
      <c r="U2680">
        <v>14</v>
      </c>
      <c r="V2680">
        <v>1</v>
      </c>
      <c r="W2680">
        <v>1</v>
      </c>
      <c r="X2680">
        <v>0</v>
      </c>
      <c r="Y2680">
        <v>0</v>
      </c>
      <c r="Z2680">
        <v>0</v>
      </c>
    </row>
    <row r="2681" spans="1:26" x14ac:dyDescent="0.2">
      <c r="A2681" t="s">
        <v>2799</v>
      </c>
      <c r="B2681" t="s">
        <v>76</v>
      </c>
      <c r="C2681">
        <v>2016</v>
      </c>
      <c r="D2681" t="s">
        <v>23</v>
      </c>
      <c r="E2681" t="s">
        <v>86</v>
      </c>
      <c r="F2681" t="s">
        <v>20</v>
      </c>
      <c r="G2681">
        <v>62500</v>
      </c>
      <c r="H2681">
        <v>50000</v>
      </c>
      <c r="I2681" s="13">
        <v>0.5</v>
      </c>
      <c r="J2681" t="s">
        <v>6207</v>
      </c>
      <c r="K2681">
        <v>1</v>
      </c>
      <c r="L2681">
        <v>0</v>
      </c>
      <c r="M2681" t="s">
        <v>0</v>
      </c>
      <c r="N2681" s="2">
        <v>0.47</v>
      </c>
      <c r="O2681" s="2">
        <v>0.53</v>
      </c>
      <c r="P2681">
        <v>16</v>
      </c>
      <c r="Q2681">
        <v>16</v>
      </c>
      <c r="R2681">
        <v>1</v>
      </c>
      <c r="S2681">
        <v>6</v>
      </c>
      <c r="T2681">
        <v>15</v>
      </c>
      <c r="U2681">
        <v>15</v>
      </c>
      <c r="V2681">
        <v>3</v>
      </c>
      <c r="W2681">
        <v>2</v>
      </c>
      <c r="X2681">
        <v>0</v>
      </c>
      <c r="Y2681">
        <v>1</v>
      </c>
      <c r="Z2681">
        <v>0</v>
      </c>
    </row>
    <row r="2682" spans="1:26" x14ac:dyDescent="0.2">
      <c r="A2682" t="s">
        <v>2800</v>
      </c>
      <c r="B2682" t="s">
        <v>77</v>
      </c>
      <c r="C2682">
        <v>2016</v>
      </c>
      <c r="D2682" t="s">
        <v>51</v>
      </c>
      <c r="E2682" t="s">
        <v>26</v>
      </c>
      <c r="F2682" t="s">
        <v>20</v>
      </c>
      <c r="G2682">
        <v>36284</v>
      </c>
      <c r="H2682">
        <v>29027.200000000001</v>
      </c>
      <c r="I2682" s="13">
        <v>0.625</v>
      </c>
      <c r="J2682" t="s">
        <v>6207</v>
      </c>
      <c r="K2682">
        <v>1</v>
      </c>
      <c r="L2682">
        <v>1</v>
      </c>
      <c r="M2682" t="s">
        <v>58</v>
      </c>
      <c r="N2682" s="2">
        <v>0.49</v>
      </c>
      <c r="O2682" s="2">
        <v>0.51</v>
      </c>
      <c r="P2682">
        <v>23</v>
      </c>
      <c r="Q2682">
        <v>12</v>
      </c>
      <c r="R2682">
        <v>5</v>
      </c>
      <c r="S2682">
        <v>5</v>
      </c>
      <c r="T2682">
        <v>11</v>
      </c>
      <c r="U2682">
        <v>17</v>
      </c>
      <c r="V2682">
        <v>3</v>
      </c>
      <c r="W2682">
        <v>5</v>
      </c>
      <c r="X2682">
        <v>0</v>
      </c>
      <c r="Y2682">
        <v>0</v>
      </c>
      <c r="Z2682">
        <v>1</v>
      </c>
    </row>
    <row r="2683" spans="1:26" x14ac:dyDescent="0.2">
      <c r="A2683" t="s">
        <v>2801</v>
      </c>
      <c r="B2683" t="s">
        <v>60</v>
      </c>
      <c r="C2683">
        <v>2016</v>
      </c>
      <c r="D2683" t="s">
        <v>85</v>
      </c>
      <c r="E2683" t="s">
        <v>46</v>
      </c>
      <c r="F2683" t="s">
        <v>85</v>
      </c>
      <c r="G2683">
        <v>22220</v>
      </c>
      <c r="H2683">
        <v>17776</v>
      </c>
      <c r="I2683" s="13">
        <v>0.7142857142857143</v>
      </c>
      <c r="J2683" t="s">
        <v>6208</v>
      </c>
      <c r="K2683">
        <v>1</v>
      </c>
      <c r="L2683">
        <v>3</v>
      </c>
      <c r="M2683" t="s">
        <v>1</v>
      </c>
      <c r="N2683" s="2">
        <v>0.45</v>
      </c>
      <c r="O2683" s="2">
        <v>0.55000000000000004</v>
      </c>
      <c r="P2683">
        <v>19</v>
      </c>
      <c r="Q2683">
        <v>18</v>
      </c>
      <c r="R2683">
        <v>3</v>
      </c>
      <c r="S2683">
        <v>2</v>
      </c>
      <c r="T2683">
        <v>18</v>
      </c>
      <c r="U2683">
        <v>15</v>
      </c>
      <c r="V2683">
        <v>6</v>
      </c>
      <c r="W2683">
        <v>1</v>
      </c>
      <c r="X2683">
        <v>0</v>
      </c>
      <c r="Y2683">
        <v>0</v>
      </c>
      <c r="Z2683">
        <v>1</v>
      </c>
    </row>
    <row r="2684" spans="1:26" x14ac:dyDescent="0.2">
      <c r="A2684" t="s">
        <v>2802</v>
      </c>
      <c r="B2684" t="s">
        <v>50</v>
      </c>
      <c r="C2684">
        <v>2016</v>
      </c>
      <c r="D2684" t="s">
        <v>73</v>
      </c>
      <c r="E2684" t="s">
        <v>35</v>
      </c>
      <c r="F2684" t="s">
        <v>73</v>
      </c>
      <c r="G2684">
        <v>32384</v>
      </c>
      <c r="H2684">
        <v>25907.200000000001</v>
      </c>
      <c r="I2684" s="13">
        <v>0.25</v>
      </c>
      <c r="J2684" t="s">
        <v>6207</v>
      </c>
      <c r="K2684">
        <v>1</v>
      </c>
      <c r="L2684">
        <v>1</v>
      </c>
      <c r="M2684" t="s">
        <v>58</v>
      </c>
      <c r="N2684" s="2">
        <v>0.64</v>
      </c>
      <c r="O2684" s="2">
        <v>0.36</v>
      </c>
      <c r="P2684">
        <v>10</v>
      </c>
      <c r="Q2684">
        <v>19</v>
      </c>
      <c r="R2684">
        <v>5</v>
      </c>
      <c r="S2684">
        <v>5</v>
      </c>
      <c r="T2684">
        <v>15</v>
      </c>
      <c r="U2684">
        <v>8</v>
      </c>
      <c r="V2684">
        <v>2</v>
      </c>
      <c r="W2684">
        <v>2</v>
      </c>
      <c r="X2684">
        <v>0</v>
      </c>
      <c r="Y2684">
        <v>0</v>
      </c>
      <c r="Z2684">
        <v>1</v>
      </c>
    </row>
    <row r="2685" spans="1:26" x14ac:dyDescent="0.2">
      <c r="A2685" t="s">
        <v>2803</v>
      </c>
      <c r="B2685" t="s">
        <v>74</v>
      </c>
      <c r="C2685">
        <v>2016</v>
      </c>
      <c r="D2685" t="s">
        <v>80</v>
      </c>
      <c r="E2685" t="s">
        <v>71</v>
      </c>
      <c r="F2685" t="s">
        <v>80</v>
      </c>
      <c r="G2685">
        <v>32261</v>
      </c>
      <c r="H2685">
        <v>25808.800000000003</v>
      </c>
      <c r="I2685" s="13">
        <v>0.75</v>
      </c>
      <c r="J2685" t="s">
        <v>6208</v>
      </c>
      <c r="K2685">
        <v>2</v>
      </c>
      <c r="L2685">
        <v>1</v>
      </c>
      <c r="M2685" t="s">
        <v>0</v>
      </c>
      <c r="N2685" s="2">
        <v>0.52</v>
      </c>
      <c r="O2685" s="2">
        <v>0.48</v>
      </c>
      <c r="P2685">
        <v>10</v>
      </c>
      <c r="Q2685">
        <v>17</v>
      </c>
      <c r="R2685">
        <v>4</v>
      </c>
      <c r="S2685">
        <v>6</v>
      </c>
      <c r="T2685">
        <v>14</v>
      </c>
      <c r="U2685">
        <v>10</v>
      </c>
      <c r="V2685">
        <v>2</v>
      </c>
      <c r="W2685">
        <v>2</v>
      </c>
      <c r="X2685">
        <v>0</v>
      </c>
      <c r="Y2685">
        <v>0</v>
      </c>
      <c r="Z2685">
        <v>1</v>
      </c>
    </row>
    <row r="2686" spans="1:26" x14ac:dyDescent="0.2">
      <c r="A2686" t="s">
        <v>2804</v>
      </c>
      <c r="B2686" t="s">
        <v>66</v>
      </c>
      <c r="C2686">
        <v>2016</v>
      </c>
      <c r="D2686" t="s">
        <v>45</v>
      </c>
      <c r="E2686" t="s">
        <v>27</v>
      </c>
      <c r="F2686" t="s">
        <v>26</v>
      </c>
      <c r="G2686">
        <v>39572</v>
      </c>
      <c r="H2686">
        <v>31657.600000000002</v>
      </c>
      <c r="I2686" s="13">
        <v>0.33333333333333331</v>
      </c>
      <c r="J2686" t="s">
        <v>6207</v>
      </c>
      <c r="K2686">
        <v>1</v>
      </c>
      <c r="L2686">
        <v>0</v>
      </c>
      <c r="M2686" t="s">
        <v>0</v>
      </c>
      <c r="N2686" s="2">
        <v>0.55000000000000004</v>
      </c>
      <c r="O2686" s="2">
        <v>0.45</v>
      </c>
      <c r="P2686">
        <v>11</v>
      </c>
      <c r="Q2686">
        <v>17</v>
      </c>
      <c r="R2686">
        <v>9</v>
      </c>
      <c r="S2686">
        <v>2</v>
      </c>
      <c r="T2686">
        <v>14</v>
      </c>
      <c r="U2686">
        <v>11</v>
      </c>
      <c r="V2686">
        <v>2</v>
      </c>
      <c r="W2686">
        <v>1</v>
      </c>
      <c r="X2686">
        <v>0</v>
      </c>
      <c r="Y2686">
        <v>0</v>
      </c>
      <c r="Z2686">
        <v>1</v>
      </c>
    </row>
    <row r="2687" spans="1:26" x14ac:dyDescent="0.2">
      <c r="A2687" t="s">
        <v>2805</v>
      </c>
      <c r="B2687" t="s">
        <v>41</v>
      </c>
      <c r="C2687">
        <v>2016</v>
      </c>
      <c r="D2687" t="s">
        <v>79</v>
      </c>
      <c r="E2687" t="s">
        <v>86</v>
      </c>
      <c r="F2687" t="s">
        <v>20</v>
      </c>
      <c r="G2687">
        <v>25486</v>
      </c>
      <c r="H2687">
        <v>20388.800000000003</v>
      </c>
      <c r="I2687" s="13">
        <v>1</v>
      </c>
      <c r="J2687" t="s">
        <v>6207</v>
      </c>
      <c r="K2687">
        <v>1</v>
      </c>
      <c r="L2687">
        <v>1</v>
      </c>
      <c r="M2687" t="s">
        <v>58</v>
      </c>
      <c r="N2687" s="2">
        <v>0.59</v>
      </c>
      <c r="O2687" s="2">
        <v>0.41</v>
      </c>
      <c r="P2687">
        <v>12</v>
      </c>
      <c r="Q2687">
        <v>19</v>
      </c>
      <c r="R2687">
        <v>10</v>
      </c>
      <c r="S2687">
        <v>4</v>
      </c>
      <c r="T2687">
        <v>15</v>
      </c>
      <c r="U2687">
        <v>10</v>
      </c>
      <c r="V2687">
        <v>2</v>
      </c>
      <c r="W2687">
        <v>1</v>
      </c>
      <c r="X2687">
        <v>0</v>
      </c>
      <c r="Y2687">
        <v>0</v>
      </c>
      <c r="Z2687">
        <v>1</v>
      </c>
    </row>
    <row r="2688" spans="1:26" x14ac:dyDescent="0.2">
      <c r="A2688" t="s">
        <v>2806</v>
      </c>
      <c r="B2688" t="s">
        <v>44</v>
      </c>
      <c r="C2688">
        <v>2016</v>
      </c>
      <c r="D2688" t="s">
        <v>18</v>
      </c>
      <c r="E2688" t="s">
        <v>28</v>
      </c>
      <c r="F2688" t="s">
        <v>20</v>
      </c>
      <c r="G2688">
        <v>40341</v>
      </c>
      <c r="H2688">
        <v>32272.800000000003</v>
      </c>
      <c r="I2688" s="13">
        <v>0.5</v>
      </c>
      <c r="J2688" t="s">
        <v>6207</v>
      </c>
      <c r="K2688">
        <v>3</v>
      </c>
      <c r="L2688">
        <v>0</v>
      </c>
      <c r="M2688" t="s">
        <v>0</v>
      </c>
      <c r="N2688" s="2">
        <v>0.61</v>
      </c>
      <c r="O2688" s="2">
        <v>0.39</v>
      </c>
      <c r="P2688">
        <v>11</v>
      </c>
      <c r="Q2688">
        <v>7</v>
      </c>
      <c r="R2688">
        <v>9</v>
      </c>
      <c r="S2688">
        <v>5</v>
      </c>
      <c r="T2688">
        <v>6</v>
      </c>
      <c r="U2688">
        <v>9</v>
      </c>
      <c r="V2688">
        <v>2</v>
      </c>
      <c r="W2688">
        <v>2</v>
      </c>
      <c r="X2688">
        <v>0</v>
      </c>
      <c r="Y2688">
        <v>0</v>
      </c>
      <c r="Z2688">
        <v>0</v>
      </c>
    </row>
    <row r="2689" spans="1:26" x14ac:dyDescent="0.2">
      <c r="A2689" t="s">
        <v>2807</v>
      </c>
      <c r="B2689" t="s">
        <v>68</v>
      </c>
      <c r="C2689">
        <v>2016</v>
      </c>
      <c r="D2689" t="s">
        <v>19</v>
      </c>
      <c r="E2689" t="s">
        <v>48</v>
      </c>
      <c r="F2689" t="s">
        <v>19</v>
      </c>
      <c r="G2689">
        <v>25586</v>
      </c>
      <c r="H2689">
        <v>20468.800000000003</v>
      </c>
      <c r="I2689" s="13">
        <v>0.4</v>
      </c>
      <c r="J2689" t="s">
        <v>6207</v>
      </c>
      <c r="K2689">
        <v>0</v>
      </c>
      <c r="L2689">
        <v>1</v>
      </c>
      <c r="M2689" t="s">
        <v>1</v>
      </c>
      <c r="N2689" s="2">
        <v>0.38</v>
      </c>
      <c r="O2689" s="2">
        <v>0.62</v>
      </c>
      <c r="P2689">
        <v>7</v>
      </c>
      <c r="Q2689">
        <v>7</v>
      </c>
      <c r="R2689">
        <v>1</v>
      </c>
      <c r="S2689">
        <v>6</v>
      </c>
      <c r="T2689">
        <v>9</v>
      </c>
      <c r="U2689">
        <v>6</v>
      </c>
      <c r="V2689">
        <v>2</v>
      </c>
      <c r="W2689">
        <v>3</v>
      </c>
      <c r="X2689">
        <v>0</v>
      </c>
      <c r="Y2689">
        <v>0</v>
      </c>
      <c r="Z2689">
        <v>0</v>
      </c>
    </row>
    <row r="2690" spans="1:26" x14ac:dyDescent="0.2">
      <c r="A2690" t="s">
        <v>2808</v>
      </c>
      <c r="B2690" t="s">
        <v>61</v>
      </c>
      <c r="C2690">
        <v>2016</v>
      </c>
      <c r="D2690" t="s">
        <v>63</v>
      </c>
      <c r="E2690" t="s">
        <v>87</v>
      </c>
      <c r="F2690" t="s">
        <v>65</v>
      </c>
      <c r="G2690">
        <v>26804</v>
      </c>
      <c r="H2690">
        <v>21443.200000000001</v>
      </c>
      <c r="I2690" s="13">
        <v>1</v>
      </c>
      <c r="J2690" t="s">
        <v>6207</v>
      </c>
      <c r="K2690">
        <v>0</v>
      </c>
      <c r="L2690">
        <v>0</v>
      </c>
      <c r="M2690" t="s">
        <v>58</v>
      </c>
      <c r="N2690" s="2">
        <v>0.41</v>
      </c>
      <c r="O2690" s="2">
        <v>0.59</v>
      </c>
      <c r="P2690">
        <v>14</v>
      </c>
      <c r="Q2690">
        <v>13</v>
      </c>
      <c r="R2690">
        <v>5</v>
      </c>
      <c r="S2690">
        <v>4</v>
      </c>
      <c r="T2690">
        <v>12</v>
      </c>
      <c r="U2690">
        <v>11</v>
      </c>
      <c r="V2690">
        <v>1</v>
      </c>
      <c r="W2690">
        <v>3</v>
      </c>
      <c r="X2690">
        <v>0</v>
      </c>
      <c r="Y2690">
        <v>0</v>
      </c>
      <c r="Z2690">
        <v>0</v>
      </c>
    </row>
    <row r="2691" spans="1:26" x14ac:dyDescent="0.2">
      <c r="A2691" t="s">
        <v>2809</v>
      </c>
      <c r="B2691" t="s">
        <v>37</v>
      </c>
      <c r="C2691">
        <v>2016</v>
      </c>
      <c r="D2691" t="s">
        <v>40</v>
      </c>
      <c r="E2691" t="s">
        <v>23</v>
      </c>
      <c r="F2691" t="s">
        <v>49</v>
      </c>
      <c r="G2691">
        <v>53400</v>
      </c>
      <c r="H2691">
        <v>42720</v>
      </c>
      <c r="I2691" s="13">
        <v>0.5</v>
      </c>
      <c r="J2691" t="s">
        <v>6206</v>
      </c>
      <c r="K2691">
        <v>3</v>
      </c>
      <c r="L2691">
        <v>1</v>
      </c>
      <c r="M2691" t="s">
        <v>0</v>
      </c>
      <c r="N2691" s="2">
        <v>0.67</v>
      </c>
      <c r="O2691" s="2">
        <v>0.33</v>
      </c>
      <c r="P2691">
        <v>13</v>
      </c>
      <c r="Q2691">
        <v>10</v>
      </c>
      <c r="R2691">
        <v>5</v>
      </c>
      <c r="S2691">
        <v>4</v>
      </c>
      <c r="T2691">
        <v>5</v>
      </c>
      <c r="U2691">
        <v>10</v>
      </c>
      <c r="V2691">
        <v>1</v>
      </c>
      <c r="W2691">
        <v>3</v>
      </c>
      <c r="X2691">
        <v>0</v>
      </c>
      <c r="Y2691">
        <v>0</v>
      </c>
      <c r="Z2691">
        <v>0</v>
      </c>
    </row>
    <row r="2692" spans="1:26" x14ac:dyDescent="0.2">
      <c r="A2692" t="s">
        <v>2810</v>
      </c>
      <c r="B2692" t="s">
        <v>44</v>
      </c>
      <c r="C2692">
        <v>2016</v>
      </c>
      <c r="D2692" t="s">
        <v>48</v>
      </c>
      <c r="E2692" t="s">
        <v>40</v>
      </c>
      <c r="F2692" t="s">
        <v>49</v>
      </c>
      <c r="G2692">
        <v>74197</v>
      </c>
      <c r="H2692">
        <v>59357.600000000006</v>
      </c>
      <c r="I2692" s="13">
        <v>0.83333333333333337</v>
      </c>
      <c r="J2692" t="s">
        <v>6207</v>
      </c>
      <c r="K2692">
        <v>1</v>
      </c>
      <c r="L2692">
        <v>2</v>
      </c>
      <c r="M2692" t="s">
        <v>1</v>
      </c>
      <c r="N2692" s="2">
        <v>0.4</v>
      </c>
      <c r="O2692" s="2">
        <v>0.6</v>
      </c>
      <c r="P2692">
        <v>13</v>
      </c>
      <c r="Q2692">
        <v>18</v>
      </c>
      <c r="R2692">
        <v>4</v>
      </c>
      <c r="S2692">
        <v>4</v>
      </c>
      <c r="T2692">
        <v>15</v>
      </c>
      <c r="U2692">
        <v>10</v>
      </c>
      <c r="V2692">
        <v>4</v>
      </c>
      <c r="W2692">
        <v>2</v>
      </c>
      <c r="X2692">
        <v>0</v>
      </c>
      <c r="Y2692">
        <v>0</v>
      </c>
      <c r="Z2692">
        <v>0</v>
      </c>
    </row>
    <row r="2693" spans="1:26" x14ac:dyDescent="0.2">
      <c r="A2693" t="s">
        <v>2811</v>
      </c>
      <c r="B2693" t="s">
        <v>32</v>
      </c>
      <c r="C2693">
        <v>2016</v>
      </c>
      <c r="D2693" t="s">
        <v>23</v>
      </c>
      <c r="E2693" t="s">
        <v>85</v>
      </c>
      <c r="F2693" t="s">
        <v>20</v>
      </c>
      <c r="G2693">
        <v>62500</v>
      </c>
      <c r="H2693">
        <v>50000</v>
      </c>
      <c r="I2693" s="13">
        <v>0.75</v>
      </c>
      <c r="J2693" t="s">
        <v>6207</v>
      </c>
      <c r="K2693">
        <v>2</v>
      </c>
      <c r="L2693">
        <v>4</v>
      </c>
      <c r="M2693" t="s">
        <v>1</v>
      </c>
      <c r="N2693" s="2">
        <v>0.57999999999999996</v>
      </c>
      <c r="O2693" s="2">
        <v>0.42</v>
      </c>
      <c r="P2693">
        <v>15</v>
      </c>
      <c r="Q2693">
        <v>12</v>
      </c>
      <c r="R2693">
        <v>4</v>
      </c>
      <c r="S2693">
        <v>4</v>
      </c>
      <c r="T2693">
        <v>10</v>
      </c>
      <c r="U2693">
        <v>15</v>
      </c>
      <c r="V2693">
        <v>2</v>
      </c>
      <c r="W2693">
        <v>2</v>
      </c>
      <c r="X2693">
        <v>0</v>
      </c>
      <c r="Y2693">
        <v>0</v>
      </c>
      <c r="Z2693">
        <v>0</v>
      </c>
    </row>
    <row r="2694" spans="1:26" x14ac:dyDescent="0.2">
      <c r="A2694" t="s">
        <v>2812</v>
      </c>
      <c r="B2694" t="s">
        <v>61</v>
      </c>
      <c r="C2694">
        <v>2016</v>
      </c>
      <c r="D2694" t="s">
        <v>27</v>
      </c>
      <c r="E2694" t="s">
        <v>51</v>
      </c>
      <c r="F2694" t="s">
        <v>27</v>
      </c>
      <c r="G2694">
        <v>30089</v>
      </c>
      <c r="H2694">
        <v>24071.200000000001</v>
      </c>
      <c r="I2694" s="13">
        <v>0.8</v>
      </c>
      <c r="J2694" t="s">
        <v>6207</v>
      </c>
      <c r="K2694">
        <v>0</v>
      </c>
      <c r="L2694">
        <v>4</v>
      </c>
      <c r="M2694" t="s">
        <v>1</v>
      </c>
      <c r="N2694" s="2">
        <v>0.4</v>
      </c>
      <c r="O2694" s="2">
        <v>0.6</v>
      </c>
      <c r="P2694">
        <v>17</v>
      </c>
      <c r="Q2694">
        <v>15</v>
      </c>
      <c r="R2694">
        <v>10</v>
      </c>
      <c r="S2694">
        <v>8</v>
      </c>
      <c r="T2694">
        <v>13</v>
      </c>
      <c r="U2694">
        <v>18</v>
      </c>
      <c r="V2694">
        <v>3</v>
      </c>
      <c r="W2694">
        <v>2</v>
      </c>
      <c r="X2694">
        <v>0</v>
      </c>
      <c r="Y2694">
        <v>0</v>
      </c>
      <c r="Z2694">
        <v>0</v>
      </c>
    </row>
    <row r="2695" spans="1:26" x14ac:dyDescent="0.2">
      <c r="A2695" t="s">
        <v>2813</v>
      </c>
      <c r="B2695" t="s">
        <v>67</v>
      </c>
      <c r="C2695">
        <v>2016</v>
      </c>
      <c r="D2695" t="s">
        <v>87</v>
      </c>
      <c r="E2695" t="s">
        <v>79</v>
      </c>
      <c r="F2695" t="s">
        <v>87</v>
      </c>
      <c r="G2695">
        <v>34742</v>
      </c>
      <c r="H2695">
        <v>27793.600000000002</v>
      </c>
      <c r="I2695" s="13">
        <v>0.66666666666666663</v>
      </c>
      <c r="J2695" t="s">
        <v>6207</v>
      </c>
      <c r="K2695">
        <v>1</v>
      </c>
      <c r="L2695">
        <v>2</v>
      </c>
      <c r="M2695" t="s">
        <v>1</v>
      </c>
      <c r="N2695" s="2">
        <v>0.57999999999999996</v>
      </c>
      <c r="O2695" s="2">
        <v>0.42</v>
      </c>
      <c r="P2695">
        <v>10</v>
      </c>
      <c r="Q2695">
        <v>7</v>
      </c>
      <c r="R2695">
        <v>6</v>
      </c>
      <c r="S2695">
        <v>6</v>
      </c>
      <c r="T2695">
        <v>5</v>
      </c>
      <c r="U2695">
        <v>9</v>
      </c>
      <c r="V2695">
        <v>1</v>
      </c>
      <c r="W2695">
        <v>2</v>
      </c>
      <c r="X2695">
        <v>0</v>
      </c>
      <c r="Y2695">
        <v>0</v>
      </c>
      <c r="Z2695">
        <v>0</v>
      </c>
    </row>
    <row r="2696" spans="1:26" x14ac:dyDescent="0.2">
      <c r="A2696" t="s">
        <v>2814</v>
      </c>
      <c r="B2696" t="s">
        <v>81</v>
      </c>
      <c r="C2696">
        <v>2016</v>
      </c>
      <c r="D2696" t="s">
        <v>28</v>
      </c>
      <c r="E2696" t="s">
        <v>19</v>
      </c>
      <c r="F2696" t="s">
        <v>28</v>
      </c>
      <c r="G2696">
        <v>21944</v>
      </c>
      <c r="H2696">
        <v>17555.2</v>
      </c>
      <c r="I2696" s="13">
        <v>0.5</v>
      </c>
      <c r="J2696" t="s">
        <v>6207</v>
      </c>
      <c r="K2696">
        <v>1</v>
      </c>
      <c r="L2696">
        <v>1</v>
      </c>
      <c r="M2696" t="s">
        <v>58</v>
      </c>
      <c r="N2696" s="2">
        <v>0.39</v>
      </c>
      <c r="O2696" s="2">
        <v>0.61</v>
      </c>
      <c r="P2696">
        <v>6</v>
      </c>
      <c r="Q2696">
        <v>13</v>
      </c>
      <c r="R2696">
        <v>5</v>
      </c>
      <c r="S2696">
        <v>9</v>
      </c>
      <c r="T2696">
        <v>13</v>
      </c>
      <c r="U2696">
        <v>3</v>
      </c>
      <c r="V2696">
        <v>2</v>
      </c>
      <c r="W2696">
        <v>0</v>
      </c>
      <c r="X2696">
        <v>0</v>
      </c>
      <c r="Y2696">
        <v>0</v>
      </c>
      <c r="Z2696">
        <v>0</v>
      </c>
    </row>
    <row r="2697" spans="1:26" x14ac:dyDescent="0.2">
      <c r="A2697" t="s">
        <v>2815</v>
      </c>
      <c r="B2697" t="s">
        <v>60</v>
      </c>
      <c r="C2697">
        <v>2016</v>
      </c>
      <c r="D2697" t="s">
        <v>86</v>
      </c>
      <c r="E2697" t="s">
        <v>63</v>
      </c>
      <c r="F2697" t="s">
        <v>86</v>
      </c>
      <c r="G2697">
        <v>11364</v>
      </c>
      <c r="H2697">
        <v>9091.2000000000007</v>
      </c>
      <c r="I2697" s="13">
        <v>0.25</v>
      </c>
      <c r="J2697" t="s">
        <v>6208</v>
      </c>
      <c r="K2697">
        <v>1</v>
      </c>
      <c r="L2697">
        <v>0</v>
      </c>
      <c r="M2697" t="s">
        <v>0</v>
      </c>
      <c r="N2697" s="2">
        <v>0.63</v>
      </c>
      <c r="O2697" s="2">
        <v>0.37</v>
      </c>
      <c r="P2697">
        <v>12</v>
      </c>
      <c r="Q2697">
        <v>10</v>
      </c>
      <c r="R2697">
        <v>10</v>
      </c>
      <c r="S2697">
        <v>5</v>
      </c>
      <c r="T2697">
        <v>9</v>
      </c>
      <c r="U2697">
        <v>11</v>
      </c>
      <c r="V2697">
        <v>1</v>
      </c>
      <c r="W2697">
        <v>3</v>
      </c>
      <c r="X2697">
        <v>0</v>
      </c>
      <c r="Y2697">
        <v>0</v>
      </c>
      <c r="Z2697">
        <v>0</v>
      </c>
    </row>
    <row r="2698" spans="1:26" x14ac:dyDescent="0.2">
      <c r="A2698" t="s">
        <v>2816</v>
      </c>
      <c r="B2698" t="s">
        <v>77</v>
      </c>
      <c r="C2698">
        <v>2016</v>
      </c>
      <c r="D2698" t="s">
        <v>46</v>
      </c>
      <c r="E2698" t="s">
        <v>73</v>
      </c>
      <c r="F2698" t="s">
        <v>20</v>
      </c>
      <c r="G2698">
        <v>60704</v>
      </c>
      <c r="H2698">
        <v>48563.200000000004</v>
      </c>
      <c r="I2698" s="13">
        <v>0.5714285714285714</v>
      </c>
      <c r="J2698" t="s">
        <v>6207</v>
      </c>
      <c r="K2698">
        <v>2</v>
      </c>
      <c r="L2698">
        <v>1</v>
      </c>
      <c r="M2698" t="s">
        <v>0</v>
      </c>
      <c r="N2698" s="2">
        <v>0.56999999999999995</v>
      </c>
      <c r="O2698" s="2">
        <v>0.43</v>
      </c>
      <c r="P2698">
        <v>9</v>
      </c>
      <c r="Q2698">
        <v>10</v>
      </c>
      <c r="R2698">
        <v>6</v>
      </c>
      <c r="S2698">
        <v>1</v>
      </c>
      <c r="T2698">
        <v>10</v>
      </c>
      <c r="U2698">
        <v>8</v>
      </c>
      <c r="V2698">
        <v>2</v>
      </c>
      <c r="W2698">
        <v>5</v>
      </c>
      <c r="X2698">
        <v>0</v>
      </c>
      <c r="Y2698">
        <v>0</v>
      </c>
      <c r="Z2698">
        <v>1</v>
      </c>
    </row>
    <row r="2699" spans="1:26" x14ac:dyDescent="0.2">
      <c r="A2699" t="s">
        <v>2817</v>
      </c>
      <c r="B2699" t="s">
        <v>76</v>
      </c>
      <c r="C2699">
        <v>2016</v>
      </c>
      <c r="D2699" t="s">
        <v>26</v>
      </c>
      <c r="E2699" t="s">
        <v>80</v>
      </c>
      <c r="F2699" t="s">
        <v>26</v>
      </c>
      <c r="G2699">
        <v>61276</v>
      </c>
      <c r="H2699">
        <v>49020.800000000003</v>
      </c>
      <c r="I2699" s="13">
        <v>0.5</v>
      </c>
      <c r="J2699" t="s">
        <v>6207</v>
      </c>
      <c r="K2699">
        <v>4</v>
      </c>
      <c r="L2699">
        <v>1</v>
      </c>
      <c r="M2699" t="s">
        <v>0</v>
      </c>
      <c r="N2699" s="2">
        <v>0.63</v>
      </c>
      <c r="O2699" s="2">
        <v>0.37</v>
      </c>
      <c r="P2699">
        <v>9</v>
      </c>
      <c r="Q2699">
        <v>6</v>
      </c>
      <c r="R2699">
        <v>1</v>
      </c>
      <c r="S2699">
        <v>7</v>
      </c>
      <c r="T2699">
        <v>4</v>
      </c>
      <c r="U2699">
        <v>8</v>
      </c>
      <c r="V2699">
        <v>1</v>
      </c>
      <c r="W2699">
        <v>3</v>
      </c>
      <c r="X2699">
        <v>0</v>
      </c>
      <c r="Y2699">
        <v>0</v>
      </c>
      <c r="Z2699">
        <v>0</v>
      </c>
    </row>
    <row r="2700" spans="1:26" x14ac:dyDescent="0.2">
      <c r="A2700" t="s">
        <v>2818</v>
      </c>
      <c r="B2700" t="s">
        <v>37</v>
      </c>
      <c r="C2700">
        <v>2016</v>
      </c>
      <c r="D2700" t="s">
        <v>71</v>
      </c>
      <c r="E2700" t="s">
        <v>18</v>
      </c>
      <c r="F2700" t="s">
        <v>71</v>
      </c>
      <c r="G2700">
        <v>21088</v>
      </c>
      <c r="H2700">
        <v>16870.400000000001</v>
      </c>
      <c r="I2700" s="13">
        <v>0.8571428571428571</v>
      </c>
      <c r="J2700" t="s">
        <v>6206</v>
      </c>
      <c r="K2700">
        <v>2</v>
      </c>
      <c r="L2700">
        <v>2</v>
      </c>
      <c r="M2700" t="s">
        <v>58</v>
      </c>
      <c r="N2700" s="2">
        <v>0.45</v>
      </c>
      <c r="O2700" s="2">
        <v>0.55000000000000004</v>
      </c>
      <c r="P2700">
        <v>11</v>
      </c>
      <c r="Q2700">
        <v>17</v>
      </c>
      <c r="R2700">
        <v>1</v>
      </c>
      <c r="S2700">
        <v>11</v>
      </c>
      <c r="T2700">
        <v>17</v>
      </c>
      <c r="U2700">
        <v>9</v>
      </c>
      <c r="V2700">
        <v>3</v>
      </c>
      <c r="W2700">
        <v>4</v>
      </c>
      <c r="X2700">
        <v>0</v>
      </c>
      <c r="Y2700">
        <v>0</v>
      </c>
      <c r="Z2700">
        <v>1</v>
      </c>
    </row>
    <row r="2701" spans="1:26" x14ac:dyDescent="0.2">
      <c r="A2701" t="s">
        <v>2819</v>
      </c>
      <c r="B2701" t="s">
        <v>53</v>
      </c>
      <c r="C2701">
        <v>2016</v>
      </c>
      <c r="D2701" t="s">
        <v>35</v>
      </c>
      <c r="E2701" t="s">
        <v>45</v>
      </c>
      <c r="F2701" t="s">
        <v>35</v>
      </c>
      <c r="G2701">
        <v>49000</v>
      </c>
      <c r="H2701">
        <v>39200</v>
      </c>
      <c r="I2701" s="13">
        <v>0.5</v>
      </c>
      <c r="J2701" t="s">
        <v>6207</v>
      </c>
      <c r="K2701">
        <v>0</v>
      </c>
      <c r="L2701">
        <v>3</v>
      </c>
      <c r="M2701" t="s">
        <v>1</v>
      </c>
      <c r="N2701" s="2">
        <v>0.33</v>
      </c>
      <c r="O2701" s="2">
        <v>0.67</v>
      </c>
      <c r="P2701">
        <v>9</v>
      </c>
      <c r="Q2701">
        <v>11</v>
      </c>
      <c r="R2701">
        <v>5</v>
      </c>
      <c r="S2701">
        <v>5</v>
      </c>
      <c r="T2701">
        <v>11</v>
      </c>
      <c r="U2701">
        <v>8</v>
      </c>
      <c r="V2701">
        <v>1</v>
      </c>
      <c r="W2701">
        <v>1</v>
      </c>
      <c r="X2701">
        <v>0</v>
      </c>
      <c r="Y2701">
        <v>0</v>
      </c>
      <c r="Z2701">
        <v>0</v>
      </c>
    </row>
    <row r="2702" spans="1:26" x14ac:dyDescent="0.2">
      <c r="A2702" t="s">
        <v>2820</v>
      </c>
      <c r="B2702" t="s">
        <v>32</v>
      </c>
      <c r="C2702">
        <v>2016</v>
      </c>
      <c r="D2702" t="s">
        <v>18</v>
      </c>
      <c r="E2702" t="s">
        <v>26</v>
      </c>
      <c r="F2702" t="s">
        <v>20</v>
      </c>
      <c r="G2702">
        <v>40341</v>
      </c>
      <c r="H2702">
        <v>32272.800000000003</v>
      </c>
      <c r="I2702" s="13">
        <v>1</v>
      </c>
      <c r="J2702" t="s">
        <v>6207</v>
      </c>
      <c r="K2702">
        <v>1</v>
      </c>
      <c r="L2702">
        <v>2</v>
      </c>
      <c r="M2702" t="s">
        <v>1</v>
      </c>
      <c r="N2702" s="2">
        <v>0.53</v>
      </c>
      <c r="O2702" s="2">
        <v>0.47</v>
      </c>
      <c r="P2702">
        <v>14</v>
      </c>
      <c r="Q2702">
        <v>10</v>
      </c>
      <c r="R2702">
        <v>6</v>
      </c>
      <c r="S2702">
        <v>4</v>
      </c>
      <c r="T2702">
        <v>6</v>
      </c>
      <c r="U2702">
        <v>13</v>
      </c>
      <c r="V2702">
        <v>1</v>
      </c>
      <c r="W2702">
        <v>1</v>
      </c>
      <c r="X2702">
        <v>0</v>
      </c>
      <c r="Y2702">
        <v>0</v>
      </c>
      <c r="Z2702">
        <v>0</v>
      </c>
    </row>
    <row r="2703" spans="1:26" x14ac:dyDescent="0.2">
      <c r="A2703" t="s">
        <v>2821</v>
      </c>
      <c r="B2703" t="s">
        <v>44</v>
      </c>
      <c r="C2703">
        <v>2016</v>
      </c>
      <c r="D2703" t="s">
        <v>63</v>
      </c>
      <c r="E2703" t="s">
        <v>23</v>
      </c>
      <c r="F2703" t="s">
        <v>65</v>
      </c>
      <c r="G2703">
        <v>26804</v>
      </c>
      <c r="H2703">
        <v>21443.200000000001</v>
      </c>
      <c r="I2703" s="13">
        <v>0.66666666666666663</v>
      </c>
      <c r="J2703" t="s">
        <v>6207</v>
      </c>
      <c r="K2703">
        <v>4</v>
      </c>
      <c r="L2703">
        <v>2</v>
      </c>
      <c r="M2703" t="s">
        <v>0</v>
      </c>
      <c r="N2703" s="2">
        <v>0.28999999999999998</v>
      </c>
      <c r="O2703" s="2">
        <v>0.71</v>
      </c>
      <c r="P2703">
        <v>6</v>
      </c>
      <c r="Q2703">
        <v>13</v>
      </c>
      <c r="R2703">
        <v>2</v>
      </c>
      <c r="S2703">
        <v>6</v>
      </c>
      <c r="T2703">
        <v>14</v>
      </c>
      <c r="U2703">
        <v>6</v>
      </c>
      <c r="V2703">
        <v>2</v>
      </c>
      <c r="W2703">
        <v>1</v>
      </c>
      <c r="X2703">
        <v>0</v>
      </c>
      <c r="Y2703">
        <v>0</v>
      </c>
      <c r="Z2703">
        <v>2</v>
      </c>
    </row>
    <row r="2704" spans="1:26" x14ac:dyDescent="0.2">
      <c r="A2704" t="s">
        <v>2822</v>
      </c>
      <c r="B2704" t="s">
        <v>68</v>
      </c>
      <c r="C2704">
        <v>2016</v>
      </c>
      <c r="D2704" t="s">
        <v>40</v>
      </c>
      <c r="E2704" t="s">
        <v>86</v>
      </c>
      <c r="F2704" t="s">
        <v>49</v>
      </c>
      <c r="G2704">
        <v>53400</v>
      </c>
      <c r="H2704">
        <v>42720</v>
      </c>
      <c r="I2704" s="13">
        <v>0.66666666666666663</v>
      </c>
      <c r="J2704" t="s">
        <v>6207</v>
      </c>
      <c r="K2704">
        <v>4</v>
      </c>
      <c r="L2704">
        <v>0</v>
      </c>
      <c r="M2704" t="s">
        <v>0</v>
      </c>
      <c r="N2704" s="2">
        <v>0.64</v>
      </c>
      <c r="O2704" s="2">
        <v>0.36</v>
      </c>
      <c r="P2704">
        <v>13</v>
      </c>
      <c r="Q2704">
        <v>10</v>
      </c>
      <c r="R2704">
        <v>5</v>
      </c>
      <c r="S2704">
        <v>5</v>
      </c>
      <c r="T2704">
        <v>8</v>
      </c>
      <c r="U2704">
        <v>11</v>
      </c>
      <c r="V2704">
        <v>1</v>
      </c>
      <c r="W2704">
        <v>1</v>
      </c>
      <c r="X2704">
        <v>1</v>
      </c>
      <c r="Y2704">
        <v>0</v>
      </c>
      <c r="Z2704">
        <v>0</v>
      </c>
    </row>
    <row r="2705" spans="1:26" x14ac:dyDescent="0.2">
      <c r="A2705" t="s">
        <v>2823</v>
      </c>
      <c r="B2705" t="s">
        <v>61</v>
      </c>
      <c r="C2705">
        <v>2016</v>
      </c>
      <c r="D2705" t="s">
        <v>80</v>
      </c>
      <c r="E2705" t="s">
        <v>28</v>
      </c>
      <c r="F2705" t="s">
        <v>80</v>
      </c>
      <c r="G2705">
        <v>32261</v>
      </c>
      <c r="H2705">
        <v>25808.800000000003</v>
      </c>
      <c r="I2705" s="13">
        <v>0</v>
      </c>
      <c r="J2705" t="s">
        <v>6207</v>
      </c>
      <c r="K2705">
        <v>3</v>
      </c>
      <c r="L2705">
        <v>0</v>
      </c>
      <c r="M2705" t="s">
        <v>0</v>
      </c>
      <c r="N2705" s="2">
        <v>0.59</v>
      </c>
      <c r="O2705" s="2">
        <v>0.41</v>
      </c>
      <c r="P2705">
        <v>14</v>
      </c>
      <c r="Q2705">
        <v>11</v>
      </c>
      <c r="R2705">
        <v>7</v>
      </c>
      <c r="S2705">
        <v>1</v>
      </c>
      <c r="T2705">
        <v>10</v>
      </c>
      <c r="U2705">
        <v>9</v>
      </c>
      <c r="V2705">
        <v>0</v>
      </c>
      <c r="W2705">
        <v>1</v>
      </c>
      <c r="X2705">
        <v>0</v>
      </c>
      <c r="Y2705">
        <v>0</v>
      </c>
      <c r="Z2705">
        <v>0</v>
      </c>
    </row>
    <row r="2706" spans="1:26" x14ac:dyDescent="0.2">
      <c r="A2706" t="s">
        <v>2824</v>
      </c>
      <c r="B2706" t="s">
        <v>74</v>
      </c>
      <c r="C2706">
        <v>2016</v>
      </c>
      <c r="D2706" t="s">
        <v>19</v>
      </c>
      <c r="E2706" t="s">
        <v>46</v>
      </c>
      <c r="F2706" t="s">
        <v>19</v>
      </c>
      <c r="G2706">
        <v>25586</v>
      </c>
      <c r="H2706">
        <v>20468.800000000003</v>
      </c>
      <c r="I2706" s="13">
        <v>0.66666666666666663</v>
      </c>
      <c r="J2706" t="s">
        <v>6208</v>
      </c>
      <c r="K2706">
        <v>1</v>
      </c>
      <c r="L2706">
        <v>4</v>
      </c>
      <c r="M2706" t="s">
        <v>1</v>
      </c>
      <c r="N2706" s="2">
        <v>0.39</v>
      </c>
      <c r="O2706" s="2">
        <v>0.61</v>
      </c>
      <c r="P2706">
        <v>12</v>
      </c>
      <c r="Q2706">
        <v>11</v>
      </c>
      <c r="R2706">
        <v>2</v>
      </c>
      <c r="S2706">
        <v>4</v>
      </c>
      <c r="T2706">
        <v>9</v>
      </c>
      <c r="U2706">
        <v>12</v>
      </c>
      <c r="V2706">
        <v>0</v>
      </c>
      <c r="W2706">
        <v>2</v>
      </c>
      <c r="X2706">
        <v>1</v>
      </c>
      <c r="Y2706">
        <v>0</v>
      </c>
      <c r="Z2706">
        <v>2</v>
      </c>
    </row>
    <row r="2707" spans="1:26" x14ac:dyDescent="0.2">
      <c r="A2707" t="s">
        <v>2825</v>
      </c>
      <c r="B2707" t="s">
        <v>50</v>
      </c>
      <c r="C2707">
        <v>2016</v>
      </c>
      <c r="D2707" t="s">
        <v>45</v>
      </c>
      <c r="E2707" t="s">
        <v>87</v>
      </c>
      <c r="F2707" t="s">
        <v>26</v>
      </c>
      <c r="G2707">
        <v>39572</v>
      </c>
      <c r="H2707">
        <v>31657.600000000002</v>
      </c>
      <c r="I2707" s="13">
        <v>0.66666666666666663</v>
      </c>
      <c r="J2707" t="s">
        <v>6207</v>
      </c>
      <c r="K2707">
        <v>3</v>
      </c>
      <c r="L2707">
        <v>1</v>
      </c>
      <c r="M2707" t="s">
        <v>0</v>
      </c>
      <c r="N2707" s="2">
        <v>0.52</v>
      </c>
      <c r="O2707" s="2">
        <v>0.48</v>
      </c>
      <c r="P2707">
        <v>17</v>
      </c>
      <c r="Q2707">
        <v>9</v>
      </c>
      <c r="R2707">
        <v>6</v>
      </c>
      <c r="S2707">
        <v>3</v>
      </c>
      <c r="T2707">
        <v>5</v>
      </c>
      <c r="U2707">
        <v>15</v>
      </c>
      <c r="V2707">
        <v>2</v>
      </c>
      <c r="W2707">
        <v>1</v>
      </c>
      <c r="X2707">
        <v>0</v>
      </c>
      <c r="Y2707">
        <v>0</v>
      </c>
      <c r="Z2707">
        <v>0</v>
      </c>
    </row>
    <row r="2708" spans="1:26" x14ac:dyDescent="0.2">
      <c r="A2708" t="s">
        <v>2826</v>
      </c>
      <c r="B2708" t="s">
        <v>66</v>
      </c>
      <c r="C2708">
        <v>2016</v>
      </c>
      <c r="D2708" t="s">
        <v>85</v>
      </c>
      <c r="E2708" t="s">
        <v>48</v>
      </c>
      <c r="F2708" t="s">
        <v>85</v>
      </c>
      <c r="G2708">
        <v>22220</v>
      </c>
      <c r="H2708">
        <v>17776</v>
      </c>
      <c r="I2708" s="13">
        <v>0.7142857142857143</v>
      </c>
      <c r="J2708" t="s">
        <v>6207</v>
      </c>
      <c r="K2708">
        <v>3</v>
      </c>
      <c r="L2708">
        <v>1</v>
      </c>
      <c r="M2708" t="s">
        <v>0</v>
      </c>
      <c r="N2708" s="2">
        <v>0.4</v>
      </c>
      <c r="O2708" s="2">
        <v>0.6</v>
      </c>
      <c r="P2708">
        <v>20</v>
      </c>
      <c r="Q2708">
        <v>14</v>
      </c>
      <c r="R2708">
        <v>5</v>
      </c>
      <c r="S2708">
        <v>7</v>
      </c>
      <c r="T2708">
        <v>14</v>
      </c>
      <c r="U2708">
        <v>19</v>
      </c>
      <c r="V2708">
        <v>3</v>
      </c>
      <c r="W2708">
        <v>4</v>
      </c>
      <c r="X2708">
        <v>0</v>
      </c>
      <c r="Y2708">
        <v>0</v>
      </c>
      <c r="Z2708">
        <v>1</v>
      </c>
    </row>
    <row r="2709" spans="1:26" x14ac:dyDescent="0.2">
      <c r="A2709" t="s">
        <v>2827</v>
      </c>
      <c r="B2709" t="s">
        <v>53</v>
      </c>
      <c r="C2709">
        <v>2016</v>
      </c>
      <c r="D2709" t="s">
        <v>73</v>
      </c>
      <c r="E2709" t="s">
        <v>71</v>
      </c>
      <c r="F2709" t="s">
        <v>73</v>
      </c>
      <c r="G2709">
        <v>32384</v>
      </c>
      <c r="H2709">
        <v>25907.200000000001</v>
      </c>
      <c r="I2709" s="13">
        <v>0.5</v>
      </c>
      <c r="J2709" t="s">
        <v>6207</v>
      </c>
      <c r="K2709">
        <v>1</v>
      </c>
      <c r="L2709">
        <v>0</v>
      </c>
      <c r="M2709" t="s">
        <v>0</v>
      </c>
      <c r="N2709" s="2">
        <v>0.53</v>
      </c>
      <c r="O2709" s="2">
        <v>0.47</v>
      </c>
      <c r="P2709">
        <v>5</v>
      </c>
      <c r="Q2709">
        <v>14</v>
      </c>
      <c r="R2709">
        <v>7</v>
      </c>
      <c r="S2709">
        <v>1</v>
      </c>
      <c r="T2709">
        <v>14</v>
      </c>
      <c r="U2709">
        <v>9</v>
      </c>
      <c r="V2709">
        <v>1</v>
      </c>
      <c r="W2709">
        <v>1</v>
      </c>
      <c r="X2709">
        <v>0</v>
      </c>
      <c r="Y2709">
        <v>0</v>
      </c>
      <c r="Z2709">
        <v>0</v>
      </c>
    </row>
    <row r="2710" spans="1:26" x14ac:dyDescent="0.2">
      <c r="A2710" t="s">
        <v>2828</v>
      </c>
      <c r="B2710" t="s">
        <v>76</v>
      </c>
      <c r="C2710">
        <v>2016</v>
      </c>
      <c r="D2710" t="s">
        <v>79</v>
      </c>
      <c r="E2710" t="s">
        <v>27</v>
      </c>
      <c r="F2710" t="s">
        <v>20</v>
      </c>
      <c r="G2710">
        <v>25486</v>
      </c>
      <c r="H2710">
        <v>20388.800000000003</v>
      </c>
      <c r="I2710" s="13">
        <v>0.33333333333333331</v>
      </c>
      <c r="J2710" t="s">
        <v>6207</v>
      </c>
      <c r="K2710">
        <v>4</v>
      </c>
      <c r="L2710">
        <v>1</v>
      </c>
      <c r="M2710" t="s">
        <v>0</v>
      </c>
      <c r="N2710" s="2">
        <v>0.56999999999999995</v>
      </c>
      <c r="O2710" s="2">
        <v>0.43</v>
      </c>
      <c r="P2710">
        <v>12</v>
      </c>
      <c r="Q2710">
        <v>13</v>
      </c>
      <c r="R2710">
        <v>10</v>
      </c>
      <c r="S2710">
        <v>5</v>
      </c>
      <c r="T2710">
        <v>15</v>
      </c>
      <c r="U2710">
        <v>9</v>
      </c>
      <c r="V2710">
        <v>2</v>
      </c>
      <c r="W2710">
        <v>1</v>
      </c>
      <c r="X2710">
        <v>0</v>
      </c>
      <c r="Y2710">
        <v>0</v>
      </c>
      <c r="Z2710">
        <v>0</v>
      </c>
    </row>
    <row r="2711" spans="1:26" x14ac:dyDescent="0.2">
      <c r="A2711" t="s">
        <v>2829</v>
      </c>
      <c r="B2711" t="s">
        <v>41</v>
      </c>
      <c r="C2711">
        <v>2016</v>
      </c>
      <c r="D2711" t="s">
        <v>51</v>
      </c>
      <c r="E2711" t="s">
        <v>35</v>
      </c>
      <c r="F2711" t="s">
        <v>20</v>
      </c>
      <c r="G2711">
        <v>36284</v>
      </c>
      <c r="H2711">
        <v>29027.200000000001</v>
      </c>
      <c r="I2711" s="13">
        <v>0.625</v>
      </c>
      <c r="J2711" t="s">
        <v>6207</v>
      </c>
      <c r="K2711">
        <v>1</v>
      </c>
      <c r="L2711">
        <v>0</v>
      </c>
      <c r="M2711" t="s">
        <v>0</v>
      </c>
      <c r="N2711" s="2">
        <v>0.74</v>
      </c>
      <c r="O2711" s="2">
        <v>0.26</v>
      </c>
      <c r="P2711">
        <v>16</v>
      </c>
      <c r="Q2711">
        <v>7</v>
      </c>
      <c r="R2711">
        <v>14</v>
      </c>
      <c r="S2711">
        <v>1</v>
      </c>
      <c r="T2711">
        <v>7</v>
      </c>
      <c r="U2711">
        <v>16</v>
      </c>
      <c r="V2711">
        <v>1</v>
      </c>
      <c r="W2711">
        <v>6</v>
      </c>
      <c r="X2711">
        <v>0</v>
      </c>
      <c r="Y2711">
        <v>1</v>
      </c>
      <c r="Z2711">
        <v>0</v>
      </c>
    </row>
    <row r="2712" spans="1:26" x14ac:dyDescent="0.2">
      <c r="A2712" t="s">
        <v>2830</v>
      </c>
      <c r="B2712" t="s">
        <v>41</v>
      </c>
      <c r="C2712">
        <v>2016</v>
      </c>
      <c r="D2712" t="s">
        <v>48</v>
      </c>
      <c r="E2712" t="s">
        <v>80</v>
      </c>
      <c r="F2712" t="s">
        <v>49</v>
      </c>
      <c r="G2712">
        <v>74197</v>
      </c>
      <c r="H2712">
        <v>59357.600000000006</v>
      </c>
      <c r="I2712" s="13">
        <v>0.5</v>
      </c>
      <c r="J2712" t="s">
        <v>6207</v>
      </c>
      <c r="K2712">
        <v>4</v>
      </c>
      <c r="L2712">
        <v>1</v>
      </c>
      <c r="M2712" t="s">
        <v>0</v>
      </c>
      <c r="N2712" s="2">
        <v>0.67</v>
      </c>
      <c r="O2712" s="2">
        <v>0.33</v>
      </c>
      <c r="P2712">
        <v>13</v>
      </c>
      <c r="Q2712">
        <v>12</v>
      </c>
      <c r="R2712">
        <v>8</v>
      </c>
      <c r="S2712">
        <v>6</v>
      </c>
      <c r="T2712">
        <v>9</v>
      </c>
      <c r="U2712">
        <v>12</v>
      </c>
      <c r="V2712">
        <v>0</v>
      </c>
      <c r="W2712">
        <v>2</v>
      </c>
      <c r="X2712">
        <v>0</v>
      </c>
      <c r="Y2712">
        <v>0</v>
      </c>
      <c r="Z2712">
        <v>0</v>
      </c>
    </row>
    <row r="2713" spans="1:26" x14ac:dyDescent="0.2">
      <c r="A2713" t="s">
        <v>2831</v>
      </c>
      <c r="B2713" t="s">
        <v>67</v>
      </c>
      <c r="C2713">
        <v>2016</v>
      </c>
      <c r="D2713" t="s">
        <v>71</v>
      </c>
      <c r="E2713" t="s">
        <v>40</v>
      </c>
      <c r="F2713" t="s">
        <v>71</v>
      </c>
      <c r="G2713">
        <v>21088</v>
      </c>
      <c r="H2713">
        <v>16870.400000000001</v>
      </c>
      <c r="I2713" s="13">
        <v>0.83333333333333337</v>
      </c>
      <c r="J2713" t="s">
        <v>6207</v>
      </c>
      <c r="K2713">
        <v>1</v>
      </c>
      <c r="L2713">
        <v>3</v>
      </c>
      <c r="M2713" t="s">
        <v>1</v>
      </c>
      <c r="N2713" s="2">
        <v>0.42</v>
      </c>
      <c r="O2713" s="2">
        <v>0.57999999999999996</v>
      </c>
      <c r="P2713">
        <v>12</v>
      </c>
      <c r="Q2713">
        <v>16</v>
      </c>
      <c r="R2713">
        <v>2</v>
      </c>
      <c r="S2713">
        <v>7</v>
      </c>
      <c r="T2713">
        <v>15</v>
      </c>
      <c r="U2713">
        <v>9</v>
      </c>
      <c r="V2713">
        <v>2</v>
      </c>
      <c r="W2713">
        <v>4</v>
      </c>
      <c r="X2713">
        <v>0</v>
      </c>
      <c r="Y2713">
        <v>0</v>
      </c>
      <c r="Z2713">
        <v>1</v>
      </c>
    </row>
    <row r="2714" spans="1:26" x14ac:dyDescent="0.2">
      <c r="A2714" t="s">
        <v>2832</v>
      </c>
      <c r="B2714" t="s">
        <v>61</v>
      </c>
      <c r="C2714">
        <v>2016</v>
      </c>
      <c r="D2714" t="s">
        <v>35</v>
      </c>
      <c r="E2714" t="s">
        <v>79</v>
      </c>
      <c r="F2714" t="s">
        <v>35</v>
      </c>
      <c r="G2714">
        <v>49000</v>
      </c>
      <c r="H2714">
        <v>39200</v>
      </c>
      <c r="I2714" s="13">
        <v>0.5</v>
      </c>
      <c r="J2714" t="s">
        <v>6207</v>
      </c>
      <c r="K2714">
        <v>2</v>
      </c>
      <c r="L2714">
        <v>3</v>
      </c>
      <c r="M2714" t="s">
        <v>1</v>
      </c>
      <c r="N2714" s="2">
        <v>0.46</v>
      </c>
      <c r="O2714" s="2">
        <v>0.54</v>
      </c>
      <c r="P2714">
        <v>14</v>
      </c>
      <c r="Q2714">
        <v>18</v>
      </c>
      <c r="R2714">
        <v>3</v>
      </c>
      <c r="S2714">
        <v>5</v>
      </c>
      <c r="T2714">
        <v>15</v>
      </c>
      <c r="U2714">
        <v>12</v>
      </c>
      <c r="V2714">
        <v>0</v>
      </c>
      <c r="W2714">
        <v>2</v>
      </c>
      <c r="X2714">
        <v>0</v>
      </c>
      <c r="Y2714">
        <v>0</v>
      </c>
      <c r="Z2714">
        <v>0</v>
      </c>
    </row>
    <row r="2715" spans="1:26" x14ac:dyDescent="0.2">
      <c r="A2715" t="s">
        <v>2833</v>
      </c>
      <c r="B2715" t="s">
        <v>32</v>
      </c>
      <c r="C2715">
        <v>2016</v>
      </c>
      <c r="D2715" t="s">
        <v>27</v>
      </c>
      <c r="E2715" t="s">
        <v>63</v>
      </c>
      <c r="F2715" t="s">
        <v>27</v>
      </c>
      <c r="G2715">
        <v>30089</v>
      </c>
      <c r="H2715">
        <v>24071.200000000001</v>
      </c>
      <c r="I2715" s="13">
        <v>0.5714285714285714</v>
      </c>
      <c r="J2715" t="s">
        <v>6207</v>
      </c>
      <c r="K2715">
        <v>1</v>
      </c>
      <c r="L2715">
        <v>1</v>
      </c>
      <c r="M2715" t="s">
        <v>58</v>
      </c>
      <c r="N2715" s="2">
        <v>0.56000000000000005</v>
      </c>
      <c r="O2715" s="2">
        <v>0.44</v>
      </c>
      <c r="P2715">
        <v>14</v>
      </c>
      <c r="Q2715">
        <v>10</v>
      </c>
      <c r="R2715">
        <v>6</v>
      </c>
      <c r="S2715">
        <v>6</v>
      </c>
      <c r="T2715">
        <v>9</v>
      </c>
      <c r="U2715">
        <v>13</v>
      </c>
      <c r="V2715">
        <v>3</v>
      </c>
      <c r="W2715">
        <v>4</v>
      </c>
      <c r="X2715">
        <v>0</v>
      </c>
      <c r="Y2715">
        <v>0</v>
      </c>
      <c r="Z2715">
        <v>0</v>
      </c>
    </row>
    <row r="2716" spans="1:26" x14ac:dyDescent="0.2">
      <c r="A2716" t="s">
        <v>2834</v>
      </c>
      <c r="B2716" t="s">
        <v>83</v>
      </c>
      <c r="C2716">
        <v>2016</v>
      </c>
      <c r="D2716" t="s">
        <v>87</v>
      </c>
      <c r="E2716" t="s">
        <v>51</v>
      </c>
      <c r="F2716" t="s">
        <v>87</v>
      </c>
      <c r="G2716">
        <v>34742</v>
      </c>
      <c r="H2716">
        <v>27793.600000000002</v>
      </c>
      <c r="I2716" s="13">
        <v>0.33333333333333331</v>
      </c>
      <c r="J2716" t="s">
        <v>6208</v>
      </c>
      <c r="K2716">
        <v>1</v>
      </c>
      <c r="L2716">
        <v>2</v>
      </c>
      <c r="M2716" t="s">
        <v>1</v>
      </c>
      <c r="N2716" s="2">
        <v>0.41</v>
      </c>
      <c r="O2716" s="2">
        <v>0.59</v>
      </c>
      <c r="P2716">
        <v>12</v>
      </c>
      <c r="Q2716">
        <v>13</v>
      </c>
      <c r="R2716">
        <v>2</v>
      </c>
      <c r="S2716">
        <v>10</v>
      </c>
      <c r="T2716">
        <v>14</v>
      </c>
      <c r="U2716">
        <v>9</v>
      </c>
      <c r="V2716">
        <v>2</v>
      </c>
      <c r="W2716">
        <v>1</v>
      </c>
      <c r="X2716">
        <v>0</v>
      </c>
      <c r="Y2716">
        <v>0</v>
      </c>
      <c r="Z2716">
        <v>0</v>
      </c>
    </row>
    <row r="2717" spans="1:26" x14ac:dyDescent="0.2">
      <c r="A2717" t="s">
        <v>2835</v>
      </c>
      <c r="B2717" t="s">
        <v>37</v>
      </c>
      <c r="C2717">
        <v>2016</v>
      </c>
      <c r="D2717" t="s">
        <v>26</v>
      </c>
      <c r="E2717" t="s">
        <v>19</v>
      </c>
      <c r="F2717" t="s">
        <v>26</v>
      </c>
      <c r="G2717">
        <v>61276</v>
      </c>
      <c r="H2717">
        <v>49020.800000000003</v>
      </c>
      <c r="I2717" s="13">
        <v>0.25</v>
      </c>
      <c r="J2717" t="s">
        <v>6206</v>
      </c>
      <c r="K2717">
        <v>5</v>
      </c>
      <c r="L2717">
        <v>1</v>
      </c>
      <c r="M2717" t="s">
        <v>0</v>
      </c>
      <c r="N2717" s="2">
        <v>0.74</v>
      </c>
      <c r="O2717" s="2">
        <v>0.26</v>
      </c>
      <c r="P2717">
        <v>7</v>
      </c>
      <c r="Q2717">
        <v>8</v>
      </c>
      <c r="R2717">
        <v>13</v>
      </c>
      <c r="S2717">
        <v>2</v>
      </c>
      <c r="T2717">
        <v>6</v>
      </c>
      <c r="U2717">
        <v>8</v>
      </c>
      <c r="V2717">
        <v>1</v>
      </c>
      <c r="W2717">
        <v>2</v>
      </c>
      <c r="X2717">
        <v>0</v>
      </c>
      <c r="Y2717">
        <v>1</v>
      </c>
      <c r="Z2717">
        <v>2</v>
      </c>
    </row>
    <row r="2718" spans="1:26" x14ac:dyDescent="0.2">
      <c r="A2718" t="s">
        <v>2836</v>
      </c>
      <c r="B2718" t="s">
        <v>77</v>
      </c>
      <c r="C2718">
        <v>2016</v>
      </c>
      <c r="D2718" t="s">
        <v>86</v>
      </c>
      <c r="E2718" t="s">
        <v>45</v>
      </c>
      <c r="F2718" t="s">
        <v>86</v>
      </c>
      <c r="G2718">
        <v>11364</v>
      </c>
      <c r="H2718">
        <v>9091.2000000000007</v>
      </c>
      <c r="I2718" s="13">
        <v>0.5</v>
      </c>
      <c r="J2718" t="s">
        <v>6207</v>
      </c>
      <c r="K2718">
        <v>1</v>
      </c>
      <c r="L2718">
        <v>0</v>
      </c>
      <c r="M2718" t="s">
        <v>0</v>
      </c>
      <c r="N2718" s="2">
        <v>0.53</v>
      </c>
      <c r="O2718" s="2">
        <v>0.47</v>
      </c>
      <c r="P2718">
        <v>16</v>
      </c>
      <c r="Q2718">
        <v>11</v>
      </c>
      <c r="R2718">
        <v>5</v>
      </c>
      <c r="S2718">
        <v>3</v>
      </c>
      <c r="T2718">
        <v>10</v>
      </c>
      <c r="U2718">
        <v>14</v>
      </c>
      <c r="V2718">
        <v>2</v>
      </c>
      <c r="W2718">
        <v>2</v>
      </c>
      <c r="X2718">
        <v>0</v>
      </c>
      <c r="Y2718">
        <v>0</v>
      </c>
      <c r="Z2718">
        <v>0</v>
      </c>
    </row>
    <row r="2719" spans="1:26" x14ac:dyDescent="0.2">
      <c r="A2719" t="s">
        <v>2837</v>
      </c>
      <c r="B2719" t="s">
        <v>66</v>
      </c>
      <c r="C2719">
        <v>2016</v>
      </c>
      <c r="D2719" t="s">
        <v>46</v>
      </c>
      <c r="E2719" t="s">
        <v>18</v>
      </c>
      <c r="F2719" t="s">
        <v>20</v>
      </c>
      <c r="G2719">
        <v>60704</v>
      </c>
      <c r="H2719">
        <v>48563.200000000004</v>
      </c>
      <c r="I2719" s="13">
        <v>1</v>
      </c>
      <c r="J2719" t="s">
        <v>6207</v>
      </c>
      <c r="K2719">
        <v>3</v>
      </c>
      <c r="L2719">
        <v>0</v>
      </c>
      <c r="M2719" t="s">
        <v>0</v>
      </c>
      <c r="N2719" s="2">
        <v>0.5</v>
      </c>
      <c r="O2719" s="2">
        <v>0.5</v>
      </c>
      <c r="P2719">
        <v>13</v>
      </c>
      <c r="Q2719">
        <v>14</v>
      </c>
      <c r="R2719">
        <v>9</v>
      </c>
      <c r="S2719">
        <v>1</v>
      </c>
      <c r="T2719">
        <v>9</v>
      </c>
      <c r="U2719">
        <v>11</v>
      </c>
      <c r="V2719">
        <v>0</v>
      </c>
      <c r="W2719">
        <v>2</v>
      </c>
      <c r="X2719">
        <v>0</v>
      </c>
      <c r="Y2719">
        <v>0</v>
      </c>
      <c r="Z2719">
        <v>0</v>
      </c>
    </row>
    <row r="2720" spans="1:26" x14ac:dyDescent="0.2">
      <c r="A2720" t="s">
        <v>2838</v>
      </c>
      <c r="B2720" t="s">
        <v>68</v>
      </c>
      <c r="C2720">
        <v>2016</v>
      </c>
      <c r="D2720" t="s">
        <v>23</v>
      </c>
      <c r="E2720" t="s">
        <v>73</v>
      </c>
      <c r="F2720" t="s">
        <v>20</v>
      </c>
      <c r="G2720">
        <v>62500</v>
      </c>
      <c r="H2720">
        <v>50000</v>
      </c>
      <c r="I2720" s="13">
        <v>0.7142857142857143</v>
      </c>
      <c r="J2720" t="s">
        <v>6207</v>
      </c>
      <c r="K2720">
        <v>0</v>
      </c>
      <c r="L2720">
        <v>3</v>
      </c>
      <c r="M2720" t="s">
        <v>1</v>
      </c>
      <c r="N2720" s="2">
        <v>0.45</v>
      </c>
      <c r="O2720" s="2">
        <v>0.55000000000000004</v>
      </c>
      <c r="P2720">
        <v>13</v>
      </c>
      <c r="Q2720">
        <v>8</v>
      </c>
      <c r="R2720">
        <v>6</v>
      </c>
      <c r="S2720">
        <v>2</v>
      </c>
      <c r="T2720">
        <v>9</v>
      </c>
      <c r="U2720">
        <v>14</v>
      </c>
      <c r="V2720">
        <v>5</v>
      </c>
      <c r="W2720">
        <v>2</v>
      </c>
      <c r="X2720">
        <v>0</v>
      </c>
      <c r="Y2720">
        <v>0</v>
      </c>
      <c r="Z2720">
        <v>0</v>
      </c>
    </row>
    <row r="2721" spans="1:26" x14ac:dyDescent="0.2">
      <c r="A2721" t="s">
        <v>2839</v>
      </c>
      <c r="B2721" t="s">
        <v>53</v>
      </c>
      <c r="C2721">
        <v>2016</v>
      </c>
      <c r="D2721" t="s">
        <v>28</v>
      </c>
      <c r="E2721" t="s">
        <v>85</v>
      </c>
      <c r="F2721" t="s">
        <v>28</v>
      </c>
      <c r="G2721">
        <v>21944</v>
      </c>
      <c r="H2721">
        <v>17555.2</v>
      </c>
      <c r="I2721" s="13">
        <v>0.75</v>
      </c>
      <c r="J2721" t="s">
        <v>6207</v>
      </c>
      <c r="K2721">
        <v>2</v>
      </c>
      <c r="L2721">
        <v>0</v>
      </c>
      <c r="M2721" t="s">
        <v>0</v>
      </c>
      <c r="N2721" s="2">
        <v>0.44</v>
      </c>
      <c r="O2721" s="2">
        <v>0.56000000000000005</v>
      </c>
      <c r="P2721">
        <v>14</v>
      </c>
      <c r="Q2721">
        <v>17</v>
      </c>
      <c r="R2721">
        <v>7</v>
      </c>
      <c r="S2721">
        <v>6</v>
      </c>
      <c r="T2721">
        <v>11</v>
      </c>
      <c r="U2721">
        <v>15</v>
      </c>
      <c r="V2721">
        <v>1</v>
      </c>
      <c r="W2721">
        <v>3</v>
      </c>
      <c r="X2721">
        <v>0</v>
      </c>
      <c r="Y2721">
        <v>0</v>
      </c>
      <c r="Z2721">
        <v>0</v>
      </c>
    </row>
    <row r="2722" spans="1:26" x14ac:dyDescent="0.2">
      <c r="A2722" t="s">
        <v>2840</v>
      </c>
      <c r="B2722" t="s">
        <v>68</v>
      </c>
      <c r="C2722">
        <v>2016</v>
      </c>
      <c r="D2722" t="s">
        <v>45</v>
      </c>
      <c r="E2722" t="s">
        <v>79</v>
      </c>
      <c r="F2722" t="s">
        <v>26</v>
      </c>
      <c r="G2722">
        <v>39572</v>
      </c>
      <c r="H2722">
        <v>31657.600000000002</v>
      </c>
      <c r="I2722" s="13">
        <v>0.55555555555555558</v>
      </c>
      <c r="J2722" t="s">
        <v>6207</v>
      </c>
      <c r="K2722">
        <v>1</v>
      </c>
      <c r="L2722">
        <v>1</v>
      </c>
      <c r="M2722" t="s">
        <v>58</v>
      </c>
      <c r="N2722" s="2">
        <v>0.56999999999999995</v>
      </c>
      <c r="O2722" s="2">
        <v>0.43</v>
      </c>
      <c r="P2722">
        <v>12</v>
      </c>
      <c r="Q2722">
        <v>19</v>
      </c>
      <c r="R2722">
        <v>10</v>
      </c>
      <c r="S2722">
        <v>9</v>
      </c>
      <c r="T2722">
        <v>16</v>
      </c>
      <c r="U2722">
        <v>11</v>
      </c>
      <c r="V2722">
        <v>5</v>
      </c>
      <c r="W2722">
        <v>4</v>
      </c>
      <c r="X2722">
        <v>0</v>
      </c>
      <c r="Y2722">
        <v>0</v>
      </c>
      <c r="Z2722">
        <v>0</v>
      </c>
    </row>
    <row r="2723" spans="1:26" x14ac:dyDescent="0.2">
      <c r="A2723" t="s">
        <v>2841</v>
      </c>
      <c r="B2723" t="s">
        <v>66</v>
      </c>
      <c r="C2723">
        <v>2016</v>
      </c>
      <c r="D2723" t="s">
        <v>71</v>
      </c>
      <c r="E2723" t="s">
        <v>26</v>
      </c>
      <c r="F2723" t="s">
        <v>71</v>
      </c>
      <c r="G2723">
        <v>21088</v>
      </c>
      <c r="H2723">
        <v>16870.400000000001</v>
      </c>
      <c r="I2723" s="13">
        <v>0</v>
      </c>
      <c r="J2723" t="s">
        <v>6207</v>
      </c>
      <c r="K2723">
        <v>1</v>
      </c>
      <c r="L2723">
        <v>2</v>
      </c>
      <c r="M2723" t="s">
        <v>1</v>
      </c>
      <c r="N2723" s="2">
        <v>0.41</v>
      </c>
      <c r="O2723" s="2">
        <v>0.59</v>
      </c>
      <c r="P2723">
        <v>11</v>
      </c>
      <c r="Q2723">
        <v>10</v>
      </c>
      <c r="R2723">
        <v>3</v>
      </c>
      <c r="S2723">
        <v>10</v>
      </c>
      <c r="T2723">
        <v>11</v>
      </c>
      <c r="U2723">
        <v>9</v>
      </c>
      <c r="V2723">
        <v>2</v>
      </c>
      <c r="W2723">
        <v>2</v>
      </c>
      <c r="X2723">
        <v>0</v>
      </c>
      <c r="Y2723">
        <v>0</v>
      </c>
      <c r="Z2723">
        <v>1</v>
      </c>
    </row>
    <row r="2724" spans="1:26" x14ac:dyDescent="0.2">
      <c r="A2724" t="s">
        <v>2842</v>
      </c>
      <c r="B2724" t="s">
        <v>67</v>
      </c>
      <c r="C2724">
        <v>2016</v>
      </c>
      <c r="D2724" t="s">
        <v>23</v>
      </c>
      <c r="E2724" t="s">
        <v>87</v>
      </c>
      <c r="F2724" t="s">
        <v>20</v>
      </c>
      <c r="G2724">
        <v>62500</v>
      </c>
      <c r="H2724">
        <v>50000</v>
      </c>
      <c r="I2724" s="13">
        <v>0.8</v>
      </c>
      <c r="J2724" t="s">
        <v>6207</v>
      </c>
      <c r="K2724">
        <v>1</v>
      </c>
      <c r="L2724">
        <v>1</v>
      </c>
      <c r="M2724" t="s">
        <v>58</v>
      </c>
      <c r="N2724" s="2">
        <v>0.4</v>
      </c>
      <c r="O2724" s="2">
        <v>0.6</v>
      </c>
      <c r="P2724">
        <v>14</v>
      </c>
      <c r="Q2724">
        <v>18</v>
      </c>
      <c r="R2724">
        <v>4</v>
      </c>
      <c r="S2724">
        <v>5</v>
      </c>
      <c r="T2724">
        <v>13</v>
      </c>
      <c r="U2724">
        <v>12</v>
      </c>
      <c r="V2724">
        <v>2</v>
      </c>
      <c r="W2724">
        <v>3</v>
      </c>
      <c r="X2724">
        <v>0</v>
      </c>
      <c r="Y2724">
        <v>0</v>
      </c>
      <c r="Z2724">
        <v>0</v>
      </c>
    </row>
    <row r="2725" spans="1:26" x14ac:dyDescent="0.2">
      <c r="A2725" t="s">
        <v>2843</v>
      </c>
      <c r="B2725" t="s">
        <v>41</v>
      </c>
      <c r="C2725">
        <v>2016</v>
      </c>
      <c r="D2725" t="s">
        <v>85</v>
      </c>
      <c r="E2725" t="s">
        <v>86</v>
      </c>
      <c r="F2725" t="s">
        <v>85</v>
      </c>
      <c r="G2725">
        <v>22220</v>
      </c>
      <c r="H2725">
        <v>17776</v>
      </c>
      <c r="I2725" s="13">
        <v>0.42857142857142855</v>
      </c>
      <c r="J2725" t="s">
        <v>6207</v>
      </c>
      <c r="K2725">
        <v>2</v>
      </c>
      <c r="L2725">
        <v>2</v>
      </c>
      <c r="M2725" t="s">
        <v>58</v>
      </c>
      <c r="N2725" s="2">
        <v>0.48</v>
      </c>
      <c r="O2725" s="2">
        <v>0.52</v>
      </c>
      <c r="P2725">
        <v>14</v>
      </c>
      <c r="Q2725">
        <v>17</v>
      </c>
      <c r="R2725">
        <v>4</v>
      </c>
      <c r="S2725">
        <v>5</v>
      </c>
      <c r="T2725">
        <v>17</v>
      </c>
      <c r="U2725">
        <v>12</v>
      </c>
      <c r="V2725">
        <v>3</v>
      </c>
      <c r="W2725">
        <v>4</v>
      </c>
      <c r="X2725">
        <v>0</v>
      </c>
      <c r="Y2725">
        <v>0</v>
      </c>
      <c r="Z2725">
        <v>0</v>
      </c>
    </row>
    <row r="2726" spans="1:26" x14ac:dyDescent="0.2">
      <c r="A2726" t="s">
        <v>2844</v>
      </c>
      <c r="B2726" t="s">
        <v>59</v>
      </c>
      <c r="C2726">
        <v>2016</v>
      </c>
      <c r="D2726" t="s">
        <v>35</v>
      </c>
      <c r="E2726" t="s">
        <v>63</v>
      </c>
      <c r="F2726" t="s">
        <v>35</v>
      </c>
      <c r="G2726">
        <v>49000</v>
      </c>
      <c r="H2726">
        <v>39200</v>
      </c>
      <c r="I2726" s="13">
        <v>0.75</v>
      </c>
      <c r="J2726" t="s">
        <v>6206</v>
      </c>
      <c r="K2726">
        <v>1</v>
      </c>
      <c r="L2726">
        <v>1</v>
      </c>
      <c r="M2726" t="s">
        <v>58</v>
      </c>
      <c r="N2726" s="2">
        <v>0.56000000000000005</v>
      </c>
      <c r="O2726" s="2">
        <v>0.44</v>
      </c>
      <c r="P2726">
        <v>14</v>
      </c>
      <c r="Q2726">
        <v>8</v>
      </c>
      <c r="R2726">
        <v>6</v>
      </c>
      <c r="S2726">
        <v>5</v>
      </c>
      <c r="T2726">
        <v>7</v>
      </c>
      <c r="U2726">
        <v>13</v>
      </c>
      <c r="V2726">
        <v>1</v>
      </c>
      <c r="W2726">
        <v>3</v>
      </c>
      <c r="X2726">
        <v>0</v>
      </c>
      <c r="Y2726">
        <v>0</v>
      </c>
      <c r="Z2726">
        <v>0</v>
      </c>
    </row>
    <row r="2727" spans="1:26" x14ac:dyDescent="0.2">
      <c r="A2727" t="s">
        <v>2845</v>
      </c>
      <c r="B2727" t="s">
        <v>61</v>
      </c>
      <c r="C2727">
        <v>2016</v>
      </c>
      <c r="D2727" t="s">
        <v>19</v>
      </c>
      <c r="E2727" t="s">
        <v>18</v>
      </c>
      <c r="F2727" t="s">
        <v>19</v>
      </c>
      <c r="G2727">
        <v>25586</v>
      </c>
      <c r="H2727">
        <v>20468.800000000003</v>
      </c>
      <c r="I2727" s="13">
        <v>0.5</v>
      </c>
      <c r="J2727" t="s">
        <v>6207</v>
      </c>
      <c r="K2727">
        <v>0</v>
      </c>
      <c r="L2727">
        <v>2</v>
      </c>
      <c r="M2727" t="s">
        <v>1</v>
      </c>
      <c r="N2727" s="2">
        <v>0.4</v>
      </c>
      <c r="O2727" s="2">
        <v>0.6</v>
      </c>
      <c r="P2727">
        <v>15</v>
      </c>
      <c r="Q2727">
        <v>14</v>
      </c>
      <c r="R2727">
        <v>5</v>
      </c>
      <c r="S2727">
        <v>7</v>
      </c>
      <c r="T2727">
        <v>13</v>
      </c>
      <c r="U2727">
        <v>15</v>
      </c>
      <c r="V2727">
        <v>2</v>
      </c>
      <c r="W2727">
        <v>2</v>
      </c>
      <c r="X2727">
        <v>0</v>
      </c>
      <c r="Y2727">
        <v>0</v>
      </c>
      <c r="Z2727">
        <v>0</v>
      </c>
    </row>
    <row r="2728" spans="1:26" x14ac:dyDescent="0.2">
      <c r="A2728" t="s">
        <v>2846</v>
      </c>
      <c r="B2728" t="s">
        <v>77</v>
      </c>
      <c r="C2728">
        <v>2016</v>
      </c>
      <c r="D2728" t="s">
        <v>48</v>
      </c>
      <c r="E2728" t="s">
        <v>27</v>
      </c>
      <c r="F2728" t="s">
        <v>49</v>
      </c>
      <c r="G2728">
        <v>74197</v>
      </c>
      <c r="H2728">
        <v>59357.600000000006</v>
      </c>
      <c r="I2728" s="13">
        <v>1</v>
      </c>
      <c r="J2728" t="s">
        <v>6207</v>
      </c>
      <c r="K2728">
        <v>1</v>
      </c>
      <c r="L2728">
        <v>1</v>
      </c>
      <c r="M2728" t="s">
        <v>58</v>
      </c>
      <c r="N2728" s="2">
        <v>0.67</v>
      </c>
      <c r="O2728" s="2">
        <v>0.33</v>
      </c>
      <c r="P2728">
        <v>10</v>
      </c>
      <c r="Q2728">
        <v>14</v>
      </c>
      <c r="R2728">
        <v>13</v>
      </c>
      <c r="S2728">
        <v>2</v>
      </c>
      <c r="T2728">
        <v>14</v>
      </c>
      <c r="U2728">
        <v>9</v>
      </c>
      <c r="V2728">
        <v>3</v>
      </c>
      <c r="W2728">
        <v>0</v>
      </c>
      <c r="X2728">
        <v>0</v>
      </c>
      <c r="Y2728">
        <v>0</v>
      </c>
      <c r="Z2728">
        <v>0</v>
      </c>
    </row>
    <row r="2729" spans="1:26" x14ac:dyDescent="0.2">
      <c r="A2729" t="s">
        <v>2847</v>
      </c>
      <c r="B2729" t="s">
        <v>37</v>
      </c>
      <c r="C2729">
        <v>2016</v>
      </c>
      <c r="D2729" t="s">
        <v>51</v>
      </c>
      <c r="E2729" t="s">
        <v>40</v>
      </c>
      <c r="F2729" t="s">
        <v>20</v>
      </c>
      <c r="G2729">
        <v>36284</v>
      </c>
      <c r="H2729">
        <v>29027.200000000001</v>
      </c>
      <c r="I2729" s="13">
        <v>0.5</v>
      </c>
      <c r="J2729" t="s">
        <v>6206</v>
      </c>
      <c r="K2729">
        <v>2</v>
      </c>
      <c r="L2729">
        <v>0</v>
      </c>
      <c r="M2729" t="s">
        <v>0</v>
      </c>
      <c r="N2729" s="2">
        <v>0.42</v>
      </c>
      <c r="O2729" s="2">
        <v>0.57999999999999996</v>
      </c>
      <c r="P2729">
        <v>14</v>
      </c>
      <c r="Q2729">
        <v>29</v>
      </c>
      <c r="R2729">
        <v>4</v>
      </c>
      <c r="S2729">
        <v>3</v>
      </c>
      <c r="T2729">
        <v>20</v>
      </c>
      <c r="U2729">
        <v>10</v>
      </c>
      <c r="V2729">
        <v>2</v>
      </c>
      <c r="W2729">
        <v>2</v>
      </c>
      <c r="X2729">
        <v>0</v>
      </c>
      <c r="Y2729">
        <v>0</v>
      </c>
      <c r="Z2729">
        <v>1</v>
      </c>
    </row>
    <row r="2730" spans="1:26" x14ac:dyDescent="0.2">
      <c r="A2730" t="s">
        <v>2848</v>
      </c>
      <c r="B2730" t="s">
        <v>32</v>
      </c>
      <c r="C2730">
        <v>2016</v>
      </c>
      <c r="D2730" t="s">
        <v>80</v>
      </c>
      <c r="E2730" t="s">
        <v>73</v>
      </c>
      <c r="F2730" t="s">
        <v>80</v>
      </c>
      <c r="G2730">
        <v>32261</v>
      </c>
      <c r="H2730">
        <v>25808.800000000003</v>
      </c>
      <c r="I2730" s="13">
        <v>1</v>
      </c>
      <c r="J2730" t="s">
        <v>6207</v>
      </c>
      <c r="K2730">
        <v>0</v>
      </c>
      <c r="L2730">
        <v>0</v>
      </c>
      <c r="M2730" t="s">
        <v>58</v>
      </c>
      <c r="N2730" s="2">
        <v>0.38</v>
      </c>
      <c r="O2730" s="2">
        <v>0.62</v>
      </c>
      <c r="P2730">
        <v>11</v>
      </c>
      <c r="Q2730">
        <v>10</v>
      </c>
      <c r="R2730">
        <v>3</v>
      </c>
      <c r="S2730">
        <v>6</v>
      </c>
      <c r="T2730">
        <v>9</v>
      </c>
      <c r="U2730">
        <v>9</v>
      </c>
      <c r="V2730">
        <v>1</v>
      </c>
      <c r="W2730">
        <v>0</v>
      </c>
      <c r="X2730">
        <v>0</v>
      </c>
      <c r="Y2730">
        <v>0</v>
      </c>
      <c r="Z2730">
        <v>0</v>
      </c>
    </row>
    <row r="2731" spans="1:26" x14ac:dyDescent="0.2">
      <c r="A2731" t="s">
        <v>2849</v>
      </c>
      <c r="B2731" t="s">
        <v>76</v>
      </c>
      <c r="C2731">
        <v>2016</v>
      </c>
      <c r="D2731" t="s">
        <v>28</v>
      </c>
      <c r="E2731" t="s">
        <v>46</v>
      </c>
      <c r="F2731" t="s">
        <v>28</v>
      </c>
      <c r="G2731">
        <v>21944</v>
      </c>
      <c r="H2731">
        <v>17555.2</v>
      </c>
      <c r="I2731" s="13">
        <v>0</v>
      </c>
      <c r="J2731" t="s">
        <v>6207</v>
      </c>
      <c r="K2731">
        <v>0</v>
      </c>
      <c r="L2731">
        <v>1</v>
      </c>
      <c r="M2731" t="s">
        <v>1</v>
      </c>
      <c r="N2731" s="2">
        <v>0.33</v>
      </c>
      <c r="O2731" s="2">
        <v>0.67</v>
      </c>
      <c r="P2731">
        <v>3</v>
      </c>
      <c r="Q2731">
        <v>6</v>
      </c>
      <c r="R2731">
        <v>2</v>
      </c>
      <c r="S2731">
        <v>6</v>
      </c>
      <c r="T2731">
        <v>2</v>
      </c>
      <c r="U2731">
        <v>3</v>
      </c>
      <c r="V2731">
        <v>0</v>
      </c>
      <c r="W2731">
        <v>0</v>
      </c>
      <c r="X2731">
        <v>0</v>
      </c>
      <c r="Y2731">
        <v>0</v>
      </c>
      <c r="Z2731">
        <v>0</v>
      </c>
    </row>
    <row r="2732" spans="1:26" x14ac:dyDescent="0.2">
      <c r="A2732" t="s">
        <v>2850</v>
      </c>
      <c r="B2732" t="s">
        <v>37</v>
      </c>
      <c r="C2732">
        <v>2016</v>
      </c>
      <c r="D2732" t="s">
        <v>18</v>
      </c>
      <c r="E2732" t="s">
        <v>80</v>
      </c>
      <c r="F2732" t="s">
        <v>20</v>
      </c>
      <c r="G2732">
        <v>40341</v>
      </c>
      <c r="H2732">
        <v>32272.800000000003</v>
      </c>
      <c r="I2732" s="13">
        <v>1</v>
      </c>
      <c r="J2732" t="s">
        <v>6206</v>
      </c>
      <c r="K2732">
        <v>3</v>
      </c>
      <c r="L2732">
        <v>0</v>
      </c>
      <c r="M2732" t="s">
        <v>0</v>
      </c>
      <c r="N2732" s="2">
        <v>0.55000000000000004</v>
      </c>
      <c r="O2732" s="2">
        <v>0.45</v>
      </c>
      <c r="P2732">
        <v>13</v>
      </c>
      <c r="Q2732">
        <v>6</v>
      </c>
      <c r="R2732">
        <v>8</v>
      </c>
      <c r="S2732">
        <v>5</v>
      </c>
      <c r="T2732">
        <v>6</v>
      </c>
      <c r="U2732">
        <v>12</v>
      </c>
      <c r="V2732">
        <v>1</v>
      </c>
      <c r="W2732">
        <v>1</v>
      </c>
      <c r="X2732">
        <v>0</v>
      </c>
      <c r="Y2732">
        <v>0</v>
      </c>
      <c r="Z2732">
        <v>0</v>
      </c>
    </row>
    <row r="2733" spans="1:26" x14ac:dyDescent="0.2">
      <c r="A2733" t="s">
        <v>2851</v>
      </c>
      <c r="B2733" t="s">
        <v>60</v>
      </c>
      <c r="C2733">
        <v>2016</v>
      </c>
      <c r="D2733" t="s">
        <v>63</v>
      </c>
      <c r="E2733" t="s">
        <v>51</v>
      </c>
      <c r="F2733" t="s">
        <v>65</v>
      </c>
      <c r="G2733">
        <v>26804</v>
      </c>
      <c r="H2733">
        <v>21443.200000000001</v>
      </c>
      <c r="I2733" s="13">
        <v>0.75</v>
      </c>
      <c r="J2733" t="s">
        <v>6208</v>
      </c>
      <c r="K2733">
        <v>1</v>
      </c>
      <c r="L2733">
        <v>1</v>
      </c>
      <c r="M2733" t="s">
        <v>58</v>
      </c>
      <c r="N2733" s="2">
        <v>0.28999999999999998</v>
      </c>
      <c r="O2733" s="2">
        <v>0.71</v>
      </c>
      <c r="P2733">
        <v>12</v>
      </c>
      <c r="Q2733">
        <v>15</v>
      </c>
      <c r="R2733">
        <v>5</v>
      </c>
      <c r="S2733">
        <v>8</v>
      </c>
      <c r="T2733">
        <v>14</v>
      </c>
      <c r="U2733">
        <v>10</v>
      </c>
      <c r="V2733">
        <v>2</v>
      </c>
      <c r="W2733">
        <v>2</v>
      </c>
      <c r="X2733">
        <v>0</v>
      </c>
      <c r="Y2733">
        <v>0</v>
      </c>
      <c r="Z2733">
        <v>0</v>
      </c>
    </row>
    <row r="2734" spans="1:26" x14ac:dyDescent="0.2">
      <c r="A2734" t="s">
        <v>2852</v>
      </c>
      <c r="B2734" t="s">
        <v>53</v>
      </c>
      <c r="C2734">
        <v>2016</v>
      </c>
      <c r="D2734" t="s">
        <v>27</v>
      </c>
      <c r="E2734" t="s">
        <v>35</v>
      </c>
      <c r="F2734" t="s">
        <v>27</v>
      </c>
      <c r="G2734">
        <v>30089</v>
      </c>
      <c r="H2734">
        <v>24071.200000000001</v>
      </c>
      <c r="I2734" s="13">
        <v>1</v>
      </c>
      <c r="J2734" t="s">
        <v>6207</v>
      </c>
      <c r="K2734">
        <v>2</v>
      </c>
      <c r="L2734">
        <v>0</v>
      </c>
      <c r="M2734" t="s">
        <v>0</v>
      </c>
      <c r="N2734" s="2">
        <v>0.56999999999999995</v>
      </c>
      <c r="O2734" s="2">
        <v>0.43</v>
      </c>
      <c r="P2734">
        <v>15</v>
      </c>
      <c r="Q2734">
        <v>11</v>
      </c>
      <c r="R2734">
        <v>6</v>
      </c>
      <c r="S2734">
        <v>4</v>
      </c>
      <c r="T2734">
        <v>10</v>
      </c>
      <c r="U2734">
        <v>13</v>
      </c>
      <c r="V2734">
        <v>1</v>
      </c>
      <c r="W2734">
        <v>1</v>
      </c>
      <c r="X2734">
        <v>0</v>
      </c>
      <c r="Y2734">
        <v>0</v>
      </c>
      <c r="Z2734">
        <v>0</v>
      </c>
    </row>
    <row r="2735" spans="1:26" x14ac:dyDescent="0.2">
      <c r="A2735" t="s">
        <v>2853</v>
      </c>
      <c r="B2735" t="s">
        <v>66</v>
      </c>
      <c r="C2735">
        <v>2016</v>
      </c>
      <c r="D2735" t="s">
        <v>40</v>
      </c>
      <c r="E2735" t="s">
        <v>45</v>
      </c>
      <c r="F2735" t="s">
        <v>49</v>
      </c>
      <c r="G2735">
        <v>53400</v>
      </c>
      <c r="H2735">
        <v>42720</v>
      </c>
      <c r="I2735" s="13">
        <v>0.5</v>
      </c>
      <c r="J2735" t="s">
        <v>6207</v>
      </c>
      <c r="K2735">
        <v>1</v>
      </c>
      <c r="L2735">
        <v>1</v>
      </c>
      <c r="M2735" t="s">
        <v>58</v>
      </c>
      <c r="N2735" s="2">
        <v>0.73</v>
      </c>
      <c r="O2735" s="2">
        <v>0.27</v>
      </c>
      <c r="P2735">
        <v>13</v>
      </c>
      <c r="Q2735">
        <v>7</v>
      </c>
      <c r="R2735">
        <v>13</v>
      </c>
      <c r="S2735">
        <v>1</v>
      </c>
      <c r="T2735">
        <v>7</v>
      </c>
      <c r="U2735">
        <v>9</v>
      </c>
      <c r="V2735">
        <v>0</v>
      </c>
      <c r="W2735">
        <v>2</v>
      </c>
      <c r="X2735">
        <v>0</v>
      </c>
      <c r="Y2735">
        <v>0</v>
      </c>
      <c r="Z2735">
        <v>2</v>
      </c>
    </row>
    <row r="2736" spans="1:26" x14ac:dyDescent="0.2">
      <c r="A2736" t="s">
        <v>2854</v>
      </c>
      <c r="B2736" t="s">
        <v>50</v>
      </c>
      <c r="C2736">
        <v>2016</v>
      </c>
      <c r="D2736" t="s">
        <v>86</v>
      </c>
      <c r="E2736" t="s">
        <v>19</v>
      </c>
      <c r="F2736" t="s">
        <v>86</v>
      </c>
      <c r="G2736">
        <v>11364</v>
      </c>
      <c r="H2736">
        <v>9091.2000000000007</v>
      </c>
      <c r="I2736" s="13">
        <v>0</v>
      </c>
      <c r="J2736" t="s">
        <v>6207</v>
      </c>
      <c r="K2736">
        <v>6</v>
      </c>
      <c r="L2736">
        <v>1</v>
      </c>
      <c r="M2736" t="s">
        <v>0</v>
      </c>
      <c r="N2736" s="2">
        <v>0.49</v>
      </c>
      <c r="O2736" s="2">
        <v>0.51</v>
      </c>
      <c r="P2736">
        <v>14</v>
      </c>
      <c r="Q2736">
        <v>8</v>
      </c>
      <c r="R2736">
        <v>5</v>
      </c>
      <c r="S2736">
        <v>4</v>
      </c>
      <c r="T2736">
        <v>8</v>
      </c>
      <c r="U2736">
        <v>14</v>
      </c>
      <c r="V2736">
        <v>0</v>
      </c>
      <c r="W2736">
        <v>3</v>
      </c>
      <c r="X2736">
        <v>0</v>
      </c>
      <c r="Y2736">
        <v>0</v>
      </c>
      <c r="Z2736">
        <v>1</v>
      </c>
    </row>
    <row r="2737" spans="1:26" x14ac:dyDescent="0.2">
      <c r="A2737" t="s">
        <v>2855</v>
      </c>
      <c r="B2737" t="s">
        <v>68</v>
      </c>
      <c r="C2737">
        <v>2016</v>
      </c>
      <c r="D2737" t="s">
        <v>46</v>
      </c>
      <c r="E2737" t="s">
        <v>71</v>
      </c>
      <c r="F2737" t="s">
        <v>20</v>
      </c>
      <c r="G2737">
        <v>60704</v>
      </c>
      <c r="H2737">
        <v>48563.200000000004</v>
      </c>
      <c r="I2737" s="13">
        <v>0.5</v>
      </c>
      <c r="J2737" t="s">
        <v>6207</v>
      </c>
      <c r="K2737">
        <v>3</v>
      </c>
      <c r="L2737">
        <v>2</v>
      </c>
      <c r="M2737" t="s">
        <v>0</v>
      </c>
      <c r="N2737" s="2">
        <v>0.49</v>
      </c>
      <c r="O2737" s="2">
        <v>0.51</v>
      </c>
      <c r="P2737">
        <v>12</v>
      </c>
      <c r="Q2737">
        <v>16</v>
      </c>
      <c r="R2737">
        <v>5</v>
      </c>
      <c r="S2737">
        <v>6</v>
      </c>
      <c r="T2737">
        <v>7</v>
      </c>
      <c r="U2737">
        <v>10</v>
      </c>
      <c r="V2737">
        <v>0</v>
      </c>
      <c r="W2737">
        <v>1</v>
      </c>
      <c r="X2737">
        <v>1</v>
      </c>
      <c r="Y2737">
        <v>0</v>
      </c>
      <c r="Z2737">
        <v>0</v>
      </c>
    </row>
    <row r="2738" spans="1:26" x14ac:dyDescent="0.2">
      <c r="A2738" t="s">
        <v>2856</v>
      </c>
      <c r="B2738" t="s">
        <v>32</v>
      </c>
      <c r="C2738">
        <v>2016</v>
      </c>
      <c r="D2738" t="s">
        <v>79</v>
      </c>
      <c r="E2738" t="s">
        <v>23</v>
      </c>
      <c r="F2738" t="s">
        <v>20</v>
      </c>
      <c r="G2738">
        <v>25486</v>
      </c>
      <c r="H2738">
        <v>20388.800000000003</v>
      </c>
      <c r="I2738" s="13">
        <v>0.5</v>
      </c>
      <c r="J2738" t="s">
        <v>6207</v>
      </c>
      <c r="K2738">
        <v>0</v>
      </c>
      <c r="L2738">
        <v>1</v>
      </c>
      <c r="M2738" t="s">
        <v>1</v>
      </c>
      <c r="N2738" s="2">
        <v>0.56000000000000005</v>
      </c>
      <c r="O2738" s="2">
        <v>0.44</v>
      </c>
      <c r="P2738">
        <v>13</v>
      </c>
      <c r="Q2738">
        <v>13</v>
      </c>
      <c r="R2738">
        <v>7</v>
      </c>
      <c r="S2738">
        <v>6</v>
      </c>
      <c r="T2738">
        <v>12</v>
      </c>
      <c r="U2738">
        <v>13</v>
      </c>
      <c r="V2738">
        <v>1</v>
      </c>
      <c r="W2738">
        <v>4</v>
      </c>
      <c r="X2738">
        <v>0</v>
      </c>
      <c r="Y2738">
        <v>1</v>
      </c>
      <c r="Z2738">
        <v>1</v>
      </c>
    </row>
    <row r="2739" spans="1:26" x14ac:dyDescent="0.2">
      <c r="A2739" t="s">
        <v>2857</v>
      </c>
      <c r="B2739" t="s">
        <v>74</v>
      </c>
      <c r="C2739">
        <v>2016</v>
      </c>
      <c r="D2739" t="s">
        <v>87</v>
      </c>
      <c r="E2739" t="s">
        <v>85</v>
      </c>
      <c r="F2739" t="s">
        <v>87</v>
      </c>
      <c r="G2739">
        <v>34742</v>
      </c>
      <c r="H2739">
        <v>27793.600000000002</v>
      </c>
      <c r="I2739" s="13">
        <v>0.8</v>
      </c>
      <c r="J2739" t="s">
        <v>6208</v>
      </c>
      <c r="K2739">
        <v>0</v>
      </c>
      <c r="L2739">
        <v>1</v>
      </c>
      <c r="M2739" t="s">
        <v>1</v>
      </c>
      <c r="N2739" s="2">
        <v>0.64</v>
      </c>
      <c r="O2739" s="2">
        <v>0.36</v>
      </c>
      <c r="P2739">
        <v>11</v>
      </c>
      <c r="Q2739">
        <v>15</v>
      </c>
      <c r="R2739">
        <v>4</v>
      </c>
      <c r="S2739">
        <v>6</v>
      </c>
      <c r="T2739">
        <v>15</v>
      </c>
      <c r="U2739">
        <v>10</v>
      </c>
      <c r="V2739">
        <v>4</v>
      </c>
      <c r="W2739">
        <v>1</v>
      </c>
      <c r="X2739">
        <v>0</v>
      </c>
      <c r="Y2739">
        <v>0</v>
      </c>
      <c r="Z2739">
        <v>0</v>
      </c>
    </row>
    <row r="2740" spans="1:26" x14ac:dyDescent="0.2">
      <c r="A2740" t="s">
        <v>2858</v>
      </c>
      <c r="B2740" t="s">
        <v>41</v>
      </c>
      <c r="C2740">
        <v>2016</v>
      </c>
      <c r="D2740" t="s">
        <v>73</v>
      </c>
      <c r="E2740" t="s">
        <v>28</v>
      </c>
      <c r="F2740" t="s">
        <v>73</v>
      </c>
      <c r="G2740">
        <v>32384</v>
      </c>
      <c r="H2740">
        <v>25907.200000000001</v>
      </c>
      <c r="I2740" s="13">
        <v>0.66666666666666663</v>
      </c>
      <c r="J2740" t="s">
        <v>6207</v>
      </c>
      <c r="K2740">
        <v>3</v>
      </c>
      <c r="L2740">
        <v>1</v>
      </c>
      <c r="M2740" t="s">
        <v>0</v>
      </c>
      <c r="N2740" s="2">
        <v>0.65</v>
      </c>
      <c r="O2740" s="2">
        <v>0.35</v>
      </c>
      <c r="P2740">
        <v>11</v>
      </c>
      <c r="Q2740">
        <v>10</v>
      </c>
      <c r="R2740">
        <v>8</v>
      </c>
      <c r="S2740">
        <v>4</v>
      </c>
      <c r="T2740">
        <v>11</v>
      </c>
      <c r="U2740">
        <v>10</v>
      </c>
      <c r="V2740">
        <v>1</v>
      </c>
      <c r="W2740">
        <v>2</v>
      </c>
      <c r="X2740">
        <v>0</v>
      </c>
      <c r="Y2740">
        <v>0</v>
      </c>
      <c r="Z2740">
        <v>2</v>
      </c>
    </row>
    <row r="2741" spans="1:26" x14ac:dyDescent="0.2">
      <c r="A2741" t="s">
        <v>2859</v>
      </c>
      <c r="B2741" t="s">
        <v>61</v>
      </c>
      <c r="C2741">
        <v>2016</v>
      </c>
      <c r="D2741" t="s">
        <v>26</v>
      </c>
      <c r="E2741" t="s">
        <v>48</v>
      </c>
      <c r="F2741" t="s">
        <v>26</v>
      </c>
      <c r="G2741">
        <v>61276</v>
      </c>
      <c r="H2741">
        <v>49020.800000000003</v>
      </c>
      <c r="I2741" s="13">
        <v>0.75</v>
      </c>
      <c r="J2741" t="s">
        <v>6207</v>
      </c>
      <c r="K2741">
        <v>0</v>
      </c>
      <c r="L2741">
        <v>0</v>
      </c>
      <c r="M2741" t="s">
        <v>58</v>
      </c>
      <c r="N2741" s="2">
        <v>0.65</v>
      </c>
      <c r="O2741" s="2">
        <v>0.35</v>
      </c>
      <c r="P2741">
        <v>25</v>
      </c>
      <c r="Q2741">
        <v>16</v>
      </c>
      <c r="R2741">
        <v>3</v>
      </c>
      <c r="S2741">
        <v>1</v>
      </c>
      <c r="T2741">
        <v>14</v>
      </c>
      <c r="U2741">
        <v>20</v>
      </c>
      <c r="V2741">
        <v>0</v>
      </c>
      <c r="W2741">
        <v>4</v>
      </c>
      <c r="X2741">
        <v>0</v>
      </c>
      <c r="Y2741">
        <v>0</v>
      </c>
      <c r="Z2741">
        <v>0</v>
      </c>
    </row>
    <row r="2742" spans="1:26" x14ac:dyDescent="0.2">
      <c r="A2742" t="s">
        <v>2860</v>
      </c>
      <c r="B2742" t="s">
        <v>76</v>
      </c>
      <c r="C2742">
        <v>2016</v>
      </c>
      <c r="D2742" t="s">
        <v>86</v>
      </c>
      <c r="E2742" t="s">
        <v>51</v>
      </c>
      <c r="F2742" t="s">
        <v>86</v>
      </c>
      <c r="G2742">
        <v>11364</v>
      </c>
      <c r="H2742">
        <v>9091.2000000000007</v>
      </c>
      <c r="I2742" s="13">
        <v>0.5</v>
      </c>
      <c r="J2742" t="s">
        <v>6207</v>
      </c>
      <c r="K2742">
        <v>0</v>
      </c>
      <c r="L2742">
        <v>0</v>
      </c>
      <c r="M2742" t="s">
        <v>58</v>
      </c>
      <c r="N2742" s="2">
        <v>0.38</v>
      </c>
      <c r="O2742" s="2">
        <v>0.62</v>
      </c>
      <c r="P2742">
        <v>18</v>
      </c>
      <c r="Q2742">
        <v>12</v>
      </c>
      <c r="R2742">
        <v>7</v>
      </c>
      <c r="S2742">
        <v>4</v>
      </c>
      <c r="T2742">
        <v>10</v>
      </c>
      <c r="U2742">
        <v>15</v>
      </c>
      <c r="V2742">
        <v>2</v>
      </c>
      <c r="W2742">
        <v>4</v>
      </c>
      <c r="X2742">
        <v>0</v>
      </c>
      <c r="Y2742">
        <v>0</v>
      </c>
      <c r="Z2742">
        <v>0</v>
      </c>
    </row>
    <row r="2743" spans="1:26" x14ac:dyDescent="0.2">
      <c r="A2743" t="s">
        <v>2861</v>
      </c>
      <c r="B2743" t="s">
        <v>77</v>
      </c>
      <c r="C2743">
        <v>2016</v>
      </c>
      <c r="D2743" t="s">
        <v>23</v>
      </c>
      <c r="E2743" t="s">
        <v>35</v>
      </c>
      <c r="F2743" t="s">
        <v>20</v>
      </c>
      <c r="G2743">
        <v>62500</v>
      </c>
      <c r="H2743">
        <v>50000</v>
      </c>
      <c r="I2743" s="13">
        <v>0.8571428571428571</v>
      </c>
      <c r="J2743" t="s">
        <v>6207</v>
      </c>
      <c r="K2743">
        <v>1</v>
      </c>
      <c r="L2743">
        <v>0</v>
      </c>
      <c r="M2743" t="s">
        <v>0</v>
      </c>
      <c r="N2743" s="2">
        <v>0.65</v>
      </c>
      <c r="O2743" s="2">
        <v>0.35</v>
      </c>
      <c r="P2743">
        <v>14</v>
      </c>
      <c r="Q2743">
        <v>13</v>
      </c>
      <c r="R2743">
        <v>6</v>
      </c>
      <c r="S2743">
        <v>2</v>
      </c>
      <c r="T2743">
        <v>10</v>
      </c>
      <c r="U2743">
        <v>13</v>
      </c>
      <c r="V2743">
        <v>2</v>
      </c>
      <c r="W2743">
        <v>5</v>
      </c>
      <c r="X2743">
        <v>0</v>
      </c>
      <c r="Y2743">
        <v>0</v>
      </c>
      <c r="Z2743">
        <v>0</v>
      </c>
    </row>
    <row r="2744" spans="1:26" x14ac:dyDescent="0.2">
      <c r="A2744" t="s">
        <v>2862</v>
      </c>
      <c r="B2744" t="s">
        <v>81</v>
      </c>
      <c r="C2744">
        <v>2016</v>
      </c>
      <c r="D2744" t="s">
        <v>71</v>
      </c>
      <c r="E2744" t="s">
        <v>85</v>
      </c>
      <c r="F2744" t="s">
        <v>71</v>
      </c>
      <c r="G2744">
        <v>21088</v>
      </c>
      <c r="H2744">
        <v>16870.400000000001</v>
      </c>
      <c r="I2744" s="13">
        <v>0.66666666666666663</v>
      </c>
      <c r="J2744" t="s">
        <v>6207</v>
      </c>
      <c r="K2744">
        <v>0</v>
      </c>
      <c r="L2744">
        <v>0</v>
      </c>
      <c r="M2744" t="s">
        <v>58</v>
      </c>
      <c r="N2744" s="2">
        <v>0.54</v>
      </c>
      <c r="O2744" s="2">
        <v>0.46</v>
      </c>
      <c r="P2744">
        <v>21</v>
      </c>
      <c r="Q2744">
        <v>15</v>
      </c>
      <c r="R2744">
        <v>7</v>
      </c>
      <c r="S2744">
        <v>2</v>
      </c>
      <c r="T2744">
        <v>15</v>
      </c>
      <c r="U2744">
        <v>16</v>
      </c>
      <c r="V2744">
        <v>2</v>
      </c>
      <c r="W2744">
        <v>1</v>
      </c>
      <c r="X2744">
        <v>0</v>
      </c>
      <c r="Y2744">
        <v>0</v>
      </c>
      <c r="Z2744">
        <v>0</v>
      </c>
    </row>
    <row r="2745" spans="1:26" x14ac:dyDescent="0.2">
      <c r="A2745" t="s">
        <v>2863</v>
      </c>
      <c r="B2745" t="s">
        <v>66</v>
      </c>
      <c r="C2745">
        <v>2016</v>
      </c>
      <c r="D2745" t="s">
        <v>80</v>
      </c>
      <c r="E2745" t="s">
        <v>79</v>
      </c>
      <c r="F2745" t="s">
        <v>80</v>
      </c>
      <c r="G2745">
        <v>32261</v>
      </c>
      <c r="H2745">
        <v>25808.800000000003</v>
      </c>
      <c r="I2745" s="13">
        <v>0</v>
      </c>
      <c r="J2745" t="s">
        <v>6207</v>
      </c>
      <c r="K2745">
        <v>3</v>
      </c>
      <c r="L2745">
        <v>1</v>
      </c>
      <c r="M2745" t="s">
        <v>0</v>
      </c>
      <c r="N2745" s="2">
        <v>0.45</v>
      </c>
      <c r="O2745" s="2">
        <v>0.55000000000000004</v>
      </c>
      <c r="P2745">
        <v>11</v>
      </c>
      <c r="Q2745">
        <v>11</v>
      </c>
      <c r="R2745">
        <v>7</v>
      </c>
      <c r="S2745">
        <v>8</v>
      </c>
      <c r="T2745">
        <v>10</v>
      </c>
      <c r="U2745">
        <v>8</v>
      </c>
      <c r="V2745">
        <v>0</v>
      </c>
      <c r="W2745">
        <v>0</v>
      </c>
      <c r="X2745">
        <v>0</v>
      </c>
      <c r="Y2745">
        <v>0</v>
      </c>
      <c r="Z2745">
        <v>0</v>
      </c>
    </row>
    <row r="2746" spans="1:26" x14ac:dyDescent="0.2">
      <c r="A2746" t="s">
        <v>2864</v>
      </c>
      <c r="B2746" t="s">
        <v>60</v>
      </c>
      <c r="C2746">
        <v>2016</v>
      </c>
      <c r="D2746" t="s">
        <v>19</v>
      </c>
      <c r="E2746" t="s">
        <v>27</v>
      </c>
      <c r="F2746" t="s">
        <v>19</v>
      </c>
      <c r="G2746">
        <v>25586</v>
      </c>
      <c r="H2746">
        <v>20468.800000000003</v>
      </c>
      <c r="I2746" s="13">
        <v>0.2</v>
      </c>
      <c r="J2746" t="s">
        <v>6208</v>
      </c>
      <c r="K2746">
        <v>0</v>
      </c>
      <c r="L2746">
        <v>2</v>
      </c>
      <c r="M2746" t="s">
        <v>1</v>
      </c>
      <c r="N2746" s="2">
        <v>0.49</v>
      </c>
      <c r="O2746" s="2">
        <v>0.51</v>
      </c>
      <c r="P2746">
        <v>8</v>
      </c>
      <c r="Q2746">
        <v>17</v>
      </c>
      <c r="R2746">
        <v>5</v>
      </c>
      <c r="S2746">
        <v>7</v>
      </c>
      <c r="T2746">
        <v>16</v>
      </c>
      <c r="U2746">
        <v>8</v>
      </c>
      <c r="V2746">
        <v>2</v>
      </c>
      <c r="W2746">
        <v>3</v>
      </c>
      <c r="X2746">
        <v>0</v>
      </c>
      <c r="Y2746">
        <v>0</v>
      </c>
      <c r="Z2746">
        <v>0</v>
      </c>
    </row>
    <row r="2747" spans="1:26" x14ac:dyDescent="0.2">
      <c r="A2747" t="s">
        <v>2865</v>
      </c>
      <c r="B2747" t="s">
        <v>53</v>
      </c>
      <c r="C2747">
        <v>2016</v>
      </c>
      <c r="D2747" t="s">
        <v>28</v>
      </c>
      <c r="E2747" t="s">
        <v>45</v>
      </c>
      <c r="F2747" t="s">
        <v>28</v>
      </c>
      <c r="G2747">
        <v>21944</v>
      </c>
      <c r="H2747">
        <v>17555.2</v>
      </c>
      <c r="I2747" s="13">
        <v>0.8</v>
      </c>
      <c r="J2747" t="s">
        <v>6207</v>
      </c>
      <c r="K2747">
        <v>2</v>
      </c>
      <c r="L2747">
        <v>1</v>
      </c>
      <c r="M2747" t="s">
        <v>0</v>
      </c>
      <c r="N2747" s="2">
        <v>0.34</v>
      </c>
      <c r="O2747" s="2">
        <v>0.66</v>
      </c>
      <c r="P2747">
        <v>15</v>
      </c>
      <c r="Q2747">
        <v>17</v>
      </c>
      <c r="R2747">
        <v>2</v>
      </c>
      <c r="S2747">
        <v>8</v>
      </c>
      <c r="T2747">
        <v>16</v>
      </c>
      <c r="U2747">
        <v>15</v>
      </c>
      <c r="V2747">
        <v>2</v>
      </c>
      <c r="W2747">
        <v>3</v>
      </c>
      <c r="X2747">
        <v>0</v>
      </c>
      <c r="Y2747">
        <v>0</v>
      </c>
      <c r="Z2747">
        <v>0</v>
      </c>
    </row>
    <row r="2748" spans="1:26" x14ac:dyDescent="0.2">
      <c r="A2748" t="s">
        <v>2866</v>
      </c>
      <c r="B2748" t="s">
        <v>41</v>
      </c>
      <c r="C2748">
        <v>2016</v>
      </c>
      <c r="D2748" t="s">
        <v>46</v>
      </c>
      <c r="E2748" t="s">
        <v>87</v>
      </c>
      <c r="F2748" t="s">
        <v>20</v>
      </c>
      <c r="G2748">
        <v>60704</v>
      </c>
      <c r="H2748">
        <v>48563.200000000004</v>
      </c>
      <c r="I2748" s="13">
        <v>1</v>
      </c>
      <c r="J2748" t="s">
        <v>6207</v>
      </c>
      <c r="K2748">
        <v>0</v>
      </c>
      <c r="L2748">
        <v>0</v>
      </c>
      <c r="M2748" t="s">
        <v>58</v>
      </c>
      <c r="N2748" s="2">
        <v>0.75</v>
      </c>
      <c r="O2748" s="2">
        <v>0.25</v>
      </c>
      <c r="P2748">
        <v>15</v>
      </c>
      <c r="Q2748">
        <v>11</v>
      </c>
      <c r="R2748">
        <v>8</v>
      </c>
      <c r="S2748">
        <v>3</v>
      </c>
      <c r="T2748">
        <v>6</v>
      </c>
      <c r="U2748">
        <v>13</v>
      </c>
      <c r="V2748">
        <v>1</v>
      </c>
      <c r="W2748">
        <v>0</v>
      </c>
      <c r="X2748">
        <v>0</v>
      </c>
      <c r="Y2748">
        <v>0</v>
      </c>
      <c r="Z2748">
        <v>0</v>
      </c>
    </row>
    <row r="2749" spans="1:26" x14ac:dyDescent="0.2">
      <c r="A2749" t="s">
        <v>2867</v>
      </c>
      <c r="B2749" t="s">
        <v>67</v>
      </c>
      <c r="C2749">
        <v>2016</v>
      </c>
      <c r="D2749" t="s">
        <v>26</v>
      </c>
      <c r="E2749" t="s">
        <v>63</v>
      </c>
      <c r="F2749" t="s">
        <v>26</v>
      </c>
      <c r="G2749">
        <v>61276</v>
      </c>
      <c r="H2749">
        <v>49020.800000000003</v>
      </c>
      <c r="I2749" s="13">
        <v>0.5</v>
      </c>
      <c r="J2749" t="s">
        <v>6207</v>
      </c>
      <c r="K2749">
        <v>2</v>
      </c>
      <c r="L2749">
        <v>1</v>
      </c>
      <c r="M2749" t="s">
        <v>0</v>
      </c>
      <c r="N2749" s="2">
        <v>0.68</v>
      </c>
      <c r="O2749" s="2">
        <v>0.32</v>
      </c>
      <c r="P2749">
        <v>16</v>
      </c>
      <c r="Q2749">
        <v>12</v>
      </c>
      <c r="R2749">
        <v>3</v>
      </c>
      <c r="S2749">
        <v>2</v>
      </c>
      <c r="T2749">
        <v>9</v>
      </c>
      <c r="U2749">
        <v>13</v>
      </c>
      <c r="V2749">
        <v>1</v>
      </c>
      <c r="W2749">
        <v>3</v>
      </c>
      <c r="X2749">
        <v>0</v>
      </c>
      <c r="Y2749">
        <v>0</v>
      </c>
      <c r="Z2749">
        <v>0</v>
      </c>
    </row>
    <row r="2750" spans="1:26" x14ac:dyDescent="0.2">
      <c r="A2750" t="s">
        <v>2868</v>
      </c>
      <c r="B2750" t="s">
        <v>44</v>
      </c>
      <c r="C2750">
        <v>2016</v>
      </c>
      <c r="D2750" t="s">
        <v>40</v>
      </c>
      <c r="E2750" t="s">
        <v>73</v>
      </c>
      <c r="F2750" t="s">
        <v>49</v>
      </c>
      <c r="G2750">
        <v>53400</v>
      </c>
      <c r="H2750">
        <v>42720</v>
      </c>
      <c r="I2750" s="13">
        <v>0.83333333333333337</v>
      </c>
      <c r="J2750" t="s">
        <v>6207</v>
      </c>
      <c r="K2750">
        <v>1</v>
      </c>
      <c r="L2750">
        <v>1</v>
      </c>
      <c r="M2750" t="s">
        <v>58</v>
      </c>
      <c r="N2750" s="2">
        <v>0.65</v>
      </c>
      <c r="O2750" s="2">
        <v>0.35</v>
      </c>
      <c r="P2750">
        <v>14</v>
      </c>
      <c r="Q2750">
        <v>11</v>
      </c>
      <c r="R2750">
        <v>10</v>
      </c>
      <c r="S2750">
        <v>3</v>
      </c>
      <c r="T2750">
        <v>11</v>
      </c>
      <c r="U2750">
        <v>10</v>
      </c>
      <c r="V2750">
        <v>3</v>
      </c>
      <c r="W2750">
        <v>3</v>
      </c>
      <c r="X2750">
        <v>0</v>
      </c>
      <c r="Y2750">
        <v>0</v>
      </c>
      <c r="Z2750">
        <v>0</v>
      </c>
    </row>
    <row r="2751" spans="1:26" x14ac:dyDescent="0.2">
      <c r="A2751" t="s">
        <v>2869</v>
      </c>
      <c r="B2751" t="s">
        <v>32</v>
      </c>
      <c r="C2751">
        <v>2016</v>
      </c>
      <c r="D2751" t="s">
        <v>18</v>
      </c>
      <c r="E2751" t="s">
        <v>48</v>
      </c>
      <c r="F2751" t="s">
        <v>20</v>
      </c>
      <c r="G2751">
        <v>40341</v>
      </c>
      <c r="H2751">
        <v>32272.800000000003</v>
      </c>
      <c r="I2751" s="13">
        <v>1</v>
      </c>
      <c r="J2751" t="s">
        <v>6207</v>
      </c>
      <c r="K2751">
        <v>4</v>
      </c>
      <c r="L2751">
        <v>0</v>
      </c>
      <c r="M2751" t="s">
        <v>0</v>
      </c>
      <c r="N2751" s="2">
        <v>0.44</v>
      </c>
      <c r="O2751" s="2">
        <v>0.56000000000000005</v>
      </c>
      <c r="P2751">
        <v>20</v>
      </c>
      <c r="Q2751">
        <v>9</v>
      </c>
      <c r="R2751">
        <v>5</v>
      </c>
      <c r="S2751">
        <v>7</v>
      </c>
      <c r="T2751">
        <v>7</v>
      </c>
      <c r="U2751">
        <v>17</v>
      </c>
      <c r="V2751">
        <v>3</v>
      </c>
      <c r="W2751">
        <v>2</v>
      </c>
      <c r="X2751">
        <v>0</v>
      </c>
      <c r="Y2751">
        <v>0</v>
      </c>
      <c r="Z2751">
        <v>0</v>
      </c>
    </row>
    <row r="2752" spans="1:26" x14ac:dyDescent="0.2">
      <c r="A2752" t="s">
        <v>2870</v>
      </c>
      <c r="B2752" t="s">
        <v>32</v>
      </c>
      <c r="C2752">
        <v>2016</v>
      </c>
      <c r="D2752" t="s">
        <v>35</v>
      </c>
      <c r="E2752" t="s">
        <v>46</v>
      </c>
      <c r="F2752" t="s">
        <v>35</v>
      </c>
      <c r="G2752">
        <v>49000</v>
      </c>
      <c r="H2752">
        <v>39200</v>
      </c>
      <c r="I2752" s="13">
        <v>0.8571428571428571</v>
      </c>
      <c r="J2752" t="s">
        <v>6207</v>
      </c>
      <c r="K2752">
        <v>1</v>
      </c>
      <c r="L2752">
        <v>4</v>
      </c>
      <c r="M2752" t="s">
        <v>1</v>
      </c>
      <c r="N2752" s="2">
        <v>0.34</v>
      </c>
      <c r="O2752" s="2">
        <v>0.66</v>
      </c>
      <c r="P2752">
        <v>13</v>
      </c>
      <c r="Q2752">
        <v>15</v>
      </c>
      <c r="R2752">
        <v>0</v>
      </c>
      <c r="S2752">
        <v>8</v>
      </c>
      <c r="T2752">
        <v>9</v>
      </c>
      <c r="U2752">
        <v>13</v>
      </c>
      <c r="V2752">
        <v>4</v>
      </c>
      <c r="W2752">
        <v>3</v>
      </c>
      <c r="X2752">
        <v>0</v>
      </c>
      <c r="Y2752">
        <v>0</v>
      </c>
      <c r="Z2752">
        <v>1</v>
      </c>
    </row>
    <row r="2753" spans="1:26" x14ac:dyDescent="0.2">
      <c r="A2753" t="s">
        <v>2871</v>
      </c>
      <c r="B2753" t="s">
        <v>50</v>
      </c>
      <c r="C2753">
        <v>2016</v>
      </c>
      <c r="D2753" t="s">
        <v>63</v>
      </c>
      <c r="E2753" t="s">
        <v>40</v>
      </c>
      <c r="F2753" t="s">
        <v>65</v>
      </c>
      <c r="G2753">
        <v>26804</v>
      </c>
      <c r="H2753">
        <v>21443.200000000001</v>
      </c>
      <c r="I2753" s="13">
        <v>0.7142857142857143</v>
      </c>
      <c r="J2753" t="s">
        <v>6207</v>
      </c>
      <c r="K2753">
        <v>0</v>
      </c>
      <c r="L2753">
        <v>4</v>
      </c>
      <c r="M2753" t="s">
        <v>1</v>
      </c>
      <c r="N2753" s="2">
        <v>0.3</v>
      </c>
      <c r="O2753" s="2">
        <v>0.7</v>
      </c>
      <c r="P2753">
        <v>13</v>
      </c>
      <c r="Q2753">
        <v>20</v>
      </c>
      <c r="R2753">
        <v>1</v>
      </c>
      <c r="S2753">
        <v>7</v>
      </c>
      <c r="T2753">
        <v>17</v>
      </c>
      <c r="U2753">
        <v>10</v>
      </c>
      <c r="V2753">
        <v>4</v>
      </c>
      <c r="W2753">
        <v>3</v>
      </c>
      <c r="X2753">
        <v>0</v>
      </c>
      <c r="Y2753">
        <v>0</v>
      </c>
      <c r="Z2753">
        <v>0</v>
      </c>
    </row>
    <row r="2754" spans="1:26" x14ac:dyDescent="0.2">
      <c r="A2754" t="s">
        <v>2872</v>
      </c>
      <c r="B2754" t="s">
        <v>68</v>
      </c>
      <c r="C2754">
        <v>2016</v>
      </c>
      <c r="D2754" t="s">
        <v>85</v>
      </c>
      <c r="E2754" t="s">
        <v>19</v>
      </c>
      <c r="F2754" t="s">
        <v>85</v>
      </c>
      <c r="G2754">
        <v>22220</v>
      </c>
      <c r="H2754">
        <v>17776</v>
      </c>
      <c r="I2754" s="13">
        <v>0.33333333333333331</v>
      </c>
      <c r="J2754" t="s">
        <v>6207</v>
      </c>
      <c r="K2754">
        <v>1</v>
      </c>
      <c r="L2754">
        <v>0</v>
      </c>
      <c r="M2754" t="s">
        <v>0</v>
      </c>
      <c r="N2754" s="2">
        <v>0.54</v>
      </c>
      <c r="O2754" s="2">
        <v>0.46</v>
      </c>
      <c r="P2754">
        <v>8</v>
      </c>
      <c r="Q2754">
        <v>7</v>
      </c>
      <c r="R2754">
        <v>7</v>
      </c>
      <c r="S2754">
        <v>2</v>
      </c>
      <c r="T2754">
        <v>13</v>
      </c>
      <c r="U2754">
        <v>8</v>
      </c>
      <c r="V2754">
        <v>1</v>
      </c>
      <c r="W2754">
        <v>2</v>
      </c>
      <c r="X2754">
        <v>0</v>
      </c>
      <c r="Y2754">
        <v>0</v>
      </c>
      <c r="Z2754">
        <v>0</v>
      </c>
    </row>
    <row r="2755" spans="1:26" x14ac:dyDescent="0.2">
      <c r="A2755" t="s">
        <v>2873</v>
      </c>
      <c r="B2755" t="s">
        <v>77</v>
      </c>
      <c r="C2755">
        <v>2016</v>
      </c>
      <c r="D2755" t="s">
        <v>51</v>
      </c>
      <c r="E2755" t="s">
        <v>80</v>
      </c>
      <c r="F2755" t="s">
        <v>20</v>
      </c>
      <c r="G2755">
        <v>36284</v>
      </c>
      <c r="H2755">
        <v>29027.200000000001</v>
      </c>
      <c r="I2755" s="13">
        <v>0.42857142857142855</v>
      </c>
      <c r="J2755" t="s">
        <v>6207</v>
      </c>
      <c r="K2755">
        <v>1</v>
      </c>
      <c r="L2755">
        <v>1</v>
      </c>
      <c r="M2755" t="s">
        <v>58</v>
      </c>
      <c r="N2755" s="2">
        <v>0.64</v>
      </c>
      <c r="O2755" s="2">
        <v>0.36</v>
      </c>
      <c r="P2755">
        <v>19</v>
      </c>
      <c r="Q2755">
        <v>13</v>
      </c>
      <c r="R2755">
        <v>8</v>
      </c>
      <c r="S2755">
        <v>1</v>
      </c>
      <c r="T2755">
        <v>11</v>
      </c>
      <c r="U2755">
        <v>20</v>
      </c>
      <c r="V2755">
        <v>3</v>
      </c>
      <c r="W2755">
        <v>4</v>
      </c>
      <c r="X2755">
        <v>0</v>
      </c>
      <c r="Y2755">
        <v>0</v>
      </c>
      <c r="Z2755">
        <v>1</v>
      </c>
    </row>
    <row r="2756" spans="1:26" x14ac:dyDescent="0.2">
      <c r="A2756" t="s">
        <v>2874</v>
      </c>
      <c r="B2756" t="s">
        <v>59</v>
      </c>
      <c r="C2756">
        <v>2016</v>
      </c>
      <c r="D2756" t="s">
        <v>87</v>
      </c>
      <c r="E2756" t="s">
        <v>86</v>
      </c>
      <c r="F2756" t="s">
        <v>87</v>
      </c>
      <c r="G2756">
        <v>34742</v>
      </c>
      <c r="H2756">
        <v>27793.600000000002</v>
      </c>
      <c r="I2756" s="13">
        <v>0.33333333333333331</v>
      </c>
      <c r="J2756" t="s">
        <v>6206</v>
      </c>
      <c r="K2756">
        <v>2</v>
      </c>
      <c r="L2756">
        <v>0</v>
      </c>
      <c r="M2756" t="s">
        <v>0</v>
      </c>
      <c r="N2756" s="2">
        <v>0.4</v>
      </c>
      <c r="O2756" s="2">
        <v>0.6</v>
      </c>
      <c r="P2756">
        <v>6</v>
      </c>
      <c r="Q2756">
        <v>7</v>
      </c>
      <c r="R2756">
        <v>4</v>
      </c>
      <c r="S2756">
        <v>9</v>
      </c>
      <c r="T2756">
        <v>7</v>
      </c>
      <c r="U2756">
        <v>7</v>
      </c>
      <c r="V2756">
        <v>2</v>
      </c>
      <c r="W2756">
        <v>1</v>
      </c>
      <c r="X2756">
        <v>0</v>
      </c>
      <c r="Y2756">
        <v>0</v>
      </c>
      <c r="Z2756">
        <v>0</v>
      </c>
    </row>
    <row r="2757" spans="1:26" x14ac:dyDescent="0.2">
      <c r="A2757" t="s">
        <v>2875</v>
      </c>
      <c r="B2757" t="s">
        <v>44</v>
      </c>
      <c r="C2757">
        <v>2016</v>
      </c>
      <c r="D2757" t="s">
        <v>48</v>
      </c>
      <c r="E2757" t="s">
        <v>28</v>
      </c>
      <c r="F2757" t="s">
        <v>49</v>
      </c>
      <c r="G2757">
        <v>74197</v>
      </c>
      <c r="H2757">
        <v>59357.600000000006</v>
      </c>
      <c r="I2757" s="13">
        <v>0.33333333333333331</v>
      </c>
      <c r="J2757" t="s">
        <v>6207</v>
      </c>
      <c r="K2757">
        <v>0</v>
      </c>
      <c r="L2757">
        <v>0</v>
      </c>
      <c r="M2757" t="s">
        <v>58</v>
      </c>
      <c r="N2757" s="2">
        <v>0.72</v>
      </c>
      <c r="O2757" s="2">
        <v>0.28000000000000003</v>
      </c>
      <c r="P2757">
        <v>11</v>
      </c>
      <c r="Q2757">
        <v>12</v>
      </c>
      <c r="R2757">
        <v>19</v>
      </c>
      <c r="S2757">
        <v>1</v>
      </c>
      <c r="T2757">
        <v>12</v>
      </c>
      <c r="U2757">
        <v>9</v>
      </c>
      <c r="V2757">
        <v>2</v>
      </c>
      <c r="W2757">
        <v>3</v>
      </c>
      <c r="X2757">
        <v>1</v>
      </c>
      <c r="Y2757">
        <v>0</v>
      </c>
      <c r="Z2757">
        <v>0</v>
      </c>
    </row>
    <row r="2758" spans="1:26" x14ac:dyDescent="0.2">
      <c r="A2758" t="s">
        <v>2876</v>
      </c>
      <c r="B2758" t="s">
        <v>37</v>
      </c>
      <c r="C2758">
        <v>2016</v>
      </c>
      <c r="D2758" t="s">
        <v>79</v>
      </c>
      <c r="E2758" t="s">
        <v>26</v>
      </c>
      <c r="F2758" t="s">
        <v>20</v>
      </c>
      <c r="G2758">
        <v>25486</v>
      </c>
      <c r="H2758">
        <v>20388.800000000003</v>
      </c>
      <c r="I2758" s="13">
        <v>1</v>
      </c>
      <c r="J2758" t="s">
        <v>6206</v>
      </c>
      <c r="K2758">
        <v>2</v>
      </c>
      <c r="L2758">
        <v>4</v>
      </c>
      <c r="M2758" t="s">
        <v>1</v>
      </c>
      <c r="N2758" s="2">
        <v>0.44</v>
      </c>
      <c r="O2758" s="2">
        <v>0.56000000000000005</v>
      </c>
      <c r="P2758">
        <v>6</v>
      </c>
      <c r="Q2758">
        <v>19</v>
      </c>
      <c r="R2758">
        <v>3</v>
      </c>
      <c r="S2758">
        <v>3</v>
      </c>
      <c r="T2758">
        <v>15</v>
      </c>
      <c r="U2758">
        <v>5</v>
      </c>
      <c r="V2758">
        <v>1</v>
      </c>
      <c r="W2758">
        <v>2</v>
      </c>
      <c r="X2758">
        <v>0</v>
      </c>
      <c r="Y2758">
        <v>0</v>
      </c>
      <c r="Z2758">
        <v>0</v>
      </c>
    </row>
    <row r="2759" spans="1:26" x14ac:dyDescent="0.2">
      <c r="A2759" t="s">
        <v>2877</v>
      </c>
      <c r="B2759" t="s">
        <v>61</v>
      </c>
      <c r="C2759">
        <v>2016</v>
      </c>
      <c r="D2759" t="s">
        <v>45</v>
      </c>
      <c r="E2759" t="s">
        <v>23</v>
      </c>
      <c r="F2759" t="s">
        <v>26</v>
      </c>
      <c r="G2759">
        <v>39572</v>
      </c>
      <c r="H2759">
        <v>31657.600000000002</v>
      </c>
      <c r="I2759" s="13">
        <v>1</v>
      </c>
      <c r="J2759" t="s">
        <v>6207</v>
      </c>
      <c r="K2759">
        <v>2</v>
      </c>
      <c r="L2759">
        <v>0</v>
      </c>
      <c r="M2759" t="s">
        <v>0</v>
      </c>
      <c r="N2759" s="2">
        <v>0.49</v>
      </c>
      <c r="O2759" s="2">
        <v>0.51</v>
      </c>
      <c r="P2759">
        <v>13</v>
      </c>
      <c r="Q2759">
        <v>18</v>
      </c>
      <c r="R2759">
        <v>8</v>
      </c>
      <c r="S2759">
        <v>8</v>
      </c>
      <c r="T2759">
        <v>15</v>
      </c>
      <c r="U2759">
        <v>12</v>
      </c>
      <c r="V2759">
        <v>2</v>
      </c>
      <c r="W2759">
        <v>3</v>
      </c>
      <c r="X2759">
        <v>0</v>
      </c>
      <c r="Y2759">
        <v>0</v>
      </c>
      <c r="Z2759">
        <v>0</v>
      </c>
    </row>
    <row r="2760" spans="1:26" x14ac:dyDescent="0.2">
      <c r="A2760" t="s">
        <v>2878</v>
      </c>
      <c r="B2760" t="s">
        <v>53</v>
      </c>
      <c r="C2760">
        <v>2016</v>
      </c>
      <c r="D2760" t="s">
        <v>73</v>
      </c>
      <c r="E2760" t="s">
        <v>18</v>
      </c>
      <c r="F2760" t="s">
        <v>73</v>
      </c>
      <c r="G2760">
        <v>32384</v>
      </c>
      <c r="H2760">
        <v>25907.200000000001</v>
      </c>
      <c r="I2760" s="13">
        <v>0</v>
      </c>
      <c r="J2760" t="s">
        <v>6207</v>
      </c>
      <c r="K2760">
        <v>0</v>
      </c>
      <c r="L2760">
        <v>2</v>
      </c>
      <c r="M2760" t="s">
        <v>1</v>
      </c>
      <c r="N2760" s="2">
        <v>0.55000000000000004</v>
      </c>
      <c r="O2760" s="2">
        <v>0.45</v>
      </c>
      <c r="P2760">
        <v>16</v>
      </c>
      <c r="Q2760">
        <v>15</v>
      </c>
      <c r="R2760">
        <v>7</v>
      </c>
      <c r="S2760">
        <v>3</v>
      </c>
      <c r="T2760">
        <v>13</v>
      </c>
      <c r="U2760">
        <v>16</v>
      </c>
      <c r="V2760">
        <v>0</v>
      </c>
      <c r="W2760">
        <v>0</v>
      </c>
      <c r="X2760">
        <v>0</v>
      </c>
      <c r="Y2760">
        <v>0</v>
      </c>
      <c r="Z2760">
        <v>0</v>
      </c>
    </row>
    <row r="2761" spans="1:26" x14ac:dyDescent="0.2">
      <c r="A2761" t="s">
        <v>2879</v>
      </c>
      <c r="B2761" t="s">
        <v>66</v>
      </c>
      <c r="C2761">
        <v>2016</v>
      </c>
      <c r="D2761" t="s">
        <v>27</v>
      </c>
      <c r="E2761" t="s">
        <v>71</v>
      </c>
      <c r="F2761" t="s">
        <v>27</v>
      </c>
      <c r="G2761">
        <v>30089</v>
      </c>
      <c r="H2761">
        <v>24071.200000000001</v>
      </c>
      <c r="I2761" s="13">
        <v>1</v>
      </c>
      <c r="J2761" t="s">
        <v>6207</v>
      </c>
      <c r="K2761">
        <v>3</v>
      </c>
      <c r="L2761">
        <v>1</v>
      </c>
      <c r="M2761" t="s">
        <v>0</v>
      </c>
      <c r="N2761" s="2">
        <v>0.46</v>
      </c>
      <c r="O2761" s="2">
        <v>0.54</v>
      </c>
      <c r="P2761">
        <v>15</v>
      </c>
      <c r="Q2761">
        <v>8</v>
      </c>
      <c r="R2761">
        <v>6</v>
      </c>
      <c r="S2761">
        <v>4</v>
      </c>
      <c r="T2761">
        <v>7</v>
      </c>
      <c r="U2761">
        <v>14</v>
      </c>
      <c r="V2761">
        <v>2</v>
      </c>
      <c r="W2761">
        <v>0</v>
      </c>
      <c r="X2761">
        <v>0</v>
      </c>
      <c r="Y2761">
        <v>0</v>
      </c>
      <c r="Z2761">
        <v>0</v>
      </c>
    </row>
    <row r="2762" spans="1:26" x14ac:dyDescent="0.2">
      <c r="A2762" t="s">
        <v>2880</v>
      </c>
      <c r="B2762" t="s">
        <v>37</v>
      </c>
      <c r="C2762">
        <v>2016</v>
      </c>
      <c r="D2762" t="s">
        <v>23</v>
      </c>
      <c r="E2762" t="s">
        <v>27</v>
      </c>
      <c r="F2762" t="s">
        <v>20</v>
      </c>
      <c r="G2762">
        <v>62500</v>
      </c>
      <c r="H2762">
        <v>50000</v>
      </c>
      <c r="I2762" s="13">
        <v>0.6</v>
      </c>
      <c r="J2762" t="s">
        <v>6206</v>
      </c>
      <c r="K2762">
        <v>1</v>
      </c>
      <c r="L2762">
        <v>1</v>
      </c>
      <c r="M2762" t="s">
        <v>58</v>
      </c>
      <c r="N2762" s="2">
        <v>0.57999999999999996</v>
      </c>
      <c r="O2762" s="2">
        <v>0.42</v>
      </c>
      <c r="P2762">
        <v>11</v>
      </c>
      <c r="Q2762">
        <v>15</v>
      </c>
      <c r="R2762">
        <v>6</v>
      </c>
      <c r="S2762">
        <v>4</v>
      </c>
      <c r="T2762">
        <v>11</v>
      </c>
      <c r="U2762">
        <v>10</v>
      </c>
      <c r="V2762">
        <v>4</v>
      </c>
      <c r="W2762">
        <v>1</v>
      </c>
      <c r="X2762">
        <v>0</v>
      </c>
      <c r="Y2762">
        <v>0</v>
      </c>
      <c r="Z2762">
        <v>0</v>
      </c>
    </row>
    <row r="2763" spans="1:26" x14ac:dyDescent="0.2">
      <c r="A2763" t="s">
        <v>2881</v>
      </c>
      <c r="B2763" t="s">
        <v>60</v>
      </c>
      <c r="C2763">
        <v>2016</v>
      </c>
      <c r="D2763" t="s">
        <v>40</v>
      </c>
      <c r="E2763" t="s">
        <v>87</v>
      </c>
      <c r="F2763" t="s">
        <v>49</v>
      </c>
      <c r="G2763">
        <v>53400</v>
      </c>
      <c r="H2763">
        <v>42720</v>
      </c>
      <c r="I2763" s="13">
        <v>0.25</v>
      </c>
      <c r="J2763" t="s">
        <v>6208</v>
      </c>
      <c r="K2763">
        <v>1</v>
      </c>
      <c r="L2763">
        <v>1</v>
      </c>
      <c r="M2763" t="s">
        <v>58</v>
      </c>
      <c r="N2763" s="2">
        <v>0.71</v>
      </c>
      <c r="O2763" s="2">
        <v>0.28999999999999998</v>
      </c>
      <c r="P2763">
        <v>17</v>
      </c>
      <c r="Q2763">
        <v>11</v>
      </c>
      <c r="R2763">
        <v>8</v>
      </c>
      <c r="S2763">
        <v>2</v>
      </c>
      <c r="T2763">
        <v>7</v>
      </c>
      <c r="U2763">
        <v>15</v>
      </c>
      <c r="V2763">
        <v>1</v>
      </c>
      <c r="W2763">
        <v>3</v>
      </c>
      <c r="X2763">
        <v>0</v>
      </c>
      <c r="Y2763">
        <v>0</v>
      </c>
      <c r="Z2763">
        <v>0</v>
      </c>
    </row>
    <row r="2764" spans="1:26" x14ac:dyDescent="0.2">
      <c r="A2764" t="s">
        <v>2882</v>
      </c>
      <c r="B2764" t="s">
        <v>61</v>
      </c>
      <c r="C2764">
        <v>2016</v>
      </c>
      <c r="D2764" t="s">
        <v>28</v>
      </c>
      <c r="E2764" t="s">
        <v>79</v>
      </c>
      <c r="F2764" t="s">
        <v>28</v>
      </c>
      <c r="G2764">
        <v>21944</v>
      </c>
      <c r="H2764">
        <v>17555.2</v>
      </c>
      <c r="I2764" s="13">
        <v>0.33333333333333331</v>
      </c>
      <c r="J2764" t="s">
        <v>6207</v>
      </c>
      <c r="K2764">
        <v>3</v>
      </c>
      <c r="L2764">
        <v>2</v>
      </c>
      <c r="M2764" t="s">
        <v>0</v>
      </c>
      <c r="N2764" s="2">
        <v>0.38</v>
      </c>
      <c r="O2764" s="2">
        <v>0.62</v>
      </c>
      <c r="P2764">
        <v>15</v>
      </c>
      <c r="Q2764">
        <v>13</v>
      </c>
      <c r="R2764">
        <v>4</v>
      </c>
      <c r="S2764">
        <v>7</v>
      </c>
      <c r="T2764">
        <v>11</v>
      </c>
      <c r="U2764">
        <v>12</v>
      </c>
      <c r="V2764">
        <v>1</v>
      </c>
      <c r="W2764">
        <v>2</v>
      </c>
      <c r="X2764">
        <v>0</v>
      </c>
      <c r="Y2764">
        <v>0</v>
      </c>
      <c r="Z2764">
        <v>1</v>
      </c>
    </row>
    <row r="2765" spans="1:26" x14ac:dyDescent="0.2">
      <c r="A2765" t="s">
        <v>2883</v>
      </c>
      <c r="B2765" t="s">
        <v>41</v>
      </c>
      <c r="C2765">
        <v>2016</v>
      </c>
      <c r="D2765" t="s">
        <v>86</v>
      </c>
      <c r="E2765" t="s">
        <v>35</v>
      </c>
      <c r="F2765" t="s">
        <v>86</v>
      </c>
      <c r="G2765">
        <v>11364</v>
      </c>
      <c r="H2765">
        <v>9091.2000000000007</v>
      </c>
      <c r="I2765" s="13">
        <v>0.7142857142857143</v>
      </c>
      <c r="J2765" t="s">
        <v>6207</v>
      </c>
      <c r="K2765">
        <v>1</v>
      </c>
      <c r="L2765">
        <v>2</v>
      </c>
      <c r="M2765" t="s">
        <v>1</v>
      </c>
      <c r="N2765" s="2">
        <v>0.7</v>
      </c>
      <c r="O2765" s="2">
        <v>0.3</v>
      </c>
      <c r="P2765">
        <v>19</v>
      </c>
      <c r="Q2765">
        <v>14</v>
      </c>
      <c r="R2765">
        <v>12</v>
      </c>
      <c r="S2765">
        <v>2</v>
      </c>
      <c r="T2765">
        <v>14</v>
      </c>
      <c r="U2765">
        <v>17</v>
      </c>
      <c r="V2765">
        <v>3</v>
      </c>
      <c r="W2765">
        <v>3</v>
      </c>
      <c r="X2765">
        <v>0</v>
      </c>
      <c r="Y2765">
        <v>1</v>
      </c>
      <c r="Z2765">
        <v>1</v>
      </c>
    </row>
    <row r="2766" spans="1:26" x14ac:dyDescent="0.2">
      <c r="A2766" t="s">
        <v>2884</v>
      </c>
      <c r="B2766" t="s">
        <v>77</v>
      </c>
      <c r="C2766">
        <v>2016</v>
      </c>
      <c r="D2766" t="s">
        <v>18</v>
      </c>
      <c r="E2766" t="s">
        <v>45</v>
      </c>
      <c r="F2766" t="s">
        <v>20</v>
      </c>
      <c r="G2766">
        <v>40341</v>
      </c>
      <c r="H2766">
        <v>32272.800000000003</v>
      </c>
      <c r="I2766" s="13">
        <v>0.33333333333333331</v>
      </c>
      <c r="J2766" t="s">
        <v>6207</v>
      </c>
      <c r="K2766">
        <v>5</v>
      </c>
      <c r="L2766">
        <v>0</v>
      </c>
      <c r="M2766" t="s">
        <v>0</v>
      </c>
      <c r="N2766" s="2">
        <v>0.6</v>
      </c>
      <c r="O2766" s="2">
        <v>0.4</v>
      </c>
      <c r="P2766">
        <v>17</v>
      </c>
      <c r="Q2766">
        <v>7</v>
      </c>
      <c r="R2766">
        <v>4</v>
      </c>
      <c r="S2766">
        <v>2</v>
      </c>
      <c r="T2766">
        <v>5</v>
      </c>
      <c r="U2766">
        <v>16</v>
      </c>
      <c r="V2766">
        <v>0</v>
      </c>
      <c r="W2766">
        <v>3</v>
      </c>
      <c r="X2766">
        <v>0</v>
      </c>
      <c r="Y2766">
        <v>0</v>
      </c>
      <c r="Z2766">
        <v>0</v>
      </c>
    </row>
    <row r="2767" spans="1:26" x14ac:dyDescent="0.2">
      <c r="A2767" t="s">
        <v>2885</v>
      </c>
      <c r="B2767" t="s">
        <v>44</v>
      </c>
      <c r="C2767">
        <v>2016</v>
      </c>
      <c r="D2767" t="s">
        <v>46</v>
      </c>
      <c r="E2767" t="s">
        <v>51</v>
      </c>
      <c r="F2767" t="s">
        <v>20</v>
      </c>
      <c r="G2767">
        <v>60704</v>
      </c>
      <c r="H2767">
        <v>48563.200000000004</v>
      </c>
      <c r="I2767" s="13">
        <v>0.66666666666666663</v>
      </c>
      <c r="J2767" t="s">
        <v>6207</v>
      </c>
      <c r="K2767">
        <v>1</v>
      </c>
      <c r="L2767">
        <v>1</v>
      </c>
      <c r="M2767" t="s">
        <v>58</v>
      </c>
      <c r="N2767" s="2">
        <v>0.46</v>
      </c>
      <c r="O2767" s="2">
        <v>0.54</v>
      </c>
      <c r="P2767">
        <v>18</v>
      </c>
      <c r="Q2767">
        <v>17</v>
      </c>
      <c r="R2767">
        <v>7</v>
      </c>
      <c r="S2767">
        <v>2</v>
      </c>
      <c r="T2767">
        <v>11</v>
      </c>
      <c r="U2767">
        <v>17</v>
      </c>
      <c r="V2767">
        <v>1</v>
      </c>
      <c r="W2767">
        <v>2</v>
      </c>
      <c r="X2767">
        <v>0</v>
      </c>
      <c r="Y2767">
        <v>0</v>
      </c>
      <c r="Z2767">
        <v>1</v>
      </c>
    </row>
    <row r="2768" spans="1:26" x14ac:dyDescent="0.2">
      <c r="A2768" t="s">
        <v>2886</v>
      </c>
      <c r="B2768" t="s">
        <v>66</v>
      </c>
      <c r="C2768">
        <v>2016</v>
      </c>
      <c r="D2768" t="s">
        <v>26</v>
      </c>
      <c r="E2768" t="s">
        <v>85</v>
      </c>
      <c r="F2768" t="s">
        <v>26</v>
      </c>
      <c r="G2768">
        <v>61276</v>
      </c>
      <c r="H2768">
        <v>49020.800000000003</v>
      </c>
      <c r="I2768" s="13">
        <v>1</v>
      </c>
      <c r="J2768" t="s">
        <v>6207</v>
      </c>
      <c r="K2768">
        <v>6</v>
      </c>
      <c r="L2768">
        <v>1</v>
      </c>
      <c r="M2768" t="s">
        <v>0</v>
      </c>
      <c r="N2768" s="2">
        <v>0.6</v>
      </c>
      <c r="O2768" s="2">
        <v>0.4</v>
      </c>
      <c r="P2768">
        <v>12</v>
      </c>
      <c r="Q2768">
        <v>15</v>
      </c>
      <c r="R2768">
        <v>6</v>
      </c>
      <c r="S2768">
        <v>3</v>
      </c>
      <c r="T2768">
        <v>14</v>
      </c>
      <c r="U2768">
        <v>10</v>
      </c>
      <c r="V2768">
        <v>1</v>
      </c>
      <c r="W2768">
        <v>2</v>
      </c>
      <c r="X2768">
        <v>0</v>
      </c>
      <c r="Y2768">
        <v>0</v>
      </c>
      <c r="Z2768">
        <v>0</v>
      </c>
    </row>
    <row r="2769" spans="1:26" x14ac:dyDescent="0.2">
      <c r="A2769" t="s">
        <v>2887</v>
      </c>
      <c r="B2769" t="s">
        <v>83</v>
      </c>
      <c r="C2769">
        <v>2016</v>
      </c>
      <c r="D2769" t="s">
        <v>19</v>
      </c>
      <c r="E2769" t="s">
        <v>73</v>
      </c>
      <c r="F2769" t="s">
        <v>19</v>
      </c>
      <c r="G2769">
        <v>25586</v>
      </c>
      <c r="H2769">
        <v>20468.800000000003</v>
      </c>
      <c r="I2769" s="13">
        <v>0.8</v>
      </c>
      <c r="J2769" t="s">
        <v>6208</v>
      </c>
      <c r="K2769">
        <v>2</v>
      </c>
      <c r="L2769">
        <v>1</v>
      </c>
      <c r="M2769" t="s">
        <v>0</v>
      </c>
      <c r="N2769" s="2">
        <v>0.34</v>
      </c>
      <c r="O2769" s="2">
        <v>0.66</v>
      </c>
      <c r="P2769">
        <v>15</v>
      </c>
      <c r="Q2769">
        <v>13</v>
      </c>
      <c r="R2769">
        <v>1</v>
      </c>
      <c r="S2769">
        <v>10</v>
      </c>
      <c r="T2769">
        <v>13</v>
      </c>
      <c r="U2769">
        <v>15</v>
      </c>
      <c r="V2769">
        <v>0</v>
      </c>
      <c r="W2769">
        <v>5</v>
      </c>
      <c r="X2769">
        <v>0</v>
      </c>
      <c r="Y2769">
        <v>0</v>
      </c>
      <c r="Z2769">
        <v>1</v>
      </c>
    </row>
    <row r="2770" spans="1:26" x14ac:dyDescent="0.2">
      <c r="A2770" t="s">
        <v>2888</v>
      </c>
      <c r="B2770" t="s">
        <v>67</v>
      </c>
      <c r="C2770">
        <v>2016</v>
      </c>
      <c r="D2770" t="s">
        <v>71</v>
      </c>
      <c r="E2770" t="s">
        <v>48</v>
      </c>
      <c r="F2770" t="s">
        <v>71</v>
      </c>
      <c r="G2770">
        <v>21088</v>
      </c>
      <c r="H2770">
        <v>16870.400000000001</v>
      </c>
      <c r="I2770" s="13">
        <v>1</v>
      </c>
      <c r="J2770" t="s">
        <v>6207</v>
      </c>
      <c r="K2770">
        <v>1</v>
      </c>
      <c r="L2770">
        <v>3</v>
      </c>
      <c r="M2770" t="s">
        <v>1</v>
      </c>
      <c r="N2770" s="2">
        <v>0.37</v>
      </c>
      <c r="O2770" s="2">
        <v>0.63</v>
      </c>
      <c r="P2770">
        <v>17</v>
      </c>
      <c r="Q2770">
        <v>9</v>
      </c>
      <c r="R2770">
        <v>2</v>
      </c>
      <c r="S2770">
        <v>0</v>
      </c>
      <c r="T2770">
        <v>9</v>
      </c>
      <c r="U2770">
        <v>16</v>
      </c>
      <c r="V2770">
        <v>0</v>
      </c>
      <c r="W2770">
        <v>2</v>
      </c>
      <c r="X2770">
        <v>0</v>
      </c>
      <c r="Y2770">
        <v>0</v>
      </c>
      <c r="Z2770">
        <v>0</v>
      </c>
    </row>
    <row r="2771" spans="1:26" x14ac:dyDescent="0.2">
      <c r="A2771" t="s">
        <v>2889</v>
      </c>
      <c r="B2771" t="s">
        <v>76</v>
      </c>
      <c r="C2771">
        <v>2016</v>
      </c>
      <c r="D2771" t="s">
        <v>80</v>
      </c>
      <c r="E2771" t="s">
        <v>63</v>
      </c>
      <c r="F2771" t="s">
        <v>80</v>
      </c>
      <c r="G2771">
        <v>32261</v>
      </c>
      <c r="H2771">
        <v>25808.800000000003</v>
      </c>
      <c r="I2771" s="13">
        <v>0</v>
      </c>
      <c r="J2771" t="s">
        <v>6207</v>
      </c>
      <c r="K2771">
        <v>1</v>
      </c>
      <c r="L2771">
        <v>2</v>
      </c>
      <c r="M2771" t="s">
        <v>1</v>
      </c>
      <c r="N2771" s="2">
        <v>0.59</v>
      </c>
      <c r="O2771" s="2">
        <v>0.41</v>
      </c>
      <c r="P2771">
        <v>8</v>
      </c>
      <c r="Q2771">
        <v>12</v>
      </c>
      <c r="R2771">
        <v>5</v>
      </c>
      <c r="S2771">
        <v>6</v>
      </c>
      <c r="T2771">
        <v>8</v>
      </c>
      <c r="U2771">
        <v>8</v>
      </c>
      <c r="V2771">
        <v>0</v>
      </c>
      <c r="W2771">
        <v>2</v>
      </c>
      <c r="X2771">
        <v>0</v>
      </c>
      <c r="Y2771">
        <v>0</v>
      </c>
      <c r="Z2771">
        <v>0</v>
      </c>
    </row>
    <row r="2772" spans="1:26" x14ac:dyDescent="0.2">
      <c r="A2772" t="s">
        <v>2890</v>
      </c>
      <c r="B2772" t="s">
        <v>37</v>
      </c>
      <c r="C2772">
        <v>2016</v>
      </c>
      <c r="D2772" t="s">
        <v>48</v>
      </c>
      <c r="E2772" t="s">
        <v>46</v>
      </c>
      <c r="F2772" t="s">
        <v>49</v>
      </c>
      <c r="G2772">
        <v>74197</v>
      </c>
      <c r="H2772">
        <v>59357.600000000006</v>
      </c>
      <c r="I2772" s="13">
        <v>0.66666666666666663</v>
      </c>
      <c r="J2772" t="s">
        <v>6206</v>
      </c>
      <c r="K2772">
        <v>1</v>
      </c>
      <c r="L2772">
        <v>1</v>
      </c>
      <c r="M2772" t="s">
        <v>58</v>
      </c>
      <c r="N2772" s="2">
        <v>0.45</v>
      </c>
      <c r="O2772" s="2">
        <v>0.55000000000000004</v>
      </c>
      <c r="P2772">
        <v>10</v>
      </c>
      <c r="Q2772">
        <v>18</v>
      </c>
      <c r="R2772">
        <v>10</v>
      </c>
      <c r="S2772">
        <v>4</v>
      </c>
      <c r="T2772">
        <v>14</v>
      </c>
      <c r="U2772">
        <v>11</v>
      </c>
      <c r="V2772">
        <v>3</v>
      </c>
      <c r="W2772">
        <v>3</v>
      </c>
      <c r="X2772">
        <v>0</v>
      </c>
      <c r="Y2772">
        <v>0</v>
      </c>
      <c r="Z2772">
        <v>0</v>
      </c>
    </row>
    <row r="2773" spans="1:26" x14ac:dyDescent="0.2">
      <c r="A2773" t="s">
        <v>2891</v>
      </c>
      <c r="B2773" t="s">
        <v>67</v>
      </c>
      <c r="C2773">
        <v>2016</v>
      </c>
      <c r="D2773" t="s">
        <v>85</v>
      </c>
      <c r="E2773" t="s">
        <v>80</v>
      </c>
      <c r="F2773" t="s">
        <v>85</v>
      </c>
      <c r="G2773">
        <v>22220</v>
      </c>
      <c r="H2773">
        <v>17776</v>
      </c>
      <c r="I2773" s="13">
        <v>0.8</v>
      </c>
      <c r="J2773" t="s">
        <v>6207</v>
      </c>
      <c r="K2773">
        <v>2</v>
      </c>
      <c r="L2773">
        <v>1</v>
      </c>
      <c r="M2773" t="s">
        <v>0</v>
      </c>
      <c r="N2773" s="2">
        <v>0.45</v>
      </c>
      <c r="O2773" s="2">
        <v>0.55000000000000004</v>
      </c>
      <c r="P2773">
        <v>18</v>
      </c>
      <c r="Q2773">
        <v>12</v>
      </c>
      <c r="R2773">
        <v>4</v>
      </c>
      <c r="S2773">
        <v>6</v>
      </c>
      <c r="T2773">
        <v>12</v>
      </c>
      <c r="U2773">
        <v>18</v>
      </c>
      <c r="V2773">
        <v>2</v>
      </c>
      <c r="W2773">
        <v>3</v>
      </c>
      <c r="X2773">
        <v>0</v>
      </c>
      <c r="Y2773">
        <v>0</v>
      </c>
      <c r="Z2773">
        <v>1</v>
      </c>
    </row>
    <row r="2774" spans="1:26" x14ac:dyDescent="0.2">
      <c r="A2774" t="s">
        <v>2892</v>
      </c>
      <c r="B2774" t="s">
        <v>50</v>
      </c>
      <c r="C2774">
        <v>2016</v>
      </c>
      <c r="D2774" t="s">
        <v>35</v>
      </c>
      <c r="E2774" t="s">
        <v>19</v>
      </c>
      <c r="F2774" t="s">
        <v>35</v>
      </c>
      <c r="G2774">
        <v>49000</v>
      </c>
      <c r="H2774">
        <v>39200</v>
      </c>
      <c r="I2774" s="13">
        <v>0.66666666666666663</v>
      </c>
      <c r="J2774" t="s">
        <v>6207</v>
      </c>
      <c r="K2774">
        <v>3</v>
      </c>
      <c r="L2774">
        <v>0</v>
      </c>
      <c r="M2774" t="s">
        <v>0</v>
      </c>
      <c r="N2774" s="2">
        <v>0.42</v>
      </c>
      <c r="O2774" s="2">
        <v>0.57999999999999996</v>
      </c>
      <c r="P2774">
        <v>5</v>
      </c>
      <c r="Q2774">
        <v>6</v>
      </c>
      <c r="R2774">
        <v>2</v>
      </c>
      <c r="S2774">
        <v>8</v>
      </c>
      <c r="T2774">
        <v>9</v>
      </c>
      <c r="U2774">
        <v>8</v>
      </c>
      <c r="V2774">
        <v>2</v>
      </c>
      <c r="W2774">
        <v>0</v>
      </c>
      <c r="X2774">
        <v>1</v>
      </c>
      <c r="Y2774">
        <v>0</v>
      </c>
      <c r="Z2774">
        <v>0</v>
      </c>
    </row>
    <row r="2775" spans="1:26" x14ac:dyDescent="0.2">
      <c r="A2775" t="s">
        <v>2893</v>
      </c>
      <c r="B2775" t="s">
        <v>74</v>
      </c>
      <c r="C2775">
        <v>2016</v>
      </c>
      <c r="D2775" t="s">
        <v>27</v>
      </c>
      <c r="E2775" t="s">
        <v>86</v>
      </c>
      <c r="F2775" t="s">
        <v>27</v>
      </c>
      <c r="G2775">
        <v>30089</v>
      </c>
      <c r="H2775">
        <v>24071.200000000001</v>
      </c>
      <c r="I2775" s="13">
        <v>0.5</v>
      </c>
      <c r="J2775" t="s">
        <v>6208</v>
      </c>
      <c r="K2775">
        <v>0</v>
      </c>
      <c r="L2775">
        <v>1</v>
      </c>
      <c r="M2775" t="s">
        <v>1</v>
      </c>
      <c r="N2775" s="2">
        <v>0.51</v>
      </c>
      <c r="O2775" s="2">
        <v>0.49</v>
      </c>
      <c r="P2775">
        <v>11</v>
      </c>
      <c r="Q2775">
        <v>16</v>
      </c>
      <c r="R2775">
        <v>3</v>
      </c>
      <c r="S2775">
        <v>4</v>
      </c>
      <c r="T2775">
        <v>17</v>
      </c>
      <c r="U2775">
        <v>10</v>
      </c>
      <c r="V2775">
        <v>3</v>
      </c>
      <c r="W2775">
        <v>3</v>
      </c>
      <c r="X2775">
        <v>0</v>
      </c>
      <c r="Y2775">
        <v>0</v>
      </c>
      <c r="Z2775">
        <v>1</v>
      </c>
    </row>
    <row r="2776" spans="1:26" x14ac:dyDescent="0.2">
      <c r="A2776" t="s">
        <v>2894</v>
      </c>
      <c r="B2776" t="s">
        <v>44</v>
      </c>
      <c r="C2776">
        <v>2016</v>
      </c>
      <c r="D2776" t="s">
        <v>73</v>
      </c>
      <c r="E2776" t="s">
        <v>26</v>
      </c>
      <c r="F2776" t="s">
        <v>73</v>
      </c>
      <c r="G2776">
        <v>32384</v>
      </c>
      <c r="H2776">
        <v>25907.200000000001</v>
      </c>
      <c r="I2776" s="13">
        <v>0.5</v>
      </c>
      <c r="J2776" t="s">
        <v>6207</v>
      </c>
      <c r="K2776">
        <v>0</v>
      </c>
      <c r="L2776">
        <v>0</v>
      </c>
      <c r="M2776" t="s">
        <v>58</v>
      </c>
      <c r="N2776" s="2">
        <v>0.35</v>
      </c>
      <c r="O2776" s="2">
        <v>0.65</v>
      </c>
      <c r="P2776">
        <v>13</v>
      </c>
      <c r="Q2776">
        <v>10</v>
      </c>
      <c r="R2776">
        <v>1</v>
      </c>
      <c r="S2776">
        <v>8</v>
      </c>
      <c r="T2776">
        <v>8</v>
      </c>
      <c r="U2776">
        <v>11</v>
      </c>
      <c r="V2776">
        <v>1</v>
      </c>
      <c r="W2776">
        <v>1</v>
      </c>
      <c r="X2776">
        <v>0</v>
      </c>
      <c r="Y2776">
        <v>0</v>
      </c>
      <c r="Z2776">
        <v>0</v>
      </c>
    </row>
    <row r="2777" spans="1:26" x14ac:dyDescent="0.2">
      <c r="A2777" t="s">
        <v>2895</v>
      </c>
      <c r="B2777" t="s">
        <v>32</v>
      </c>
      <c r="C2777">
        <v>2016</v>
      </c>
      <c r="D2777" t="s">
        <v>45</v>
      </c>
      <c r="E2777" t="s">
        <v>71</v>
      </c>
      <c r="F2777" t="s">
        <v>26</v>
      </c>
      <c r="G2777">
        <v>39572</v>
      </c>
      <c r="H2777">
        <v>31657.600000000002</v>
      </c>
      <c r="I2777" s="13">
        <v>0.42857142857142855</v>
      </c>
      <c r="J2777" t="s">
        <v>6207</v>
      </c>
      <c r="K2777">
        <v>1</v>
      </c>
      <c r="L2777">
        <v>1</v>
      </c>
      <c r="M2777" t="s">
        <v>58</v>
      </c>
      <c r="N2777" s="2">
        <v>0.62</v>
      </c>
      <c r="O2777" s="2">
        <v>0.38</v>
      </c>
      <c r="P2777">
        <v>17</v>
      </c>
      <c r="Q2777">
        <v>13</v>
      </c>
      <c r="R2777">
        <v>10</v>
      </c>
      <c r="S2777">
        <v>3</v>
      </c>
      <c r="T2777">
        <v>13</v>
      </c>
      <c r="U2777">
        <v>12</v>
      </c>
      <c r="V2777">
        <v>5</v>
      </c>
      <c r="W2777">
        <v>2</v>
      </c>
      <c r="X2777">
        <v>0</v>
      </c>
      <c r="Y2777">
        <v>0</v>
      </c>
      <c r="Z2777">
        <v>1</v>
      </c>
    </row>
    <row r="2778" spans="1:26" x14ac:dyDescent="0.2">
      <c r="A2778" t="s">
        <v>2896</v>
      </c>
      <c r="B2778" t="s">
        <v>77</v>
      </c>
      <c r="C2778">
        <v>2016</v>
      </c>
      <c r="D2778" t="s">
        <v>79</v>
      </c>
      <c r="E2778" t="s">
        <v>40</v>
      </c>
      <c r="F2778" t="s">
        <v>20</v>
      </c>
      <c r="G2778">
        <v>25486</v>
      </c>
      <c r="H2778">
        <v>20388.800000000003</v>
      </c>
      <c r="I2778" s="13">
        <v>0.66666666666666663</v>
      </c>
      <c r="J2778" t="s">
        <v>6207</v>
      </c>
      <c r="K2778">
        <v>1</v>
      </c>
      <c r="L2778">
        <v>2</v>
      </c>
      <c r="M2778" t="s">
        <v>1</v>
      </c>
      <c r="N2778" s="2">
        <v>0.38</v>
      </c>
      <c r="O2778" s="2">
        <v>0.62</v>
      </c>
      <c r="P2778">
        <v>15</v>
      </c>
      <c r="Q2778">
        <v>11</v>
      </c>
      <c r="R2778">
        <v>2</v>
      </c>
      <c r="S2778">
        <v>7</v>
      </c>
      <c r="T2778">
        <v>12</v>
      </c>
      <c r="U2778">
        <v>15</v>
      </c>
      <c r="V2778">
        <v>1</v>
      </c>
      <c r="W2778">
        <v>2</v>
      </c>
      <c r="X2778">
        <v>0</v>
      </c>
      <c r="Y2778">
        <v>0</v>
      </c>
      <c r="Z2778">
        <v>0</v>
      </c>
    </row>
    <row r="2779" spans="1:26" x14ac:dyDescent="0.2">
      <c r="A2779" t="s">
        <v>2897</v>
      </c>
      <c r="B2779" t="s">
        <v>41</v>
      </c>
      <c r="C2779">
        <v>2016</v>
      </c>
      <c r="D2779" t="s">
        <v>51</v>
      </c>
      <c r="E2779" t="s">
        <v>23</v>
      </c>
      <c r="F2779" t="s">
        <v>20</v>
      </c>
      <c r="G2779">
        <v>36284</v>
      </c>
      <c r="H2779">
        <v>29027.200000000001</v>
      </c>
      <c r="I2779" s="13">
        <v>0.5714285714285714</v>
      </c>
      <c r="J2779" t="s">
        <v>6207</v>
      </c>
      <c r="K2779">
        <v>3</v>
      </c>
      <c r="L2779">
        <v>2</v>
      </c>
      <c r="M2779" t="s">
        <v>0</v>
      </c>
      <c r="N2779" s="2">
        <v>0.67</v>
      </c>
      <c r="O2779" s="2">
        <v>0.33</v>
      </c>
      <c r="P2779">
        <v>21</v>
      </c>
      <c r="Q2779">
        <v>14</v>
      </c>
      <c r="R2779">
        <v>4</v>
      </c>
      <c r="S2779">
        <v>5</v>
      </c>
      <c r="T2779">
        <v>13</v>
      </c>
      <c r="U2779">
        <v>16</v>
      </c>
      <c r="V2779">
        <v>3</v>
      </c>
      <c r="W2779">
        <v>3</v>
      </c>
      <c r="X2779">
        <v>0</v>
      </c>
      <c r="Y2779">
        <v>1</v>
      </c>
      <c r="Z2779">
        <v>2</v>
      </c>
    </row>
    <row r="2780" spans="1:26" x14ac:dyDescent="0.2">
      <c r="A2780" t="s">
        <v>2898</v>
      </c>
      <c r="B2780" t="s">
        <v>68</v>
      </c>
      <c r="C2780">
        <v>2016</v>
      </c>
      <c r="D2780" t="s">
        <v>87</v>
      </c>
      <c r="E2780" t="s">
        <v>18</v>
      </c>
      <c r="F2780" t="s">
        <v>87</v>
      </c>
      <c r="G2780">
        <v>34742</v>
      </c>
      <c r="H2780">
        <v>27793.600000000002</v>
      </c>
      <c r="I2780" s="13">
        <v>0.6</v>
      </c>
      <c r="J2780" t="s">
        <v>6207</v>
      </c>
      <c r="K2780">
        <v>0</v>
      </c>
      <c r="L2780">
        <v>1</v>
      </c>
      <c r="M2780" t="s">
        <v>1</v>
      </c>
      <c r="N2780" s="2">
        <v>0.42</v>
      </c>
      <c r="O2780" s="2">
        <v>0.57999999999999996</v>
      </c>
      <c r="P2780">
        <v>11</v>
      </c>
      <c r="Q2780">
        <v>13</v>
      </c>
      <c r="R2780">
        <v>2</v>
      </c>
      <c r="S2780">
        <v>3</v>
      </c>
      <c r="T2780">
        <v>13</v>
      </c>
      <c r="U2780">
        <v>10</v>
      </c>
      <c r="V2780">
        <v>2</v>
      </c>
      <c r="W2780">
        <v>3</v>
      </c>
      <c r="X2780">
        <v>0</v>
      </c>
      <c r="Y2780">
        <v>0</v>
      </c>
      <c r="Z2780">
        <v>0</v>
      </c>
    </row>
    <row r="2781" spans="1:26" x14ac:dyDescent="0.2">
      <c r="A2781" t="s">
        <v>2899</v>
      </c>
      <c r="B2781" t="s">
        <v>53</v>
      </c>
      <c r="C2781">
        <v>2016</v>
      </c>
      <c r="D2781" t="s">
        <v>63</v>
      </c>
      <c r="E2781" t="s">
        <v>28</v>
      </c>
      <c r="F2781" t="s">
        <v>65</v>
      </c>
      <c r="G2781">
        <v>26804</v>
      </c>
      <c r="H2781">
        <v>21443.200000000001</v>
      </c>
      <c r="I2781" s="13">
        <v>0</v>
      </c>
      <c r="J2781" t="s">
        <v>6207</v>
      </c>
      <c r="K2781">
        <v>4</v>
      </c>
      <c r="L2781">
        <v>0</v>
      </c>
      <c r="M2781" t="s">
        <v>0</v>
      </c>
      <c r="N2781" s="2">
        <v>0.45</v>
      </c>
      <c r="O2781" s="2">
        <v>0.55000000000000004</v>
      </c>
      <c r="P2781">
        <v>15</v>
      </c>
      <c r="Q2781">
        <v>13</v>
      </c>
      <c r="R2781">
        <v>4</v>
      </c>
      <c r="S2781">
        <v>3</v>
      </c>
      <c r="T2781">
        <v>12</v>
      </c>
      <c r="U2781">
        <v>12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 x14ac:dyDescent="0.2">
      <c r="A2782" t="s">
        <v>2900</v>
      </c>
      <c r="B2782" t="s">
        <v>37</v>
      </c>
      <c r="C2782">
        <v>2016</v>
      </c>
      <c r="D2782" t="s">
        <v>28</v>
      </c>
      <c r="E2782" t="s">
        <v>40</v>
      </c>
      <c r="F2782" t="s">
        <v>28</v>
      </c>
      <c r="G2782">
        <v>21944</v>
      </c>
      <c r="H2782">
        <v>17555.2</v>
      </c>
      <c r="I2782" s="13">
        <v>0.6</v>
      </c>
      <c r="J2782" t="s">
        <v>6206</v>
      </c>
      <c r="K2782">
        <v>1</v>
      </c>
      <c r="L2782">
        <v>2</v>
      </c>
      <c r="M2782" t="s">
        <v>1</v>
      </c>
      <c r="N2782" s="2">
        <v>0.33</v>
      </c>
      <c r="O2782" s="2">
        <v>0.67</v>
      </c>
      <c r="P2782">
        <v>18</v>
      </c>
      <c r="Q2782">
        <v>12</v>
      </c>
      <c r="R2782">
        <v>5</v>
      </c>
      <c r="S2782">
        <v>8</v>
      </c>
      <c r="T2782">
        <v>8</v>
      </c>
      <c r="U2782">
        <v>15</v>
      </c>
      <c r="V2782">
        <v>2</v>
      </c>
      <c r="W2782">
        <v>3</v>
      </c>
      <c r="X2782">
        <v>0</v>
      </c>
      <c r="Y2782">
        <v>0</v>
      </c>
      <c r="Z2782">
        <v>0</v>
      </c>
    </row>
    <row r="2783" spans="1:26" x14ac:dyDescent="0.2">
      <c r="A2783" t="s">
        <v>2901</v>
      </c>
      <c r="B2783" t="s">
        <v>60</v>
      </c>
      <c r="C2783">
        <v>2016</v>
      </c>
      <c r="D2783" t="s">
        <v>71</v>
      </c>
      <c r="E2783" t="s">
        <v>79</v>
      </c>
      <c r="F2783" t="s">
        <v>71</v>
      </c>
      <c r="G2783">
        <v>21088</v>
      </c>
      <c r="H2783">
        <v>16870.400000000001</v>
      </c>
      <c r="I2783" s="13">
        <v>0.22222222222222221</v>
      </c>
      <c r="J2783" t="s">
        <v>6208</v>
      </c>
      <c r="K2783">
        <v>5</v>
      </c>
      <c r="L2783">
        <v>4</v>
      </c>
      <c r="M2783" t="s">
        <v>0</v>
      </c>
      <c r="N2783" s="2">
        <v>0.56999999999999995</v>
      </c>
      <c r="O2783" s="2">
        <v>0.43</v>
      </c>
      <c r="P2783">
        <v>24</v>
      </c>
      <c r="Q2783">
        <v>14</v>
      </c>
      <c r="R2783">
        <v>10</v>
      </c>
      <c r="S2783">
        <v>6</v>
      </c>
      <c r="T2783">
        <v>12</v>
      </c>
      <c r="U2783">
        <v>24</v>
      </c>
      <c r="V2783">
        <v>4</v>
      </c>
      <c r="W2783">
        <v>5</v>
      </c>
      <c r="X2783">
        <v>0</v>
      </c>
      <c r="Y2783">
        <v>0</v>
      </c>
      <c r="Z2783">
        <v>0</v>
      </c>
    </row>
    <row r="2784" spans="1:26" x14ac:dyDescent="0.2">
      <c r="A2784" t="s">
        <v>2902</v>
      </c>
      <c r="B2784" t="s">
        <v>61</v>
      </c>
      <c r="C2784">
        <v>2016</v>
      </c>
      <c r="D2784" t="s">
        <v>26</v>
      </c>
      <c r="E2784" t="s">
        <v>35</v>
      </c>
      <c r="F2784" t="s">
        <v>26</v>
      </c>
      <c r="G2784">
        <v>61276</v>
      </c>
      <c r="H2784">
        <v>49020.800000000003</v>
      </c>
      <c r="I2784" s="13">
        <v>1</v>
      </c>
      <c r="J2784" t="s">
        <v>6207</v>
      </c>
      <c r="K2784">
        <v>2</v>
      </c>
      <c r="L2784">
        <v>0</v>
      </c>
      <c r="M2784" t="s">
        <v>0</v>
      </c>
      <c r="N2784" s="2">
        <v>0.78</v>
      </c>
      <c r="O2784" s="2">
        <v>0.22</v>
      </c>
      <c r="P2784">
        <v>9</v>
      </c>
      <c r="Q2784">
        <v>5</v>
      </c>
      <c r="R2784">
        <v>9</v>
      </c>
      <c r="S2784">
        <v>4</v>
      </c>
      <c r="T2784">
        <v>5</v>
      </c>
      <c r="U2784">
        <v>9</v>
      </c>
      <c r="V2784">
        <v>1</v>
      </c>
      <c r="W2784">
        <v>3</v>
      </c>
      <c r="X2784">
        <v>0</v>
      </c>
      <c r="Y2784">
        <v>0</v>
      </c>
      <c r="Z2784">
        <v>1</v>
      </c>
    </row>
    <row r="2785" spans="1:26" x14ac:dyDescent="0.2">
      <c r="A2785" t="s">
        <v>2903</v>
      </c>
      <c r="B2785" t="s">
        <v>50</v>
      </c>
      <c r="C2785">
        <v>2016</v>
      </c>
      <c r="D2785" t="s">
        <v>80</v>
      </c>
      <c r="E2785" t="s">
        <v>87</v>
      </c>
      <c r="F2785" t="s">
        <v>80</v>
      </c>
      <c r="G2785">
        <v>32261</v>
      </c>
      <c r="H2785">
        <v>25808.800000000003</v>
      </c>
      <c r="I2785" s="13">
        <v>0.625</v>
      </c>
      <c r="J2785" t="s">
        <v>6207</v>
      </c>
      <c r="K2785">
        <v>2</v>
      </c>
      <c r="L2785">
        <v>2</v>
      </c>
      <c r="M2785" t="s">
        <v>58</v>
      </c>
      <c r="N2785" s="2">
        <v>0.41</v>
      </c>
      <c r="O2785" s="2">
        <v>0.59</v>
      </c>
      <c r="P2785">
        <v>12</v>
      </c>
      <c r="Q2785">
        <v>17</v>
      </c>
      <c r="R2785">
        <v>2</v>
      </c>
      <c r="S2785">
        <v>3</v>
      </c>
      <c r="T2785">
        <v>15</v>
      </c>
      <c r="U2785">
        <v>12</v>
      </c>
      <c r="V2785">
        <v>4</v>
      </c>
      <c r="W2785">
        <v>4</v>
      </c>
      <c r="X2785">
        <v>0</v>
      </c>
      <c r="Y2785">
        <v>0</v>
      </c>
      <c r="Z2785">
        <v>2</v>
      </c>
    </row>
    <row r="2786" spans="1:26" x14ac:dyDescent="0.2">
      <c r="A2786" t="s">
        <v>2904</v>
      </c>
      <c r="B2786" t="s">
        <v>81</v>
      </c>
      <c r="C2786">
        <v>2016</v>
      </c>
      <c r="D2786" t="s">
        <v>19</v>
      </c>
      <c r="E2786" t="s">
        <v>63</v>
      </c>
      <c r="F2786" t="s">
        <v>19</v>
      </c>
      <c r="G2786">
        <v>25586</v>
      </c>
      <c r="H2786">
        <v>20468.800000000003</v>
      </c>
      <c r="I2786" s="13">
        <v>0.2</v>
      </c>
      <c r="J2786" t="s">
        <v>6207</v>
      </c>
      <c r="K2786">
        <v>1</v>
      </c>
      <c r="L2786">
        <v>1</v>
      </c>
      <c r="M2786" t="s">
        <v>58</v>
      </c>
      <c r="N2786" s="2">
        <v>0.53</v>
      </c>
      <c r="O2786" s="2">
        <v>0.47</v>
      </c>
      <c r="P2786">
        <v>10</v>
      </c>
      <c r="Q2786">
        <v>8</v>
      </c>
      <c r="R2786">
        <v>2</v>
      </c>
      <c r="S2786">
        <v>6</v>
      </c>
      <c r="T2786">
        <v>7</v>
      </c>
      <c r="U2786">
        <v>10</v>
      </c>
      <c r="V2786">
        <v>3</v>
      </c>
      <c r="W2786">
        <v>2</v>
      </c>
      <c r="X2786">
        <v>0</v>
      </c>
      <c r="Y2786">
        <v>0</v>
      </c>
      <c r="Z2786">
        <v>0</v>
      </c>
    </row>
    <row r="2787" spans="1:26" x14ac:dyDescent="0.2">
      <c r="A2787" t="s">
        <v>2905</v>
      </c>
      <c r="B2787" t="s">
        <v>66</v>
      </c>
      <c r="C2787">
        <v>2016</v>
      </c>
      <c r="D2787" t="s">
        <v>18</v>
      </c>
      <c r="E2787" t="s">
        <v>51</v>
      </c>
      <c r="F2787" t="s">
        <v>20</v>
      </c>
      <c r="G2787">
        <v>40341</v>
      </c>
      <c r="H2787">
        <v>32272.800000000003</v>
      </c>
      <c r="I2787" s="13">
        <v>1</v>
      </c>
      <c r="J2787" t="s">
        <v>6207</v>
      </c>
      <c r="K2787">
        <v>2</v>
      </c>
      <c r="L2787">
        <v>1</v>
      </c>
      <c r="M2787" t="s">
        <v>0</v>
      </c>
      <c r="N2787" s="2">
        <v>0.46</v>
      </c>
      <c r="O2787" s="2">
        <v>0.54</v>
      </c>
      <c r="P2787">
        <v>19</v>
      </c>
      <c r="Q2787">
        <v>15</v>
      </c>
      <c r="R2787">
        <v>3</v>
      </c>
      <c r="S2787">
        <v>8</v>
      </c>
      <c r="T2787">
        <v>13</v>
      </c>
      <c r="U2787">
        <v>16</v>
      </c>
      <c r="V2787">
        <v>2</v>
      </c>
      <c r="W2787">
        <v>1</v>
      </c>
      <c r="X2787">
        <v>0</v>
      </c>
      <c r="Y2787">
        <v>0</v>
      </c>
      <c r="Z2787">
        <v>0</v>
      </c>
    </row>
    <row r="2788" spans="1:26" x14ac:dyDescent="0.2">
      <c r="A2788" t="s">
        <v>2906</v>
      </c>
      <c r="B2788" t="s">
        <v>77</v>
      </c>
      <c r="C2788">
        <v>2016</v>
      </c>
      <c r="D2788" t="s">
        <v>85</v>
      </c>
      <c r="E2788" t="s">
        <v>27</v>
      </c>
      <c r="F2788" t="s">
        <v>85</v>
      </c>
      <c r="G2788">
        <v>22220</v>
      </c>
      <c r="H2788">
        <v>17776</v>
      </c>
      <c r="I2788" s="13">
        <v>0.8</v>
      </c>
      <c r="J2788" t="s">
        <v>6207</v>
      </c>
      <c r="K2788">
        <v>0</v>
      </c>
      <c r="L2788">
        <v>1</v>
      </c>
      <c r="M2788" t="s">
        <v>1</v>
      </c>
      <c r="N2788" s="2">
        <v>0.5</v>
      </c>
      <c r="O2788" s="2">
        <v>0.5</v>
      </c>
      <c r="P2788">
        <v>19</v>
      </c>
      <c r="Q2788">
        <v>25</v>
      </c>
      <c r="R2788">
        <v>3</v>
      </c>
      <c r="S2788">
        <v>3</v>
      </c>
      <c r="T2788">
        <v>24</v>
      </c>
      <c r="U2788">
        <v>14</v>
      </c>
      <c r="V2788">
        <v>4</v>
      </c>
      <c r="W2788">
        <v>0</v>
      </c>
      <c r="X2788">
        <v>1</v>
      </c>
      <c r="Y2788">
        <v>0</v>
      </c>
      <c r="Z2788">
        <v>0</v>
      </c>
    </row>
    <row r="2789" spans="1:26" x14ac:dyDescent="0.2">
      <c r="A2789" t="s">
        <v>2907</v>
      </c>
      <c r="B2789" t="s">
        <v>53</v>
      </c>
      <c r="C2789">
        <v>2016</v>
      </c>
      <c r="D2789" t="s">
        <v>46</v>
      </c>
      <c r="E2789" t="s">
        <v>86</v>
      </c>
      <c r="F2789" t="s">
        <v>20</v>
      </c>
      <c r="G2789">
        <v>60704</v>
      </c>
      <c r="H2789">
        <v>48563.200000000004</v>
      </c>
      <c r="I2789" s="13">
        <v>0.625</v>
      </c>
      <c r="J2789" t="s">
        <v>6207</v>
      </c>
      <c r="K2789">
        <v>3</v>
      </c>
      <c r="L2789">
        <v>1</v>
      </c>
      <c r="M2789" t="s">
        <v>0</v>
      </c>
      <c r="N2789" s="2">
        <v>0.52</v>
      </c>
      <c r="O2789" s="2">
        <v>0.48</v>
      </c>
      <c r="P2789">
        <v>17</v>
      </c>
      <c r="Q2789">
        <v>12</v>
      </c>
      <c r="R2789">
        <v>3</v>
      </c>
      <c r="S2789">
        <v>10</v>
      </c>
      <c r="T2789">
        <v>12</v>
      </c>
      <c r="U2789">
        <v>13</v>
      </c>
      <c r="V2789">
        <v>3</v>
      </c>
      <c r="W2789">
        <v>5</v>
      </c>
      <c r="X2789">
        <v>0</v>
      </c>
      <c r="Y2789">
        <v>0</v>
      </c>
      <c r="Z2789">
        <v>1</v>
      </c>
    </row>
    <row r="2790" spans="1:26" x14ac:dyDescent="0.2">
      <c r="A2790" t="s">
        <v>2908</v>
      </c>
      <c r="B2790" t="s">
        <v>76</v>
      </c>
      <c r="C2790">
        <v>2016</v>
      </c>
      <c r="D2790" t="s">
        <v>73</v>
      </c>
      <c r="E2790" t="s">
        <v>45</v>
      </c>
      <c r="F2790" t="s">
        <v>73</v>
      </c>
      <c r="G2790">
        <v>32384</v>
      </c>
      <c r="H2790">
        <v>25907.200000000001</v>
      </c>
      <c r="I2790" s="13">
        <v>0.5</v>
      </c>
      <c r="J2790" t="s">
        <v>6207</v>
      </c>
      <c r="K2790">
        <v>1</v>
      </c>
      <c r="L2790">
        <v>0</v>
      </c>
      <c r="M2790" t="s">
        <v>0</v>
      </c>
      <c r="N2790" s="2">
        <v>0.53</v>
      </c>
      <c r="O2790" s="2">
        <v>0.47</v>
      </c>
      <c r="P2790">
        <v>15</v>
      </c>
      <c r="Q2790">
        <v>11</v>
      </c>
      <c r="R2790">
        <v>5</v>
      </c>
      <c r="S2790">
        <v>2</v>
      </c>
      <c r="T2790">
        <v>11</v>
      </c>
      <c r="U2790">
        <v>15</v>
      </c>
      <c r="V2790">
        <v>0</v>
      </c>
      <c r="W2790">
        <v>2</v>
      </c>
      <c r="X2790">
        <v>0</v>
      </c>
      <c r="Y2790">
        <v>0</v>
      </c>
      <c r="Z2790">
        <v>0</v>
      </c>
    </row>
    <row r="2791" spans="1:26" x14ac:dyDescent="0.2">
      <c r="A2791" t="s">
        <v>2909</v>
      </c>
      <c r="B2791" t="s">
        <v>68</v>
      </c>
      <c r="C2791">
        <v>2016</v>
      </c>
      <c r="D2791" t="s">
        <v>48</v>
      </c>
      <c r="E2791" t="s">
        <v>23</v>
      </c>
      <c r="F2791" t="s">
        <v>49</v>
      </c>
      <c r="G2791">
        <v>74197</v>
      </c>
      <c r="H2791">
        <v>59357.600000000006</v>
      </c>
      <c r="I2791" s="13">
        <v>0.75</v>
      </c>
      <c r="J2791" t="s">
        <v>6207</v>
      </c>
      <c r="K2791">
        <v>1</v>
      </c>
      <c r="L2791">
        <v>1</v>
      </c>
      <c r="M2791" t="s">
        <v>58</v>
      </c>
      <c r="N2791" s="2">
        <v>0.68</v>
      </c>
      <c r="O2791" s="2">
        <v>0.32</v>
      </c>
      <c r="P2791">
        <v>18</v>
      </c>
      <c r="Q2791">
        <v>20</v>
      </c>
      <c r="R2791">
        <v>8</v>
      </c>
      <c r="S2791">
        <v>4</v>
      </c>
      <c r="T2791">
        <v>16</v>
      </c>
      <c r="U2791">
        <v>16</v>
      </c>
      <c r="V2791">
        <v>3</v>
      </c>
      <c r="W2791">
        <v>1</v>
      </c>
      <c r="X2791">
        <v>0</v>
      </c>
      <c r="Y2791">
        <v>0</v>
      </c>
      <c r="Z2791">
        <v>0</v>
      </c>
    </row>
    <row r="2792" spans="1:26" x14ac:dyDescent="0.2">
      <c r="A2792" t="s">
        <v>2910</v>
      </c>
      <c r="B2792" t="s">
        <v>61</v>
      </c>
      <c r="C2792">
        <v>2016</v>
      </c>
      <c r="D2792" t="s">
        <v>40</v>
      </c>
      <c r="E2792" t="s">
        <v>18</v>
      </c>
      <c r="F2792" t="s">
        <v>49</v>
      </c>
      <c r="G2792">
        <v>53400</v>
      </c>
      <c r="H2792">
        <v>42720</v>
      </c>
      <c r="I2792" s="13">
        <v>0.8571428571428571</v>
      </c>
      <c r="J2792" t="s">
        <v>6207</v>
      </c>
      <c r="K2792">
        <v>1</v>
      </c>
      <c r="L2792">
        <v>3</v>
      </c>
      <c r="M2792" t="s">
        <v>1</v>
      </c>
      <c r="N2792" s="2">
        <v>0.61</v>
      </c>
      <c r="O2792" s="2">
        <v>0.39</v>
      </c>
      <c r="P2792">
        <v>10</v>
      </c>
      <c r="Q2792">
        <v>15</v>
      </c>
      <c r="R2792">
        <v>9</v>
      </c>
      <c r="S2792">
        <v>2</v>
      </c>
      <c r="T2792">
        <v>14</v>
      </c>
      <c r="U2792">
        <v>9</v>
      </c>
      <c r="V2792">
        <v>2</v>
      </c>
      <c r="W2792">
        <v>3</v>
      </c>
      <c r="X2792">
        <v>2</v>
      </c>
      <c r="Y2792">
        <v>0</v>
      </c>
      <c r="Z2792">
        <v>0</v>
      </c>
    </row>
    <row r="2793" spans="1:26" x14ac:dyDescent="0.2">
      <c r="A2793" t="s">
        <v>2911</v>
      </c>
      <c r="B2793" t="s">
        <v>83</v>
      </c>
      <c r="C2793">
        <v>2016</v>
      </c>
      <c r="D2793" t="s">
        <v>63</v>
      </c>
      <c r="E2793" t="s">
        <v>85</v>
      </c>
      <c r="F2793" t="s">
        <v>65</v>
      </c>
      <c r="G2793">
        <v>26804</v>
      </c>
      <c r="H2793">
        <v>21443.200000000001</v>
      </c>
      <c r="I2793" s="13">
        <v>0.5</v>
      </c>
      <c r="J2793" t="s">
        <v>6208</v>
      </c>
      <c r="K2793">
        <v>3</v>
      </c>
      <c r="L2793">
        <v>1</v>
      </c>
      <c r="M2793" t="s">
        <v>0</v>
      </c>
      <c r="N2793" s="2">
        <v>0.41</v>
      </c>
      <c r="O2793" s="2">
        <v>0.59</v>
      </c>
      <c r="P2793">
        <v>10</v>
      </c>
      <c r="Q2793">
        <v>12</v>
      </c>
      <c r="R2793">
        <v>3</v>
      </c>
      <c r="S2793">
        <v>4</v>
      </c>
      <c r="T2793">
        <v>11</v>
      </c>
      <c r="U2793">
        <v>8</v>
      </c>
      <c r="V2793">
        <v>2</v>
      </c>
      <c r="W2793">
        <v>1</v>
      </c>
      <c r="X2793">
        <v>0</v>
      </c>
      <c r="Y2793">
        <v>1</v>
      </c>
      <c r="Z2793">
        <v>0</v>
      </c>
    </row>
    <row r="2794" spans="1:26" x14ac:dyDescent="0.2">
      <c r="A2794" t="s">
        <v>2912</v>
      </c>
      <c r="B2794" t="s">
        <v>68</v>
      </c>
      <c r="C2794">
        <v>2016</v>
      </c>
      <c r="D2794" t="s">
        <v>51</v>
      </c>
      <c r="E2794" t="s">
        <v>71</v>
      </c>
      <c r="F2794" t="s">
        <v>20</v>
      </c>
      <c r="G2794">
        <v>36284</v>
      </c>
      <c r="H2794">
        <v>29027.200000000001</v>
      </c>
      <c r="I2794" s="13">
        <v>0.75</v>
      </c>
      <c r="J2794" t="s">
        <v>6207</v>
      </c>
      <c r="K2794">
        <v>5</v>
      </c>
      <c r="L2794">
        <v>0</v>
      </c>
      <c r="M2794" t="s">
        <v>0</v>
      </c>
      <c r="N2794" s="2">
        <v>0.6</v>
      </c>
      <c r="O2794" s="2">
        <v>0.4</v>
      </c>
      <c r="P2794">
        <v>20</v>
      </c>
      <c r="Q2794">
        <v>14</v>
      </c>
      <c r="R2794">
        <v>5</v>
      </c>
      <c r="S2794">
        <v>0</v>
      </c>
      <c r="T2794">
        <v>11</v>
      </c>
      <c r="U2794">
        <v>17</v>
      </c>
      <c r="V2794">
        <v>0</v>
      </c>
      <c r="W2794">
        <v>4</v>
      </c>
      <c r="X2794">
        <v>0</v>
      </c>
      <c r="Y2794">
        <v>0</v>
      </c>
      <c r="Z2794">
        <v>1</v>
      </c>
    </row>
    <row r="2795" spans="1:26" x14ac:dyDescent="0.2">
      <c r="A2795" t="s">
        <v>2913</v>
      </c>
      <c r="B2795" t="s">
        <v>37</v>
      </c>
      <c r="C2795">
        <v>2016</v>
      </c>
      <c r="D2795" t="s">
        <v>35</v>
      </c>
      <c r="E2795" t="s">
        <v>80</v>
      </c>
      <c r="F2795" t="s">
        <v>35</v>
      </c>
      <c r="G2795">
        <v>49000</v>
      </c>
      <c r="H2795">
        <v>39200</v>
      </c>
      <c r="I2795" s="13">
        <v>0.75</v>
      </c>
      <c r="J2795" t="s">
        <v>6206</v>
      </c>
      <c r="K2795">
        <v>2</v>
      </c>
      <c r="L2795">
        <v>1</v>
      </c>
      <c r="M2795" t="s">
        <v>0</v>
      </c>
      <c r="N2795" s="2">
        <v>0.53</v>
      </c>
      <c r="O2795" s="2">
        <v>0.47</v>
      </c>
      <c r="P2795">
        <v>13</v>
      </c>
      <c r="Q2795">
        <v>9</v>
      </c>
      <c r="R2795">
        <v>3</v>
      </c>
      <c r="S2795">
        <v>4</v>
      </c>
      <c r="T2795">
        <v>8</v>
      </c>
      <c r="U2795">
        <v>12</v>
      </c>
      <c r="V2795">
        <v>3</v>
      </c>
      <c r="W2795">
        <v>1</v>
      </c>
      <c r="X2795">
        <v>0</v>
      </c>
      <c r="Y2795">
        <v>0</v>
      </c>
      <c r="Z2795">
        <v>0</v>
      </c>
    </row>
    <row r="2796" spans="1:26" x14ac:dyDescent="0.2">
      <c r="A2796" t="s">
        <v>2914</v>
      </c>
      <c r="B2796" t="s">
        <v>44</v>
      </c>
      <c r="C2796">
        <v>2016</v>
      </c>
      <c r="D2796" t="s">
        <v>27</v>
      </c>
      <c r="E2796" t="s">
        <v>28</v>
      </c>
      <c r="F2796" t="s">
        <v>27</v>
      </c>
      <c r="G2796">
        <v>30089</v>
      </c>
      <c r="H2796">
        <v>24071.200000000001</v>
      </c>
      <c r="I2796" s="13">
        <v>0.8</v>
      </c>
      <c r="J2796" t="s">
        <v>6207</v>
      </c>
      <c r="K2796">
        <v>2</v>
      </c>
      <c r="L2796">
        <v>0</v>
      </c>
      <c r="M2796" t="s">
        <v>0</v>
      </c>
      <c r="N2796" s="2">
        <v>0.56999999999999995</v>
      </c>
      <c r="O2796" s="2">
        <v>0.43</v>
      </c>
      <c r="P2796">
        <v>18</v>
      </c>
      <c r="Q2796">
        <v>10</v>
      </c>
      <c r="R2796">
        <v>4</v>
      </c>
      <c r="S2796">
        <v>9</v>
      </c>
      <c r="T2796">
        <v>7</v>
      </c>
      <c r="U2796">
        <v>13</v>
      </c>
      <c r="V2796">
        <v>3</v>
      </c>
      <c r="W2796">
        <v>2</v>
      </c>
      <c r="X2796">
        <v>0</v>
      </c>
      <c r="Y2796">
        <v>0</v>
      </c>
      <c r="Z2796">
        <v>0</v>
      </c>
    </row>
    <row r="2797" spans="1:26" x14ac:dyDescent="0.2">
      <c r="A2797" t="s">
        <v>2915</v>
      </c>
      <c r="B2797" t="s">
        <v>67</v>
      </c>
      <c r="C2797">
        <v>2016</v>
      </c>
      <c r="D2797" t="s">
        <v>79</v>
      </c>
      <c r="E2797" t="s">
        <v>73</v>
      </c>
      <c r="F2797" t="s">
        <v>20</v>
      </c>
      <c r="G2797">
        <v>25486</v>
      </c>
      <c r="H2797">
        <v>20388.800000000003</v>
      </c>
      <c r="I2797" s="13">
        <v>0.25</v>
      </c>
      <c r="J2797" t="s">
        <v>6207</v>
      </c>
      <c r="K2797">
        <v>3</v>
      </c>
      <c r="L2797">
        <v>0</v>
      </c>
      <c r="M2797" t="s">
        <v>0</v>
      </c>
      <c r="N2797" s="2">
        <v>0.42</v>
      </c>
      <c r="O2797" s="2">
        <v>0.57999999999999996</v>
      </c>
      <c r="P2797">
        <v>13</v>
      </c>
      <c r="Q2797">
        <v>11</v>
      </c>
      <c r="R2797">
        <v>4</v>
      </c>
      <c r="S2797">
        <v>9</v>
      </c>
      <c r="T2797">
        <v>11</v>
      </c>
      <c r="U2797">
        <v>13</v>
      </c>
      <c r="V2797">
        <v>3</v>
      </c>
      <c r="W2797">
        <v>1</v>
      </c>
      <c r="X2797">
        <v>0</v>
      </c>
      <c r="Y2797">
        <v>0</v>
      </c>
      <c r="Z2797">
        <v>0</v>
      </c>
    </row>
    <row r="2798" spans="1:26" x14ac:dyDescent="0.2">
      <c r="A2798" t="s">
        <v>2916</v>
      </c>
      <c r="B2798" t="s">
        <v>76</v>
      </c>
      <c r="C2798">
        <v>2016</v>
      </c>
      <c r="D2798" t="s">
        <v>23</v>
      </c>
      <c r="E2798" t="s">
        <v>46</v>
      </c>
      <c r="F2798" t="s">
        <v>20</v>
      </c>
      <c r="G2798">
        <v>62500</v>
      </c>
      <c r="H2798">
        <v>50000</v>
      </c>
      <c r="I2798" s="13">
        <v>0.83333333333333337</v>
      </c>
      <c r="J2798" t="s">
        <v>6207</v>
      </c>
      <c r="K2798">
        <v>1</v>
      </c>
      <c r="L2798">
        <v>5</v>
      </c>
      <c r="M2798" t="s">
        <v>1</v>
      </c>
      <c r="N2798" s="2">
        <v>0.5</v>
      </c>
      <c r="O2798" s="2">
        <v>0.5</v>
      </c>
      <c r="P2798">
        <v>13</v>
      </c>
      <c r="Q2798">
        <v>10</v>
      </c>
      <c r="R2798">
        <v>3</v>
      </c>
      <c r="S2798">
        <v>2</v>
      </c>
      <c r="T2798">
        <v>10</v>
      </c>
      <c r="U2798">
        <v>11</v>
      </c>
      <c r="V2798">
        <v>3</v>
      </c>
      <c r="W2798">
        <v>3</v>
      </c>
      <c r="X2798">
        <v>0</v>
      </c>
      <c r="Y2798">
        <v>0</v>
      </c>
      <c r="Z2798">
        <v>0</v>
      </c>
    </row>
    <row r="2799" spans="1:26" x14ac:dyDescent="0.2">
      <c r="A2799" t="s">
        <v>2917</v>
      </c>
      <c r="B2799" t="s">
        <v>77</v>
      </c>
      <c r="C2799">
        <v>2016</v>
      </c>
      <c r="D2799" t="s">
        <v>86</v>
      </c>
      <c r="E2799" t="s">
        <v>26</v>
      </c>
      <c r="F2799" t="s">
        <v>86</v>
      </c>
      <c r="G2799">
        <v>11364</v>
      </c>
      <c r="H2799">
        <v>9091.2000000000007</v>
      </c>
      <c r="I2799" s="13">
        <v>0.25</v>
      </c>
      <c r="J2799" t="s">
        <v>6207</v>
      </c>
      <c r="K2799">
        <v>4</v>
      </c>
      <c r="L2799">
        <v>3</v>
      </c>
      <c r="M2799" t="s">
        <v>0</v>
      </c>
      <c r="N2799" s="2">
        <v>0.4</v>
      </c>
      <c r="O2799" s="2">
        <v>0.6</v>
      </c>
      <c r="P2799">
        <v>17</v>
      </c>
      <c r="Q2799">
        <v>10</v>
      </c>
      <c r="R2799">
        <v>4</v>
      </c>
      <c r="S2799">
        <v>9</v>
      </c>
      <c r="T2799">
        <v>8</v>
      </c>
      <c r="U2799">
        <v>17</v>
      </c>
      <c r="V2799">
        <v>2</v>
      </c>
      <c r="W2799">
        <v>2</v>
      </c>
      <c r="X2799">
        <v>0</v>
      </c>
      <c r="Y2799">
        <v>0</v>
      </c>
      <c r="Z2799">
        <v>1</v>
      </c>
    </row>
    <row r="2800" spans="1:26" x14ac:dyDescent="0.2">
      <c r="A2800" t="s">
        <v>2918</v>
      </c>
      <c r="B2800" t="s">
        <v>66</v>
      </c>
      <c r="C2800">
        <v>2016</v>
      </c>
      <c r="D2800" t="s">
        <v>45</v>
      </c>
      <c r="E2800" t="s">
        <v>48</v>
      </c>
      <c r="F2800" t="s">
        <v>26</v>
      </c>
      <c r="G2800">
        <v>39572</v>
      </c>
      <c r="H2800">
        <v>31657.600000000002</v>
      </c>
      <c r="I2800" s="13">
        <v>0.8</v>
      </c>
      <c r="J2800" t="s">
        <v>6207</v>
      </c>
      <c r="K2800">
        <v>1</v>
      </c>
      <c r="L2800">
        <v>1</v>
      </c>
      <c r="M2800" t="s">
        <v>58</v>
      </c>
      <c r="N2800" s="2">
        <v>0.46</v>
      </c>
      <c r="O2800" s="2">
        <v>0.54</v>
      </c>
      <c r="P2800">
        <v>14</v>
      </c>
      <c r="Q2800">
        <v>16</v>
      </c>
      <c r="R2800">
        <v>6</v>
      </c>
      <c r="S2800">
        <v>3</v>
      </c>
      <c r="T2800">
        <v>13</v>
      </c>
      <c r="U2800">
        <v>11</v>
      </c>
      <c r="V2800">
        <v>2</v>
      </c>
      <c r="W2800">
        <v>3</v>
      </c>
      <c r="X2800">
        <v>0</v>
      </c>
      <c r="Y2800">
        <v>0</v>
      </c>
      <c r="Z2800">
        <v>1</v>
      </c>
    </row>
    <row r="2801" spans="1:26" x14ac:dyDescent="0.2">
      <c r="A2801" t="s">
        <v>2919</v>
      </c>
      <c r="B2801" t="s">
        <v>41</v>
      </c>
      <c r="C2801">
        <v>2016</v>
      </c>
      <c r="D2801" t="s">
        <v>87</v>
      </c>
      <c r="E2801" t="s">
        <v>19</v>
      </c>
      <c r="F2801" t="s">
        <v>87</v>
      </c>
      <c r="G2801">
        <v>34742</v>
      </c>
      <c r="H2801">
        <v>27793.600000000002</v>
      </c>
      <c r="I2801" s="13">
        <v>0.5</v>
      </c>
      <c r="J2801" t="s">
        <v>6207</v>
      </c>
      <c r="K2801">
        <v>1</v>
      </c>
      <c r="L2801">
        <v>0</v>
      </c>
      <c r="M2801" t="s">
        <v>0</v>
      </c>
      <c r="N2801" s="2">
        <v>0.61</v>
      </c>
      <c r="O2801" s="2">
        <v>0.39</v>
      </c>
      <c r="P2801">
        <v>12</v>
      </c>
      <c r="Q2801">
        <v>9</v>
      </c>
      <c r="R2801">
        <v>13</v>
      </c>
      <c r="S2801">
        <v>7</v>
      </c>
      <c r="T2801">
        <v>6</v>
      </c>
      <c r="U2801">
        <v>11</v>
      </c>
      <c r="V2801">
        <v>1</v>
      </c>
      <c r="W2801">
        <v>1</v>
      </c>
      <c r="X2801">
        <v>0</v>
      </c>
      <c r="Y2801">
        <v>0</v>
      </c>
      <c r="Z2801">
        <v>0</v>
      </c>
    </row>
    <row r="2802" spans="1:26" x14ac:dyDescent="0.2">
      <c r="A2802" t="s">
        <v>2920</v>
      </c>
      <c r="B2802" t="s">
        <v>61</v>
      </c>
      <c r="C2802">
        <v>2016</v>
      </c>
      <c r="D2802" t="s">
        <v>85</v>
      </c>
      <c r="E2802" t="s">
        <v>45</v>
      </c>
      <c r="F2802" t="s">
        <v>85</v>
      </c>
      <c r="G2802">
        <v>22220</v>
      </c>
      <c r="H2802">
        <v>17776</v>
      </c>
      <c r="I2802" s="13">
        <v>0.75</v>
      </c>
      <c r="J2802" t="s">
        <v>6207</v>
      </c>
      <c r="K2802">
        <v>3</v>
      </c>
      <c r="L2802">
        <v>2</v>
      </c>
      <c r="M2802" t="s">
        <v>0</v>
      </c>
      <c r="N2802" s="2">
        <v>0.47</v>
      </c>
      <c r="O2802" s="2">
        <v>0.53</v>
      </c>
      <c r="P2802">
        <v>19</v>
      </c>
      <c r="Q2802">
        <v>15</v>
      </c>
      <c r="R2802">
        <v>2</v>
      </c>
      <c r="S2802">
        <v>4</v>
      </c>
      <c r="T2802">
        <v>11</v>
      </c>
      <c r="U2802">
        <v>16</v>
      </c>
      <c r="V2802">
        <v>2</v>
      </c>
      <c r="W2802">
        <v>2</v>
      </c>
      <c r="X2802">
        <v>0</v>
      </c>
      <c r="Y2802">
        <v>0</v>
      </c>
      <c r="Z2802">
        <v>0</v>
      </c>
    </row>
    <row r="2803" spans="1:26" x14ac:dyDescent="0.2">
      <c r="A2803" t="s">
        <v>2921</v>
      </c>
      <c r="B2803" t="s">
        <v>76</v>
      </c>
      <c r="C2803">
        <v>2016</v>
      </c>
      <c r="D2803" t="s">
        <v>71</v>
      </c>
      <c r="E2803" t="s">
        <v>35</v>
      </c>
      <c r="F2803" t="s">
        <v>71</v>
      </c>
      <c r="G2803">
        <v>21088</v>
      </c>
      <c r="H2803">
        <v>16870.400000000001</v>
      </c>
      <c r="I2803" s="13">
        <v>1</v>
      </c>
      <c r="J2803" t="s">
        <v>6207</v>
      </c>
      <c r="K2803">
        <v>3</v>
      </c>
      <c r="L2803">
        <v>0</v>
      </c>
      <c r="M2803" t="s">
        <v>0</v>
      </c>
      <c r="N2803" s="2">
        <v>0.62</v>
      </c>
      <c r="O2803" s="2">
        <v>0.38</v>
      </c>
      <c r="P2803">
        <v>9</v>
      </c>
      <c r="Q2803">
        <v>11</v>
      </c>
      <c r="R2803">
        <v>7</v>
      </c>
      <c r="S2803">
        <v>4</v>
      </c>
      <c r="T2803">
        <v>10</v>
      </c>
      <c r="U2803">
        <v>8</v>
      </c>
      <c r="V2803">
        <v>1</v>
      </c>
      <c r="W2803">
        <v>2</v>
      </c>
      <c r="X2803">
        <v>0</v>
      </c>
      <c r="Y2803">
        <v>0</v>
      </c>
      <c r="Z2803">
        <v>1</v>
      </c>
    </row>
    <row r="2804" spans="1:26" x14ac:dyDescent="0.2">
      <c r="A2804" t="s">
        <v>2922</v>
      </c>
      <c r="B2804" t="s">
        <v>53</v>
      </c>
      <c r="C2804">
        <v>2016</v>
      </c>
      <c r="D2804" t="s">
        <v>19</v>
      </c>
      <c r="E2804" t="s">
        <v>79</v>
      </c>
      <c r="F2804" t="s">
        <v>19</v>
      </c>
      <c r="G2804">
        <v>25586</v>
      </c>
      <c r="H2804">
        <v>20468.800000000003</v>
      </c>
      <c r="I2804" s="13">
        <v>0.33333333333333331</v>
      </c>
      <c r="J2804" t="s">
        <v>6207</v>
      </c>
      <c r="K2804">
        <v>3</v>
      </c>
      <c r="L2804">
        <v>3</v>
      </c>
      <c r="M2804" t="s">
        <v>58</v>
      </c>
      <c r="N2804" s="2">
        <v>0.56999999999999995</v>
      </c>
      <c r="O2804" s="2">
        <v>0.43</v>
      </c>
      <c r="P2804">
        <v>13</v>
      </c>
      <c r="Q2804">
        <v>18</v>
      </c>
      <c r="R2804">
        <v>4</v>
      </c>
      <c r="S2804">
        <v>7</v>
      </c>
      <c r="T2804">
        <v>16</v>
      </c>
      <c r="U2804">
        <v>14</v>
      </c>
      <c r="V2804">
        <v>2</v>
      </c>
      <c r="W2804">
        <v>4</v>
      </c>
      <c r="X2804">
        <v>0</v>
      </c>
      <c r="Y2804">
        <v>0</v>
      </c>
      <c r="Z2804">
        <v>2</v>
      </c>
    </row>
    <row r="2805" spans="1:26" x14ac:dyDescent="0.2">
      <c r="A2805" t="s">
        <v>2923</v>
      </c>
      <c r="B2805" t="s">
        <v>32</v>
      </c>
      <c r="C2805">
        <v>2016</v>
      </c>
      <c r="D2805" t="s">
        <v>28</v>
      </c>
      <c r="E2805" t="s">
        <v>86</v>
      </c>
      <c r="F2805" t="s">
        <v>28</v>
      </c>
      <c r="G2805">
        <v>21944</v>
      </c>
      <c r="H2805">
        <v>17555.2</v>
      </c>
      <c r="I2805" s="13">
        <v>0.5</v>
      </c>
      <c r="J2805" t="s">
        <v>6207</v>
      </c>
      <c r="K2805">
        <v>3</v>
      </c>
      <c r="L2805">
        <v>2</v>
      </c>
      <c r="M2805" t="s">
        <v>0</v>
      </c>
      <c r="N2805" s="2">
        <v>0.31</v>
      </c>
      <c r="O2805" s="2">
        <v>0.69</v>
      </c>
      <c r="P2805">
        <v>19</v>
      </c>
      <c r="Q2805">
        <v>18</v>
      </c>
      <c r="R2805">
        <v>4</v>
      </c>
      <c r="S2805">
        <v>11</v>
      </c>
      <c r="T2805">
        <v>14</v>
      </c>
      <c r="U2805">
        <v>18</v>
      </c>
      <c r="V2805">
        <v>2</v>
      </c>
      <c r="W2805">
        <v>2</v>
      </c>
      <c r="X2805">
        <v>0</v>
      </c>
      <c r="Y2805">
        <v>0</v>
      </c>
      <c r="Z2805">
        <v>0</v>
      </c>
    </row>
    <row r="2806" spans="1:26" x14ac:dyDescent="0.2">
      <c r="A2806" t="s">
        <v>2924</v>
      </c>
      <c r="B2806" t="s">
        <v>50</v>
      </c>
      <c r="C2806">
        <v>2016</v>
      </c>
      <c r="D2806" t="s">
        <v>46</v>
      </c>
      <c r="E2806" t="s">
        <v>27</v>
      </c>
      <c r="F2806" t="s">
        <v>20</v>
      </c>
      <c r="G2806">
        <v>60704</v>
      </c>
      <c r="H2806">
        <v>48563.200000000004</v>
      </c>
      <c r="I2806" s="13">
        <v>0</v>
      </c>
      <c r="J2806" t="s">
        <v>6207</v>
      </c>
      <c r="K2806">
        <v>3</v>
      </c>
      <c r="L2806">
        <v>1</v>
      </c>
      <c r="M2806" t="s">
        <v>0</v>
      </c>
      <c r="N2806" s="2">
        <v>0.64</v>
      </c>
      <c r="O2806" s="2">
        <v>0.36</v>
      </c>
      <c r="P2806">
        <v>9</v>
      </c>
      <c r="Q2806">
        <v>11</v>
      </c>
      <c r="R2806">
        <v>7</v>
      </c>
      <c r="S2806">
        <v>7</v>
      </c>
      <c r="T2806">
        <v>9</v>
      </c>
      <c r="U2806">
        <v>6</v>
      </c>
      <c r="V2806">
        <v>0</v>
      </c>
      <c r="W2806">
        <v>0</v>
      </c>
      <c r="X2806">
        <v>0</v>
      </c>
      <c r="Y2806">
        <v>0</v>
      </c>
      <c r="Z2806">
        <v>1</v>
      </c>
    </row>
    <row r="2807" spans="1:26" x14ac:dyDescent="0.2">
      <c r="A2807" t="s">
        <v>2925</v>
      </c>
      <c r="B2807" t="s">
        <v>66</v>
      </c>
      <c r="C2807">
        <v>2016</v>
      </c>
      <c r="D2807" t="s">
        <v>80</v>
      </c>
      <c r="E2807" t="s">
        <v>40</v>
      </c>
      <c r="F2807" t="s">
        <v>80</v>
      </c>
      <c r="G2807">
        <v>32261</v>
      </c>
      <c r="H2807">
        <v>25808.800000000003</v>
      </c>
      <c r="I2807" s="13">
        <v>0.75</v>
      </c>
      <c r="J2807" t="s">
        <v>6207</v>
      </c>
      <c r="K2807">
        <v>4</v>
      </c>
      <c r="L2807">
        <v>2</v>
      </c>
      <c r="M2807" t="s">
        <v>0</v>
      </c>
      <c r="N2807" s="2">
        <v>0.22</v>
      </c>
      <c r="O2807" s="2">
        <v>0.78</v>
      </c>
      <c r="P2807">
        <v>10</v>
      </c>
      <c r="Q2807">
        <v>10</v>
      </c>
      <c r="R2807">
        <v>3</v>
      </c>
      <c r="S2807">
        <v>11</v>
      </c>
      <c r="T2807">
        <v>10</v>
      </c>
      <c r="U2807">
        <v>7</v>
      </c>
      <c r="V2807">
        <v>3</v>
      </c>
      <c r="W2807">
        <v>1</v>
      </c>
      <c r="X2807">
        <v>0</v>
      </c>
      <c r="Y2807">
        <v>0</v>
      </c>
      <c r="Z2807">
        <v>0</v>
      </c>
    </row>
    <row r="2808" spans="1:26" x14ac:dyDescent="0.2">
      <c r="A2808" t="s">
        <v>2926</v>
      </c>
      <c r="B2808" t="s">
        <v>41</v>
      </c>
      <c r="C2808">
        <v>2016</v>
      </c>
      <c r="D2808" t="s">
        <v>18</v>
      </c>
      <c r="E2808" t="s">
        <v>63</v>
      </c>
      <c r="F2808" t="s">
        <v>20</v>
      </c>
      <c r="G2808">
        <v>40341</v>
      </c>
      <c r="H2808">
        <v>32272.800000000003</v>
      </c>
      <c r="I2808" s="13">
        <v>0.5</v>
      </c>
      <c r="J2808" t="s">
        <v>6207</v>
      </c>
      <c r="K2808">
        <v>1</v>
      </c>
      <c r="L2808">
        <v>0</v>
      </c>
      <c r="M2808" t="s">
        <v>0</v>
      </c>
      <c r="N2808" s="2">
        <v>0.67</v>
      </c>
      <c r="O2808" s="2">
        <v>0.33</v>
      </c>
      <c r="P2808">
        <v>12</v>
      </c>
      <c r="Q2808">
        <v>8</v>
      </c>
      <c r="R2808">
        <v>3</v>
      </c>
      <c r="S2808">
        <v>1</v>
      </c>
      <c r="T2808">
        <v>6</v>
      </c>
      <c r="U2808">
        <v>10</v>
      </c>
      <c r="V2808">
        <v>2</v>
      </c>
      <c r="W2808">
        <v>4</v>
      </c>
      <c r="X2808">
        <v>0</v>
      </c>
      <c r="Y2808">
        <v>0</v>
      </c>
      <c r="Z2808">
        <v>0</v>
      </c>
    </row>
    <row r="2809" spans="1:26" x14ac:dyDescent="0.2">
      <c r="A2809" t="s">
        <v>2927</v>
      </c>
      <c r="B2809" t="s">
        <v>59</v>
      </c>
      <c r="C2809">
        <v>2016</v>
      </c>
      <c r="D2809" t="s">
        <v>73</v>
      </c>
      <c r="E2809" t="s">
        <v>87</v>
      </c>
      <c r="F2809" t="s">
        <v>73</v>
      </c>
      <c r="G2809">
        <v>32384</v>
      </c>
      <c r="H2809">
        <v>25907.200000000001</v>
      </c>
      <c r="I2809" s="13">
        <v>0.7142857142857143</v>
      </c>
      <c r="J2809" t="s">
        <v>6206</v>
      </c>
      <c r="K2809">
        <v>1</v>
      </c>
      <c r="L2809">
        <v>0</v>
      </c>
      <c r="M2809" t="s">
        <v>0</v>
      </c>
      <c r="N2809" s="2">
        <v>0.55000000000000004</v>
      </c>
      <c r="O2809" s="2">
        <v>0.45</v>
      </c>
      <c r="P2809">
        <v>14</v>
      </c>
      <c r="Q2809">
        <v>17</v>
      </c>
      <c r="R2809">
        <v>4</v>
      </c>
      <c r="S2809">
        <v>2</v>
      </c>
      <c r="T2809">
        <v>14</v>
      </c>
      <c r="U2809">
        <v>12</v>
      </c>
      <c r="V2809">
        <v>4</v>
      </c>
      <c r="W2809">
        <v>3</v>
      </c>
      <c r="X2809">
        <v>0</v>
      </c>
      <c r="Y2809">
        <v>0</v>
      </c>
      <c r="Z2809">
        <v>0</v>
      </c>
    </row>
    <row r="2810" spans="1:26" x14ac:dyDescent="0.2">
      <c r="A2810" t="s">
        <v>2928</v>
      </c>
      <c r="B2810" t="s">
        <v>77</v>
      </c>
      <c r="C2810">
        <v>2016</v>
      </c>
      <c r="D2810" t="s">
        <v>48</v>
      </c>
      <c r="E2810" t="s">
        <v>51</v>
      </c>
      <c r="F2810" t="s">
        <v>49</v>
      </c>
      <c r="G2810">
        <v>74197</v>
      </c>
      <c r="H2810">
        <v>59357.600000000006</v>
      </c>
      <c r="I2810" s="13">
        <v>0.66666666666666663</v>
      </c>
      <c r="J2810" t="s">
        <v>6207</v>
      </c>
      <c r="K2810">
        <v>1</v>
      </c>
      <c r="L2810">
        <v>0</v>
      </c>
      <c r="M2810" t="s">
        <v>0</v>
      </c>
      <c r="N2810" s="2">
        <v>0.4</v>
      </c>
      <c r="O2810" s="2">
        <v>0.6</v>
      </c>
      <c r="P2810">
        <v>17</v>
      </c>
      <c r="Q2810">
        <v>20</v>
      </c>
      <c r="R2810">
        <v>3</v>
      </c>
      <c r="S2810">
        <v>8</v>
      </c>
      <c r="T2810">
        <v>19</v>
      </c>
      <c r="U2810">
        <v>17</v>
      </c>
      <c r="V2810">
        <v>3</v>
      </c>
      <c r="W2810">
        <v>3</v>
      </c>
      <c r="X2810">
        <v>0</v>
      </c>
      <c r="Y2810">
        <v>0</v>
      </c>
      <c r="Z2810">
        <v>0</v>
      </c>
    </row>
    <row r="2811" spans="1:26" x14ac:dyDescent="0.2">
      <c r="A2811" t="s">
        <v>2929</v>
      </c>
      <c r="B2811" t="s">
        <v>44</v>
      </c>
      <c r="C2811">
        <v>2016</v>
      </c>
      <c r="D2811" t="s">
        <v>26</v>
      </c>
      <c r="E2811" t="s">
        <v>23</v>
      </c>
      <c r="F2811" t="s">
        <v>26</v>
      </c>
      <c r="G2811">
        <v>61276</v>
      </c>
      <c r="H2811">
        <v>49020.800000000003</v>
      </c>
      <c r="I2811" s="13">
        <v>1</v>
      </c>
      <c r="J2811" t="s">
        <v>6207</v>
      </c>
      <c r="K2811">
        <v>2</v>
      </c>
      <c r="L2811">
        <v>2</v>
      </c>
      <c r="M2811" t="s">
        <v>58</v>
      </c>
      <c r="N2811" s="2">
        <v>0.68</v>
      </c>
      <c r="O2811" s="2">
        <v>0.32</v>
      </c>
      <c r="P2811">
        <v>11</v>
      </c>
      <c r="Q2811">
        <v>12</v>
      </c>
      <c r="R2811">
        <v>11</v>
      </c>
      <c r="S2811">
        <v>4</v>
      </c>
      <c r="T2811">
        <v>7</v>
      </c>
      <c r="U2811">
        <v>8</v>
      </c>
      <c r="V2811">
        <v>2</v>
      </c>
      <c r="W2811">
        <v>0</v>
      </c>
      <c r="X2811">
        <v>0</v>
      </c>
      <c r="Y2811">
        <v>0</v>
      </c>
      <c r="Z2811">
        <v>0</v>
      </c>
    </row>
    <row r="2812" spans="1:26" x14ac:dyDescent="0.2">
      <c r="A2812" t="s">
        <v>2930</v>
      </c>
      <c r="B2812" t="s">
        <v>44</v>
      </c>
      <c r="C2812">
        <v>2016</v>
      </c>
      <c r="D2812" t="s">
        <v>45</v>
      </c>
      <c r="E2812" t="s">
        <v>46</v>
      </c>
      <c r="F2812" t="s">
        <v>26</v>
      </c>
      <c r="G2812">
        <v>39572</v>
      </c>
      <c r="H2812">
        <v>31657.600000000002</v>
      </c>
      <c r="I2812" s="13">
        <v>0.5</v>
      </c>
      <c r="J2812" t="s">
        <v>6207</v>
      </c>
      <c r="K2812">
        <v>2</v>
      </c>
      <c r="L2812">
        <v>1</v>
      </c>
      <c r="M2812" t="s">
        <v>0</v>
      </c>
      <c r="N2812" s="2">
        <v>0.42</v>
      </c>
      <c r="O2812" s="2">
        <v>0.57999999999999996</v>
      </c>
      <c r="P2812">
        <v>12</v>
      </c>
      <c r="Q2812">
        <v>11</v>
      </c>
      <c r="R2812">
        <v>8</v>
      </c>
      <c r="S2812">
        <v>3</v>
      </c>
      <c r="T2812">
        <v>10</v>
      </c>
      <c r="U2812">
        <v>10</v>
      </c>
      <c r="V2812">
        <v>2</v>
      </c>
      <c r="W2812">
        <v>1</v>
      </c>
      <c r="X2812">
        <v>1</v>
      </c>
      <c r="Y2812">
        <v>0</v>
      </c>
      <c r="Z2812">
        <v>0</v>
      </c>
    </row>
    <row r="2813" spans="1:26" x14ac:dyDescent="0.2">
      <c r="A2813" t="s">
        <v>2931</v>
      </c>
      <c r="B2813" t="s">
        <v>81</v>
      </c>
      <c r="C2813">
        <v>2016</v>
      </c>
      <c r="D2813" t="s">
        <v>86</v>
      </c>
      <c r="E2813" t="s">
        <v>80</v>
      </c>
      <c r="F2813" t="s">
        <v>86</v>
      </c>
      <c r="G2813">
        <v>11364</v>
      </c>
      <c r="H2813">
        <v>9091.2000000000007</v>
      </c>
      <c r="I2813" s="13">
        <v>0.66666666666666663</v>
      </c>
      <c r="J2813" t="s">
        <v>6207</v>
      </c>
      <c r="K2813">
        <v>1</v>
      </c>
      <c r="L2813">
        <v>0</v>
      </c>
      <c r="M2813" t="s">
        <v>0</v>
      </c>
      <c r="N2813" s="2">
        <v>0.63</v>
      </c>
      <c r="O2813" s="2">
        <v>0.37</v>
      </c>
      <c r="P2813">
        <v>16</v>
      </c>
      <c r="Q2813">
        <v>10</v>
      </c>
      <c r="R2813">
        <v>4</v>
      </c>
      <c r="S2813">
        <v>11</v>
      </c>
      <c r="T2813">
        <v>5</v>
      </c>
      <c r="U2813">
        <v>14</v>
      </c>
      <c r="V2813">
        <v>0</v>
      </c>
      <c r="W2813">
        <v>3</v>
      </c>
      <c r="X2813">
        <v>0</v>
      </c>
      <c r="Y2813">
        <v>0</v>
      </c>
      <c r="Z2813">
        <v>0</v>
      </c>
    </row>
    <row r="2814" spans="1:26" x14ac:dyDescent="0.2">
      <c r="A2814" t="s">
        <v>2932</v>
      </c>
      <c r="B2814" t="s">
        <v>77</v>
      </c>
      <c r="C2814">
        <v>2016</v>
      </c>
      <c r="D2814" t="s">
        <v>23</v>
      </c>
      <c r="E2814" t="s">
        <v>28</v>
      </c>
      <c r="F2814" t="s">
        <v>20</v>
      </c>
      <c r="G2814">
        <v>62500</v>
      </c>
      <c r="H2814">
        <v>50000</v>
      </c>
      <c r="I2814" s="13">
        <v>0.5</v>
      </c>
      <c r="J2814" t="s">
        <v>6207</v>
      </c>
      <c r="K2814">
        <v>1</v>
      </c>
      <c r="L2814">
        <v>0</v>
      </c>
      <c r="M2814" t="s">
        <v>0</v>
      </c>
      <c r="N2814" s="2">
        <v>0.59</v>
      </c>
      <c r="O2814" s="2">
        <v>0.41</v>
      </c>
      <c r="P2814">
        <v>17</v>
      </c>
      <c r="Q2814">
        <v>11</v>
      </c>
      <c r="R2814">
        <v>6</v>
      </c>
      <c r="S2814">
        <v>1</v>
      </c>
      <c r="T2814">
        <v>12</v>
      </c>
      <c r="U2814">
        <v>15</v>
      </c>
      <c r="V2814">
        <v>0</v>
      </c>
      <c r="W2814">
        <v>2</v>
      </c>
      <c r="X2814">
        <v>0</v>
      </c>
      <c r="Y2814">
        <v>0</v>
      </c>
      <c r="Z2814">
        <v>1</v>
      </c>
    </row>
    <row r="2815" spans="1:26" x14ac:dyDescent="0.2">
      <c r="A2815" t="s">
        <v>2933</v>
      </c>
      <c r="B2815" t="s">
        <v>67</v>
      </c>
      <c r="C2815">
        <v>2016</v>
      </c>
      <c r="D2815" t="s">
        <v>35</v>
      </c>
      <c r="E2815" t="s">
        <v>18</v>
      </c>
      <c r="F2815" t="s">
        <v>35</v>
      </c>
      <c r="G2815">
        <v>49000</v>
      </c>
      <c r="H2815">
        <v>39200</v>
      </c>
      <c r="I2815" s="13">
        <v>0.8</v>
      </c>
      <c r="J2815" t="s">
        <v>6207</v>
      </c>
      <c r="K2815">
        <v>0</v>
      </c>
      <c r="L2815">
        <v>1</v>
      </c>
      <c r="M2815" t="s">
        <v>1</v>
      </c>
      <c r="N2815" s="2">
        <v>0.34</v>
      </c>
      <c r="O2815" s="2">
        <v>0.66</v>
      </c>
      <c r="P2815">
        <v>13</v>
      </c>
      <c r="Q2815">
        <v>16</v>
      </c>
      <c r="R2815">
        <v>5</v>
      </c>
      <c r="S2815">
        <v>5</v>
      </c>
      <c r="T2815">
        <v>15</v>
      </c>
      <c r="U2815">
        <v>10</v>
      </c>
      <c r="V2815">
        <v>3</v>
      </c>
      <c r="W2815">
        <v>2</v>
      </c>
      <c r="X2815">
        <v>0</v>
      </c>
      <c r="Y2815">
        <v>0</v>
      </c>
      <c r="Z2815">
        <v>0</v>
      </c>
    </row>
    <row r="2816" spans="1:26" x14ac:dyDescent="0.2">
      <c r="A2816" t="s">
        <v>2934</v>
      </c>
      <c r="B2816" t="s">
        <v>68</v>
      </c>
      <c r="C2816">
        <v>2016</v>
      </c>
      <c r="D2816" t="s">
        <v>87</v>
      </c>
      <c r="E2816" t="s">
        <v>26</v>
      </c>
      <c r="F2816" t="s">
        <v>87</v>
      </c>
      <c r="G2816">
        <v>34742</v>
      </c>
      <c r="H2816">
        <v>27793.600000000002</v>
      </c>
      <c r="I2816" s="13">
        <v>0</v>
      </c>
      <c r="J2816" t="s">
        <v>6207</v>
      </c>
      <c r="K2816">
        <v>0</v>
      </c>
      <c r="L2816">
        <v>3</v>
      </c>
      <c r="M2816" t="s">
        <v>1</v>
      </c>
      <c r="N2816" s="2">
        <v>0.36</v>
      </c>
      <c r="O2816" s="2">
        <v>0.64</v>
      </c>
      <c r="P2816">
        <v>18</v>
      </c>
      <c r="Q2816">
        <v>12</v>
      </c>
      <c r="R2816">
        <v>5</v>
      </c>
      <c r="S2816">
        <v>2</v>
      </c>
      <c r="T2816">
        <v>11</v>
      </c>
      <c r="U2816">
        <v>14</v>
      </c>
      <c r="V2816">
        <v>1</v>
      </c>
      <c r="W2816">
        <v>0</v>
      </c>
      <c r="X2816">
        <v>0</v>
      </c>
      <c r="Y2816">
        <v>0</v>
      </c>
      <c r="Z2816">
        <v>0</v>
      </c>
    </row>
    <row r="2817" spans="1:26" x14ac:dyDescent="0.2">
      <c r="A2817" t="s">
        <v>2935</v>
      </c>
      <c r="B2817" t="s">
        <v>66</v>
      </c>
      <c r="C2817">
        <v>2016</v>
      </c>
      <c r="D2817" t="s">
        <v>63</v>
      </c>
      <c r="E2817" t="s">
        <v>71</v>
      </c>
      <c r="F2817" t="s">
        <v>65</v>
      </c>
      <c r="G2817">
        <v>26804</v>
      </c>
      <c r="H2817">
        <v>21443.200000000001</v>
      </c>
      <c r="I2817" s="13">
        <v>0</v>
      </c>
      <c r="J2817" t="s">
        <v>6207</v>
      </c>
      <c r="K2817">
        <v>3</v>
      </c>
      <c r="L2817">
        <v>1</v>
      </c>
      <c r="M2817" t="s">
        <v>0</v>
      </c>
      <c r="N2817" s="2">
        <v>0.39</v>
      </c>
      <c r="O2817" s="2">
        <v>0.61</v>
      </c>
      <c r="P2817">
        <v>9</v>
      </c>
      <c r="Q2817">
        <v>10</v>
      </c>
      <c r="R2817">
        <v>0</v>
      </c>
      <c r="S2817">
        <v>11</v>
      </c>
      <c r="T2817">
        <v>8</v>
      </c>
      <c r="U2817">
        <v>8</v>
      </c>
      <c r="V2817">
        <v>0</v>
      </c>
      <c r="W2817">
        <v>0</v>
      </c>
      <c r="X2817">
        <v>0</v>
      </c>
      <c r="Y2817">
        <v>0</v>
      </c>
      <c r="Z2817">
        <v>0</v>
      </c>
    </row>
    <row r="2818" spans="1:26" x14ac:dyDescent="0.2">
      <c r="A2818" t="s">
        <v>2936</v>
      </c>
      <c r="B2818" t="s">
        <v>37</v>
      </c>
      <c r="C2818">
        <v>2016</v>
      </c>
      <c r="D2818" t="s">
        <v>51</v>
      </c>
      <c r="E2818" t="s">
        <v>19</v>
      </c>
      <c r="F2818" t="s">
        <v>20</v>
      </c>
      <c r="G2818">
        <v>36284</v>
      </c>
      <c r="H2818">
        <v>29027.200000000001</v>
      </c>
      <c r="I2818" s="13">
        <v>0.5</v>
      </c>
      <c r="J2818" t="s">
        <v>6206</v>
      </c>
      <c r="K2818">
        <v>3</v>
      </c>
      <c r="L2818">
        <v>0</v>
      </c>
      <c r="M2818" t="s">
        <v>0</v>
      </c>
      <c r="N2818" s="2">
        <v>0.63</v>
      </c>
      <c r="O2818" s="2">
        <v>0.37</v>
      </c>
      <c r="P2818">
        <v>18</v>
      </c>
      <c r="Q2818">
        <v>9</v>
      </c>
      <c r="R2818">
        <v>5</v>
      </c>
      <c r="S2818">
        <v>5</v>
      </c>
      <c r="T2818">
        <v>6</v>
      </c>
      <c r="U2818">
        <v>14</v>
      </c>
      <c r="V2818">
        <v>0</v>
      </c>
      <c r="W2818">
        <v>2</v>
      </c>
      <c r="X2818">
        <v>0</v>
      </c>
      <c r="Y2818">
        <v>0</v>
      </c>
      <c r="Z2818">
        <v>0</v>
      </c>
    </row>
    <row r="2819" spans="1:26" x14ac:dyDescent="0.2">
      <c r="A2819" t="s">
        <v>2937</v>
      </c>
      <c r="B2819" t="s">
        <v>61</v>
      </c>
      <c r="C2819">
        <v>2016</v>
      </c>
      <c r="D2819" t="s">
        <v>27</v>
      </c>
      <c r="E2819" t="s">
        <v>73</v>
      </c>
      <c r="F2819" t="s">
        <v>27</v>
      </c>
      <c r="G2819">
        <v>30089</v>
      </c>
      <c r="H2819">
        <v>24071.200000000001</v>
      </c>
      <c r="I2819" s="13">
        <v>0.5</v>
      </c>
      <c r="J2819" t="s">
        <v>6207</v>
      </c>
      <c r="K2819">
        <v>0</v>
      </c>
      <c r="L2819">
        <v>0</v>
      </c>
      <c r="M2819" t="s">
        <v>58</v>
      </c>
      <c r="N2819" s="2">
        <v>0.28999999999999998</v>
      </c>
      <c r="O2819" s="2">
        <v>0.71</v>
      </c>
      <c r="P2819">
        <v>13</v>
      </c>
      <c r="Q2819">
        <v>10</v>
      </c>
      <c r="R2819">
        <v>3</v>
      </c>
      <c r="S2819">
        <v>11</v>
      </c>
      <c r="T2819">
        <v>9</v>
      </c>
      <c r="U2819">
        <v>10</v>
      </c>
      <c r="V2819">
        <v>1</v>
      </c>
      <c r="W2819">
        <v>2</v>
      </c>
      <c r="X2819">
        <v>1</v>
      </c>
      <c r="Y2819">
        <v>0</v>
      </c>
      <c r="Z2819">
        <v>0</v>
      </c>
    </row>
    <row r="2820" spans="1:26" x14ac:dyDescent="0.2">
      <c r="A2820" t="s">
        <v>2938</v>
      </c>
      <c r="B2820" t="s">
        <v>60</v>
      </c>
      <c r="C2820">
        <v>2016</v>
      </c>
      <c r="D2820" t="s">
        <v>40</v>
      </c>
      <c r="E2820" t="s">
        <v>85</v>
      </c>
      <c r="F2820" t="s">
        <v>49</v>
      </c>
      <c r="G2820">
        <v>53400</v>
      </c>
      <c r="H2820">
        <v>42720</v>
      </c>
      <c r="I2820" s="13">
        <v>1</v>
      </c>
      <c r="J2820" t="s">
        <v>6208</v>
      </c>
      <c r="K2820">
        <v>2</v>
      </c>
      <c r="L2820">
        <v>0</v>
      </c>
      <c r="M2820" t="s">
        <v>0</v>
      </c>
      <c r="N2820" s="2">
        <v>0.64</v>
      </c>
      <c r="O2820" s="2">
        <v>0.36</v>
      </c>
      <c r="P2820">
        <v>24</v>
      </c>
      <c r="Q2820">
        <v>19</v>
      </c>
      <c r="R2820">
        <v>5</v>
      </c>
      <c r="S2820">
        <v>2</v>
      </c>
      <c r="T2820">
        <v>16</v>
      </c>
      <c r="U2820">
        <v>20</v>
      </c>
      <c r="V2820">
        <v>1</v>
      </c>
      <c r="W2820">
        <v>2</v>
      </c>
      <c r="X2820">
        <v>0</v>
      </c>
      <c r="Y2820">
        <v>0</v>
      </c>
      <c r="Z2820">
        <v>0</v>
      </c>
    </row>
    <row r="2821" spans="1:26" x14ac:dyDescent="0.2">
      <c r="A2821" t="s">
        <v>2939</v>
      </c>
      <c r="B2821" t="s">
        <v>76</v>
      </c>
      <c r="C2821">
        <v>2016</v>
      </c>
      <c r="D2821" t="s">
        <v>79</v>
      </c>
      <c r="E2821" t="s">
        <v>48</v>
      </c>
      <c r="F2821" t="s">
        <v>20</v>
      </c>
      <c r="G2821">
        <v>25486</v>
      </c>
      <c r="H2821">
        <v>20388.800000000003</v>
      </c>
      <c r="I2821" s="13">
        <v>0.6</v>
      </c>
      <c r="J2821" t="s">
        <v>6207</v>
      </c>
      <c r="K2821">
        <v>1</v>
      </c>
      <c r="L2821">
        <v>2</v>
      </c>
      <c r="M2821" t="s">
        <v>1</v>
      </c>
      <c r="N2821" s="2">
        <v>0.39</v>
      </c>
      <c r="O2821" s="2">
        <v>0.61</v>
      </c>
      <c r="P2821">
        <v>11</v>
      </c>
      <c r="Q2821">
        <v>16</v>
      </c>
      <c r="R2821">
        <v>1</v>
      </c>
      <c r="S2821">
        <v>8</v>
      </c>
      <c r="T2821">
        <v>16</v>
      </c>
      <c r="U2821">
        <v>10</v>
      </c>
      <c r="V2821">
        <v>2</v>
      </c>
      <c r="W2821">
        <v>3</v>
      </c>
      <c r="X2821">
        <v>0</v>
      </c>
      <c r="Y2821">
        <v>0</v>
      </c>
      <c r="Z2821">
        <v>0</v>
      </c>
    </row>
    <row r="2822" spans="1:26" x14ac:dyDescent="0.2">
      <c r="A2822" t="s">
        <v>2940</v>
      </c>
      <c r="B2822" t="s">
        <v>68</v>
      </c>
      <c r="C2822">
        <v>2016</v>
      </c>
      <c r="D2822" t="s">
        <v>79</v>
      </c>
      <c r="E2822" t="s">
        <v>18</v>
      </c>
      <c r="F2822" t="s">
        <v>20</v>
      </c>
      <c r="G2822">
        <v>25486</v>
      </c>
      <c r="H2822">
        <v>20388.800000000003</v>
      </c>
      <c r="I2822" s="13">
        <v>0.8</v>
      </c>
      <c r="J2822" t="s">
        <v>6207</v>
      </c>
      <c r="K2822">
        <v>0</v>
      </c>
      <c r="L2822">
        <v>1</v>
      </c>
      <c r="M2822" t="s">
        <v>1</v>
      </c>
      <c r="N2822" s="2">
        <v>0.53</v>
      </c>
      <c r="O2822" s="2">
        <v>0.47</v>
      </c>
      <c r="P2822">
        <v>17</v>
      </c>
      <c r="Q2822">
        <v>12</v>
      </c>
      <c r="R2822">
        <v>5</v>
      </c>
      <c r="S2822">
        <v>3</v>
      </c>
      <c r="T2822">
        <v>12</v>
      </c>
      <c r="U2822">
        <v>15</v>
      </c>
      <c r="V2822">
        <v>2</v>
      </c>
      <c r="W2822">
        <v>3</v>
      </c>
      <c r="X2822">
        <v>0</v>
      </c>
      <c r="Y2822">
        <v>0</v>
      </c>
      <c r="Z2822">
        <v>0</v>
      </c>
    </row>
    <row r="2823" spans="1:26" x14ac:dyDescent="0.2">
      <c r="A2823" t="s">
        <v>2941</v>
      </c>
      <c r="B2823" t="s">
        <v>50</v>
      </c>
      <c r="C2823">
        <v>2016</v>
      </c>
      <c r="D2823" t="s">
        <v>23</v>
      </c>
      <c r="E2823" t="s">
        <v>19</v>
      </c>
      <c r="F2823" t="s">
        <v>20</v>
      </c>
      <c r="G2823">
        <v>62500</v>
      </c>
      <c r="H2823">
        <v>50000</v>
      </c>
      <c r="I2823" s="13">
        <v>0.33333333333333331</v>
      </c>
      <c r="J2823" t="s">
        <v>6207</v>
      </c>
      <c r="K2823">
        <v>1</v>
      </c>
      <c r="L2823">
        <v>0</v>
      </c>
      <c r="M2823" t="s">
        <v>0</v>
      </c>
      <c r="N2823" s="2">
        <v>0.56999999999999995</v>
      </c>
      <c r="O2823" s="2">
        <v>0.43</v>
      </c>
      <c r="P2823">
        <v>17</v>
      </c>
      <c r="Q2823">
        <v>14</v>
      </c>
      <c r="R2823">
        <v>10</v>
      </c>
      <c r="S2823">
        <v>6</v>
      </c>
      <c r="T2823">
        <v>13</v>
      </c>
      <c r="U2823">
        <v>9</v>
      </c>
      <c r="V2823">
        <v>2</v>
      </c>
      <c r="W2823">
        <v>4</v>
      </c>
      <c r="X2823">
        <v>0</v>
      </c>
      <c r="Y2823">
        <v>0</v>
      </c>
      <c r="Z2823">
        <v>1</v>
      </c>
    </row>
    <row r="2824" spans="1:26" x14ac:dyDescent="0.2">
      <c r="A2824" t="s">
        <v>2942</v>
      </c>
      <c r="B2824" t="s">
        <v>77</v>
      </c>
      <c r="C2824">
        <v>2016</v>
      </c>
      <c r="D2824" t="s">
        <v>35</v>
      </c>
      <c r="E2824" t="s">
        <v>85</v>
      </c>
      <c r="F2824" t="s">
        <v>35</v>
      </c>
      <c r="G2824">
        <v>49000</v>
      </c>
      <c r="H2824">
        <v>39200</v>
      </c>
      <c r="I2824" s="13">
        <v>1</v>
      </c>
      <c r="J2824" t="s">
        <v>6207</v>
      </c>
      <c r="K2824">
        <v>1</v>
      </c>
      <c r="L2824">
        <v>0</v>
      </c>
      <c r="M2824" t="s">
        <v>0</v>
      </c>
      <c r="N2824" s="2">
        <v>0.42</v>
      </c>
      <c r="O2824" s="2">
        <v>0.57999999999999996</v>
      </c>
      <c r="P2824">
        <v>11</v>
      </c>
      <c r="Q2824">
        <v>12</v>
      </c>
      <c r="R2824">
        <v>4</v>
      </c>
      <c r="S2824">
        <v>11</v>
      </c>
      <c r="T2824">
        <v>10</v>
      </c>
      <c r="U2824">
        <v>9</v>
      </c>
      <c r="V2824">
        <v>1</v>
      </c>
      <c r="W2824">
        <v>2</v>
      </c>
      <c r="X2824">
        <v>0</v>
      </c>
      <c r="Y2824">
        <v>0</v>
      </c>
      <c r="Z2824">
        <v>0</v>
      </c>
    </row>
    <row r="2825" spans="1:26" x14ac:dyDescent="0.2">
      <c r="A2825" t="s">
        <v>2943</v>
      </c>
      <c r="B2825" t="s">
        <v>76</v>
      </c>
      <c r="C2825">
        <v>2016</v>
      </c>
      <c r="D2825" t="s">
        <v>27</v>
      </c>
      <c r="E2825" t="s">
        <v>80</v>
      </c>
      <c r="F2825" t="s">
        <v>27</v>
      </c>
      <c r="G2825">
        <v>30089</v>
      </c>
      <c r="H2825">
        <v>24071.200000000001</v>
      </c>
      <c r="I2825" s="13">
        <v>0.44444444444444442</v>
      </c>
      <c r="J2825" t="s">
        <v>6207</v>
      </c>
      <c r="K2825">
        <v>2</v>
      </c>
      <c r="L2825">
        <v>2</v>
      </c>
      <c r="M2825" t="s">
        <v>58</v>
      </c>
      <c r="N2825" s="2">
        <v>0.65</v>
      </c>
      <c r="O2825" s="2">
        <v>0.35</v>
      </c>
      <c r="P2825">
        <v>10</v>
      </c>
      <c r="Q2825">
        <v>10</v>
      </c>
      <c r="R2825">
        <v>9</v>
      </c>
      <c r="S2825">
        <v>9</v>
      </c>
      <c r="T2825">
        <v>9</v>
      </c>
      <c r="U2825">
        <v>12</v>
      </c>
      <c r="V2825">
        <v>2</v>
      </c>
      <c r="W2825">
        <v>6</v>
      </c>
      <c r="X2825">
        <v>0</v>
      </c>
      <c r="Y2825">
        <v>1</v>
      </c>
      <c r="Z2825">
        <v>1</v>
      </c>
    </row>
    <row r="2826" spans="1:26" x14ac:dyDescent="0.2">
      <c r="A2826" t="s">
        <v>2944</v>
      </c>
      <c r="B2826" t="s">
        <v>67</v>
      </c>
      <c r="C2826">
        <v>2016</v>
      </c>
      <c r="D2826" t="s">
        <v>87</v>
      </c>
      <c r="E2826" t="s">
        <v>71</v>
      </c>
      <c r="F2826" t="s">
        <v>87</v>
      </c>
      <c r="G2826">
        <v>34742</v>
      </c>
      <c r="H2826">
        <v>27793.600000000002</v>
      </c>
      <c r="I2826" s="13">
        <v>1</v>
      </c>
      <c r="J2826" t="s">
        <v>6207</v>
      </c>
      <c r="K2826">
        <v>3</v>
      </c>
      <c r="L2826">
        <v>0</v>
      </c>
      <c r="M2826" t="s">
        <v>0</v>
      </c>
      <c r="N2826" s="2">
        <v>0.43</v>
      </c>
      <c r="O2826" s="2">
        <v>0.56999999999999995</v>
      </c>
      <c r="P2826">
        <v>13</v>
      </c>
      <c r="Q2826">
        <v>10</v>
      </c>
      <c r="R2826">
        <v>3</v>
      </c>
      <c r="S2826">
        <v>8</v>
      </c>
      <c r="T2826">
        <v>10</v>
      </c>
      <c r="U2826">
        <v>11</v>
      </c>
      <c r="V2826">
        <v>1</v>
      </c>
      <c r="W2826">
        <v>0</v>
      </c>
      <c r="X2826">
        <v>0</v>
      </c>
      <c r="Y2826">
        <v>0</v>
      </c>
      <c r="Z2826">
        <v>1</v>
      </c>
    </row>
    <row r="2827" spans="1:26" x14ac:dyDescent="0.2">
      <c r="A2827" t="s">
        <v>2945</v>
      </c>
      <c r="B2827" t="s">
        <v>61</v>
      </c>
      <c r="C2827">
        <v>2016</v>
      </c>
      <c r="D2827" t="s">
        <v>63</v>
      </c>
      <c r="E2827" t="s">
        <v>48</v>
      </c>
      <c r="F2827" t="s">
        <v>65</v>
      </c>
      <c r="G2827">
        <v>26804</v>
      </c>
      <c r="H2827">
        <v>21443.200000000001</v>
      </c>
      <c r="I2827" s="13">
        <v>0.5</v>
      </c>
      <c r="J2827" t="s">
        <v>6207</v>
      </c>
      <c r="K2827">
        <v>0</v>
      </c>
      <c r="L2827">
        <v>2</v>
      </c>
      <c r="M2827" t="s">
        <v>1</v>
      </c>
      <c r="N2827" s="2">
        <v>0.43</v>
      </c>
      <c r="O2827" s="2">
        <v>0.56999999999999995</v>
      </c>
      <c r="P2827">
        <v>16</v>
      </c>
      <c r="Q2827">
        <v>12</v>
      </c>
      <c r="R2827">
        <v>2</v>
      </c>
      <c r="S2827">
        <v>3</v>
      </c>
      <c r="T2827">
        <v>9</v>
      </c>
      <c r="U2827">
        <v>13</v>
      </c>
      <c r="V2827">
        <v>3</v>
      </c>
      <c r="W2827">
        <v>3</v>
      </c>
      <c r="X2827">
        <v>0</v>
      </c>
      <c r="Y2827">
        <v>0</v>
      </c>
      <c r="Z2827">
        <v>0</v>
      </c>
    </row>
    <row r="2828" spans="1:26" x14ac:dyDescent="0.2">
      <c r="A2828" t="s">
        <v>2946</v>
      </c>
      <c r="B2828" t="s">
        <v>44</v>
      </c>
      <c r="C2828">
        <v>2016</v>
      </c>
      <c r="D2828" t="s">
        <v>86</v>
      </c>
      <c r="E2828" t="s">
        <v>73</v>
      </c>
      <c r="F2828" t="s">
        <v>86</v>
      </c>
      <c r="G2828">
        <v>11364</v>
      </c>
      <c r="H2828">
        <v>9091.2000000000007</v>
      </c>
      <c r="I2828" s="13">
        <v>0.66666666666666663</v>
      </c>
      <c r="J2828" t="s">
        <v>6207</v>
      </c>
      <c r="K2828">
        <v>1</v>
      </c>
      <c r="L2828">
        <v>3</v>
      </c>
      <c r="M2828" t="s">
        <v>1</v>
      </c>
      <c r="N2828" s="2">
        <v>0.47</v>
      </c>
      <c r="O2828" s="2">
        <v>0.53</v>
      </c>
      <c r="P2828">
        <v>13</v>
      </c>
      <c r="Q2828">
        <v>7</v>
      </c>
      <c r="R2828">
        <v>7</v>
      </c>
      <c r="S2828">
        <v>4</v>
      </c>
      <c r="T2828">
        <v>6</v>
      </c>
      <c r="U2828">
        <v>12</v>
      </c>
      <c r="V2828">
        <v>0</v>
      </c>
      <c r="W2828">
        <v>3</v>
      </c>
      <c r="X2828">
        <v>0</v>
      </c>
      <c r="Y2828">
        <v>0</v>
      </c>
      <c r="Z2828">
        <v>0</v>
      </c>
    </row>
    <row r="2829" spans="1:26" x14ac:dyDescent="0.2">
      <c r="A2829" t="s">
        <v>2947</v>
      </c>
      <c r="B2829" t="s">
        <v>60</v>
      </c>
      <c r="C2829">
        <v>2016</v>
      </c>
      <c r="D2829" t="s">
        <v>51</v>
      </c>
      <c r="E2829" t="s">
        <v>28</v>
      </c>
      <c r="F2829" t="s">
        <v>20</v>
      </c>
      <c r="G2829">
        <v>36284</v>
      </c>
      <c r="H2829">
        <v>29027.200000000001</v>
      </c>
      <c r="I2829" s="13">
        <v>0.33333333333333331</v>
      </c>
      <c r="J2829" t="s">
        <v>6208</v>
      </c>
      <c r="K2829">
        <v>2</v>
      </c>
      <c r="L2829">
        <v>1</v>
      </c>
      <c r="M2829" t="s">
        <v>0</v>
      </c>
      <c r="N2829" s="2">
        <v>0.6</v>
      </c>
      <c r="O2829" s="2">
        <v>0.4</v>
      </c>
      <c r="P2829">
        <v>13</v>
      </c>
      <c r="Q2829">
        <v>10</v>
      </c>
      <c r="R2829">
        <v>11</v>
      </c>
      <c r="S2829">
        <v>2</v>
      </c>
      <c r="T2829">
        <v>10</v>
      </c>
      <c r="U2829">
        <v>11</v>
      </c>
      <c r="V2829">
        <v>1</v>
      </c>
      <c r="W2829">
        <v>2</v>
      </c>
      <c r="X2829">
        <v>0</v>
      </c>
      <c r="Y2829">
        <v>0</v>
      </c>
      <c r="Z2829">
        <v>0</v>
      </c>
    </row>
    <row r="2830" spans="1:26" x14ac:dyDescent="0.2">
      <c r="A2830" t="s">
        <v>2948</v>
      </c>
      <c r="B2830" t="s">
        <v>32</v>
      </c>
      <c r="C2830">
        <v>2016</v>
      </c>
      <c r="D2830" t="s">
        <v>40</v>
      </c>
      <c r="E2830" t="s">
        <v>46</v>
      </c>
      <c r="F2830" t="s">
        <v>49</v>
      </c>
      <c r="G2830">
        <v>53400</v>
      </c>
      <c r="H2830">
        <v>42720</v>
      </c>
      <c r="I2830" s="13">
        <v>1</v>
      </c>
      <c r="J2830" t="s">
        <v>6207</v>
      </c>
      <c r="K2830">
        <v>2</v>
      </c>
      <c r="L2830">
        <v>1</v>
      </c>
      <c r="M2830" t="s">
        <v>0</v>
      </c>
      <c r="N2830" s="2">
        <v>0.61</v>
      </c>
      <c r="O2830" s="2">
        <v>0.39</v>
      </c>
      <c r="P2830">
        <v>14</v>
      </c>
      <c r="Q2830">
        <v>13</v>
      </c>
      <c r="R2830">
        <v>8</v>
      </c>
      <c r="S2830">
        <v>1</v>
      </c>
      <c r="T2830">
        <v>9</v>
      </c>
      <c r="U2830">
        <v>13</v>
      </c>
      <c r="V2830">
        <v>4</v>
      </c>
      <c r="W2830">
        <v>2</v>
      </c>
      <c r="X2830">
        <v>0</v>
      </c>
      <c r="Y2830">
        <v>0</v>
      </c>
      <c r="Z2830">
        <v>0</v>
      </c>
    </row>
    <row r="2831" spans="1:26" x14ac:dyDescent="0.2">
      <c r="A2831" t="s">
        <v>2949</v>
      </c>
      <c r="B2831" t="s">
        <v>41</v>
      </c>
      <c r="C2831">
        <v>2016</v>
      </c>
      <c r="D2831" t="s">
        <v>45</v>
      </c>
      <c r="E2831" t="s">
        <v>26</v>
      </c>
      <c r="F2831" t="s">
        <v>26</v>
      </c>
      <c r="G2831">
        <v>39572</v>
      </c>
      <c r="H2831">
        <v>31657.600000000002</v>
      </c>
      <c r="I2831" s="13">
        <v>0.75</v>
      </c>
      <c r="J2831" t="s">
        <v>6207</v>
      </c>
      <c r="K2831">
        <v>0</v>
      </c>
      <c r="L2831">
        <v>1</v>
      </c>
      <c r="M2831" t="s">
        <v>1</v>
      </c>
      <c r="N2831" s="2">
        <v>0.32</v>
      </c>
      <c r="O2831" s="2">
        <v>0.68</v>
      </c>
      <c r="P2831">
        <v>10</v>
      </c>
      <c r="Q2831">
        <v>14</v>
      </c>
      <c r="R2831">
        <v>1</v>
      </c>
      <c r="S2831">
        <v>6</v>
      </c>
      <c r="T2831">
        <v>13</v>
      </c>
      <c r="U2831">
        <v>9</v>
      </c>
      <c r="V2831">
        <v>3</v>
      </c>
      <c r="W2831">
        <v>1</v>
      </c>
      <c r="X2831">
        <v>0</v>
      </c>
      <c r="Y2831">
        <v>0</v>
      </c>
      <c r="Z2831">
        <v>0</v>
      </c>
    </row>
    <row r="2832" spans="1:26" x14ac:dyDescent="0.2">
      <c r="A2832" t="s">
        <v>2950</v>
      </c>
      <c r="B2832" t="s">
        <v>44</v>
      </c>
      <c r="C2832">
        <v>2016</v>
      </c>
      <c r="D2832" t="s">
        <v>85</v>
      </c>
      <c r="E2832" t="s">
        <v>79</v>
      </c>
      <c r="F2832" t="s">
        <v>85</v>
      </c>
      <c r="G2832">
        <v>22220</v>
      </c>
      <c r="H2832">
        <v>17776</v>
      </c>
      <c r="I2832" s="13">
        <v>0.83333333333333337</v>
      </c>
      <c r="J2832" t="s">
        <v>6207</v>
      </c>
      <c r="K2832">
        <v>1</v>
      </c>
      <c r="L2832">
        <v>1</v>
      </c>
      <c r="M2832" t="s">
        <v>58</v>
      </c>
      <c r="N2832" s="2">
        <v>0.56000000000000005</v>
      </c>
      <c r="O2832" s="2">
        <v>0.44</v>
      </c>
      <c r="P2832">
        <v>17</v>
      </c>
      <c r="Q2832">
        <v>17</v>
      </c>
      <c r="R2832">
        <v>7</v>
      </c>
      <c r="S2832">
        <v>3</v>
      </c>
      <c r="T2832">
        <v>18</v>
      </c>
      <c r="U2832">
        <v>17</v>
      </c>
      <c r="V2832">
        <v>2</v>
      </c>
      <c r="W2832">
        <v>4</v>
      </c>
      <c r="X2832">
        <v>0</v>
      </c>
      <c r="Y2832">
        <v>0</v>
      </c>
      <c r="Z2832">
        <v>2</v>
      </c>
    </row>
    <row r="2833" spans="1:26" x14ac:dyDescent="0.2">
      <c r="A2833" t="s">
        <v>2951</v>
      </c>
      <c r="B2833" t="s">
        <v>37</v>
      </c>
      <c r="C2833">
        <v>2016</v>
      </c>
      <c r="D2833" t="s">
        <v>71</v>
      </c>
      <c r="E2833" t="s">
        <v>23</v>
      </c>
      <c r="F2833" t="s">
        <v>71</v>
      </c>
      <c r="G2833">
        <v>21088</v>
      </c>
      <c r="H2833">
        <v>16870.400000000001</v>
      </c>
      <c r="I2833" s="13">
        <v>0</v>
      </c>
      <c r="J2833" t="s">
        <v>6206</v>
      </c>
      <c r="K2833">
        <v>1</v>
      </c>
      <c r="L2833">
        <v>4</v>
      </c>
      <c r="M2833" t="s">
        <v>1</v>
      </c>
      <c r="N2833" s="2">
        <v>0.56000000000000005</v>
      </c>
      <c r="O2833" s="2">
        <v>0.44</v>
      </c>
      <c r="P2833">
        <v>13</v>
      </c>
      <c r="Q2833">
        <v>12</v>
      </c>
      <c r="R2833">
        <v>8</v>
      </c>
      <c r="S2833">
        <v>4</v>
      </c>
      <c r="T2833">
        <v>10</v>
      </c>
      <c r="U2833">
        <v>12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 spans="1:26" x14ac:dyDescent="0.2">
      <c r="A2834" t="s">
        <v>2952</v>
      </c>
      <c r="B2834" t="s">
        <v>32</v>
      </c>
      <c r="C2834">
        <v>2016</v>
      </c>
      <c r="D2834" t="s">
        <v>48</v>
      </c>
      <c r="E2834" t="s">
        <v>35</v>
      </c>
      <c r="F2834" t="s">
        <v>49</v>
      </c>
      <c r="G2834">
        <v>74197</v>
      </c>
      <c r="H2834">
        <v>59357.600000000006</v>
      </c>
      <c r="I2834" s="13">
        <v>1</v>
      </c>
      <c r="J2834" t="s">
        <v>6207</v>
      </c>
      <c r="K2834">
        <v>3</v>
      </c>
      <c r="L2834">
        <v>1</v>
      </c>
      <c r="M2834" t="s">
        <v>0</v>
      </c>
      <c r="N2834" s="2">
        <v>0.62</v>
      </c>
      <c r="O2834" s="2">
        <v>0.38</v>
      </c>
      <c r="P2834">
        <v>11</v>
      </c>
      <c r="Q2834">
        <v>10</v>
      </c>
      <c r="R2834">
        <v>5</v>
      </c>
      <c r="S2834">
        <v>5</v>
      </c>
      <c r="T2834">
        <v>6</v>
      </c>
      <c r="U2834">
        <v>9</v>
      </c>
      <c r="V2834">
        <v>1</v>
      </c>
      <c r="W2834">
        <v>2</v>
      </c>
      <c r="X2834">
        <v>0</v>
      </c>
      <c r="Y2834">
        <v>0</v>
      </c>
      <c r="Z2834">
        <v>0</v>
      </c>
    </row>
    <row r="2835" spans="1:26" x14ac:dyDescent="0.2">
      <c r="A2835" t="s">
        <v>2953</v>
      </c>
      <c r="B2835" t="s">
        <v>59</v>
      </c>
      <c r="C2835">
        <v>2016</v>
      </c>
      <c r="D2835" t="s">
        <v>80</v>
      </c>
      <c r="E2835" t="s">
        <v>45</v>
      </c>
      <c r="F2835" t="s">
        <v>80</v>
      </c>
      <c r="G2835">
        <v>32261</v>
      </c>
      <c r="H2835">
        <v>25808.800000000003</v>
      </c>
      <c r="I2835" s="13">
        <v>0.33333333333333331</v>
      </c>
      <c r="J2835" t="s">
        <v>6206</v>
      </c>
      <c r="K2835">
        <v>0</v>
      </c>
      <c r="L2835">
        <v>2</v>
      </c>
      <c r="M2835" t="s">
        <v>1</v>
      </c>
      <c r="N2835" s="2">
        <v>0.43</v>
      </c>
      <c r="O2835" s="2">
        <v>0.56999999999999995</v>
      </c>
      <c r="P2835">
        <v>10</v>
      </c>
      <c r="Q2835">
        <v>17</v>
      </c>
      <c r="R2835">
        <v>3</v>
      </c>
      <c r="S2835">
        <v>4</v>
      </c>
      <c r="T2835">
        <v>14</v>
      </c>
      <c r="U2835">
        <v>7</v>
      </c>
      <c r="V2835">
        <v>3</v>
      </c>
      <c r="W2835">
        <v>0</v>
      </c>
      <c r="X2835">
        <v>0</v>
      </c>
      <c r="Y2835">
        <v>0</v>
      </c>
      <c r="Z2835">
        <v>0</v>
      </c>
    </row>
    <row r="2836" spans="1:26" x14ac:dyDescent="0.2">
      <c r="A2836" t="s">
        <v>2954</v>
      </c>
      <c r="B2836" t="s">
        <v>53</v>
      </c>
      <c r="C2836">
        <v>2016</v>
      </c>
      <c r="D2836" t="s">
        <v>18</v>
      </c>
      <c r="E2836" t="s">
        <v>86</v>
      </c>
      <c r="F2836" t="s">
        <v>20</v>
      </c>
      <c r="G2836">
        <v>40341</v>
      </c>
      <c r="H2836">
        <v>32272.800000000003</v>
      </c>
      <c r="I2836" s="13">
        <v>0.5</v>
      </c>
      <c r="J2836" t="s">
        <v>6207</v>
      </c>
      <c r="K2836">
        <v>3</v>
      </c>
      <c r="L2836">
        <v>0</v>
      </c>
      <c r="M2836" t="s">
        <v>0</v>
      </c>
      <c r="N2836" s="2">
        <v>0.44</v>
      </c>
      <c r="O2836" s="2">
        <v>0.56000000000000005</v>
      </c>
      <c r="P2836">
        <v>14</v>
      </c>
      <c r="Q2836">
        <v>14</v>
      </c>
      <c r="R2836">
        <v>5</v>
      </c>
      <c r="S2836">
        <v>5</v>
      </c>
      <c r="T2836">
        <v>13</v>
      </c>
      <c r="U2836">
        <v>14</v>
      </c>
      <c r="V2836">
        <v>1</v>
      </c>
      <c r="W2836">
        <v>1</v>
      </c>
      <c r="X2836">
        <v>0</v>
      </c>
      <c r="Y2836">
        <v>0</v>
      </c>
      <c r="Z2836">
        <v>1</v>
      </c>
    </row>
    <row r="2837" spans="1:26" x14ac:dyDescent="0.2">
      <c r="A2837" t="s">
        <v>2955</v>
      </c>
      <c r="B2837" t="s">
        <v>76</v>
      </c>
      <c r="C2837">
        <v>2016</v>
      </c>
      <c r="D2837" t="s">
        <v>28</v>
      </c>
      <c r="E2837" t="s">
        <v>87</v>
      </c>
      <c r="F2837" t="s">
        <v>28</v>
      </c>
      <c r="G2837">
        <v>21944</v>
      </c>
      <c r="H2837">
        <v>17555.2</v>
      </c>
      <c r="I2837" s="13">
        <v>0.63636363636363635</v>
      </c>
      <c r="J2837" t="s">
        <v>6207</v>
      </c>
      <c r="K2837">
        <v>1</v>
      </c>
      <c r="L2837">
        <v>0</v>
      </c>
      <c r="M2837" t="s">
        <v>0</v>
      </c>
      <c r="N2837" s="2">
        <v>0.44</v>
      </c>
      <c r="O2837" s="2">
        <v>0.56000000000000005</v>
      </c>
      <c r="P2837">
        <v>22</v>
      </c>
      <c r="Q2837">
        <v>20</v>
      </c>
      <c r="R2837">
        <v>7</v>
      </c>
      <c r="S2837">
        <v>3</v>
      </c>
      <c r="T2837">
        <v>17</v>
      </c>
      <c r="U2837">
        <v>18</v>
      </c>
      <c r="V2837">
        <v>6</v>
      </c>
      <c r="W2837">
        <v>5</v>
      </c>
      <c r="X2837">
        <v>0</v>
      </c>
      <c r="Y2837">
        <v>0</v>
      </c>
      <c r="Z2837">
        <v>0</v>
      </c>
    </row>
    <row r="2838" spans="1:26" x14ac:dyDescent="0.2">
      <c r="A2838" t="s">
        <v>2956</v>
      </c>
      <c r="B2838" t="s">
        <v>67</v>
      </c>
      <c r="C2838">
        <v>2016</v>
      </c>
      <c r="D2838" t="s">
        <v>46</v>
      </c>
      <c r="E2838" t="s">
        <v>63</v>
      </c>
      <c r="F2838" t="s">
        <v>20</v>
      </c>
      <c r="G2838">
        <v>60704</v>
      </c>
      <c r="H2838">
        <v>48563.200000000004</v>
      </c>
      <c r="I2838" s="13">
        <v>0.25</v>
      </c>
      <c r="J2838" t="s">
        <v>6207</v>
      </c>
      <c r="K2838">
        <v>1</v>
      </c>
      <c r="L2838">
        <v>0</v>
      </c>
      <c r="M2838" t="s">
        <v>0</v>
      </c>
      <c r="N2838" s="2">
        <v>0.76</v>
      </c>
      <c r="O2838" s="2">
        <v>0.24</v>
      </c>
      <c r="P2838">
        <v>11</v>
      </c>
      <c r="Q2838">
        <v>12</v>
      </c>
      <c r="R2838">
        <v>6</v>
      </c>
      <c r="S2838">
        <v>5</v>
      </c>
      <c r="T2838">
        <v>11</v>
      </c>
      <c r="U2838">
        <v>7</v>
      </c>
      <c r="V2838">
        <v>3</v>
      </c>
      <c r="W2838">
        <v>1</v>
      </c>
      <c r="X2838">
        <v>0</v>
      </c>
      <c r="Y2838">
        <v>0</v>
      </c>
      <c r="Z2838">
        <v>0</v>
      </c>
    </row>
    <row r="2839" spans="1:26" x14ac:dyDescent="0.2">
      <c r="A2839" t="s">
        <v>2957</v>
      </c>
      <c r="B2839" t="s">
        <v>77</v>
      </c>
      <c r="C2839">
        <v>2016</v>
      </c>
      <c r="D2839" t="s">
        <v>19</v>
      </c>
      <c r="E2839" t="s">
        <v>40</v>
      </c>
      <c r="F2839" t="s">
        <v>19</v>
      </c>
      <c r="G2839">
        <v>25586</v>
      </c>
      <c r="H2839">
        <v>20468.800000000003</v>
      </c>
      <c r="I2839" s="13">
        <v>0</v>
      </c>
      <c r="J2839" t="s">
        <v>6207</v>
      </c>
      <c r="K2839">
        <v>0</v>
      </c>
      <c r="L2839">
        <v>3</v>
      </c>
      <c r="M2839" t="s">
        <v>1</v>
      </c>
      <c r="N2839" s="2">
        <v>0.33</v>
      </c>
      <c r="O2839" s="2">
        <v>0.67</v>
      </c>
      <c r="P2839">
        <v>15</v>
      </c>
      <c r="Q2839">
        <v>12</v>
      </c>
      <c r="R2839">
        <v>4</v>
      </c>
      <c r="S2839">
        <v>7</v>
      </c>
      <c r="T2839">
        <v>11</v>
      </c>
      <c r="U2839">
        <v>14</v>
      </c>
      <c r="V2839">
        <v>1</v>
      </c>
      <c r="W2839">
        <v>0</v>
      </c>
      <c r="X2839">
        <v>0</v>
      </c>
      <c r="Y2839">
        <v>0</v>
      </c>
      <c r="Z2839">
        <v>1</v>
      </c>
    </row>
    <row r="2840" spans="1:26" x14ac:dyDescent="0.2">
      <c r="A2840" t="s">
        <v>2958</v>
      </c>
      <c r="B2840" t="s">
        <v>66</v>
      </c>
      <c r="C2840">
        <v>2016</v>
      </c>
      <c r="D2840" t="s">
        <v>26</v>
      </c>
      <c r="E2840" t="s">
        <v>27</v>
      </c>
      <c r="F2840" t="s">
        <v>26</v>
      </c>
      <c r="G2840">
        <v>61276</v>
      </c>
      <c r="H2840">
        <v>49020.800000000003</v>
      </c>
      <c r="I2840" s="13">
        <v>0</v>
      </c>
      <c r="J2840" t="s">
        <v>6207</v>
      </c>
      <c r="K2840">
        <v>4</v>
      </c>
      <c r="L2840">
        <v>1</v>
      </c>
      <c r="M2840" t="s">
        <v>0</v>
      </c>
      <c r="N2840" s="2">
        <v>0.64</v>
      </c>
      <c r="O2840" s="2">
        <v>0.36</v>
      </c>
      <c r="P2840">
        <v>8</v>
      </c>
      <c r="Q2840">
        <v>9</v>
      </c>
      <c r="R2840">
        <v>8</v>
      </c>
      <c r="S2840">
        <v>2</v>
      </c>
      <c r="T2840">
        <v>9</v>
      </c>
      <c r="U2840">
        <v>6</v>
      </c>
      <c r="V2840">
        <v>0</v>
      </c>
      <c r="W2840">
        <v>1</v>
      </c>
      <c r="X2840">
        <v>0</v>
      </c>
      <c r="Y2840">
        <v>0</v>
      </c>
      <c r="Z2840">
        <v>0</v>
      </c>
    </row>
    <row r="2841" spans="1:26" x14ac:dyDescent="0.2">
      <c r="A2841" t="s">
        <v>2959</v>
      </c>
      <c r="B2841" t="s">
        <v>41</v>
      </c>
      <c r="C2841">
        <v>2016</v>
      </c>
      <c r="D2841" t="s">
        <v>73</v>
      </c>
      <c r="E2841" t="s">
        <v>51</v>
      </c>
      <c r="F2841" t="s">
        <v>73</v>
      </c>
      <c r="G2841">
        <v>32384</v>
      </c>
      <c r="H2841">
        <v>25907.200000000001</v>
      </c>
      <c r="I2841" s="13">
        <v>0.5</v>
      </c>
      <c r="J2841" t="s">
        <v>6207</v>
      </c>
      <c r="K2841">
        <v>1</v>
      </c>
      <c r="L2841">
        <v>4</v>
      </c>
      <c r="M2841" t="s">
        <v>1</v>
      </c>
      <c r="N2841" s="2">
        <v>0.35</v>
      </c>
      <c r="O2841" s="2">
        <v>0.65</v>
      </c>
      <c r="P2841">
        <v>16</v>
      </c>
      <c r="Q2841">
        <v>8</v>
      </c>
      <c r="R2841">
        <v>2</v>
      </c>
      <c r="S2841">
        <v>10</v>
      </c>
      <c r="T2841">
        <v>7</v>
      </c>
      <c r="U2841">
        <v>16</v>
      </c>
      <c r="V2841">
        <v>1</v>
      </c>
      <c r="W2841">
        <v>4</v>
      </c>
      <c r="X2841">
        <v>1</v>
      </c>
      <c r="Y2841">
        <v>0</v>
      </c>
      <c r="Z2841">
        <v>1</v>
      </c>
    </row>
    <row r="2842" spans="1:26" x14ac:dyDescent="0.2">
      <c r="A2842" t="s">
        <v>2960</v>
      </c>
      <c r="B2842" t="s">
        <v>68</v>
      </c>
      <c r="C2842">
        <v>2016</v>
      </c>
      <c r="D2842" t="s">
        <v>19</v>
      </c>
      <c r="E2842" t="s">
        <v>45</v>
      </c>
      <c r="F2842" t="s">
        <v>19</v>
      </c>
      <c r="G2842">
        <v>25586</v>
      </c>
      <c r="H2842">
        <v>20468.800000000003</v>
      </c>
      <c r="I2842" s="13">
        <v>0.25</v>
      </c>
      <c r="J2842" t="s">
        <v>6207</v>
      </c>
      <c r="K2842">
        <v>2</v>
      </c>
      <c r="L2842">
        <v>2</v>
      </c>
      <c r="M2842" t="s">
        <v>58</v>
      </c>
      <c r="N2842" s="2">
        <v>0.43</v>
      </c>
      <c r="O2842" s="2">
        <v>0.56999999999999995</v>
      </c>
      <c r="P2842">
        <v>13</v>
      </c>
      <c r="Q2842">
        <v>14</v>
      </c>
      <c r="R2842">
        <v>5</v>
      </c>
      <c r="S2842">
        <v>5</v>
      </c>
      <c r="T2842">
        <v>10</v>
      </c>
      <c r="U2842">
        <v>13</v>
      </c>
      <c r="V2842">
        <v>2</v>
      </c>
      <c r="W2842">
        <v>2</v>
      </c>
      <c r="X2842">
        <v>0</v>
      </c>
      <c r="Y2842">
        <v>0</v>
      </c>
      <c r="Z2842">
        <v>0</v>
      </c>
    </row>
    <row r="2843" spans="1:26" x14ac:dyDescent="0.2">
      <c r="A2843" t="s">
        <v>2961</v>
      </c>
      <c r="B2843" t="s">
        <v>60</v>
      </c>
      <c r="C2843">
        <v>2016</v>
      </c>
      <c r="D2843" t="s">
        <v>71</v>
      </c>
      <c r="E2843" t="s">
        <v>86</v>
      </c>
      <c r="F2843" t="s">
        <v>71</v>
      </c>
      <c r="G2843">
        <v>21088</v>
      </c>
      <c r="H2843">
        <v>16870.400000000001</v>
      </c>
      <c r="I2843" s="13">
        <v>0.5</v>
      </c>
      <c r="J2843" t="s">
        <v>6208</v>
      </c>
      <c r="K2843">
        <v>0</v>
      </c>
      <c r="L2843">
        <v>3</v>
      </c>
      <c r="M2843" t="s">
        <v>1</v>
      </c>
      <c r="N2843" s="2">
        <v>0.45</v>
      </c>
      <c r="O2843" s="2">
        <v>0.55000000000000004</v>
      </c>
      <c r="P2843">
        <v>10</v>
      </c>
      <c r="Q2843">
        <v>15</v>
      </c>
      <c r="R2843">
        <v>4</v>
      </c>
      <c r="S2843">
        <v>3</v>
      </c>
      <c r="T2843">
        <v>14</v>
      </c>
      <c r="U2843">
        <v>9</v>
      </c>
      <c r="V2843">
        <v>2</v>
      </c>
      <c r="W2843">
        <v>0</v>
      </c>
      <c r="X2843">
        <v>0</v>
      </c>
      <c r="Y2843">
        <v>0</v>
      </c>
      <c r="Z2843">
        <v>0</v>
      </c>
    </row>
    <row r="2844" spans="1:26" x14ac:dyDescent="0.2">
      <c r="A2844" t="s">
        <v>2962</v>
      </c>
      <c r="B2844" t="s">
        <v>53</v>
      </c>
      <c r="C2844">
        <v>2016</v>
      </c>
      <c r="D2844" t="s">
        <v>73</v>
      </c>
      <c r="E2844" t="s">
        <v>63</v>
      </c>
      <c r="F2844" t="s">
        <v>73</v>
      </c>
      <c r="G2844">
        <v>32384</v>
      </c>
      <c r="H2844">
        <v>25907.200000000001</v>
      </c>
      <c r="I2844" s="13">
        <v>0.33333333333333331</v>
      </c>
      <c r="J2844" t="s">
        <v>6207</v>
      </c>
      <c r="K2844">
        <v>1</v>
      </c>
      <c r="L2844">
        <v>2</v>
      </c>
      <c r="M2844" t="s">
        <v>1</v>
      </c>
      <c r="N2844" s="2">
        <v>0.68</v>
      </c>
      <c r="O2844" s="2">
        <v>0.32</v>
      </c>
      <c r="P2844">
        <v>18</v>
      </c>
      <c r="Q2844">
        <v>14</v>
      </c>
      <c r="R2844">
        <v>8</v>
      </c>
      <c r="S2844">
        <v>3</v>
      </c>
      <c r="T2844">
        <v>13</v>
      </c>
      <c r="U2844">
        <v>17</v>
      </c>
      <c r="V2844">
        <v>2</v>
      </c>
      <c r="W2844">
        <v>3</v>
      </c>
      <c r="X2844">
        <v>1</v>
      </c>
      <c r="Y2844">
        <v>0</v>
      </c>
      <c r="Z2844">
        <v>0</v>
      </c>
    </row>
    <row r="2845" spans="1:26" x14ac:dyDescent="0.2">
      <c r="A2845" t="s">
        <v>2963</v>
      </c>
      <c r="B2845" t="s">
        <v>50</v>
      </c>
      <c r="C2845">
        <v>2016</v>
      </c>
      <c r="D2845" t="s">
        <v>48</v>
      </c>
      <c r="E2845" t="s">
        <v>87</v>
      </c>
      <c r="F2845" t="s">
        <v>49</v>
      </c>
      <c r="G2845">
        <v>74197</v>
      </c>
      <c r="H2845">
        <v>59357.600000000006</v>
      </c>
      <c r="I2845" s="13">
        <v>0.5</v>
      </c>
      <c r="J2845" t="s">
        <v>6207</v>
      </c>
      <c r="K2845">
        <v>2</v>
      </c>
      <c r="L2845">
        <v>1</v>
      </c>
      <c r="M2845" t="s">
        <v>0</v>
      </c>
      <c r="N2845" s="2">
        <v>0.66</v>
      </c>
      <c r="O2845" s="2">
        <v>0.34</v>
      </c>
      <c r="P2845">
        <v>13</v>
      </c>
      <c r="Q2845">
        <v>13</v>
      </c>
      <c r="R2845">
        <v>12</v>
      </c>
      <c r="S2845">
        <v>2</v>
      </c>
      <c r="T2845">
        <v>9</v>
      </c>
      <c r="U2845">
        <v>14</v>
      </c>
      <c r="V2845">
        <v>1</v>
      </c>
      <c r="W2845">
        <v>1</v>
      </c>
      <c r="X2845">
        <v>0</v>
      </c>
      <c r="Y2845">
        <v>0</v>
      </c>
      <c r="Z2845">
        <v>0</v>
      </c>
    </row>
    <row r="2846" spans="1:26" x14ac:dyDescent="0.2">
      <c r="A2846" t="s">
        <v>2964</v>
      </c>
      <c r="B2846" t="s">
        <v>61</v>
      </c>
      <c r="C2846">
        <v>2016</v>
      </c>
      <c r="D2846" t="s">
        <v>80</v>
      </c>
      <c r="E2846" t="s">
        <v>23</v>
      </c>
      <c r="F2846" t="s">
        <v>80</v>
      </c>
      <c r="G2846">
        <v>32261</v>
      </c>
      <c r="H2846">
        <v>25808.800000000003</v>
      </c>
      <c r="I2846" s="13">
        <v>0.75</v>
      </c>
      <c r="J2846" t="s">
        <v>6207</v>
      </c>
      <c r="K2846">
        <v>1</v>
      </c>
      <c r="L2846">
        <v>0</v>
      </c>
      <c r="M2846" t="s">
        <v>0</v>
      </c>
      <c r="N2846" s="2">
        <v>0.4</v>
      </c>
      <c r="O2846" s="2">
        <v>0.6</v>
      </c>
      <c r="P2846">
        <v>10</v>
      </c>
      <c r="Q2846">
        <v>14</v>
      </c>
      <c r="R2846">
        <v>7</v>
      </c>
      <c r="S2846">
        <v>7</v>
      </c>
      <c r="T2846">
        <v>11</v>
      </c>
      <c r="U2846">
        <v>8</v>
      </c>
      <c r="V2846">
        <v>5</v>
      </c>
      <c r="W2846">
        <v>3</v>
      </c>
      <c r="X2846">
        <v>0</v>
      </c>
      <c r="Y2846">
        <v>0</v>
      </c>
      <c r="Z2846">
        <v>0</v>
      </c>
    </row>
    <row r="2847" spans="1:26" x14ac:dyDescent="0.2">
      <c r="A2847" t="s">
        <v>2965</v>
      </c>
      <c r="B2847" t="s">
        <v>77</v>
      </c>
      <c r="C2847">
        <v>2016</v>
      </c>
      <c r="D2847" t="s">
        <v>18</v>
      </c>
      <c r="E2847" t="s">
        <v>27</v>
      </c>
      <c r="F2847" t="s">
        <v>20</v>
      </c>
      <c r="G2847">
        <v>40341</v>
      </c>
      <c r="H2847">
        <v>32272.800000000003</v>
      </c>
      <c r="I2847" s="13">
        <v>0.8</v>
      </c>
      <c r="J2847" t="s">
        <v>6207</v>
      </c>
      <c r="K2847">
        <v>4</v>
      </c>
      <c r="L2847">
        <v>2</v>
      </c>
      <c r="M2847" t="s">
        <v>0</v>
      </c>
      <c r="N2847" s="2">
        <v>0.6</v>
      </c>
      <c r="O2847" s="2">
        <v>0.4</v>
      </c>
      <c r="P2847">
        <v>12</v>
      </c>
      <c r="Q2847">
        <v>14</v>
      </c>
      <c r="R2847">
        <v>8</v>
      </c>
      <c r="S2847">
        <v>3</v>
      </c>
      <c r="T2847">
        <v>12</v>
      </c>
      <c r="U2847">
        <v>10</v>
      </c>
      <c r="V2847">
        <v>3</v>
      </c>
      <c r="W2847">
        <v>2</v>
      </c>
      <c r="X2847">
        <v>0</v>
      </c>
      <c r="Y2847">
        <v>0</v>
      </c>
      <c r="Z2847">
        <v>0</v>
      </c>
    </row>
    <row r="2848" spans="1:26" x14ac:dyDescent="0.2">
      <c r="A2848" t="s">
        <v>2966</v>
      </c>
      <c r="B2848" t="s">
        <v>83</v>
      </c>
      <c r="C2848">
        <v>2016</v>
      </c>
      <c r="D2848" t="s">
        <v>28</v>
      </c>
      <c r="E2848" t="s">
        <v>35</v>
      </c>
      <c r="F2848" t="s">
        <v>28</v>
      </c>
      <c r="G2848">
        <v>21944</v>
      </c>
      <c r="H2848">
        <v>17555.2</v>
      </c>
      <c r="I2848" s="13">
        <v>0.5</v>
      </c>
      <c r="J2848" t="s">
        <v>6208</v>
      </c>
      <c r="K2848">
        <v>4</v>
      </c>
      <c r="L2848">
        <v>1</v>
      </c>
      <c r="M2848" t="s">
        <v>0</v>
      </c>
      <c r="N2848" s="2">
        <v>0.46</v>
      </c>
      <c r="O2848" s="2">
        <v>0.54</v>
      </c>
      <c r="P2848">
        <v>10</v>
      </c>
      <c r="Q2848">
        <v>13</v>
      </c>
      <c r="R2848">
        <v>6</v>
      </c>
      <c r="S2848">
        <v>2</v>
      </c>
      <c r="T2848">
        <v>10</v>
      </c>
      <c r="U2848">
        <v>8</v>
      </c>
      <c r="V2848">
        <v>1</v>
      </c>
      <c r="W2848">
        <v>1</v>
      </c>
      <c r="X2848">
        <v>0</v>
      </c>
      <c r="Y2848">
        <v>0</v>
      </c>
      <c r="Z2848">
        <v>1</v>
      </c>
    </row>
    <row r="2849" spans="1:26" x14ac:dyDescent="0.2">
      <c r="A2849" t="s">
        <v>2967</v>
      </c>
      <c r="B2849" t="s">
        <v>76</v>
      </c>
      <c r="C2849">
        <v>2016</v>
      </c>
      <c r="D2849" t="s">
        <v>26</v>
      </c>
      <c r="E2849" t="s">
        <v>40</v>
      </c>
      <c r="F2849" t="s">
        <v>26</v>
      </c>
      <c r="G2849">
        <v>61276</v>
      </c>
      <c r="H2849">
        <v>49020.800000000003</v>
      </c>
      <c r="I2849" s="13">
        <v>1</v>
      </c>
      <c r="J2849" t="s">
        <v>6207</v>
      </c>
      <c r="K2849">
        <v>1</v>
      </c>
      <c r="L2849">
        <v>0</v>
      </c>
      <c r="M2849" t="s">
        <v>0</v>
      </c>
      <c r="N2849" s="2">
        <v>0.43</v>
      </c>
      <c r="O2849" s="2">
        <v>0.56999999999999995</v>
      </c>
      <c r="P2849">
        <v>15</v>
      </c>
      <c r="Q2849">
        <v>13</v>
      </c>
      <c r="R2849">
        <v>4</v>
      </c>
      <c r="S2849">
        <v>6</v>
      </c>
      <c r="T2849">
        <v>12</v>
      </c>
      <c r="U2849">
        <v>12</v>
      </c>
      <c r="V2849">
        <v>2</v>
      </c>
      <c r="W2849">
        <v>1</v>
      </c>
      <c r="X2849">
        <v>0</v>
      </c>
      <c r="Y2849">
        <v>0</v>
      </c>
      <c r="Z2849">
        <v>0</v>
      </c>
    </row>
    <row r="2850" spans="1:26" x14ac:dyDescent="0.2">
      <c r="A2850" t="s">
        <v>2968</v>
      </c>
      <c r="B2850" t="s">
        <v>66</v>
      </c>
      <c r="C2850">
        <v>2016</v>
      </c>
      <c r="D2850" t="s">
        <v>85</v>
      </c>
      <c r="E2850" t="s">
        <v>51</v>
      </c>
      <c r="F2850" t="s">
        <v>85</v>
      </c>
      <c r="G2850">
        <v>22220</v>
      </c>
      <c r="H2850">
        <v>17776</v>
      </c>
      <c r="I2850" s="13">
        <v>0.66666666666666663</v>
      </c>
      <c r="J2850" t="s">
        <v>6207</v>
      </c>
      <c r="K2850">
        <v>1</v>
      </c>
      <c r="L2850">
        <v>4</v>
      </c>
      <c r="M2850" t="s">
        <v>1</v>
      </c>
      <c r="N2850" s="2">
        <v>0.34</v>
      </c>
      <c r="O2850" s="2">
        <v>0.66</v>
      </c>
      <c r="P2850">
        <v>9</v>
      </c>
      <c r="Q2850">
        <v>18</v>
      </c>
      <c r="R2850">
        <v>0</v>
      </c>
      <c r="S2850">
        <v>3</v>
      </c>
      <c r="T2850">
        <v>11</v>
      </c>
      <c r="U2850">
        <v>6</v>
      </c>
      <c r="V2850">
        <v>3</v>
      </c>
      <c r="W2850">
        <v>0</v>
      </c>
      <c r="X2850">
        <v>0</v>
      </c>
      <c r="Y2850">
        <v>0</v>
      </c>
      <c r="Z2850">
        <v>0</v>
      </c>
    </row>
    <row r="2851" spans="1:26" x14ac:dyDescent="0.2">
      <c r="A2851" t="s">
        <v>2969</v>
      </c>
      <c r="B2851" t="s">
        <v>37</v>
      </c>
      <c r="C2851">
        <v>2016</v>
      </c>
      <c r="D2851" t="s">
        <v>46</v>
      </c>
      <c r="E2851" t="s">
        <v>79</v>
      </c>
      <c r="F2851" t="s">
        <v>20</v>
      </c>
      <c r="G2851">
        <v>60704</v>
      </c>
      <c r="H2851">
        <v>48563.200000000004</v>
      </c>
      <c r="I2851" s="13">
        <v>0.5</v>
      </c>
      <c r="J2851" t="s">
        <v>6206</v>
      </c>
      <c r="K2851">
        <v>2</v>
      </c>
      <c r="L2851">
        <v>0</v>
      </c>
      <c r="M2851" t="s">
        <v>0</v>
      </c>
      <c r="N2851" s="2">
        <v>0.64</v>
      </c>
      <c r="O2851" s="2">
        <v>0.36</v>
      </c>
      <c r="P2851">
        <v>10</v>
      </c>
      <c r="Q2851">
        <v>11</v>
      </c>
      <c r="R2851">
        <v>8</v>
      </c>
      <c r="S2851">
        <v>4</v>
      </c>
      <c r="T2851">
        <v>9</v>
      </c>
      <c r="U2851">
        <v>7</v>
      </c>
      <c r="V2851">
        <v>1</v>
      </c>
      <c r="W2851">
        <v>1</v>
      </c>
      <c r="X2851">
        <v>0</v>
      </c>
      <c r="Y2851">
        <v>0</v>
      </c>
      <c r="Z2851">
        <v>0</v>
      </c>
    </row>
    <row r="2852" spans="1:26" x14ac:dyDescent="0.2">
      <c r="A2852" t="s">
        <v>2970</v>
      </c>
      <c r="B2852" t="s">
        <v>77</v>
      </c>
      <c r="C2852">
        <v>2016</v>
      </c>
      <c r="D2852" t="s">
        <v>87</v>
      </c>
      <c r="E2852" t="s">
        <v>80</v>
      </c>
      <c r="F2852" t="s">
        <v>87</v>
      </c>
      <c r="G2852">
        <v>34742</v>
      </c>
      <c r="H2852">
        <v>27793.600000000002</v>
      </c>
      <c r="I2852" s="13">
        <v>0.33333333333333331</v>
      </c>
      <c r="J2852" t="s">
        <v>6207</v>
      </c>
      <c r="K2852">
        <v>0</v>
      </c>
      <c r="L2852">
        <v>0</v>
      </c>
      <c r="M2852" t="s">
        <v>58</v>
      </c>
      <c r="N2852" s="2">
        <v>0.62</v>
      </c>
      <c r="O2852" s="2">
        <v>0.38</v>
      </c>
      <c r="P2852">
        <v>9</v>
      </c>
      <c r="Q2852">
        <v>10</v>
      </c>
      <c r="R2852">
        <v>2</v>
      </c>
      <c r="S2852">
        <v>2</v>
      </c>
      <c r="T2852">
        <v>10</v>
      </c>
      <c r="U2852">
        <v>9</v>
      </c>
      <c r="V2852">
        <v>3</v>
      </c>
      <c r="W2852">
        <v>0</v>
      </c>
      <c r="X2852">
        <v>0</v>
      </c>
      <c r="Y2852">
        <v>0</v>
      </c>
      <c r="Z2852">
        <v>0</v>
      </c>
    </row>
    <row r="2853" spans="1:26" x14ac:dyDescent="0.2">
      <c r="A2853" t="s">
        <v>2971</v>
      </c>
      <c r="B2853" t="s">
        <v>44</v>
      </c>
      <c r="C2853">
        <v>2016</v>
      </c>
      <c r="D2853" t="s">
        <v>63</v>
      </c>
      <c r="E2853" t="s">
        <v>19</v>
      </c>
      <c r="F2853" t="s">
        <v>65</v>
      </c>
      <c r="G2853">
        <v>26804</v>
      </c>
      <c r="H2853">
        <v>21443.200000000001</v>
      </c>
      <c r="I2853" s="13">
        <v>0</v>
      </c>
      <c r="J2853" t="s">
        <v>6207</v>
      </c>
      <c r="K2853">
        <v>3</v>
      </c>
      <c r="L2853">
        <v>1</v>
      </c>
      <c r="M2853" t="s">
        <v>0</v>
      </c>
      <c r="N2853" s="2">
        <v>0.41</v>
      </c>
      <c r="O2853" s="2">
        <v>0.59</v>
      </c>
      <c r="P2853">
        <v>4</v>
      </c>
      <c r="Q2853">
        <v>5</v>
      </c>
      <c r="R2853">
        <v>7</v>
      </c>
      <c r="S2853">
        <v>9</v>
      </c>
      <c r="T2853">
        <v>5</v>
      </c>
      <c r="U2853">
        <v>4</v>
      </c>
      <c r="V2853">
        <v>0</v>
      </c>
      <c r="W2853">
        <v>0</v>
      </c>
      <c r="X2853">
        <v>0</v>
      </c>
      <c r="Y2853">
        <v>0</v>
      </c>
      <c r="Z2853">
        <v>0</v>
      </c>
    </row>
    <row r="2854" spans="1:26" x14ac:dyDescent="0.2">
      <c r="A2854" t="s">
        <v>2972</v>
      </c>
      <c r="B2854" t="s">
        <v>61</v>
      </c>
      <c r="C2854">
        <v>2016</v>
      </c>
      <c r="D2854" t="s">
        <v>35</v>
      </c>
      <c r="E2854" t="s">
        <v>26</v>
      </c>
      <c r="F2854" t="s">
        <v>35</v>
      </c>
      <c r="G2854">
        <v>49000</v>
      </c>
      <c r="H2854">
        <v>39200</v>
      </c>
      <c r="I2854" s="13">
        <v>0.4</v>
      </c>
      <c r="J2854" t="s">
        <v>6207</v>
      </c>
      <c r="K2854">
        <v>2</v>
      </c>
      <c r="L2854">
        <v>2</v>
      </c>
      <c r="M2854" t="s">
        <v>58</v>
      </c>
      <c r="N2854" s="2">
        <v>0.28999999999999998</v>
      </c>
      <c r="O2854" s="2">
        <v>0.71</v>
      </c>
      <c r="P2854">
        <v>11</v>
      </c>
      <c r="Q2854">
        <v>13</v>
      </c>
      <c r="R2854">
        <v>2</v>
      </c>
      <c r="S2854">
        <v>5</v>
      </c>
      <c r="T2854">
        <v>10</v>
      </c>
      <c r="U2854">
        <v>10</v>
      </c>
      <c r="V2854">
        <v>2</v>
      </c>
      <c r="W2854">
        <v>3</v>
      </c>
      <c r="X2854">
        <v>0</v>
      </c>
      <c r="Y2854">
        <v>0</v>
      </c>
      <c r="Z2854">
        <v>2</v>
      </c>
    </row>
    <row r="2855" spans="1:26" x14ac:dyDescent="0.2">
      <c r="A2855" t="s">
        <v>2973</v>
      </c>
      <c r="B2855" t="s">
        <v>50</v>
      </c>
      <c r="C2855">
        <v>2016</v>
      </c>
      <c r="D2855" t="s">
        <v>40</v>
      </c>
      <c r="E2855" t="s">
        <v>28</v>
      </c>
      <c r="F2855" t="s">
        <v>49</v>
      </c>
      <c r="G2855">
        <v>53400</v>
      </c>
      <c r="H2855">
        <v>42720</v>
      </c>
      <c r="I2855" s="13">
        <v>0.875</v>
      </c>
      <c r="J2855" t="s">
        <v>6207</v>
      </c>
      <c r="K2855">
        <v>2</v>
      </c>
      <c r="L2855">
        <v>1</v>
      </c>
      <c r="M2855" t="s">
        <v>0</v>
      </c>
      <c r="N2855" s="2">
        <v>0.55000000000000004</v>
      </c>
      <c r="O2855" s="2">
        <v>0.45</v>
      </c>
      <c r="P2855">
        <v>14</v>
      </c>
      <c r="Q2855">
        <v>14</v>
      </c>
      <c r="R2855">
        <v>8</v>
      </c>
      <c r="S2855">
        <v>8</v>
      </c>
      <c r="T2855">
        <v>11</v>
      </c>
      <c r="U2855">
        <v>11</v>
      </c>
      <c r="V2855">
        <v>4</v>
      </c>
      <c r="W2855">
        <v>3</v>
      </c>
      <c r="X2855">
        <v>1</v>
      </c>
      <c r="Y2855">
        <v>0</v>
      </c>
      <c r="Z2855">
        <v>0</v>
      </c>
    </row>
    <row r="2856" spans="1:26" x14ac:dyDescent="0.2">
      <c r="A2856" t="s">
        <v>2974</v>
      </c>
      <c r="B2856" t="s">
        <v>60</v>
      </c>
      <c r="C2856">
        <v>2016</v>
      </c>
      <c r="D2856" t="s">
        <v>45</v>
      </c>
      <c r="E2856" t="s">
        <v>73</v>
      </c>
      <c r="F2856" t="s">
        <v>26</v>
      </c>
      <c r="G2856">
        <v>39572</v>
      </c>
      <c r="H2856">
        <v>31657.600000000002</v>
      </c>
      <c r="I2856" s="13">
        <v>0</v>
      </c>
      <c r="J2856" t="s">
        <v>6208</v>
      </c>
      <c r="K2856">
        <v>3</v>
      </c>
      <c r="L2856">
        <v>0</v>
      </c>
      <c r="M2856" t="s">
        <v>0</v>
      </c>
      <c r="N2856" s="2">
        <v>0.54</v>
      </c>
      <c r="O2856" s="2">
        <v>0.46</v>
      </c>
      <c r="P2856">
        <v>15</v>
      </c>
      <c r="Q2856">
        <v>10</v>
      </c>
      <c r="R2856">
        <v>10</v>
      </c>
      <c r="S2856">
        <v>8</v>
      </c>
      <c r="T2856">
        <v>5</v>
      </c>
      <c r="U2856">
        <v>14</v>
      </c>
      <c r="V2856">
        <v>0</v>
      </c>
      <c r="W2856">
        <v>1</v>
      </c>
      <c r="X2856">
        <v>0</v>
      </c>
      <c r="Y2856">
        <v>0</v>
      </c>
      <c r="Z2856">
        <v>1</v>
      </c>
    </row>
    <row r="2857" spans="1:26" x14ac:dyDescent="0.2">
      <c r="A2857" t="s">
        <v>2975</v>
      </c>
      <c r="B2857" t="s">
        <v>41</v>
      </c>
      <c r="C2857">
        <v>2016</v>
      </c>
      <c r="D2857" t="s">
        <v>23</v>
      </c>
      <c r="E2857" t="s">
        <v>48</v>
      </c>
      <c r="F2857" t="s">
        <v>20</v>
      </c>
      <c r="G2857">
        <v>62500</v>
      </c>
      <c r="H2857">
        <v>50000</v>
      </c>
      <c r="I2857" s="13">
        <v>1</v>
      </c>
      <c r="J2857" t="s">
        <v>6207</v>
      </c>
      <c r="K2857">
        <v>0</v>
      </c>
      <c r="L2857">
        <v>2</v>
      </c>
      <c r="M2857" t="s">
        <v>1</v>
      </c>
      <c r="N2857" s="2">
        <v>0.36</v>
      </c>
      <c r="O2857" s="2">
        <v>0.64</v>
      </c>
      <c r="P2857">
        <v>18</v>
      </c>
      <c r="Q2857">
        <v>8</v>
      </c>
      <c r="R2857">
        <v>2</v>
      </c>
      <c r="S2857">
        <v>1</v>
      </c>
      <c r="T2857">
        <v>9</v>
      </c>
      <c r="U2857">
        <v>13</v>
      </c>
      <c r="V2857">
        <v>2</v>
      </c>
      <c r="W2857">
        <v>2</v>
      </c>
      <c r="X2857">
        <v>1</v>
      </c>
      <c r="Y2857">
        <v>0</v>
      </c>
      <c r="Z2857">
        <v>0</v>
      </c>
    </row>
    <row r="2858" spans="1:26" x14ac:dyDescent="0.2">
      <c r="A2858" t="s">
        <v>2976</v>
      </c>
      <c r="B2858" t="s">
        <v>66</v>
      </c>
      <c r="C2858">
        <v>2016</v>
      </c>
      <c r="D2858" t="s">
        <v>86</v>
      </c>
      <c r="E2858" t="s">
        <v>46</v>
      </c>
      <c r="F2858" t="s">
        <v>86</v>
      </c>
      <c r="G2858">
        <v>11364</v>
      </c>
      <c r="H2858">
        <v>9091.2000000000007</v>
      </c>
      <c r="I2858" s="13">
        <v>0.5714285714285714</v>
      </c>
      <c r="J2858" t="s">
        <v>6207</v>
      </c>
      <c r="K2858">
        <v>3</v>
      </c>
      <c r="L2858">
        <v>3</v>
      </c>
      <c r="M2858" t="s">
        <v>58</v>
      </c>
      <c r="N2858" s="2">
        <v>0.4</v>
      </c>
      <c r="O2858" s="2">
        <v>0.6</v>
      </c>
      <c r="P2858">
        <v>14</v>
      </c>
      <c r="Q2858">
        <v>12</v>
      </c>
      <c r="R2858">
        <v>4</v>
      </c>
      <c r="S2858">
        <v>7</v>
      </c>
      <c r="T2858">
        <v>10</v>
      </c>
      <c r="U2858">
        <v>12</v>
      </c>
      <c r="V2858">
        <v>3</v>
      </c>
      <c r="W2858">
        <v>3</v>
      </c>
      <c r="X2858">
        <v>1</v>
      </c>
      <c r="Y2858">
        <v>0</v>
      </c>
      <c r="Z2858">
        <v>1</v>
      </c>
    </row>
    <row r="2859" spans="1:26" x14ac:dyDescent="0.2">
      <c r="A2859" t="s">
        <v>2977</v>
      </c>
      <c r="B2859" t="s">
        <v>67</v>
      </c>
      <c r="C2859">
        <v>2016</v>
      </c>
      <c r="D2859" t="s">
        <v>27</v>
      </c>
      <c r="E2859" t="s">
        <v>85</v>
      </c>
      <c r="F2859" t="s">
        <v>27</v>
      </c>
      <c r="G2859">
        <v>30089</v>
      </c>
      <c r="H2859">
        <v>24071.200000000001</v>
      </c>
      <c r="I2859" s="13">
        <v>1</v>
      </c>
      <c r="J2859" t="s">
        <v>6207</v>
      </c>
      <c r="K2859">
        <v>2</v>
      </c>
      <c r="L2859">
        <v>0</v>
      </c>
      <c r="M2859" t="s">
        <v>0</v>
      </c>
      <c r="N2859" s="2">
        <v>0.54</v>
      </c>
      <c r="O2859" s="2">
        <v>0.46</v>
      </c>
      <c r="P2859">
        <v>15</v>
      </c>
      <c r="Q2859">
        <v>13</v>
      </c>
      <c r="R2859">
        <v>7</v>
      </c>
      <c r="S2859">
        <v>6</v>
      </c>
      <c r="T2859">
        <v>10</v>
      </c>
      <c r="U2859">
        <v>15</v>
      </c>
      <c r="V2859">
        <v>1</v>
      </c>
      <c r="W2859">
        <v>2</v>
      </c>
      <c r="X2859">
        <v>0</v>
      </c>
      <c r="Y2859">
        <v>0</v>
      </c>
      <c r="Z2859">
        <v>0</v>
      </c>
    </row>
    <row r="2860" spans="1:26" x14ac:dyDescent="0.2">
      <c r="A2860" t="s">
        <v>2978</v>
      </c>
      <c r="B2860" t="s">
        <v>81</v>
      </c>
      <c r="C2860">
        <v>2016</v>
      </c>
      <c r="D2860" t="s">
        <v>79</v>
      </c>
      <c r="E2860" t="s">
        <v>71</v>
      </c>
      <c r="F2860" t="s">
        <v>20</v>
      </c>
      <c r="G2860">
        <v>25486</v>
      </c>
      <c r="H2860">
        <v>20388.800000000003</v>
      </c>
      <c r="I2860" s="13">
        <v>0.33333333333333331</v>
      </c>
      <c r="J2860" t="s">
        <v>6207</v>
      </c>
      <c r="K2860">
        <v>1</v>
      </c>
      <c r="L2860">
        <v>2</v>
      </c>
      <c r="M2860" t="s">
        <v>1</v>
      </c>
      <c r="N2860" s="2">
        <v>0.47</v>
      </c>
      <c r="O2860" s="2">
        <v>0.53</v>
      </c>
      <c r="P2860">
        <v>15</v>
      </c>
      <c r="Q2860">
        <v>14</v>
      </c>
      <c r="R2860">
        <v>4</v>
      </c>
      <c r="S2860">
        <v>5</v>
      </c>
      <c r="T2860">
        <v>13</v>
      </c>
      <c r="U2860">
        <v>14</v>
      </c>
      <c r="V2860">
        <v>2</v>
      </c>
      <c r="W2860">
        <v>1</v>
      </c>
      <c r="X2860">
        <v>0</v>
      </c>
      <c r="Y2860">
        <v>0</v>
      </c>
      <c r="Z2860">
        <v>0</v>
      </c>
    </row>
    <row r="2861" spans="1:26" x14ac:dyDescent="0.2">
      <c r="A2861" t="s">
        <v>2979</v>
      </c>
      <c r="B2861" t="s">
        <v>32</v>
      </c>
      <c r="C2861">
        <v>2016</v>
      </c>
      <c r="D2861" t="s">
        <v>51</v>
      </c>
      <c r="E2861" t="s">
        <v>18</v>
      </c>
      <c r="F2861" t="s">
        <v>20</v>
      </c>
      <c r="G2861">
        <v>36284</v>
      </c>
      <c r="H2861">
        <v>29027.200000000001</v>
      </c>
      <c r="I2861" s="13">
        <v>0.4</v>
      </c>
      <c r="J2861" t="s">
        <v>6207</v>
      </c>
      <c r="K2861">
        <v>2</v>
      </c>
      <c r="L2861">
        <v>0</v>
      </c>
      <c r="M2861" t="s">
        <v>0</v>
      </c>
      <c r="N2861" s="2">
        <v>0.46</v>
      </c>
      <c r="O2861" s="2">
        <v>0.54</v>
      </c>
      <c r="P2861">
        <v>12</v>
      </c>
      <c r="Q2861">
        <v>10</v>
      </c>
      <c r="R2861">
        <v>1</v>
      </c>
      <c r="S2861">
        <v>6</v>
      </c>
      <c r="T2861">
        <v>9</v>
      </c>
      <c r="U2861">
        <v>8</v>
      </c>
      <c r="V2861">
        <v>3</v>
      </c>
      <c r="W2861">
        <v>2</v>
      </c>
      <c r="X2861">
        <v>0</v>
      </c>
      <c r="Y2861">
        <v>0</v>
      </c>
      <c r="Z2861">
        <v>0</v>
      </c>
    </row>
    <row r="2862" spans="1:26" x14ac:dyDescent="0.2">
      <c r="A2862" t="s">
        <v>2980</v>
      </c>
      <c r="B2862" t="s">
        <v>61</v>
      </c>
      <c r="C2862">
        <v>2016</v>
      </c>
      <c r="D2862" t="s">
        <v>51</v>
      </c>
      <c r="E2862" t="s">
        <v>63</v>
      </c>
      <c r="F2862" t="s">
        <v>20</v>
      </c>
      <c r="G2862">
        <v>36284</v>
      </c>
      <c r="H2862">
        <v>29027.200000000001</v>
      </c>
      <c r="I2862" s="13">
        <v>0.5</v>
      </c>
      <c r="J2862" t="s">
        <v>6207</v>
      </c>
      <c r="K2862">
        <v>4</v>
      </c>
      <c r="L2862">
        <v>0</v>
      </c>
      <c r="M2862" t="s">
        <v>0</v>
      </c>
      <c r="N2862" s="2">
        <v>0.73</v>
      </c>
      <c r="O2862" s="2">
        <v>0.27</v>
      </c>
      <c r="P2862">
        <v>13</v>
      </c>
      <c r="Q2862">
        <v>12</v>
      </c>
      <c r="R2862">
        <v>8</v>
      </c>
      <c r="S2862">
        <v>0</v>
      </c>
      <c r="T2862">
        <v>11</v>
      </c>
      <c r="U2862">
        <v>12</v>
      </c>
      <c r="V2862">
        <v>0</v>
      </c>
      <c r="W2862">
        <v>2</v>
      </c>
      <c r="X2862">
        <v>0</v>
      </c>
      <c r="Y2862">
        <v>0</v>
      </c>
      <c r="Z2862">
        <v>0</v>
      </c>
    </row>
    <row r="2863" spans="1:26" x14ac:dyDescent="0.2">
      <c r="A2863" t="s">
        <v>2981</v>
      </c>
      <c r="B2863" t="s">
        <v>67</v>
      </c>
      <c r="C2863">
        <v>2016</v>
      </c>
      <c r="D2863" t="s">
        <v>23</v>
      </c>
      <c r="E2863" t="s">
        <v>79</v>
      </c>
      <c r="F2863" t="s">
        <v>20</v>
      </c>
      <c r="G2863">
        <v>62500</v>
      </c>
      <c r="H2863">
        <v>50000</v>
      </c>
      <c r="I2863" s="13">
        <v>0.16666666666666666</v>
      </c>
      <c r="J2863" t="s">
        <v>6207</v>
      </c>
      <c r="K2863">
        <v>3</v>
      </c>
      <c r="L2863">
        <v>0</v>
      </c>
      <c r="M2863" t="s">
        <v>0</v>
      </c>
      <c r="N2863" s="2">
        <v>0.44</v>
      </c>
      <c r="O2863" s="2">
        <v>0.56000000000000005</v>
      </c>
      <c r="P2863">
        <v>15</v>
      </c>
      <c r="Q2863">
        <v>11</v>
      </c>
      <c r="R2863">
        <v>2</v>
      </c>
      <c r="S2863">
        <v>2</v>
      </c>
      <c r="T2863">
        <v>10</v>
      </c>
      <c r="U2863">
        <v>14</v>
      </c>
      <c r="V2863">
        <v>4</v>
      </c>
      <c r="W2863">
        <v>2</v>
      </c>
      <c r="X2863">
        <v>0</v>
      </c>
      <c r="Y2863">
        <v>0</v>
      </c>
      <c r="Z2863">
        <v>0</v>
      </c>
    </row>
    <row r="2864" spans="1:26" x14ac:dyDescent="0.2">
      <c r="A2864" t="s">
        <v>2982</v>
      </c>
      <c r="B2864" t="s">
        <v>68</v>
      </c>
      <c r="C2864">
        <v>2016</v>
      </c>
      <c r="D2864" t="s">
        <v>85</v>
      </c>
      <c r="E2864" t="s">
        <v>87</v>
      </c>
      <c r="F2864" t="s">
        <v>85</v>
      </c>
      <c r="G2864">
        <v>22220</v>
      </c>
      <c r="H2864">
        <v>17776</v>
      </c>
      <c r="I2864" s="13">
        <v>0.75</v>
      </c>
      <c r="J2864" t="s">
        <v>6207</v>
      </c>
      <c r="K2864">
        <v>0</v>
      </c>
      <c r="L2864">
        <v>0</v>
      </c>
      <c r="M2864" t="s">
        <v>58</v>
      </c>
      <c r="N2864" s="2">
        <v>0.47</v>
      </c>
      <c r="O2864" s="2">
        <v>0.53</v>
      </c>
      <c r="P2864">
        <v>18</v>
      </c>
      <c r="Q2864">
        <v>17</v>
      </c>
      <c r="R2864">
        <v>3</v>
      </c>
      <c r="S2864">
        <v>1</v>
      </c>
      <c r="T2864">
        <v>15</v>
      </c>
      <c r="U2864">
        <v>15</v>
      </c>
      <c r="V2864">
        <v>3</v>
      </c>
      <c r="W2864">
        <v>1</v>
      </c>
      <c r="X2864">
        <v>0</v>
      </c>
      <c r="Y2864">
        <v>0</v>
      </c>
      <c r="Z2864">
        <v>0</v>
      </c>
    </row>
    <row r="2865" spans="1:26" x14ac:dyDescent="0.2">
      <c r="A2865" t="s">
        <v>2983</v>
      </c>
      <c r="B2865" t="s">
        <v>53</v>
      </c>
      <c r="C2865">
        <v>2016</v>
      </c>
      <c r="D2865" t="s">
        <v>71</v>
      </c>
      <c r="E2865" t="s">
        <v>46</v>
      </c>
      <c r="F2865" t="s">
        <v>71</v>
      </c>
      <c r="G2865">
        <v>21088</v>
      </c>
      <c r="H2865">
        <v>16870.400000000001</v>
      </c>
      <c r="I2865" s="13">
        <v>0.5</v>
      </c>
      <c r="J2865" t="s">
        <v>6207</v>
      </c>
      <c r="K2865">
        <v>0</v>
      </c>
      <c r="L2865">
        <v>4</v>
      </c>
      <c r="M2865" t="s">
        <v>1</v>
      </c>
      <c r="N2865" s="2">
        <v>0.43</v>
      </c>
      <c r="O2865" s="2">
        <v>0.56999999999999995</v>
      </c>
      <c r="P2865">
        <v>9</v>
      </c>
      <c r="Q2865">
        <v>14</v>
      </c>
      <c r="R2865">
        <v>3</v>
      </c>
      <c r="S2865">
        <v>2</v>
      </c>
      <c r="T2865">
        <v>12</v>
      </c>
      <c r="U2865">
        <v>8</v>
      </c>
      <c r="V2865">
        <v>2</v>
      </c>
      <c r="W2865">
        <v>0</v>
      </c>
      <c r="X2865">
        <v>0</v>
      </c>
      <c r="Y2865">
        <v>0</v>
      </c>
      <c r="Z2865">
        <v>0</v>
      </c>
    </row>
    <row r="2866" spans="1:26" x14ac:dyDescent="0.2">
      <c r="A2866" t="s">
        <v>2984</v>
      </c>
      <c r="B2866" t="s">
        <v>41</v>
      </c>
      <c r="C2866">
        <v>2016</v>
      </c>
      <c r="D2866" t="s">
        <v>35</v>
      </c>
      <c r="E2866" t="s">
        <v>27</v>
      </c>
      <c r="F2866" t="s">
        <v>35</v>
      </c>
      <c r="G2866">
        <v>49000</v>
      </c>
      <c r="H2866">
        <v>39200</v>
      </c>
      <c r="I2866" s="13">
        <v>0.5</v>
      </c>
      <c r="J2866" t="s">
        <v>6207</v>
      </c>
      <c r="K2866">
        <v>1</v>
      </c>
      <c r="L2866">
        <v>3</v>
      </c>
      <c r="M2866" t="s">
        <v>1</v>
      </c>
      <c r="N2866" s="2">
        <v>0.51</v>
      </c>
      <c r="O2866" s="2">
        <v>0.49</v>
      </c>
      <c r="P2866">
        <v>11</v>
      </c>
      <c r="Q2866">
        <v>22</v>
      </c>
      <c r="R2866">
        <v>5</v>
      </c>
      <c r="S2866">
        <v>2</v>
      </c>
      <c r="T2866">
        <v>16</v>
      </c>
      <c r="U2866">
        <v>11</v>
      </c>
      <c r="V2866">
        <v>3</v>
      </c>
      <c r="W2866">
        <v>1</v>
      </c>
      <c r="X2866">
        <v>0</v>
      </c>
      <c r="Y2866">
        <v>0</v>
      </c>
      <c r="Z2866">
        <v>0</v>
      </c>
    </row>
    <row r="2867" spans="1:26" x14ac:dyDescent="0.2">
      <c r="A2867" t="s">
        <v>2985</v>
      </c>
      <c r="B2867" t="s">
        <v>32</v>
      </c>
      <c r="C2867">
        <v>2016</v>
      </c>
      <c r="D2867" t="s">
        <v>19</v>
      </c>
      <c r="E2867" t="s">
        <v>86</v>
      </c>
      <c r="F2867" t="s">
        <v>19</v>
      </c>
      <c r="G2867">
        <v>25586</v>
      </c>
      <c r="H2867">
        <v>20468.800000000003</v>
      </c>
      <c r="I2867" s="13">
        <v>0</v>
      </c>
      <c r="J2867" t="s">
        <v>6207</v>
      </c>
      <c r="K2867">
        <v>3</v>
      </c>
      <c r="L2867">
        <v>1</v>
      </c>
      <c r="M2867" t="s">
        <v>0</v>
      </c>
      <c r="N2867" s="2">
        <v>0.39</v>
      </c>
      <c r="O2867" s="2">
        <v>0.61</v>
      </c>
      <c r="P2867">
        <v>14</v>
      </c>
      <c r="Q2867">
        <v>15</v>
      </c>
      <c r="R2867">
        <v>4</v>
      </c>
      <c r="S2867">
        <v>5</v>
      </c>
      <c r="T2867">
        <v>13</v>
      </c>
      <c r="U2867">
        <v>11</v>
      </c>
      <c r="V2867">
        <v>0</v>
      </c>
      <c r="W2867">
        <v>1</v>
      </c>
      <c r="X2867">
        <v>0</v>
      </c>
      <c r="Y2867">
        <v>0</v>
      </c>
      <c r="Z2867">
        <v>1</v>
      </c>
    </row>
    <row r="2868" spans="1:26" x14ac:dyDescent="0.2">
      <c r="A2868" t="s">
        <v>2986</v>
      </c>
      <c r="B2868" t="s">
        <v>81</v>
      </c>
      <c r="C2868">
        <v>2016</v>
      </c>
      <c r="D2868" t="s">
        <v>28</v>
      </c>
      <c r="E2868" t="s">
        <v>73</v>
      </c>
      <c r="F2868" t="s">
        <v>28</v>
      </c>
      <c r="G2868">
        <v>21944</v>
      </c>
      <c r="H2868">
        <v>17555.2</v>
      </c>
      <c r="I2868" s="13">
        <v>0.66666666666666663</v>
      </c>
      <c r="J2868" t="s">
        <v>6207</v>
      </c>
      <c r="K2868">
        <v>1</v>
      </c>
      <c r="L2868">
        <v>0</v>
      </c>
      <c r="M2868" t="s">
        <v>0</v>
      </c>
      <c r="N2868" s="2">
        <v>0.41</v>
      </c>
      <c r="O2868" s="2">
        <v>0.59</v>
      </c>
      <c r="P2868">
        <v>16</v>
      </c>
      <c r="Q2868">
        <v>14</v>
      </c>
      <c r="R2868">
        <v>2</v>
      </c>
      <c r="S2868">
        <v>7</v>
      </c>
      <c r="T2868">
        <v>14</v>
      </c>
      <c r="U2868">
        <v>14</v>
      </c>
      <c r="V2868">
        <v>1</v>
      </c>
      <c r="W2868">
        <v>2</v>
      </c>
      <c r="X2868">
        <v>0</v>
      </c>
      <c r="Y2868">
        <v>0</v>
      </c>
      <c r="Z2868">
        <v>0</v>
      </c>
    </row>
    <row r="2869" spans="1:26" x14ac:dyDescent="0.2">
      <c r="A2869" t="s">
        <v>2987</v>
      </c>
      <c r="B2869" t="s">
        <v>37</v>
      </c>
      <c r="C2869">
        <v>2016</v>
      </c>
      <c r="D2869" t="s">
        <v>80</v>
      </c>
      <c r="E2869" t="s">
        <v>18</v>
      </c>
      <c r="F2869" t="s">
        <v>80</v>
      </c>
      <c r="G2869">
        <v>32261</v>
      </c>
      <c r="H2869">
        <v>25808.800000000003</v>
      </c>
      <c r="I2869" s="13">
        <v>1</v>
      </c>
      <c r="J2869" t="s">
        <v>6206</v>
      </c>
      <c r="K2869">
        <v>0</v>
      </c>
      <c r="L2869">
        <v>3</v>
      </c>
      <c r="M2869" t="s">
        <v>1</v>
      </c>
      <c r="N2869" s="2">
        <v>0.35</v>
      </c>
      <c r="O2869" s="2">
        <v>0.65</v>
      </c>
      <c r="P2869">
        <v>11</v>
      </c>
      <c r="Q2869">
        <v>10</v>
      </c>
      <c r="R2869">
        <v>3</v>
      </c>
      <c r="S2869">
        <v>5</v>
      </c>
      <c r="T2869">
        <v>8</v>
      </c>
      <c r="U2869">
        <v>9</v>
      </c>
      <c r="V2869">
        <v>1</v>
      </c>
      <c r="W2869">
        <v>0</v>
      </c>
      <c r="X2869">
        <v>0</v>
      </c>
      <c r="Y2869">
        <v>0</v>
      </c>
      <c r="Z2869">
        <v>0</v>
      </c>
    </row>
    <row r="2870" spans="1:26" x14ac:dyDescent="0.2">
      <c r="A2870" t="s">
        <v>2988</v>
      </c>
      <c r="B2870" t="s">
        <v>44</v>
      </c>
      <c r="C2870">
        <v>2016</v>
      </c>
      <c r="D2870" t="s">
        <v>45</v>
      </c>
      <c r="E2870" t="s">
        <v>40</v>
      </c>
      <c r="F2870" t="s">
        <v>26</v>
      </c>
      <c r="G2870">
        <v>39572</v>
      </c>
      <c r="H2870">
        <v>31657.600000000002</v>
      </c>
      <c r="I2870" s="13">
        <v>1</v>
      </c>
      <c r="J2870" t="s">
        <v>6207</v>
      </c>
      <c r="K2870">
        <v>4</v>
      </c>
      <c r="L2870">
        <v>0</v>
      </c>
      <c r="M2870" t="s">
        <v>0</v>
      </c>
      <c r="N2870" s="2">
        <v>0.28999999999999998</v>
      </c>
      <c r="O2870" s="2">
        <v>0.71</v>
      </c>
      <c r="P2870">
        <v>11</v>
      </c>
      <c r="Q2870">
        <v>20</v>
      </c>
      <c r="R2870">
        <v>3</v>
      </c>
      <c r="S2870">
        <v>6</v>
      </c>
      <c r="T2870">
        <v>17</v>
      </c>
      <c r="U2870">
        <v>7</v>
      </c>
      <c r="V2870">
        <v>2</v>
      </c>
      <c r="W2870">
        <v>2</v>
      </c>
      <c r="X2870">
        <v>0</v>
      </c>
      <c r="Y2870">
        <v>0</v>
      </c>
      <c r="Z2870">
        <v>0</v>
      </c>
    </row>
    <row r="2871" spans="1:26" x14ac:dyDescent="0.2">
      <c r="A2871" t="s">
        <v>2989</v>
      </c>
      <c r="B2871" t="s">
        <v>66</v>
      </c>
      <c r="C2871">
        <v>2016</v>
      </c>
      <c r="D2871" t="s">
        <v>48</v>
      </c>
      <c r="E2871" t="s">
        <v>26</v>
      </c>
      <c r="F2871" t="s">
        <v>49</v>
      </c>
      <c r="G2871">
        <v>74197</v>
      </c>
      <c r="H2871">
        <v>59357.600000000006</v>
      </c>
      <c r="I2871" s="13">
        <v>1</v>
      </c>
      <c r="J2871" t="s">
        <v>6207</v>
      </c>
      <c r="K2871">
        <v>1</v>
      </c>
      <c r="L2871">
        <v>1</v>
      </c>
      <c r="M2871" t="s">
        <v>58</v>
      </c>
      <c r="N2871" s="2">
        <v>0.55000000000000004</v>
      </c>
      <c r="O2871" s="2">
        <v>0.45</v>
      </c>
      <c r="P2871">
        <v>15</v>
      </c>
      <c r="Q2871">
        <v>20</v>
      </c>
      <c r="R2871">
        <v>5</v>
      </c>
      <c r="S2871">
        <v>7</v>
      </c>
      <c r="T2871">
        <v>17</v>
      </c>
      <c r="U2871">
        <v>13</v>
      </c>
      <c r="V2871">
        <v>1</v>
      </c>
      <c r="W2871">
        <v>3</v>
      </c>
      <c r="X2871">
        <v>0</v>
      </c>
      <c r="Y2871">
        <v>0</v>
      </c>
      <c r="Z2871">
        <v>1</v>
      </c>
    </row>
    <row r="2872" spans="1:26" x14ac:dyDescent="0.2">
      <c r="A2872" t="s">
        <v>2990</v>
      </c>
      <c r="B2872" t="s">
        <v>60</v>
      </c>
      <c r="C2872">
        <v>2016</v>
      </c>
      <c r="D2872" t="s">
        <v>26</v>
      </c>
      <c r="E2872" t="s">
        <v>71</v>
      </c>
      <c r="F2872" t="s">
        <v>26</v>
      </c>
      <c r="G2872">
        <v>61276</v>
      </c>
      <c r="H2872">
        <v>49020.800000000003</v>
      </c>
      <c r="I2872" s="13">
        <v>1</v>
      </c>
      <c r="J2872" t="s">
        <v>6208</v>
      </c>
      <c r="K2872">
        <v>2</v>
      </c>
      <c r="L2872">
        <v>3</v>
      </c>
      <c r="M2872" t="s">
        <v>1</v>
      </c>
      <c r="N2872" s="2">
        <v>0.74</v>
      </c>
      <c r="O2872" s="2">
        <v>0.26</v>
      </c>
      <c r="P2872">
        <v>8</v>
      </c>
      <c r="Q2872">
        <v>9</v>
      </c>
      <c r="R2872">
        <v>6</v>
      </c>
      <c r="S2872">
        <v>3</v>
      </c>
      <c r="T2872">
        <v>7</v>
      </c>
      <c r="U2872">
        <v>7</v>
      </c>
      <c r="V2872">
        <v>1</v>
      </c>
      <c r="W2872">
        <v>1</v>
      </c>
      <c r="X2872">
        <v>0</v>
      </c>
      <c r="Y2872">
        <v>0</v>
      </c>
      <c r="Z2872">
        <v>0</v>
      </c>
    </row>
    <row r="2873" spans="1:26" x14ac:dyDescent="0.2">
      <c r="A2873" t="s">
        <v>2991</v>
      </c>
      <c r="B2873" t="s">
        <v>76</v>
      </c>
      <c r="C2873">
        <v>2016</v>
      </c>
      <c r="D2873" t="s">
        <v>63</v>
      </c>
      <c r="E2873" t="s">
        <v>35</v>
      </c>
      <c r="F2873" t="s">
        <v>65</v>
      </c>
      <c r="G2873">
        <v>26804</v>
      </c>
      <c r="H2873">
        <v>21443.200000000001</v>
      </c>
      <c r="I2873" s="13">
        <v>0.5</v>
      </c>
      <c r="J2873" t="s">
        <v>6207</v>
      </c>
      <c r="K2873">
        <v>2</v>
      </c>
      <c r="L2873">
        <v>0</v>
      </c>
      <c r="M2873" t="s">
        <v>0</v>
      </c>
      <c r="N2873" s="2">
        <v>0.44</v>
      </c>
      <c r="O2873" s="2">
        <v>0.56000000000000005</v>
      </c>
      <c r="P2873">
        <v>13</v>
      </c>
      <c r="Q2873">
        <v>18</v>
      </c>
      <c r="R2873">
        <v>1</v>
      </c>
      <c r="S2873">
        <v>4</v>
      </c>
      <c r="T2873">
        <v>15</v>
      </c>
      <c r="U2873">
        <v>12</v>
      </c>
      <c r="V2873">
        <v>1</v>
      </c>
      <c r="W2873">
        <v>1</v>
      </c>
      <c r="X2873">
        <v>0</v>
      </c>
      <c r="Y2873">
        <v>0</v>
      </c>
      <c r="Z2873">
        <v>0</v>
      </c>
    </row>
    <row r="2874" spans="1:26" x14ac:dyDescent="0.2">
      <c r="A2874" t="s">
        <v>2992</v>
      </c>
      <c r="B2874" t="s">
        <v>44</v>
      </c>
      <c r="C2874">
        <v>2016</v>
      </c>
      <c r="D2874" t="s">
        <v>27</v>
      </c>
      <c r="E2874" t="s">
        <v>48</v>
      </c>
      <c r="F2874" t="s">
        <v>27</v>
      </c>
      <c r="G2874">
        <v>30089</v>
      </c>
      <c r="H2874">
        <v>24071.200000000001</v>
      </c>
      <c r="I2874" s="13">
        <v>0.5</v>
      </c>
      <c r="J2874" t="s">
        <v>6207</v>
      </c>
      <c r="K2874">
        <v>1</v>
      </c>
      <c r="L2874">
        <v>1</v>
      </c>
      <c r="M2874" t="s">
        <v>58</v>
      </c>
      <c r="N2874" s="2">
        <v>0.35</v>
      </c>
      <c r="O2874" s="2">
        <v>0.65</v>
      </c>
      <c r="P2874">
        <v>17</v>
      </c>
      <c r="Q2874">
        <v>13</v>
      </c>
      <c r="R2874">
        <v>1</v>
      </c>
      <c r="S2874">
        <v>7</v>
      </c>
      <c r="T2874">
        <v>13</v>
      </c>
      <c r="U2874">
        <v>12</v>
      </c>
      <c r="V2874">
        <v>4</v>
      </c>
      <c r="W2874">
        <v>0</v>
      </c>
      <c r="X2874">
        <v>0</v>
      </c>
      <c r="Y2874">
        <v>0</v>
      </c>
      <c r="Z2874">
        <v>0</v>
      </c>
    </row>
    <row r="2875" spans="1:26" x14ac:dyDescent="0.2">
      <c r="A2875" t="s">
        <v>2993</v>
      </c>
      <c r="B2875" t="s">
        <v>32</v>
      </c>
      <c r="C2875">
        <v>2016</v>
      </c>
      <c r="D2875" t="s">
        <v>87</v>
      </c>
      <c r="E2875" t="s">
        <v>23</v>
      </c>
      <c r="F2875" t="s">
        <v>87</v>
      </c>
      <c r="G2875">
        <v>34742</v>
      </c>
      <c r="H2875">
        <v>27793.600000000002</v>
      </c>
      <c r="I2875" s="13">
        <v>0.66666666666666663</v>
      </c>
      <c r="J2875" t="s">
        <v>6207</v>
      </c>
      <c r="K2875">
        <v>1</v>
      </c>
      <c r="L2875">
        <v>3</v>
      </c>
      <c r="M2875" t="s">
        <v>1</v>
      </c>
      <c r="N2875" s="2">
        <v>0.61</v>
      </c>
      <c r="O2875" s="2">
        <v>0.39</v>
      </c>
      <c r="P2875">
        <v>14</v>
      </c>
      <c r="Q2875">
        <v>9</v>
      </c>
      <c r="R2875">
        <v>7</v>
      </c>
      <c r="S2875">
        <v>5</v>
      </c>
      <c r="T2875">
        <v>7</v>
      </c>
      <c r="U2875">
        <v>14</v>
      </c>
      <c r="V2875">
        <v>2</v>
      </c>
      <c r="W2875">
        <v>1</v>
      </c>
      <c r="X2875">
        <v>0</v>
      </c>
      <c r="Y2875">
        <v>0</v>
      </c>
      <c r="Z2875">
        <v>0</v>
      </c>
    </row>
    <row r="2876" spans="1:26" x14ac:dyDescent="0.2">
      <c r="A2876" t="s">
        <v>2994</v>
      </c>
      <c r="B2876" t="s">
        <v>61</v>
      </c>
      <c r="C2876">
        <v>2016</v>
      </c>
      <c r="D2876" t="s">
        <v>79</v>
      </c>
      <c r="E2876" t="s">
        <v>45</v>
      </c>
      <c r="F2876" t="s">
        <v>20</v>
      </c>
      <c r="G2876">
        <v>25486</v>
      </c>
      <c r="H2876">
        <v>20388.800000000003</v>
      </c>
      <c r="I2876" s="13">
        <v>1</v>
      </c>
      <c r="J2876" t="s">
        <v>6207</v>
      </c>
      <c r="K2876">
        <v>0</v>
      </c>
      <c r="L2876">
        <v>1</v>
      </c>
      <c r="M2876" t="s">
        <v>1</v>
      </c>
      <c r="N2876" s="2">
        <v>0.44</v>
      </c>
      <c r="O2876" s="2">
        <v>0.56000000000000005</v>
      </c>
      <c r="P2876">
        <v>16</v>
      </c>
      <c r="Q2876">
        <v>11</v>
      </c>
      <c r="R2876">
        <v>8</v>
      </c>
      <c r="S2876">
        <v>7</v>
      </c>
      <c r="T2876">
        <v>10</v>
      </c>
      <c r="U2876">
        <v>15</v>
      </c>
      <c r="V2876">
        <v>0</v>
      </c>
      <c r="W2876">
        <v>1</v>
      </c>
      <c r="X2876">
        <v>0</v>
      </c>
      <c r="Y2876">
        <v>0</v>
      </c>
      <c r="Z2876">
        <v>0</v>
      </c>
    </row>
    <row r="2877" spans="1:26" x14ac:dyDescent="0.2">
      <c r="A2877" t="s">
        <v>2995</v>
      </c>
      <c r="B2877" t="s">
        <v>50</v>
      </c>
      <c r="C2877">
        <v>2016</v>
      </c>
      <c r="D2877" t="s">
        <v>86</v>
      </c>
      <c r="E2877" t="s">
        <v>85</v>
      </c>
      <c r="F2877" t="s">
        <v>86</v>
      </c>
      <c r="G2877">
        <v>11364</v>
      </c>
      <c r="H2877">
        <v>9091.2000000000007</v>
      </c>
      <c r="I2877" s="13">
        <v>0.66666666666666663</v>
      </c>
      <c r="J2877" t="s">
        <v>6207</v>
      </c>
      <c r="K2877">
        <v>2</v>
      </c>
      <c r="L2877">
        <v>2</v>
      </c>
      <c r="M2877" t="s">
        <v>58</v>
      </c>
      <c r="N2877" s="2">
        <v>0.63</v>
      </c>
      <c r="O2877" s="2">
        <v>0.37</v>
      </c>
      <c r="P2877">
        <v>18</v>
      </c>
      <c r="Q2877">
        <v>9</v>
      </c>
      <c r="R2877">
        <v>9</v>
      </c>
      <c r="S2877">
        <v>4</v>
      </c>
      <c r="T2877">
        <v>6</v>
      </c>
      <c r="U2877">
        <v>16</v>
      </c>
      <c r="V2877">
        <v>1</v>
      </c>
      <c r="W2877">
        <v>2</v>
      </c>
      <c r="X2877">
        <v>0</v>
      </c>
      <c r="Y2877">
        <v>0</v>
      </c>
      <c r="Z2877">
        <v>0</v>
      </c>
    </row>
    <row r="2878" spans="1:26" x14ac:dyDescent="0.2">
      <c r="A2878" t="s">
        <v>2996</v>
      </c>
      <c r="B2878" t="s">
        <v>37</v>
      </c>
      <c r="C2878">
        <v>2016</v>
      </c>
      <c r="D2878" t="s">
        <v>40</v>
      </c>
      <c r="E2878" t="s">
        <v>51</v>
      </c>
      <c r="F2878" t="s">
        <v>49</v>
      </c>
      <c r="G2878">
        <v>53400</v>
      </c>
      <c r="H2878">
        <v>42720</v>
      </c>
      <c r="I2878" s="13">
        <v>0.66666666666666663</v>
      </c>
      <c r="J2878" t="s">
        <v>6206</v>
      </c>
      <c r="K2878">
        <v>2</v>
      </c>
      <c r="L2878">
        <v>2</v>
      </c>
      <c r="M2878" t="s">
        <v>58</v>
      </c>
      <c r="N2878" s="2">
        <v>0.55000000000000004</v>
      </c>
      <c r="O2878" s="2">
        <v>0.45</v>
      </c>
      <c r="P2878">
        <v>12</v>
      </c>
      <c r="Q2878">
        <v>13</v>
      </c>
      <c r="R2878">
        <v>5</v>
      </c>
      <c r="S2878">
        <v>4</v>
      </c>
      <c r="T2878">
        <v>10</v>
      </c>
      <c r="U2878">
        <v>7</v>
      </c>
      <c r="V2878">
        <v>2</v>
      </c>
      <c r="W2878">
        <v>4</v>
      </c>
      <c r="X2878">
        <v>0</v>
      </c>
      <c r="Y2878">
        <v>0</v>
      </c>
      <c r="Z2878">
        <v>0</v>
      </c>
    </row>
    <row r="2879" spans="1:26" x14ac:dyDescent="0.2">
      <c r="A2879" t="s">
        <v>2997</v>
      </c>
      <c r="B2879" t="s">
        <v>66</v>
      </c>
      <c r="C2879">
        <v>2016</v>
      </c>
      <c r="D2879" t="s">
        <v>73</v>
      </c>
      <c r="E2879" t="s">
        <v>80</v>
      </c>
      <c r="F2879" t="s">
        <v>73</v>
      </c>
      <c r="G2879">
        <v>32384</v>
      </c>
      <c r="H2879">
        <v>25907.200000000001</v>
      </c>
      <c r="I2879" s="13">
        <v>1</v>
      </c>
      <c r="J2879" t="s">
        <v>6207</v>
      </c>
      <c r="K2879">
        <v>3</v>
      </c>
      <c r="L2879">
        <v>0</v>
      </c>
      <c r="M2879" t="s">
        <v>0</v>
      </c>
      <c r="N2879" s="2">
        <v>0.6</v>
      </c>
      <c r="O2879" s="2">
        <v>0.4</v>
      </c>
      <c r="P2879">
        <v>10</v>
      </c>
      <c r="Q2879">
        <v>12</v>
      </c>
      <c r="R2879">
        <v>7</v>
      </c>
      <c r="S2879">
        <v>2</v>
      </c>
      <c r="T2879">
        <v>8</v>
      </c>
      <c r="U2879">
        <v>10</v>
      </c>
      <c r="V2879">
        <v>0</v>
      </c>
      <c r="W2879">
        <v>1</v>
      </c>
      <c r="X2879">
        <v>0</v>
      </c>
      <c r="Y2879">
        <v>0</v>
      </c>
      <c r="Z2879">
        <v>1</v>
      </c>
    </row>
    <row r="2880" spans="1:26" x14ac:dyDescent="0.2">
      <c r="A2880" t="s">
        <v>2998</v>
      </c>
      <c r="B2880" t="s">
        <v>68</v>
      </c>
      <c r="C2880">
        <v>2016</v>
      </c>
      <c r="D2880" t="s">
        <v>46</v>
      </c>
      <c r="E2880" t="s">
        <v>28</v>
      </c>
      <c r="F2880" t="s">
        <v>20</v>
      </c>
      <c r="G2880">
        <v>60704</v>
      </c>
      <c r="H2880">
        <v>48563.200000000004</v>
      </c>
      <c r="I2880" s="13">
        <v>0.4</v>
      </c>
      <c r="J2880" t="s">
        <v>6207</v>
      </c>
      <c r="K2880">
        <v>2</v>
      </c>
      <c r="L2880">
        <v>1</v>
      </c>
      <c r="M2880" t="s">
        <v>0</v>
      </c>
      <c r="N2880" s="2">
        <v>0.7</v>
      </c>
      <c r="O2880" s="2">
        <v>0.3</v>
      </c>
      <c r="P2880">
        <v>10</v>
      </c>
      <c r="Q2880">
        <v>13</v>
      </c>
      <c r="R2880">
        <v>10</v>
      </c>
      <c r="S2880">
        <v>4</v>
      </c>
      <c r="T2880">
        <v>12</v>
      </c>
      <c r="U2880">
        <v>11</v>
      </c>
      <c r="V2880">
        <v>1</v>
      </c>
      <c r="W2880">
        <v>3</v>
      </c>
      <c r="X2880">
        <v>1</v>
      </c>
      <c r="Y2880">
        <v>0</v>
      </c>
      <c r="Z2880">
        <v>2</v>
      </c>
    </row>
    <row r="2881" spans="1:26" x14ac:dyDescent="0.2">
      <c r="A2881" t="s">
        <v>2999</v>
      </c>
      <c r="B2881" t="s">
        <v>67</v>
      </c>
      <c r="C2881">
        <v>2016</v>
      </c>
      <c r="D2881" t="s">
        <v>18</v>
      </c>
      <c r="E2881" t="s">
        <v>19</v>
      </c>
      <c r="F2881" t="s">
        <v>20</v>
      </c>
      <c r="G2881">
        <v>40341</v>
      </c>
      <c r="H2881">
        <v>32272.800000000003</v>
      </c>
      <c r="I2881" s="13">
        <v>0.5</v>
      </c>
      <c r="J2881" t="s">
        <v>6207</v>
      </c>
      <c r="K2881">
        <v>2</v>
      </c>
      <c r="L2881">
        <v>0</v>
      </c>
      <c r="M2881" t="s">
        <v>0</v>
      </c>
      <c r="N2881" s="2">
        <v>0.53</v>
      </c>
      <c r="O2881" s="2">
        <v>0.47</v>
      </c>
      <c r="P2881">
        <v>11</v>
      </c>
      <c r="Q2881">
        <v>13</v>
      </c>
      <c r="R2881">
        <v>9</v>
      </c>
      <c r="S2881">
        <v>7</v>
      </c>
      <c r="T2881">
        <v>12</v>
      </c>
      <c r="U2881">
        <v>10</v>
      </c>
      <c r="V2881">
        <v>1</v>
      </c>
      <c r="W2881">
        <v>3</v>
      </c>
      <c r="X2881">
        <v>0</v>
      </c>
      <c r="Y2881">
        <v>0</v>
      </c>
      <c r="Z2881">
        <v>0</v>
      </c>
    </row>
    <row r="2882" spans="1:26" x14ac:dyDescent="0.2">
      <c r="A2882" t="s">
        <v>3000</v>
      </c>
      <c r="B2882" t="s">
        <v>74</v>
      </c>
      <c r="C2882">
        <v>2016</v>
      </c>
      <c r="D2882" t="s">
        <v>71</v>
      </c>
      <c r="E2882" t="s">
        <v>73</v>
      </c>
      <c r="F2882" t="s">
        <v>71</v>
      </c>
      <c r="G2882">
        <v>21088</v>
      </c>
      <c r="H2882">
        <v>16870.400000000001</v>
      </c>
      <c r="I2882" s="13">
        <v>0.5</v>
      </c>
      <c r="J2882" t="s">
        <v>6208</v>
      </c>
      <c r="K2882">
        <v>2</v>
      </c>
      <c r="L2882">
        <v>1</v>
      </c>
      <c r="M2882" t="s">
        <v>0</v>
      </c>
      <c r="N2882" s="2">
        <v>0.43</v>
      </c>
      <c r="O2882" s="2">
        <v>0.56999999999999995</v>
      </c>
      <c r="P2882">
        <v>21</v>
      </c>
      <c r="Q2882">
        <v>11</v>
      </c>
      <c r="R2882">
        <v>5</v>
      </c>
      <c r="S2882">
        <v>4</v>
      </c>
      <c r="T2882">
        <v>10</v>
      </c>
      <c r="U2882">
        <v>19</v>
      </c>
      <c r="V2882">
        <v>2</v>
      </c>
      <c r="W2882">
        <v>0</v>
      </c>
      <c r="X2882">
        <v>0</v>
      </c>
      <c r="Y2882">
        <v>0</v>
      </c>
      <c r="Z2882">
        <v>0</v>
      </c>
    </row>
    <row r="2883" spans="1:26" x14ac:dyDescent="0.2">
      <c r="A2883" t="s">
        <v>3001</v>
      </c>
      <c r="B2883" t="s">
        <v>50</v>
      </c>
      <c r="C2883">
        <v>2016</v>
      </c>
      <c r="D2883" t="s">
        <v>35</v>
      </c>
      <c r="E2883" t="s">
        <v>51</v>
      </c>
      <c r="F2883" t="s">
        <v>35</v>
      </c>
      <c r="G2883">
        <v>49000</v>
      </c>
      <c r="H2883">
        <v>39200</v>
      </c>
      <c r="I2883" s="13">
        <v>0.5</v>
      </c>
      <c r="J2883" t="s">
        <v>6207</v>
      </c>
      <c r="K2883">
        <v>0</v>
      </c>
      <c r="L2883">
        <v>0</v>
      </c>
      <c r="M2883" t="s">
        <v>58</v>
      </c>
      <c r="N2883" s="2">
        <v>0.28000000000000003</v>
      </c>
      <c r="O2883" s="2">
        <v>0.72</v>
      </c>
      <c r="P2883">
        <v>16</v>
      </c>
      <c r="Q2883">
        <v>11</v>
      </c>
      <c r="R2883">
        <v>2</v>
      </c>
      <c r="S2883">
        <v>12</v>
      </c>
      <c r="T2883">
        <v>9</v>
      </c>
      <c r="U2883">
        <v>13</v>
      </c>
      <c r="V2883">
        <v>2</v>
      </c>
      <c r="W2883">
        <v>0</v>
      </c>
      <c r="X2883">
        <v>0</v>
      </c>
      <c r="Y2883">
        <v>0</v>
      </c>
      <c r="Z2883">
        <v>0</v>
      </c>
    </row>
    <row r="2884" spans="1:26" x14ac:dyDescent="0.2">
      <c r="A2884" t="s">
        <v>3002</v>
      </c>
      <c r="B2884" t="s">
        <v>59</v>
      </c>
      <c r="C2884">
        <v>2016</v>
      </c>
      <c r="D2884" t="s">
        <v>87</v>
      </c>
      <c r="E2884" t="s">
        <v>63</v>
      </c>
      <c r="F2884" t="s">
        <v>87</v>
      </c>
      <c r="G2884">
        <v>34742</v>
      </c>
      <c r="H2884">
        <v>27793.600000000002</v>
      </c>
      <c r="I2884" s="13">
        <v>0.66666666666666663</v>
      </c>
      <c r="J2884" t="s">
        <v>6206</v>
      </c>
      <c r="K2884">
        <v>1</v>
      </c>
      <c r="L2884">
        <v>1</v>
      </c>
      <c r="M2884" t="s">
        <v>58</v>
      </c>
      <c r="N2884" s="2">
        <v>0.62</v>
      </c>
      <c r="O2884" s="2">
        <v>0.38</v>
      </c>
      <c r="P2884">
        <v>14</v>
      </c>
      <c r="Q2884">
        <v>12</v>
      </c>
      <c r="R2884">
        <v>4</v>
      </c>
      <c r="S2884">
        <v>3</v>
      </c>
      <c r="T2884">
        <v>12</v>
      </c>
      <c r="U2884">
        <v>13</v>
      </c>
      <c r="V2884">
        <v>2</v>
      </c>
      <c r="W2884">
        <v>1</v>
      </c>
      <c r="X2884">
        <v>0</v>
      </c>
      <c r="Y2884">
        <v>0</v>
      </c>
      <c r="Z2884">
        <v>1</v>
      </c>
    </row>
    <row r="2885" spans="1:26" x14ac:dyDescent="0.2">
      <c r="A2885" t="s">
        <v>3003</v>
      </c>
      <c r="B2885" t="s">
        <v>41</v>
      </c>
      <c r="C2885">
        <v>2016</v>
      </c>
      <c r="D2885" t="s">
        <v>28</v>
      </c>
      <c r="E2885" t="s">
        <v>80</v>
      </c>
      <c r="F2885" t="s">
        <v>28</v>
      </c>
      <c r="G2885">
        <v>21944</v>
      </c>
      <c r="H2885">
        <v>17555.2</v>
      </c>
      <c r="I2885" s="13">
        <v>0</v>
      </c>
      <c r="J2885" t="s">
        <v>6207</v>
      </c>
      <c r="K2885">
        <v>1</v>
      </c>
      <c r="L2885">
        <v>0</v>
      </c>
      <c r="M2885" t="s">
        <v>0</v>
      </c>
      <c r="N2885" s="2">
        <v>0.59</v>
      </c>
      <c r="O2885" s="2">
        <v>0.41</v>
      </c>
      <c r="P2885">
        <v>12</v>
      </c>
      <c r="Q2885">
        <v>5</v>
      </c>
      <c r="R2885">
        <v>10</v>
      </c>
      <c r="S2885">
        <v>2</v>
      </c>
      <c r="T2885">
        <v>4</v>
      </c>
      <c r="U2885">
        <v>8</v>
      </c>
      <c r="V2885">
        <v>1</v>
      </c>
      <c r="W2885">
        <v>0</v>
      </c>
      <c r="X2885">
        <v>0</v>
      </c>
      <c r="Y2885">
        <v>0</v>
      </c>
      <c r="Z2885">
        <v>0</v>
      </c>
    </row>
    <row r="2886" spans="1:26" x14ac:dyDescent="0.2">
      <c r="A2886" t="s">
        <v>3004</v>
      </c>
      <c r="B2886" t="s">
        <v>68</v>
      </c>
      <c r="C2886">
        <v>2016</v>
      </c>
      <c r="D2886" t="s">
        <v>86</v>
      </c>
      <c r="E2886" t="s">
        <v>79</v>
      </c>
      <c r="F2886" t="s">
        <v>86</v>
      </c>
      <c r="G2886">
        <v>11364</v>
      </c>
      <c r="H2886">
        <v>9091.2000000000007</v>
      </c>
      <c r="I2886" s="13">
        <v>0.75</v>
      </c>
      <c r="J2886" t="s">
        <v>6207</v>
      </c>
      <c r="K2886">
        <v>0</v>
      </c>
      <c r="L2886">
        <v>2</v>
      </c>
      <c r="M2886" t="s">
        <v>1</v>
      </c>
      <c r="N2886" s="2">
        <v>0.65</v>
      </c>
      <c r="O2886" s="2">
        <v>0.35</v>
      </c>
      <c r="P2886">
        <v>23</v>
      </c>
      <c r="Q2886">
        <v>15</v>
      </c>
      <c r="R2886">
        <v>2</v>
      </c>
      <c r="S2886">
        <v>3</v>
      </c>
      <c r="T2886">
        <v>14</v>
      </c>
      <c r="U2886">
        <v>23</v>
      </c>
      <c r="V2886">
        <v>0</v>
      </c>
      <c r="W2886">
        <v>4</v>
      </c>
      <c r="X2886">
        <v>0</v>
      </c>
      <c r="Y2886">
        <v>0</v>
      </c>
      <c r="Z2886">
        <v>0</v>
      </c>
    </row>
    <row r="2887" spans="1:26" x14ac:dyDescent="0.2">
      <c r="A2887" t="s">
        <v>3005</v>
      </c>
      <c r="B2887" t="s">
        <v>37</v>
      </c>
      <c r="C2887">
        <v>2016</v>
      </c>
      <c r="D2887" t="s">
        <v>46</v>
      </c>
      <c r="E2887" t="s">
        <v>85</v>
      </c>
      <c r="F2887" t="s">
        <v>20</v>
      </c>
      <c r="G2887">
        <v>60704</v>
      </c>
      <c r="H2887">
        <v>48563.200000000004</v>
      </c>
      <c r="I2887" s="13">
        <v>0.83333333333333337</v>
      </c>
      <c r="J2887" t="s">
        <v>6206</v>
      </c>
      <c r="K2887">
        <v>1</v>
      </c>
      <c r="L2887">
        <v>2</v>
      </c>
      <c r="M2887" t="s">
        <v>1</v>
      </c>
      <c r="N2887" s="2">
        <v>0.74</v>
      </c>
      <c r="O2887" s="2">
        <v>0.26</v>
      </c>
      <c r="P2887">
        <v>16</v>
      </c>
      <c r="Q2887">
        <v>14</v>
      </c>
      <c r="R2887">
        <v>9</v>
      </c>
      <c r="S2887">
        <v>5</v>
      </c>
      <c r="T2887">
        <v>12</v>
      </c>
      <c r="U2887">
        <v>15</v>
      </c>
      <c r="V2887">
        <v>3</v>
      </c>
      <c r="W2887">
        <v>3</v>
      </c>
      <c r="X2887">
        <v>0</v>
      </c>
      <c r="Y2887">
        <v>0</v>
      </c>
      <c r="Z2887">
        <v>0</v>
      </c>
    </row>
    <row r="2888" spans="1:26" x14ac:dyDescent="0.2">
      <c r="A2888" t="s">
        <v>3006</v>
      </c>
      <c r="B2888" t="s">
        <v>44</v>
      </c>
      <c r="C2888">
        <v>2016</v>
      </c>
      <c r="D2888" t="s">
        <v>26</v>
      </c>
      <c r="E2888" t="s">
        <v>18</v>
      </c>
      <c r="F2888" t="s">
        <v>26</v>
      </c>
      <c r="G2888">
        <v>61276</v>
      </c>
      <c r="H2888">
        <v>49020.800000000003</v>
      </c>
      <c r="I2888" s="13">
        <v>0.33333333333333331</v>
      </c>
      <c r="J2888" t="s">
        <v>6207</v>
      </c>
      <c r="K2888">
        <v>1</v>
      </c>
      <c r="L2888">
        <v>1</v>
      </c>
      <c r="M2888" t="s">
        <v>58</v>
      </c>
      <c r="N2888" s="2">
        <v>0.62</v>
      </c>
      <c r="O2888" s="2">
        <v>0.38</v>
      </c>
      <c r="P2888">
        <v>11</v>
      </c>
      <c r="Q2888">
        <v>17</v>
      </c>
      <c r="R2888">
        <v>3</v>
      </c>
      <c r="S2888">
        <v>3</v>
      </c>
      <c r="T2888">
        <v>13</v>
      </c>
      <c r="U2888">
        <v>8</v>
      </c>
      <c r="V2888">
        <v>2</v>
      </c>
      <c r="W2888">
        <v>1</v>
      </c>
      <c r="X2888">
        <v>0</v>
      </c>
      <c r="Y2888">
        <v>0</v>
      </c>
      <c r="Z2888">
        <v>1</v>
      </c>
    </row>
    <row r="2889" spans="1:26" x14ac:dyDescent="0.2">
      <c r="A2889" t="s">
        <v>3007</v>
      </c>
      <c r="B2889" t="s">
        <v>60</v>
      </c>
      <c r="C2889">
        <v>2016</v>
      </c>
      <c r="D2889" t="s">
        <v>23</v>
      </c>
      <c r="E2889" t="s">
        <v>40</v>
      </c>
      <c r="F2889" t="s">
        <v>20</v>
      </c>
      <c r="G2889">
        <v>62500</v>
      </c>
      <c r="H2889">
        <v>50000</v>
      </c>
      <c r="I2889" s="13">
        <v>0.66666666666666663</v>
      </c>
      <c r="J2889" t="s">
        <v>6208</v>
      </c>
      <c r="K2889">
        <v>0</v>
      </c>
      <c r="L2889">
        <v>4</v>
      </c>
      <c r="M2889" t="s">
        <v>1</v>
      </c>
      <c r="N2889" s="2">
        <v>0.3</v>
      </c>
      <c r="O2889" s="2">
        <v>0.7</v>
      </c>
      <c r="P2889">
        <v>17</v>
      </c>
      <c r="Q2889">
        <v>16</v>
      </c>
      <c r="R2889">
        <v>2</v>
      </c>
      <c r="S2889">
        <v>4</v>
      </c>
      <c r="T2889">
        <v>11</v>
      </c>
      <c r="U2889">
        <v>14</v>
      </c>
      <c r="V2889">
        <v>3</v>
      </c>
      <c r="W2889">
        <v>3</v>
      </c>
      <c r="X2889">
        <v>0</v>
      </c>
      <c r="Y2889">
        <v>0</v>
      </c>
      <c r="Z2889">
        <v>1</v>
      </c>
    </row>
    <row r="2890" spans="1:26" x14ac:dyDescent="0.2">
      <c r="A2890" t="s">
        <v>3008</v>
      </c>
      <c r="B2890" t="s">
        <v>76</v>
      </c>
      <c r="C2890">
        <v>2016</v>
      </c>
      <c r="D2890" t="s">
        <v>27</v>
      </c>
      <c r="E2890" t="s">
        <v>45</v>
      </c>
      <c r="F2890" t="s">
        <v>27</v>
      </c>
      <c r="G2890">
        <v>30089</v>
      </c>
      <c r="H2890">
        <v>24071.200000000001</v>
      </c>
      <c r="I2890" s="13">
        <v>0</v>
      </c>
      <c r="J2890" t="s">
        <v>6207</v>
      </c>
      <c r="K2890">
        <v>1</v>
      </c>
      <c r="L2890">
        <v>1</v>
      </c>
      <c r="M2890" t="s">
        <v>58</v>
      </c>
      <c r="N2890" s="2">
        <v>0.47</v>
      </c>
      <c r="O2890" s="2">
        <v>0.53</v>
      </c>
      <c r="P2890">
        <v>14</v>
      </c>
      <c r="Q2890">
        <v>23</v>
      </c>
      <c r="R2890">
        <v>5</v>
      </c>
      <c r="S2890">
        <v>5</v>
      </c>
      <c r="T2890">
        <v>21</v>
      </c>
      <c r="U2890">
        <v>12</v>
      </c>
      <c r="V2890">
        <v>1</v>
      </c>
      <c r="W2890">
        <v>0</v>
      </c>
      <c r="X2890">
        <v>0</v>
      </c>
      <c r="Y2890">
        <v>0</v>
      </c>
      <c r="Z2890">
        <v>0</v>
      </c>
    </row>
    <row r="2891" spans="1:26" x14ac:dyDescent="0.2">
      <c r="A2891" t="s">
        <v>3009</v>
      </c>
      <c r="B2891" t="s">
        <v>53</v>
      </c>
      <c r="C2891">
        <v>2016</v>
      </c>
      <c r="D2891" t="s">
        <v>48</v>
      </c>
      <c r="E2891" t="s">
        <v>19</v>
      </c>
      <c r="F2891" t="s">
        <v>49</v>
      </c>
      <c r="G2891">
        <v>74197</v>
      </c>
      <c r="H2891">
        <v>59357.600000000006</v>
      </c>
      <c r="I2891" s="13">
        <v>0.6</v>
      </c>
      <c r="J2891" t="s">
        <v>6207</v>
      </c>
      <c r="K2891">
        <v>0</v>
      </c>
      <c r="L2891">
        <v>0</v>
      </c>
      <c r="M2891" t="s">
        <v>58</v>
      </c>
      <c r="N2891" s="2">
        <v>0.67</v>
      </c>
      <c r="O2891" s="2">
        <v>0.33</v>
      </c>
      <c r="P2891">
        <v>17</v>
      </c>
      <c r="Q2891">
        <v>26</v>
      </c>
      <c r="R2891">
        <v>7</v>
      </c>
      <c r="S2891">
        <v>1</v>
      </c>
      <c r="T2891">
        <v>20</v>
      </c>
      <c r="U2891">
        <v>16</v>
      </c>
      <c r="V2891">
        <v>1</v>
      </c>
      <c r="W2891">
        <v>4</v>
      </c>
      <c r="X2891">
        <v>0</v>
      </c>
      <c r="Y2891">
        <v>0</v>
      </c>
      <c r="Z2891">
        <v>0</v>
      </c>
    </row>
    <row r="2892" spans="1:26" x14ac:dyDescent="0.2">
      <c r="A2892" t="s">
        <v>3010</v>
      </c>
      <c r="B2892" t="s">
        <v>32</v>
      </c>
      <c r="C2892">
        <v>2016</v>
      </c>
      <c r="D2892" t="s">
        <v>18</v>
      </c>
      <c r="E2892" t="s">
        <v>46</v>
      </c>
      <c r="F2892" t="s">
        <v>20</v>
      </c>
      <c r="G2892">
        <v>40341</v>
      </c>
      <c r="H2892">
        <v>32272.800000000003</v>
      </c>
      <c r="I2892" s="13">
        <v>1</v>
      </c>
      <c r="J2892" t="s">
        <v>6207</v>
      </c>
      <c r="K2892">
        <v>3</v>
      </c>
      <c r="L2892">
        <v>1</v>
      </c>
      <c r="M2892" t="s">
        <v>0</v>
      </c>
      <c r="N2892" s="2">
        <v>0.42</v>
      </c>
      <c r="O2892" s="2">
        <v>0.57999999999999996</v>
      </c>
      <c r="P2892">
        <v>11</v>
      </c>
      <c r="Q2892">
        <v>18</v>
      </c>
      <c r="R2892">
        <v>10</v>
      </c>
      <c r="S2892">
        <v>13</v>
      </c>
      <c r="T2892">
        <v>14</v>
      </c>
      <c r="U2892">
        <v>8</v>
      </c>
      <c r="V2892">
        <v>1</v>
      </c>
      <c r="W2892">
        <v>1</v>
      </c>
      <c r="X2892">
        <v>0</v>
      </c>
      <c r="Y2892">
        <v>0</v>
      </c>
      <c r="Z2892">
        <v>0</v>
      </c>
    </row>
    <row r="2893" spans="1:26" x14ac:dyDescent="0.2">
      <c r="A2893" t="s">
        <v>3011</v>
      </c>
      <c r="B2893" t="s">
        <v>60</v>
      </c>
      <c r="C2893">
        <v>2016</v>
      </c>
      <c r="D2893" t="s">
        <v>63</v>
      </c>
      <c r="E2893" t="s">
        <v>27</v>
      </c>
      <c r="F2893" t="s">
        <v>65</v>
      </c>
      <c r="G2893">
        <v>26804</v>
      </c>
      <c r="H2893">
        <v>21443.200000000001</v>
      </c>
      <c r="I2893" s="13">
        <v>0.5</v>
      </c>
      <c r="J2893" t="s">
        <v>6208</v>
      </c>
      <c r="K2893">
        <v>1</v>
      </c>
      <c r="L2893">
        <v>0</v>
      </c>
      <c r="M2893" t="s">
        <v>0</v>
      </c>
      <c r="N2893" s="2">
        <v>0.38</v>
      </c>
      <c r="O2893" s="2">
        <v>0.62</v>
      </c>
      <c r="P2893">
        <v>15</v>
      </c>
      <c r="Q2893">
        <v>10</v>
      </c>
      <c r="R2893">
        <v>5</v>
      </c>
      <c r="S2893">
        <v>6</v>
      </c>
      <c r="T2893">
        <v>6</v>
      </c>
      <c r="U2893">
        <v>13</v>
      </c>
      <c r="V2893">
        <v>2</v>
      </c>
      <c r="W2893">
        <v>2</v>
      </c>
      <c r="X2893">
        <v>0</v>
      </c>
      <c r="Y2893">
        <v>0</v>
      </c>
      <c r="Z2893">
        <v>0</v>
      </c>
    </row>
    <row r="2894" spans="1:26" x14ac:dyDescent="0.2">
      <c r="A2894" t="s">
        <v>3012</v>
      </c>
      <c r="B2894" t="s">
        <v>66</v>
      </c>
      <c r="C2894">
        <v>2016</v>
      </c>
      <c r="D2894" t="s">
        <v>85</v>
      </c>
      <c r="E2894" t="s">
        <v>28</v>
      </c>
      <c r="F2894" t="s">
        <v>85</v>
      </c>
      <c r="G2894">
        <v>22220</v>
      </c>
      <c r="H2894">
        <v>17776</v>
      </c>
      <c r="I2894" s="13">
        <v>0.83333333333333337</v>
      </c>
      <c r="J2894" t="s">
        <v>6207</v>
      </c>
      <c r="K2894">
        <v>2</v>
      </c>
      <c r="L2894">
        <v>1</v>
      </c>
      <c r="M2894" t="s">
        <v>0</v>
      </c>
      <c r="N2894" s="2">
        <v>0.6</v>
      </c>
      <c r="O2894" s="2">
        <v>0.4</v>
      </c>
      <c r="P2894">
        <v>15</v>
      </c>
      <c r="Q2894">
        <v>12</v>
      </c>
      <c r="R2894">
        <v>3</v>
      </c>
      <c r="S2894">
        <v>6</v>
      </c>
      <c r="T2894">
        <v>12</v>
      </c>
      <c r="U2894">
        <v>10</v>
      </c>
      <c r="V2894">
        <v>5</v>
      </c>
      <c r="W2894">
        <v>0</v>
      </c>
      <c r="X2894">
        <v>0</v>
      </c>
      <c r="Y2894">
        <v>1</v>
      </c>
      <c r="Z2894">
        <v>1</v>
      </c>
    </row>
    <row r="2895" spans="1:26" x14ac:dyDescent="0.2">
      <c r="A2895" t="s">
        <v>3013</v>
      </c>
      <c r="B2895" t="s">
        <v>83</v>
      </c>
      <c r="C2895">
        <v>2016</v>
      </c>
      <c r="D2895" t="s">
        <v>73</v>
      </c>
      <c r="E2895" t="s">
        <v>23</v>
      </c>
      <c r="F2895" t="s">
        <v>73</v>
      </c>
      <c r="G2895">
        <v>32384</v>
      </c>
      <c r="H2895">
        <v>25907.200000000001</v>
      </c>
      <c r="I2895" s="13">
        <v>0.5</v>
      </c>
      <c r="J2895" t="s">
        <v>6208</v>
      </c>
      <c r="K2895">
        <v>1</v>
      </c>
      <c r="L2895">
        <v>3</v>
      </c>
      <c r="M2895" t="s">
        <v>1</v>
      </c>
      <c r="N2895" s="2">
        <v>0.55000000000000004</v>
      </c>
      <c r="O2895" s="2">
        <v>0.45</v>
      </c>
      <c r="P2895">
        <v>18</v>
      </c>
      <c r="Q2895">
        <v>14</v>
      </c>
      <c r="R2895">
        <v>3</v>
      </c>
      <c r="S2895">
        <v>2</v>
      </c>
      <c r="T2895">
        <v>12</v>
      </c>
      <c r="U2895">
        <v>15</v>
      </c>
      <c r="V2895">
        <v>0</v>
      </c>
      <c r="W2895">
        <v>2</v>
      </c>
      <c r="X2895">
        <v>0</v>
      </c>
      <c r="Y2895">
        <v>0</v>
      </c>
      <c r="Z2895">
        <v>0</v>
      </c>
    </row>
    <row r="2896" spans="1:26" x14ac:dyDescent="0.2">
      <c r="A2896" t="s">
        <v>3014</v>
      </c>
      <c r="B2896" t="s">
        <v>50</v>
      </c>
      <c r="C2896">
        <v>2016</v>
      </c>
      <c r="D2896" t="s">
        <v>19</v>
      </c>
      <c r="E2896" t="s">
        <v>26</v>
      </c>
      <c r="F2896" t="s">
        <v>19</v>
      </c>
      <c r="G2896">
        <v>25586</v>
      </c>
      <c r="H2896">
        <v>20468.800000000003</v>
      </c>
      <c r="I2896" s="13">
        <v>0</v>
      </c>
      <c r="J2896" t="s">
        <v>6207</v>
      </c>
      <c r="K2896">
        <v>2</v>
      </c>
      <c r="L2896">
        <v>0</v>
      </c>
      <c r="M2896" t="s">
        <v>0</v>
      </c>
      <c r="N2896" s="2">
        <v>0.28000000000000003</v>
      </c>
      <c r="O2896" s="2">
        <v>0.72</v>
      </c>
      <c r="P2896">
        <v>13</v>
      </c>
      <c r="Q2896">
        <v>11</v>
      </c>
      <c r="R2896">
        <v>1</v>
      </c>
      <c r="S2896">
        <v>15</v>
      </c>
      <c r="T2896">
        <v>9</v>
      </c>
      <c r="U2896">
        <v>12</v>
      </c>
      <c r="V2896">
        <v>2</v>
      </c>
      <c r="W2896">
        <v>1</v>
      </c>
      <c r="X2896">
        <v>0</v>
      </c>
      <c r="Y2896">
        <v>0</v>
      </c>
      <c r="Z2896">
        <v>0</v>
      </c>
    </row>
    <row r="2897" spans="1:26" x14ac:dyDescent="0.2">
      <c r="A2897" t="s">
        <v>3015</v>
      </c>
      <c r="B2897" t="s">
        <v>53</v>
      </c>
      <c r="C2897">
        <v>2016</v>
      </c>
      <c r="D2897" t="s">
        <v>45</v>
      </c>
      <c r="E2897" t="s">
        <v>86</v>
      </c>
      <c r="F2897" t="s">
        <v>26</v>
      </c>
      <c r="G2897">
        <v>39572</v>
      </c>
      <c r="H2897">
        <v>31657.600000000002</v>
      </c>
      <c r="I2897" s="13">
        <v>0.75</v>
      </c>
      <c r="J2897" t="s">
        <v>6207</v>
      </c>
      <c r="K2897">
        <v>6</v>
      </c>
      <c r="L2897">
        <v>3</v>
      </c>
      <c r="M2897" t="s">
        <v>0</v>
      </c>
      <c r="N2897" s="2">
        <v>0.46</v>
      </c>
      <c r="O2897" s="2">
        <v>0.54</v>
      </c>
      <c r="P2897">
        <v>4</v>
      </c>
      <c r="Q2897">
        <v>17</v>
      </c>
      <c r="R2897">
        <v>4</v>
      </c>
      <c r="S2897">
        <v>8</v>
      </c>
      <c r="T2897">
        <v>14</v>
      </c>
      <c r="U2897">
        <v>4</v>
      </c>
      <c r="V2897">
        <v>3</v>
      </c>
      <c r="W2897">
        <v>1</v>
      </c>
      <c r="X2897">
        <v>0</v>
      </c>
      <c r="Y2897">
        <v>0</v>
      </c>
      <c r="Z2897">
        <v>0</v>
      </c>
    </row>
    <row r="2898" spans="1:26" x14ac:dyDescent="0.2">
      <c r="A2898" t="s">
        <v>3016</v>
      </c>
      <c r="B2898" t="s">
        <v>37</v>
      </c>
      <c r="C2898">
        <v>2016</v>
      </c>
      <c r="D2898" t="s">
        <v>79</v>
      </c>
      <c r="E2898" t="s">
        <v>35</v>
      </c>
      <c r="F2898" t="s">
        <v>20</v>
      </c>
      <c r="G2898">
        <v>25486</v>
      </c>
      <c r="H2898">
        <v>20388.800000000003</v>
      </c>
      <c r="I2898" s="13">
        <v>0.66666666666666663</v>
      </c>
      <c r="J2898" t="s">
        <v>6206</v>
      </c>
      <c r="K2898">
        <v>0</v>
      </c>
      <c r="L2898">
        <v>4</v>
      </c>
      <c r="M2898" t="s">
        <v>1</v>
      </c>
      <c r="N2898" s="2">
        <v>0.65</v>
      </c>
      <c r="O2898" s="2">
        <v>0.35</v>
      </c>
      <c r="P2898">
        <v>9</v>
      </c>
      <c r="Q2898">
        <v>10</v>
      </c>
      <c r="R2898">
        <v>7</v>
      </c>
      <c r="S2898">
        <v>1</v>
      </c>
      <c r="T2898">
        <v>8</v>
      </c>
      <c r="U2898">
        <v>8</v>
      </c>
      <c r="V2898">
        <v>3</v>
      </c>
      <c r="W2898">
        <v>3</v>
      </c>
      <c r="X2898">
        <v>0</v>
      </c>
      <c r="Y2898">
        <v>0</v>
      </c>
      <c r="Z2898">
        <v>0</v>
      </c>
    </row>
    <row r="2899" spans="1:26" x14ac:dyDescent="0.2">
      <c r="A2899" t="s">
        <v>3017</v>
      </c>
      <c r="B2899" t="s">
        <v>44</v>
      </c>
      <c r="C2899">
        <v>2016</v>
      </c>
      <c r="D2899" t="s">
        <v>51</v>
      </c>
      <c r="E2899" t="s">
        <v>87</v>
      </c>
      <c r="F2899" t="s">
        <v>20</v>
      </c>
      <c r="G2899">
        <v>36284</v>
      </c>
      <c r="H2899">
        <v>29027.200000000001</v>
      </c>
      <c r="I2899" s="13">
        <v>0</v>
      </c>
      <c r="J2899" t="s">
        <v>6207</v>
      </c>
      <c r="K2899">
        <v>1</v>
      </c>
      <c r="L2899">
        <v>0</v>
      </c>
      <c r="M2899" t="s">
        <v>0</v>
      </c>
      <c r="N2899" s="2">
        <v>0.65</v>
      </c>
      <c r="O2899" s="2">
        <v>0.35</v>
      </c>
      <c r="P2899">
        <v>11</v>
      </c>
      <c r="Q2899">
        <v>13</v>
      </c>
      <c r="R2899">
        <v>11</v>
      </c>
      <c r="S2899">
        <v>2</v>
      </c>
      <c r="T2899">
        <v>8</v>
      </c>
      <c r="U2899">
        <v>11</v>
      </c>
      <c r="V2899">
        <v>0</v>
      </c>
      <c r="W2899">
        <v>1</v>
      </c>
      <c r="X2899">
        <v>0</v>
      </c>
      <c r="Y2899">
        <v>0</v>
      </c>
      <c r="Z2899">
        <v>1</v>
      </c>
    </row>
    <row r="2900" spans="1:26" x14ac:dyDescent="0.2">
      <c r="A2900" t="s">
        <v>3018</v>
      </c>
      <c r="B2900" t="s">
        <v>41</v>
      </c>
      <c r="C2900">
        <v>2016</v>
      </c>
      <c r="D2900" t="s">
        <v>40</v>
      </c>
      <c r="E2900" t="s">
        <v>71</v>
      </c>
      <c r="F2900" t="s">
        <v>49</v>
      </c>
      <c r="G2900">
        <v>53400</v>
      </c>
      <c r="H2900">
        <v>42720</v>
      </c>
      <c r="I2900" s="13">
        <v>0.6</v>
      </c>
      <c r="J2900" t="s">
        <v>6207</v>
      </c>
      <c r="K2900">
        <v>2</v>
      </c>
      <c r="L2900">
        <v>1</v>
      </c>
      <c r="M2900" t="s">
        <v>0</v>
      </c>
      <c r="N2900" s="2">
        <v>0.69</v>
      </c>
      <c r="O2900" s="2">
        <v>0.31</v>
      </c>
      <c r="P2900">
        <v>13</v>
      </c>
      <c r="Q2900">
        <v>13</v>
      </c>
      <c r="R2900">
        <v>10</v>
      </c>
      <c r="S2900">
        <v>3</v>
      </c>
      <c r="T2900">
        <v>9</v>
      </c>
      <c r="U2900">
        <v>13</v>
      </c>
      <c r="V2900">
        <v>2</v>
      </c>
      <c r="W2900">
        <v>3</v>
      </c>
      <c r="X2900">
        <v>0</v>
      </c>
      <c r="Y2900">
        <v>0</v>
      </c>
      <c r="Z2900">
        <v>0</v>
      </c>
    </row>
    <row r="2901" spans="1:26" x14ac:dyDescent="0.2">
      <c r="A2901" t="s">
        <v>3019</v>
      </c>
      <c r="B2901" t="s">
        <v>61</v>
      </c>
      <c r="C2901">
        <v>2016</v>
      </c>
      <c r="D2901" t="s">
        <v>80</v>
      </c>
      <c r="E2901" t="s">
        <v>48</v>
      </c>
      <c r="F2901" t="s">
        <v>80</v>
      </c>
      <c r="G2901">
        <v>32261</v>
      </c>
      <c r="H2901">
        <v>25808.800000000003</v>
      </c>
      <c r="I2901" s="13">
        <v>0.83333333333333337</v>
      </c>
      <c r="J2901" t="s">
        <v>6207</v>
      </c>
      <c r="K2901">
        <v>0</v>
      </c>
      <c r="L2901">
        <v>3</v>
      </c>
      <c r="M2901" t="s">
        <v>1</v>
      </c>
      <c r="N2901" s="2">
        <v>0.32</v>
      </c>
      <c r="O2901" s="2">
        <v>0.68</v>
      </c>
      <c r="P2901">
        <v>15</v>
      </c>
      <c r="Q2901">
        <v>13</v>
      </c>
      <c r="R2901">
        <v>10</v>
      </c>
      <c r="S2901">
        <v>3</v>
      </c>
      <c r="T2901">
        <v>12</v>
      </c>
      <c r="U2901">
        <v>13</v>
      </c>
      <c r="V2901">
        <v>2</v>
      </c>
      <c r="W2901">
        <v>4</v>
      </c>
      <c r="X2901">
        <v>0</v>
      </c>
      <c r="Y2901">
        <v>0</v>
      </c>
      <c r="Z2901">
        <v>0</v>
      </c>
    </row>
    <row r="2902" spans="1:26" x14ac:dyDescent="0.2">
      <c r="A2902" t="s">
        <v>3020</v>
      </c>
      <c r="B2902" t="s">
        <v>44</v>
      </c>
      <c r="C2902">
        <v>2016</v>
      </c>
      <c r="D2902" t="s">
        <v>46</v>
      </c>
      <c r="E2902" t="s">
        <v>19</v>
      </c>
      <c r="F2902" t="s">
        <v>20</v>
      </c>
      <c r="G2902">
        <v>60704</v>
      </c>
      <c r="H2902">
        <v>48563.200000000004</v>
      </c>
      <c r="I2902" s="13">
        <v>0.4</v>
      </c>
      <c r="J2902" t="s">
        <v>6207</v>
      </c>
      <c r="K2902">
        <v>2</v>
      </c>
      <c r="L2902">
        <v>0</v>
      </c>
      <c r="M2902" t="s">
        <v>0</v>
      </c>
      <c r="N2902" s="2">
        <v>0.49</v>
      </c>
      <c r="O2902" s="2">
        <v>0.51</v>
      </c>
      <c r="P2902">
        <v>8</v>
      </c>
      <c r="Q2902">
        <v>16</v>
      </c>
      <c r="R2902">
        <v>3</v>
      </c>
      <c r="S2902">
        <v>8</v>
      </c>
      <c r="T2902">
        <v>12</v>
      </c>
      <c r="U2902">
        <v>9</v>
      </c>
      <c r="V2902">
        <v>3</v>
      </c>
      <c r="W2902">
        <v>1</v>
      </c>
      <c r="X2902">
        <v>0</v>
      </c>
      <c r="Y2902">
        <v>1</v>
      </c>
      <c r="Z2902">
        <v>1</v>
      </c>
    </row>
    <row r="2903" spans="1:26" x14ac:dyDescent="0.2">
      <c r="A2903" t="s">
        <v>3021</v>
      </c>
      <c r="B2903" t="s">
        <v>66</v>
      </c>
      <c r="C2903">
        <v>2016</v>
      </c>
      <c r="D2903" t="s">
        <v>23</v>
      </c>
      <c r="E2903" t="s">
        <v>63</v>
      </c>
      <c r="F2903" t="s">
        <v>20</v>
      </c>
      <c r="G2903">
        <v>62500</v>
      </c>
      <c r="H2903">
        <v>50000</v>
      </c>
      <c r="I2903" s="13">
        <v>0.6</v>
      </c>
      <c r="J2903" t="s">
        <v>6207</v>
      </c>
      <c r="K2903">
        <v>2</v>
      </c>
      <c r="L2903">
        <v>2</v>
      </c>
      <c r="M2903" t="s">
        <v>58</v>
      </c>
      <c r="N2903" s="2">
        <v>0.65</v>
      </c>
      <c r="O2903" s="2">
        <v>0.35</v>
      </c>
      <c r="P2903">
        <v>15</v>
      </c>
      <c r="Q2903">
        <v>10</v>
      </c>
      <c r="R2903">
        <v>7</v>
      </c>
      <c r="S2903">
        <v>5</v>
      </c>
      <c r="T2903">
        <v>7</v>
      </c>
      <c r="U2903">
        <v>14</v>
      </c>
      <c r="V2903">
        <v>3</v>
      </c>
      <c r="W2903">
        <v>2</v>
      </c>
      <c r="X2903">
        <v>0</v>
      </c>
      <c r="Y2903">
        <v>0</v>
      </c>
      <c r="Z2903">
        <v>0</v>
      </c>
    </row>
    <row r="2904" spans="1:26" x14ac:dyDescent="0.2">
      <c r="A2904" t="s">
        <v>3022</v>
      </c>
      <c r="B2904" t="s">
        <v>81</v>
      </c>
      <c r="C2904">
        <v>2016</v>
      </c>
      <c r="D2904" t="s">
        <v>35</v>
      </c>
      <c r="E2904" t="s">
        <v>73</v>
      </c>
      <c r="F2904" t="s">
        <v>35</v>
      </c>
      <c r="G2904">
        <v>49000</v>
      </c>
      <c r="H2904">
        <v>39200</v>
      </c>
      <c r="I2904" s="13">
        <v>1</v>
      </c>
      <c r="J2904" t="s">
        <v>6207</v>
      </c>
      <c r="K2904">
        <v>0</v>
      </c>
      <c r="L2904">
        <v>4</v>
      </c>
      <c r="M2904" t="s">
        <v>1</v>
      </c>
      <c r="N2904" s="2">
        <v>0.46</v>
      </c>
      <c r="O2904" s="2">
        <v>0.54</v>
      </c>
      <c r="P2904">
        <v>17</v>
      </c>
      <c r="Q2904">
        <v>13</v>
      </c>
      <c r="R2904">
        <v>6</v>
      </c>
      <c r="S2904">
        <v>2</v>
      </c>
      <c r="T2904">
        <v>12</v>
      </c>
      <c r="U2904">
        <v>14</v>
      </c>
      <c r="V2904">
        <v>1</v>
      </c>
      <c r="W2904">
        <v>0</v>
      </c>
      <c r="X2904">
        <v>0</v>
      </c>
      <c r="Y2904">
        <v>0</v>
      </c>
      <c r="Z2904">
        <v>0</v>
      </c>
    </row>
    <row r="2905" spans="1:26" x14ac:dyDescent="0.2">
      <c r="A2905" t="s">
        <v>3023</v>
      </c>
      <c r="B2905" t="s">
        <v>32</v>
      </c>
      <c r="C2905">
        <v>2016</v>
      </c>
      <c r="D2905" t="s">
        <v>27</v>
      </c>
      <c r="E2905" t="s">
        <v>79</v>
      </c>
      <c r="F2905" t="s">
        <v>27</v>
      </c>
      <c r="G2905">
        <v>30089</v>
      </c>
      <c r="H2905">
        <v>24071.200000000001</v>
      </c>
      <c r="I2905" s="13">
        <v>0.5</v>
      </c>
      <c r="J2905" t="s">
        <v>6207</v>
      </c>
      <c r="K2905">
        <v>1</v>
      </c>
      <c r="L2905">
        <v>0</v>
      </c>
      <c r="M2905" t="s">
        <v>0</v>
      </c>
      <c r="N2905" s="2">
        <v>0.57999999999999996</v>
      </c>
      <c r="O2905" s="2">
        <v>0.42</v>
      </c>
      <c r="P2905">
        <v>17</v>
      </c>
      <c r="Q2905">
        <v>13</v>
      </c>
      <c r="R2905">
        <v>5</v>
      </c>
      <c r="S2905">
        <v>5</v>
      </c>
      <c r="T2905">
        <v>10</v>
      </c>
      <c r="U2905">
        <v>14</v>
      </c>
      <c r="V2905">
        <v>1</v>
      </c>
      <c r="W2905">
        <v>3</v>
      </c>
      <c r="X2905">
        <v>0</v>
      </c>
      <c r="Y2905">
        <v>0</v>
      </c>
      <c r="Z2905">
        <v>0</v>
      </c>
    </row>
    <row r="2906" spans="1:26" x14ac:dyDescent="0.2">
      <c r="A2906" t="s">
        <v>3024</v>
      </c>
      <c r="B2906" t="s">
        <v>41</v>
      </c>
      <c r="C2906">
        <v>2016</v>
      </c>
      <c r="D2906" t="s">
        <v>87</v>
      </c>
      <c r="E2906" t="s">
        <v>45</v>
      </c>
      <c r="F2906" t="s">
        <v>87</v>
      </c>
      <c r="G2906">
        <v>34742</v>
      </c>
      <c r="H2906">
        <v>27793.600000000002</v>
      </c>
      <c r="I2906" s="13">
        <v>0.5</v>
      </c>
      <c r="J2906" t="s">
        <v>6207</v>
      </c>
      <c r="K2906">
        <v>0</v>
      </c>
      <c r="L2906">
        <v>0</v>
      </c>
      <c r="M2906" t="s">
        <v>58</v>
      </c>
      <c r="N2906" s="2">
        <v>0.46</v>
      </c>
      <c r="O2906" s="2">
        <v>0.54</v>
      </c>
      <c r="P2906">
        <v>11</v>
      </c>
      <c r="Q2906">
        <v>14</v>
      </c>
      <c r="R2906">
        <v>5</v>
      </c>
      <c r="S2906">
        <v>2</v>
      </c>
      <c r="T2906">
        <v>14</v>
      </c>
      <c r="U2906">
        <v>9</v>
      </c>
      <c r="V2906">
        <v>2</v>
      </c>
      <c r="W2906">
        <v>0</v>
      </c>
      <c r="X2906">
        <v>0</v>
      </c>
      <c r="Y2906">
        <v>0</v>
      </c>
      <c r="Z2906">
        <v>0</v>
      </c>
    </row>
    <row r="2907" spans="1:26" x14ac:dyDescent="0.2">
      <c r="A2907" t="s">
        <v>3025</v>
      </c>
      <c r="B2907" t="s">
        <v>77</v>
      </c>
      <c r="C2907">
        <v>2016</v>
      </c>
      <c r="D2907" t="s">
        <v>48</v>
      </c>
      <c r="E2907" t="s">
        <v>85</v>
      </c>
      <c r="F2907" t="s">
        <v>49</v>
      </c>
      <c r="G2907">
        <v>74197</v>
      </c>
      <c r="H2907">
        <v>59357.600000000006</v>
      </c>
      <c r="I2907" s="13">
        <v>1</v>
      </c>
      <c r="J2907" t="s">
        <v>6207</v>
      </c>
      <c r="K2907">
        <v>2</v>
      </c>
      <c r="L2907">
        <v>0</v>
      </c>
      <c r="M2907" t="s">
        <v>0</v>
      </c>
      <c r="N2907" s="2">
        <v>0.57999999999999996</v>
      </c>
      <c r="O2907" s="2">
        <v>0.42</v>
      </c>
      <c r="P2907">
        <v>12</v>
      </c>
      <c r="Q2907">
        <v>15</v>
      </c>
      <c r="R2907">
        <v>5</v>
      </c>
      <c r="S2907">
        <v>1</v>
      </c>
      <c r="T2907">
        <v>10</v>
      </c>
      <c r="U2907">
        <v>12</v>
      </c>
      <c r="V2907">
        <v>1</v>
      </c>
      <c r="W2907">
        <v>0</v>
      </c>
      <c r="X2907">
        <v>0</v>
      </c>
      <c r="Y2907">
        <v>0</v>
      </c>
      <c r="Z2907">
        <v>0</v>
      </c>
    </row>
    <row r="2908" spans="1:26" x14ac:dyDescent="0.2">
      <c r="A2908" t="s">
        <v>3026</v>
      </c>
      <c r="B2908" t="s">
        <v>61</v>
      </c>
      <c r="C2908">
        <v>2016</v>
      </c>
      <c r="D2908" t="s">
        <v>26</v>
      </c>
      <c r="E2908" t="s">
        <v>51</v>
      </c>
      <c r="F2908" t="s">
        <v>26</v>
      </c>
      <c r="G2908">
        <v>61276</v>
      </c>
      <c r="H2908">
        <v>49020.800000000003</v>
      </c>
      <c r="I2908" s="13">
        <v>0.25</v>
      </c>
      <c r="J2908" t="s">
        <v>6207</v>
      </c>
      <c r="K2908">
        <v>2</v>
      </c>
      <c r="L2908">
        <v>0</v>
      </c>
      <c r="M2908" t="s">
        <v>0</v>
      </c>
      <c r="N2908" s="2">
        <v>0.51</v>
      </c>
      <c r="O2908" s="2">
        <v>0.49</v>
      </c>
      <c r="P2908">
        <v>15</v>
      </c>
      <c r="Q2908">
        <v>16</v>
      </c>
      <c r="R2908">
        <v>10</v>
      </c>
      <c r="S2908">
        <v>3</v>
      </c>
      <c r="T2908">
        <v>14</v>
      </c>
      <c r="U2908">
        <v>14</v>
      </c>
      <c r="V2908">
        <v>3</v>
      </c>
      <c r="W2908">
        <v>5</v>
      </c>
      <c r="X2908">
        <v>0</v>
      </c>
      <c r="Y2908">
        <v>0</v>
      </c>
      <c r="Z2908">
        <v>0</v>
      </c>
    </row>
    <row r="2909" spans="1:26" x14ac:dyDescent="0.2">
      <c r="A2909" t="s">
        <v>3027</v>
      </c>
      <c r="B2909" t="s">
        <v>60</v>
      </c>
      <c r="C2909">
        <v>2016</v>
      </c>
      <c r="D2909" t="s">
        <v>28</v>
      </c>
      <c r="E2909" t="s">
        <v>18</v>
      </c>
      <c r="F2909" t="s">
        <v>28</v>
      </c>
      <c r="G2909">
        <v>21944</v>
      </c>
      <c r="H2909">
        <v>17555.2</v>
      </c>
      <c r="I2909" s="13">
        <v>0.4</v>
      </c>
      <c r="J2909" t="s">
        <v>6208</v>
      </c>
      <c r="K2909">
        <v>1</v>
      </c>
      <c r="L2909">
        <v>1</v>
      </c>
      <c r="M2909" t="s">
        <v>58</v>
      </c>
      <c r="N2909" s="2">
        <v>0.28999999999999998</v>
      </c>
      <c r="O2909" s="2">
        <v>0.71</v>
      </c>
      <c r="P2909">
        <v>11</v>
      </c>
      <c r="Q2909">
        <v>14</v>
      </c>
      <c r="R2909">
        <v>1</v>
      </c>
      <c r="S2909">
        <v>1</v>
      </c>
      <c r="T2909">
        <v>12</v>
      </c>
      <c r="U2909">
        <v>11</v>
      </c>
      <c r="V2909">
        <v>3</v>
      </c>
      <c r="W2909">
        <v>2</v>
      </c>
      <c r="X2909">
        <v>0</v>
      </c>
      <c r="Y2909">
        <v>0</v>
      </c>
      <c r="Z2909">
        <v>0</v>
      </c>
    </row>
    <row r="2910" spans="1:26" x14ac:dyDescent="0.2">
      <c r="A2910" t="s">
        <v>3028</v>
      </c>
      <c r="B2910" t="s">
        <v>68</v>
      </c>
      <c r="C2910">
        <v>2016</v>
      </c>
      <c r="D2910" t="s">
        <v>71</v>
      </c>
      <c r="E2910" t="s">
        <v>80</v>
      </c>
      <c r="F2910" t="s">
        <v>71</v>
      </c>
      <c r="G2910">
        <v>21088</v>
      </c>
      <c r="H2910">
        <v>16870.400000000001</v>
      </c>
      <c r="I2910" s="13">
        <v>0.5</v>
      </c>
      <c r="J2910" t="s">
        <v>6207</v>
      </c>
      <c r="K2910">
        <v>2</v>
      </c>
      <c r="L2910">
        <v>0</v>
      </c>
      <c r="M2910" t="s">
        <v>0</v>
      </c>
      <c r="N2910" s="2">
        <v>0.49</v>
      </c>
      <c r="O2910" s="2">
        <v>0.51</v>
      </c>
      <c r="P2910">
        <v>14</v>
      </c>
      <c r="Q2910">
        <v>6</v>
      </c>
      <c r="R2910">
        <v>7</v>
      </c>
      <c r="S2910">
        <v>3</v>
      </c>
      <c r="T2910">
        <v>7</v>
      </c>
      <c r="U2910">
        <v>14</v>
      </c>
      <c r="V2910">
        <v>2</v>
      </c>
      <c r="W2910">
        <v>2</v>
      </c>
      <c r="X2910">
        <v>0</v>
      </c>
      <c r="Y2910">
        <v>0</v>
      </c>
      <c r="Z2910">
        <v>0</v>
      </c>
    </row>
    <row r="2911" spans="1:26" x14ac:dyDescent="0.2">
      <c r="A2911" t="s">
        <v>3029</v>
      </c>
      <c r="B2911" t="s">
        <v>67</v>
      </c>
      <c r="C2911">
        <v>2016</v>
      </c>
      <c r="D2911" t="s">
        <v>86</v>
      </c>
      <c r="E2911" t="s">
        <v>40</v>
      </c>
      <c r="F2911" t="s">
        <v>86</v>
      </c>
      <c r="G2911">
        <v>11364</v>
      </c>
      <c r="H2911">
        <v>9091.2000000000007</v>
      </c>
      <c r="I2911" s="13">
        <v>0.6</v>
      </c>
      <c r="J2911" t="s">
        <v>6207</v>
      </c>
      <c r="K2911">
        <v>0</v>
      </c>
      <c r="L2911">
        <v>2</v>
      </c>
      <c r="M2911" t="s">
        <v>1</v>
      </c>
      <c r="N2911" s="2">
        <v>0.38</v>
      </c>
      <c r="O2911" s="2">
        <v>0.62</v>
      </c>
      <c r="P2911">
        <v>13</v>
      </c>
      <c r="Q2911">
        <v>10</v>
      </c>
      <c r="R2911">
        <v>3</v>
      </c>
      <c r="S2911">
        <v>7</v>
      </c>
      <c r="T2911">
        <v>8</v>
      </c>
      <c r="U2911">
        <v>11</v>
      </c>
      <c r="V2911">
        <v>2</v>
      </c>
      <c r="W2911">
        <v>3</v>
      </c>
      <c r="X2911">
        <v>0</v>
      </c>
      <c r="Y2911">
        <v>0</v>
      </c>
      <c r="Z2911">
        <v>0</v>
      </c>
    </row>
    <row r="2912" spans="1:26" x14ac:dyDescent="0.2">
      <c r="A2912" t="s">
        <v>3030</v>
      </c>
      <c r="B2912" t="s">
        <v>44</v>
      </c>
      <c r="C2912">
        <v>2016</v>
      </c>
      <c r="D2912" t="s">
        <v>63</v>
      </c>
      <c r="E2912" t="s">
        <v>86</v>
      </c>
      <c r="F2912" t="s">
        <v>65</v>
      </c>
      <c r="G2912">
        <v>26804</v>
      </c>
      <c r="H2912">
        <v>21443.200000000001</v>
      </c>
      <c r="I2912" s="13">
        <v>1</v>
      </c>
      <c r="J2912" t="s">
        <v>6207</v>
      </c>
      <c r="K2912">
        <v>2</v>
      </c>
      <c r="L2912">
        <v>1</v>
      </c>
      <c r="M2912" t="s">
        <v>0</v>
      </c>
      <c r="N2912" s="2">
        <v>0.32</v>
      </c>
      <c r="O2912" s="2">
        <v>0.68</v>
      </c>
      <c r="P2912">
        <v>5</v>
      </c>
      <c r="Q2912">
        <v>15</v>
      </c>
      <c r="R2912">
        <v>8</v>
      </c>
      <c r="S2912">
        <v>6</v>
      </c>
      <c r="T2912">
        <v>12</v>
      </c>
      <c r="U2912">
        <v>5</v>
      </c>
      <c r="V2912">
        <v>2</v>
      </c>
      <c r="W2912">
        <v>0</v>
      </c>
      <c r="X2912">
        <v>0</v>
      </c>
      <c r="Y2912">
        <v>0</v>
      </c>
      <c r="Z2912">
        <v>1</v>
      </c>
    </row>
    <row r="2913" spans="1:26" x14ac:dyDescent="0.2">
      <c r="A2913" t="s">
        <v>3031</v>
      </c>
      <c r="B2913" t="s">
        <v>32</v>
      </c>
      <c r="C2913">
        <v>2016</v>
      </c>
      <c r="D2913" t="s">
        <v>19</v>
      </c>
      <c r="E2913" t="s">
        <v>28</v>
      </c>
      <c r="F2913" t="s">
        <v>19</v>
      </c>
      <c r="G2913">
        <v>25586</v>
      </c>
      <c r="H2913">
        <v>20468.800000000003</v>
      </c>
      <c r="I2913" s="13">
        <v>0</v>
      </c>
      <c r="J2913" t="s">
        <v>6207</v>
      </c>
      <c r="K2913">
        <v>1</v>
      </c>
      <c r="L2913">
        <v>1</v>
      </c>
      <c r="M2913" t="s">
        <v>58</v>
      </c>
      <c r="N2913" s="2">
        <v>0.66</v>
      </c>
      <c r="O2913" s="2">
        <v>0.34</v>
      </c>
      <c r="P2913">
        <v>18</v>
      </c>
      <c r="Q2913">
        <v>8</v>
      </c>
      <c r="R2913">
        <v>6</v>
      </c>
      <c r="S2913">
        <v>3</v>
      </c>
      <c r="T2913">
        <v>8</v>
      </c>
      <c r="U2913">
        <v>13</v>
      </c>
      <c r="V2913">
        <v>1</v>
      </c>
      <c r="W2913">
        <v>2</v>
      </c>
      <c r="X2913">
        <v>0</v>
      </c>
      <c r="Y2913">
        <v>1</v>
      </c>
      <c r="Z2913">
        <v>1</v>
      </c>
    </row>
    <row r="2914" spans="1:26" x14ac:dyDescent="0.2">
      <c r="A2914" t="s">
        <v>3032</v>
      </c>
      <c r="B2914" t="s">
        <v>59</v>
      </c>
      <c r="C2914">
        <v>2016</v>
      </c>
      <c r="D2914" t="s">
        <v>45</v>
      </c>
      <c r="E2914" t="s">
        <v>35</v>
      </c>
      <c r="F2914" t="s">
        <v>26</v>
      </c>
      <c r="G2914">
        <v>39572</v>
      </c>
      <c r="H2914">
        <v>31657.600000000002</v>
      </c>
      <c r="I2914" s="13">
        <v>1</v>
      </c>
      <c r="J2914" t="s">
        <v>6206</v>
      </c>
      <c r="K2914">
        <v>2</v>
      </c>
      <c r="L2914">
        <v>0</v>
      </c>
      <c r="M2914" t="s">
        <v>0</v>
      </c>
      <c r="N2914" s="2">
        <v>0.63</v>
      </c>
      <c r="O2914" s="2">
        <v>0.37</v>
      </c>
      <c r="P2914">
        <v>16</v>
      </c>
      <c r="Q2914">
        <v>11</v>
      </c>
      <c r="R2914">
        <v>10</v>
      </c>
      <c r="S2914">
        <v>6</v>
      </c>
      <c r="T2914">
        <v>10</v>
      </c>
      <c r="U2914">
        <v>16</v>
      </c>
      <c r="V2914">
        <v>0</v>
      </c>
      <c r="W2914">
        <v>2</v>
      </c>
      <c r="X2914">
        <v>0</v>
      </c>
      <c r="Y2914">
        <v>0</v>
      </c>
      <c r="Z2914">
        <v>0</v>
      </c>
    </row>
    <row r="2915" spans="1:26" x14ac:dyDescent="0.2">
      <c r="A2915" t="s">
        <v>3033</v>
      </c>
      <c r="B2915" t="s">
        <v>77</v>
      </c>
      <c r="C2915">
        <v>2016</v>
      </c>
      <c r="D2915" t="s">
        <v>79</v>
      </c>
      <c r="E2915" t="s">
        <v>87</v>
      </c>
      <c r="F2915" t="s">
        <v>20</v>
      </c>
      <c r="G2915">
        <v>25486</v>
      </c>
      <c r="H2915">
        <v>20388.800000000003</v>
      </c>
      <c r="I2915" s="13">
        <v>0.5</v>
      </c>
      <c r="J2915" t="s">
        <v>6207</v>
      </c>
      <c r="K2915">
        <v>1</v>
      </c>
      <c r="L2915">
        <v>0</v>
      </c>
      <c r="M2915" t="s">
        <v>0</v>
      </c>
      <c r="N2915" s="2">
        <v>0.46</v>
      </c>
      <c r="O2915" s="2">
        <v>0.54</v>
      </c>
      <c r="P2915">
        <v>15</v>
      </c>
      <c r="Q2915">
        <v>15</v>
      </c>
      <c r="R2915">
        <v>4</v>
      </c>
      <c r="S2915">
        <v>2</v>
      </c>
      <c r="T2915">
        <v>13</v>
      </c>
      <c r="U2915">
        <v>15</v>
      </c>
      <c r="V2915">
        <v>3</v>
      </c>
      <c r="W2915">
        <v>1</v>
      </c>
      <c r="X2915">
        <v>0</v>
      </c>
      <c r="Y2915">
        <v>0</v>
      </c>
      <c r="Z2915">
        <v>0</v>
      </c>
    </row>
    <row r="2916" spans="1:26" x14ac:dyDescent="0.2">
      <c r="A2916" t="s">
        <v>3034</v>
      </c>
      <c r="B2916" t="s">
        <v>67</v>
      </c>
      <c r="C2916">
        <v>2016</v>
      </c>
      <c r="D2916" t="s">
        <v>18</v>
      </c>
      <c r="E2916" t="s">
        <v>71</v>
      </c>
      <c r="F2916" t="s">
        <v>20</v>
      </c>
      <c r="G2916">
        <v>40341</v>
      </c>
      <c r="H2916">
        <v>32272.800000000003</v>
      </c>
      <c r="I2916" s="13">
        <v>0.75</v>
      </c>
      <c r="J2916" t="s">
        <v>6207</v>
      </c>
      <c r="K2916">
        <v>3</v>
      </c>
      <c r="L2916">
        <v>1</v>
      </c>
      <c r="M2916" t="s">
        <v>0</v>
      </c>
      <c r="N2916" s="2">
        <v>0.66</v>
      </c>
      <c r="O2916" s="2">
        <v>0.34</v>
      </c>
      <c r="P2916">
        <v>13</v>
      </c>
      <c r="Q2916">
        <v>12</v>
      </c>
      <c r="R2916">
        <v>8</v>
      </c>
      <c r="S2916">
        <v>1</v>
      </c>
      <c r="T2916">
        <v>11</v>
      </c>
      <c r="U2916">
        <v>14</v>
      </c>
      <c r="V2916">
        <v>1</v>
      </c>
      <c r="W2916">
        <v>3</v>
      </c>
      <c r="X2916">
        <v>0</v>
      </c>
      <c r="Y2916">
        <v>0</v>
      </c>
      <c r="Z2916">
        <v>0</v>
      </c>
    </row>
    <row r="2917" spans="1:26" x14ac:dyDescent="0.2">
      <c r="A2917" t="s">
        <v>3035</v>
      </c>
      <c r="B2917" t="s">
        <v>76</v>
      </c>
      <c r="C2917">
        <v>2016</v>
      </c>
      <c r="D2917" t="s">
        <v>85</v>
      </c>
      <c r="E2917" t="s">
        <v>23</v>
      </c>
      <c r="F2917" t="s">
        <v>85</v>
      </c>
      <c r="G2917">
        <v>22220</v>
      </c>
      <c r="H2917">
        <v>17776</v>
      </c>
      <c r="I2917" s="13">
        <v>0.7142857142857143</v>
      </c>
      <c r="J2917" t="s">
        <v>6207</v>
      </c>
      <c r="K2917">
        <v>1</v>
      </c>
      <c r="L2917">
        <v>1</v>
      </c>
      <c r="M2917" t="s">
        <v>58</v>
      </c>
      <c r="N2917" s="2">
        <v>0.36</v>
      </c>
      <c r="O2917" s="2">
        <v>0.64</v>
      </c>
      <c r="P2917">
        <v>15</v>
      </c>
      <c r="Q2917">
        <v>20</v>
      </c>
      <c r="R2917">
        <v>4</v>
      </c>
      <c r="S2917">
        <v>6</v>
      </c>
      <c r="T2917">
        <v>18</v>
      </c>
      <c r="U2917">
        <v>14</v>
      </c>
      <c r="V2917">
        <v>4</v>
      </c>
      <c r="W2917">
        <v>2</v>
      </c>
      <c r="X2917">
        <v>0</v>
      </c>
      <c r="Y2917">
        <v>1</v>
      </c>
      <c r="Z2917">
        <v>1</v>
      </c>
    </row>
    <row r="2918" spans="1:26" x14ac:dyDescent="0.2">
      <c r="A2918" t="s">
        <v>3036</v>
      </c>
      <c r="B2918" t="s">
        <v>68</v>
      </c>
      <c r="C2918">
        <v>2016</v>
      </c>
      <c r="D2918" t="s">
        <v>51</v>
      </c>
      <c r="E2918" t="s">
        <v>27</v>
      </c>
      <c r="F2918" t="s">
        <v>20</v>
      </c>
      <c r="G2918">
        <v>36284</v>
      </c>
      <c r="H2918">
        <v>29027.200000000001</v>
      </c>
      <c r="I2918" s="13">
        <v>0.8</v>
      </c>
      <c r="J2918" t="s">
        <v>6207</v>
      </c>
      <c r="K2918">
        <v>4</v>
      </c>
      <c r="L2918">
        <v>0</v>
      </c>
      <c r="M2918" t="s">
        <v>0</v>
      </c>
      <c r="N2918" s="2">
        <v>0.64</v>
      </c>
      <c r="O2918" s="2">
        <v>0.36</v>
      </c>
      <c r="P2918">
        <v>16</v>
      </c>
      <c r="Q2918">
        <v>12</v>
      </c>
      <c r="R2918">
        <v>8</v>
      </c>
      <c r="S2918">
        <v>5</v>
      </c>
      <c r="T2918">
        <v>11</v>
      </c>
      <c r="U2918">
        <v>14</v>
      </c>
      <c r="V2918">
        <v>2</v>
      </c>
      <c r="W2918">
        <v>3</v>
      </c>
      <c r="X2918">
        <v>0</v>
      </c>
      <c r="Y2918">
        <v>0</v>
      </c>
      <c r="Z2918">
        <v>0</v>
      </c>
    </row>
    <row r="2919" spans="1:26" x14ac:dyDescent="0.2">
      <c r="A2919" t="s">
        <v>3037</v>
      </c>
      <c r="B2919" t="s">
        <v>66</v>
      </c>
      <c r="C2919">
        <v>2016</v>
      </c>
      <c r="D2919" t="s">
        <v>80</v>
      </c>
      <c r="E2919" t="s">
        <v>26</v>
      </c>
      <c r="F2919" t="s">
        <v>80</v>
      </c>
      <c r="G2919">
        <v>32261</v>
      </c>
      <c r="H2919">
        <v>25808.800000000003</v>
      </c>
      <c r="I2919" s="13">
        <v>0</v>
      </c>
      <c r="J2919" t="s">
        <v>6207</v>
      </c>
      <c r="K2919">
        <v>3</v>
      </c>
      <c r="L2919">
        <v>1</v>
      </c>
      <c r="M2919" t="s">
        <v>0</v>
      </c>
      <c r="N2919" s="2">
        <v>0.31</v>
      </c>
      <c r="O2919" s="2">
        <v>0.69</v>
      </c>
      <c r="P2919">
        <v>7</v>
      </c>
      <c r="Q2919">
        <v>11</v>
      </c>
      <c r="R2919">
        <v>5</v>
      </c>
      <c r="S2919">
        <v>12</v>
      </c>
      <c r="T2919">
        <v>8</v>
      </c>
      <c r="U2919">
        <v>5</v>
      </c>
      <c r="V2919">
        <v>0</v>
      </c>
      <c r="W2919">
        <v>0</v>
      </c>
      <c r="X2919">
        <v>0</v>
      </c>
      <c r="Y2919">
        <v>0</v>
      </c>
      <c r="Z2919">
        <v>0</v>
      </c>
    </row>
    <row r="2920" spans="1:26" x14ac:dyDescent="0.2">
      <c r="A2920" t="s">
        <v>3038</v>
      </c>
      <c r="B2920" t="s">
        <v>60</v>
      </c>
      <c r="C2920">
        <v>2016</v>
      </c>
      <c r="D2920" t="s">
        <v>48</v>
      </c>
      <c r="E2920" t="s">
        <v>86</v>
      </c>
      <c r="F2920" t="s">
        <v>49</v>
      </c>
      <c r="G2920">
        <v>74197</v>
      </c>
      <c r="H2920">
        <v>59357.600000000006</v>
      </c>
      <c r="I2920" s="13">
        <v>0.2857142857142857</v>
      </c>
      <c r="J2920" t="s">
        <v>6208</v>
      </c>
      <c r="K2920">
        <v>1</v>
      </c>
      <c r="L2920">
        <v>1</v>
      </c>
      <c r="M2920" t="s">
        <v>58</v>
      </c>
      <c r="N2920" s="2">
        <v>0.69</v>
      </c>
      <c r="O2920" s="2">
        <v>0.31</v>
      </c>
      <c r="P2920">
        <v>11</v>
      </c>
      <c r="Q2920">
        <v>12</v>
      </c>
      <c r="R2920">
        <v>15</v>
      </c>
      <c r="S2920">
        <v>2</v>
      </c>
      <c r="T2920">
        <v>9</v>
      </c>
      <c r="U2920">
        <v>11</v>
      </c>
      <c r="V2920">
        <v>3</v>
      </c>
      <c r="W2920">
        <v>3</v>
      </c>
      <c r="X2920">
        <v>0</v>
      </c>
      <c r="Y2920">
        <v>1</v>
      </c>
      <c r="Z2920">
        <v>2</v>
      </c>
    </row>
    <row r="2921" spans="1:26" x14ac:dyDescent="0.2">
      <c r="A2921" t="s">
        <v>3039</v>
      </c>
      <c r="B2921" t="s">
        <v>53</v>
      </c>
      <c r="C2921">
        <v>2016</v>
      </c>
      <c r="D2921" t="s">
        <v>63</v>
      </c>
      <c r="E2921" t="s">
        <v>79</v>
      </c>
      <c r="F2921" t="s">
        <v>65</v>
      </c>
      <c r="G2921">
        <v>26804</v>
      </c>
      <c r="H2921">
        <v>21443.200000000001</v>
      </c>
      <c r="I2921" s="13">
        <v>1</v>
      </c>
      <c r="J2921" t="s">
        <v>6207</v>
      </c>
      <c r="K2921">
        <v>0</v>
      </c>
      <c r="L2921">
        <v>2</v>
      </c>
      <c r="M2921" t="s">
        <v>1</v>
      </c>
      <c r="N2921" s="2">
        <v>0.51</v>
      </c>
      <c r="O2921" s="2">
        <v>0.49</v>
      </c>
      <c r="P2921">
        <v>13</v>
      </c>
      <c r="Q2921">
        <v>7</v>
      </c>
      <c r="R2921">
        <v>5</v>
      </c>
      <c r="S2921">
        <v>5</v>
      </c>
      <c r="T2921">
        <v>8</v>
      </c>
      <c r="U2921">
        <v>12</v>
      </c>
      <c r="V2921">
        <v>0</v>
      </c>
      <c r="W2921">
        <v>1</v>
      </c>
      <c r="X2921">
        <v>0</v>
      </c>
      <c r="Y2921">
        <v>0</v>
      </c>
      <c r="Z2921">
        <v>0</v>
      </c>
    </row>
    <row r="2922" spans="1:26" x14ac:dyDescent="0.2">
      <c r="A2922" t="s">
        <v>3040</v>
      </c>
      <c r="B2922" t="s">
        <v>68</v>
      </c>
      <c r="C2922">
        <v>2016</v>
      </c>
      <c r="D2922" t="s">
        <v>85</v>
      </c>
      <c r="E2922" t="s">
        <v>73</v>
      </c>
      <c r="F2922" t="s">
        <v>85</v>
      </c>
      <c r="G2922">
        <v>22220</v>
      </c>
      <c r="H2922">
        <v>17776</v>
      </c>
      <c r="I2922" s="13">
        <v>0.6</v>
      </c>
      <c r="J2922" t="s">
        <v>6207</v>
      </c>
      <c r="K2922">
        <v>3</v>
      </c>
      <c r="L2922">
        <v>4</v>
      </c>
      <c r="M2922" t="s">
        <v>1</v>
      </c>
      <c r="N2922" s="2">
        <v>0.38</v>
      </c>
      <c r="O2922" s="2">
        <v>0.62</v>
      </c>
      <c r="P2922">
        <v>11</v>
      </c>
      <c r="Q2922">
        <v>18</v>
      </c>
      <c r="R2922">
        <v>6</v>
      </c>
      <c r="S2922">
        <v>5</v>
      </c>
      <c r="T2922">
        <v>16</v>
      </c>
      <c r="U2922">
        <v>9</v>
      </c>
      <c r="V2922">
        <v>3</v>
      </c>
      <c r="W2922">
        <v>2</v>
      </c>
      <c r="X2922">
        <v>0</v>
      </c>
      <c r="Y2922">
        <v>0</v>
      </c>
      <c r="Z2922">
        <v>0</v>
      </c>
    </row>
    <row r="2923" spans="1:26" x14ac:dyDescent="0.2">
      <c r="A2923" t="s">
        <v>3041</v>
      </c>
      <c r="B2923" t="s">
        <v>61</v>
      </c>
      <c r="C2923">
        <v>2016</v>
      </c>
      <c r="D2923" t="s">
        <v>71</v>
      </c>
      <c r="E2923" t="s">
        <v>28</v>
      </c>
      <c r="F2923" t="s">
        <v>71</v>
      </c>
      <c r="G2923">
        <v>21088</v>
      </c>
      <c r="H2923">
        <v>16870.400000000001</v>
      </c>
      <c r="I2923" s="13">
        <v>0.5</v>
      </c>
      <c r="J2923" t="s">
        <v>6207</v>
      </c>
      <c r="K2923">
        <v>3</v>
      </c>
      <c r="L2923">
        <v>2</v>
      </c>
      <c r="M2923" t="s">
        <v>0</v>
      </c>
      <c r="N2923" s="2">
        <v>0.71</v>
      </c>
      <c r="O2923" s="2">
        <v>0.28999999999999998</v>
      </c>
      <c r="P2923">
        <v>14</v>
      </c>
      <c r="Q2923">
        <v>8</v>
      </c>
      <c r="R2923">
        <v>9</v>
      </c>
      <c r="S2923">
        <v>2</v>
      </c>
      <c r="T2923">
        <v>7</v>
      </c>
      <c r="U2923">
        <v>13</v>
      </c>
      <c r="V2923">
        <v>2</v>
      </c>
      <c r="W2923">
        <v>2</v>
      </c>
      <c r="X2923">
        <v>0</v>
      </c>
      <c r="Y2923">
        <v>0</v>
      </c>
      <c r="Z2923">
        <v>1</v>
      </c>
    </row>
    <row r="2924" spans="1:26" x14ac:dyDescent="0.2">
      <c r="A2924" t="s">
        <v>3042</v>
      </c>
      <c r="B2924" t="s">
        <v>76</v>
      </c>
      <c r="C2924">
        <v>2016</v>
      </c>
      <c r="D2924" t="s">
        <v>27</v>
      </c>
      <c r="E2924" t="s">
        <v>87</v>
      </c>
      <c r="F2924" t="s">
        <v>27</v>
      </c>
      <c r="G2924">
        <v>30089</v>
      </c>
      <c r="H2924">
        <v>24071.200000000001</v>
      </c>
      <c r="I2924" s="13">
        <v>0</v>
      </c>
      <c r="J2924" t="s">
        <v>6207</v>
      </c>
      <c r="K2924">
        <v>2</v>
      </c>
      <c r="L2924">
        <v>0</v>
      </c>
      <c r="M2924" t="s">
        <v>0</v>
      </c>
      <c r="N2924" s="2">
        <v>0.55000000000000004</v>
      </c>
      <c r="O2924" s="2">
        <v>0.45</v>
      </c>
      <c r="P2924">
        <v>23</v>
      </c>
      <c r="Q2924">
        <v>16</v>
      </c>
      <c r="R2924">
        <v>6</v>
      </c>
      <c r="S2924">
        <v>1</v>
      </c>
      <c r="T2924">
        <v>16</v>
      </c>
      <c r="U2924">
        <v>20</v>
      </c>
      <c r="V2924">
        <v>1</v>
      </c>
      <c r="W2924">
        <v>2</v>
      </c>
      <c r="X2924">
        <v>0</v>
      </c>
      <c r="Y2924">
        <v>0</v>
      </c>
      <c r="Z2924">
        <v>0</v>
      </c>
    </row>
    <row r="2925" spans="1:26" x14ac:dyDescent="0.2">
      <c r="A2925" t="s">
        <v>3043</v>
      </c>
      <c r="B2925" t="s">
        <v>41</v>
      </c>
      <c r="C2925">
        <v>2016</v>
      </c>
      <c r="D2925" t="s">
        <v>80</v>
      </c>
      <c r="E2925" t="s">
        <v>19</v>
      </c>
      <c r="F2925" t="s">
        <v>80</v>
      </c>
      <c r="G2925">
        <v>32261</v>
      </c>
      <c r="H2925">
        <v>25808.800000000003</v>
      </c>
      <c r="I2925" s="13">
        <v>0</v>
      </c>
      <c r="J2925" t="s">
        <v>6207</v>
      </c>
      <c r="K2925">
        <v>3</v>
      </c>
      <c r="L2925">
        <v>1</v>
      </c>
      <c r="M2925" t="s">
        <v>0</v>
      </c>
      <c r="N2925" s="2">
        <v>0.5</v>
      </c>
      <c r="O2925" s="2">
        <v>0.5</v>
      </c>
      <c r="P2925">
        <v>13</v>
      </c>
      <c r="Q2925">
        <v>12</v>
      </c>
      <c r="R2925">
        <v>10</v>
      </c>
      <c r="S2925">
        <v>4</v>
      </c>
      <c r="T2925">
        <v>12</v>
      </c>
      <c r="U2925">
        <v>13</v>
      </c>
      <c r="V2925">
        <v>1</v>
      </c>
      <c r="W2925">
        <v>1</v>
      </c>
      <c r="X2925">
        <v>0</v>
      </c>
      <c r="Y2925">
        <v>0</v>
      </c>
      <c r="Z2925">
        <v>0</v>
      </c>
    </row>
    <row r="2926" spans="1:26" x14ac:dyDescent="0.2">
      <c r="A2926" t="s">
        <v>3044</v>
      </c>
      <c r="B2926" t="s">
        <v>77</v>
      </c>
      <c r="C2926">
        <v>2016</v>
      </c>
      <c r="D2926" t="s">
        <v>26</v>
      </c>
      <c r="E2926" t="s">
        <v>46</v>
      </c>
      <c r="F2926" t="s">
        <v>26</v>
      </c>
      <c r="G2926">
        <v>61276</v>
      </c>
      <c r="H2926">
        <v>49020.800000000003</v>
      </c>
      <c r="I2926" s="13">
        <v>1</v>
      </c>
      <c r="J2926" t="s">
        <v>6207</v>
      </c>
      <c r="K2926">
        <v>3</v>
      </c>
      <c r="L2926">
        <v>1</v>
      </c>
      <c r="M2926" t="s">
        <v>0</v>
      </c>
      <c r="N2926" s="2">
        <v>0.52</v>
      </c>
      <c r="O2926" s="2">
        <v>0.48</v>
      </c>
      <c r="P2926">
        <v>19</v>
      </c>
      <c r="Q2926">
        <v>13</v>
      </c>
      <c r="R2926">
        <v>9</v>
      </c>
      <c r="S2926">
        <v>3</v>
      </c>
      <c r="T2926">
        <v>7</v>
      </c>
      <c r="U2926">
        <v>15</v>
      </c>
      <c r="V2926">
        <v>1</v>
      </c>
      <c r="W2926">
        <v>2</v>
      </c>
      <c r="X2926">
        <v>0</v>
      </c>
      <c r="Y2926">
        <v>0</v>
      </c>
      <c r="Z2926">
        <v>0</v>
      </c>
    </row>
    <row r="2927" spans="1:26" x14ac:dyDescent="0.2">
      <c r="A2927" t="s">
        <v>3045</v>
      </c>
      <c r="B2927" t="s">
        <v>66</v>
      </c>
      <c r="C2927">
        <v>2016</v>
      </c>
      <c r="D2927" t="s">
        <v>51</v>
      </c>
      <c r="E2927" t="s">
        <v>45</v>
      </c>
      <c r="F2927" t="s">
        <v>20</v>
      </c>
      <c r="G2927">
        <v>36284</v>
      </c>
      <c r="H2927">
        <v>29027.200000000001</v>
      </c>
      <c r="I2927" s="13">
        <v>0.66666666666666663</v>
      </c>
      <c r="J2927" t="s">
        <v>6207</v>
      </c>
      <c r="K2927">
        <v>3</v>
      </c>
      <c r="L2927">
        <v>2</v>
      </c>
      <c r="M2927" t="s">
        <v>0</v>
      </c>
      <c r="N2927" s="2">
        <v>0.51</v>
      </c>
      <c r="O2927" s="2">
        <v>0.49</v>
      </c>
      <c r="P2927">
        <v>18</v>
      </c>
      <c r="Q2927">
        <v>11</v>
      </c>
      <c r="R2927">
        <v>7</v>
      </c>
      <c r="S2927">
        <v>2</v>
      </c>
      <c r="T2927">
        <v>9</v>
      </c>
      <c r="U2927">
        <v>14</v>
      </c>
      <c r="V2927">
        <v>1</v>
      </c>
      <c r="W2927">
        <v>2</v>
      </c>
      <c r="X2927">
        <v>0</v>
      </c>
      <c r="Y2927">
        <v>0</v>
      </c>
      <c r="Z2927">
        <v>0</v>
      </c>
    </row>
    <row r="2928" spans="1:26" x14ac:dyDescent="0.2">
      <c r="A2928" t="s">
        <v>3046</v>
      </c>
      <c r="B2928" t="s">
        <v>32</v>
      </c>
      <c r="C2928">
        <v>2016</v>
      </c>
      <c r="D2928" t="s">
        <v>35</v>
      </c>
      <c r="E2928" t="s">
        <v>40</v>
      </c>
      <c r="F2928" t="s">
        <v>35</v>
      </c>
      <c r="G2928">
        <v>49000</v>
      </c>
      <c r="H2928">
        <v>39200</v>
      </c>
      <c r="I2928" s="13">
        <v>1</v>
      </c>
      <c r="J2928" t="s">
        <v>6207</v>
      </c>
      <c r="K2928">
        <v>0</v>
      </c>
      <c r="L2928">
        <v>2</v>
      </c>
      <c r="M2928" t="s">
        <v>1</v>
      </c>
      <c r="N2928" s="2">
        <v>0.28999999999999998</v>
      </c>
      <c r="O2928" s="2">
        <v>0.71</v>
      </c>
      <c r="P2928">
        <v>7</v>
      </c>
      <c r="Q2928">
        <v>16</v>
      </c>
      <c r="R2928">
        <v>6</v>
      </c>
      <c r="S2928">
        <v>4</v>
      </c>
      <c r="T2928">
        <v>11</v>
      </c>
      <c r="U2928">
        <v>4</v>
      </c>
      <c r="V2928">
        <v>1</v>
      </c>
      <c r="W2928">
        <v>0</v>
      </c>
      <c r="X2928">
        <v>0</v>
      </c>
      <c r="Y2928">
        <v>0</v>
      </c>
      <c r="Z2928">
        <v>0</v>
      </c>
    </row>
    <row r="2929" spans="1:26" x14ac:dyDescent="0.2">
      <c r="A2929" t="s">
        <v>3047</v>
      </c>
      <c r="B2929" t="s">
        <v>37</v>
      </c>
      <c r="C2929">
        <v>2016</v>
      </c>
      <c r="D2929" t="s">
        <v>23</v>
      </c>
      <c r="E2929" t="s">
        <v>18</v>
      </c>
      <c r="F2929" t="s">
        <v>20</v>
      </c>
      <c r="G2929">
        <v>62500</v>
      </c>
      <c r="H2929">
        <v>50000</v>
      </c>
      <c r="I2929" s="13">
        <v>1</v>
      </c>
      <c r="J2929" t="s">
        <v>6206</v>
      </c>
      <c r="K2929">
        <v>1</v>
      </c>
      <c r="L2929">
        <v>2</v>
      </c>
      <c r="M2929" t="s">
        <v>1</v>
      </c>
      <c r="N2929" s="2">
        <v>0.52</v>
      </c>
      <c r="O2929" s="2">
        <v>0.48</v>
      </c>
      <c r="P2929">
        <v>9</v>
      </c>
      <c r="Q2929">
        <v>9</v>
      </c>
      <c r="R2929">
        <v>6</v>
      </c>
      <c r="S2929">
        <v>4</v>
      </c>
      <c r="T2929">
        <v>8</v>
      </c>
      <c r="U2929">
        <v>8</v>
      </c>
      <c r="V2929">
        <v>0</v>
      </c>
      <c r="W2929">
        <v>1</v>
      </c>
      <c r="X2929">
        <v>0</v>
      </c>
      <c r="Y2929">
        <v>0</v>
      </c>
      <c r="Z2929">
        <v>0</v>
      </c>
    </row>
    <row r="2930" spans="1:26" x14ac:dyDescent="0.2">
      <c r="A2930" t="s">
        <v>3048</v>
      </c>
      <c r="B2930" t="s">
        <v>67</v>
      </c>
      <c r="C2930">
        <v>2016</v>
      </c>
      <c r="D2930" t="s">
        <v>40</v>
      </c>
      <c r="E2930" t="s">
        <v>27</v>
      </c>
      <c r="F2930" t="s">
        <v>49</v>
      </c>
      <c r="G2930">
        <v>53400</v>
      </c>
      <c r="H2930">
        <v>42720</v>
      </c>
      <c r="I2930" s="13">
        <v>0.75</v>
      </c>
      <c r="J2930" t="s">
        <v>6207</v>
      </c>
      <c r="K2930">
        <v>0</v>
      </c>
      <c r="L2930">
        <v>0</v>
      </c>
      <c r="M2930" t="s">
        <v>58</v>
      </c>
      <c r="N2930" s="2">
        <v>0.65</v>
      </c>
      <c r="O2930" s="2">
        <v>0.35</v>
      </c>
      <c r="P2930">
        <v>12</v>
      </c>
      <c r="Q2930">
        <v>9</v>
      </c>
      <c r="R2930">
        <v>8</v>
      </c>
      <c r="S2930">
        <v>1</v>
      </c>
      <c r="T2930">
        <v>8</v>
      </c>
      <c r="U2930">
        <v>11</v>
      </c>
      <c r="V2930">
        <v>1</v>
      </c>
      <c r="W2930">
        <v>3</v>
      </c>
      <c r="X2930">
        <v>0</v>
      </c>
      <c r="Y2930">
        <v>0</v>
      </c>
      <c r="Z2930">
        <v>0</v>
      </c>
    </row>
    <row r="2931" spans="1:26" x14ac:dyDescent="0.2">
      <c r="A2931" t="s">
        <v>3049</v>
      </c>
      <c r="B2931" t="s">
        <v>37</v>
      </c>
      <c r="C2931">
        <v>2016</v>
      </c>
      <c r="D2931" t="s">
        <v>19</v>
      </c>
      <c r="E2931" t="s">
        <v>71</v>
      </c>
      <c r="F2931" t="s">
        <v>19</v>
      </c>
      <c r="G2931">
        <v>25586</v>
      </c>
      <c r="H2931">
        <v>20468.800000000003</v>
      </c>
      <c r="I2931" s="13">
        <v>0.75</v>
      </c>
      <c r="J2931" t="s">
        <v>6206</v>
      </c>
      <c r="K2931">
        <v>2</v>
      </c>
      <c r="L2931">
        <v>1</v>
      </c>
      <c r="M2931" t="s">
        <v>0</v>
      </c>
      <c r="N2931" s="2">
        <v>0.5</v>
      </c>
      <c r="O2931" s="2">
        <v>0.5</v>
      </c>
      <c r="P2931">
        <v>8</v>
      </c>
      <c r="Q2931">
        <v>21</v>
      </c>
      <c r="R2931">
        <v>2</v>
      </c>
      <c r="S2931">
        <v>7</v>
      </c>
      <c r="T2931">
        <v>14</v>
      </c>
      <c r="U2931">
        <v>5</v>
      </c>
      <c r="V2931">
        <v>3</v>
      </c>
      <c r="W2931">
        <v>1</v>
      </c>
      <c r="X2931">
        <v>0</v>
      </c>
      <c r="Y2931">
        <v>0</v>
      </c>
      <c r="Z2931">
        <v>0</v>
      </c>
    </row>
    <row r="2932" spans="1:26" x14ac:dyDescent="0.2">
      <c r="A2932" t="s">
        <v>3050</v>
      </c>
      <c r="B2932" t="s">
        <v>83</v>
      </c>
      <c r="C2932">
        <v>2016</v>
      </c>
      <c r="D2932" t="s">
        <v>45</v>
      </c>
      <c r="E2932" t="s">
        <v>63</v>
      </c>
      <c r="F2932" t="s">
        <v>26</v>
      </c>
      <c r="G2932">
        <v>39572</v>
      </c>
      <c r="H2932">
        <v>31657.600000000002</v>
      </c>
      <c r="I2932" s="13">
        <v>0.33333333333333331</v>
      </c>
      <c r="J2932" t="s">
        <v>6208</v>
      </c>
      <c r="K2932">
        <v>3</v>
      </c>
      <c r="L2932">
        <v>0</v>
      </c>
      <c r="M2932" t="s">
        <v>0</v>
      </c>
      <c r="N2932" s="2">
        <v>0.63</v>
      </c>
      <c r="O2932" s="2">
        <v>0.37</v>
      </c>
      <c r="P2932">
        <v>12</v>
      </c>
      <c r="Q2932">
        <v>8</v>
      </c>
      <c r="R2932">
        <v>4</v>
      </c>
      <c r="S2932">
        <v>6</v>
      </c>
      <c r="T2932">
        <v>8</v>
      </c>
      <c r="U2932">
        <v>12</v>
      </c>
      <c r="V2932">
        <v>1</v>
      </c>
      <c r="W2932">
        <v>2</v>
      </c>
      <c r="X2932">
        <v>0</v>
      </c>
      <c r="Y2932">
        <v>0</v>
      </c>
      <c r="Z2932">
        <v>0</v>
      </c>
    </row>
    <row r="2933" spans="1:26" x14ac:dyDescent="0.2">
      <c r="A2933" t="s">
        <v>3051</v>
      </c>
      <c r="B2933" t="s">
        <v>77</v>
      </c>
      <c r="C2933">
        <v>2016</v>
      </c>
      <c r="D2933" t="s">
        <v>86</v>
      </c>
      <c r="E2933" t="s">
        <v>23</v>
      </c>
      <c r="F2933" t="s">
        <v>86</v>
      </c>
      <c r="G2933">
        <v>11364</v>
      </c>
      <c r="H2933">
        <v>9091.2000000000007</v>
      </c>
      <c r="I2933" s="13">
        <v>0.33333333333333331</v>
      </c>
      <c r="J2933" t="s">
        <v>6207</v>
      </c>
      <c r="K2933">
        <v>3</v>
      </c>
      <c r="L2933">
        <v>2</v>
      </c>
      <c r="M2933" t="s">
        <v>0</v>
      </c>
      <c r="N2933" s="2">
        <v>0.51</v>
      </c>
      <c r="O2933" s="2">
        <v>0.49</v>
      </c>
      <c r="P2933">
        <v>13</v>
      </c>
      <c r="Q2933">
        <v>20</v>
      </c>
      <c r="R2933">
        <v>5</v>
      </c>
      <c r="S2933">
        <v>6</v>
      </c>
      <c r="T2933">
        <v>20</v>
      </c>
      <c r="U2933">
        <v>15</v>
      </c>
      <c r="V2933">
        <v>4</v>
      </c>
      <c r="W2933">
        <v>2</v>
      </c>
      <c r="X2933">
        <v>0</v>
      </c>
      <c r="Y2933">
        <v>0</v>
      </c>
      <c r="Z2933">
        <v>2</v>
      </c>
    </row>
    <row r="2934" spans="1:26" x14ac:dyDescent="0.2">
      <c r="A2934" t="s">
        <v>3052</v>
      </c>
      <c r="B2934" t="s">
        <v>76</v>
      </c>
      <c r="C2934">
        <v>2016</v>
      </c>
      <c r="D2934" t="s">
        <v>26</v>
      </c>
      <c r="E2934" t="s">
        <v>28</v>
      </c>
      <c r="F2934" t="s">
        <v>26</v>
      </c>
      <c r="G2934">
        <v>61276</v>
      </c>
      <c r="H2934">
        <v>49020.800000000003</v>
      </c>
      <c r="I2934" s="13">
        <v>0.25</v>
      </c>
      <c r="J2934" t="s">
        <v>6207</v>
      </c>
      <c r="K2934">
        <v>2</v>
      </c>
      <c r="L2934">
        <v>1</v>
      </c>
      <c r="M2934" t="s">
        <v>0</v>
      </c>
      <c r="N2934" s="2">
        <v>0.64</v>
      </c>
      <c r="O2934" s="2">
        <v>0.36</v>
      </c>
      <c r="P2934">
        <v>19</v>
      </c>
      <c r="Q2934">
        <v>15</v>
      </c>
      <c r="R2934">
        <v>11</v>
      </c>
      <c r="S2934">
        <v>1</v>
      </c>
      <c r="T2934">
        <v>12</v>
      </c>
      <c r="U2934">
        <v>16</v>
      </c>
      <c r="V2934">
        <v>2</v>
      </c>
      <c r="W2934">
        <v>2</v>
      </c>
      <c r="X2934">
        <v>0</v>
      </c>
      <c r="Y2934">
        <v>0</v>
      </c>
      <c r="Z2934">
        <v>0</v>
      </c>
    </row>
    <row r="2935" spans="1:26" x14ac:dyDescent="0.2">
      <c r="A2935" t="s">
        <v>3053</v>
      </c>
      <c r="B2935" t="s">
        <v>67</v>
      </c>
      <c r="C2935">
        <v>2016</v>
      </c>
      <c r="D2935" t="s">
        <v>63</v>
      </c>
      <c r="E2935" t="s">
        <v>46</v>
      </c>
      <c r="F2935" t="s">
        <v>65</v>
      </c>
      <c r="G2935">
        <v>26804</v>
      </c>
      <c r="H2935">
        <v>21443.200000000001</v>
      </c>
      <c r="I2935" s="13">
        <v>1</v>
      </c>
      <c r="J2935" t="s">
        <v>6207</v>
      </c>
      <c r="K2935">
        <v>3</v>
      </c>
      <c r="L2935">
        <v>1</v>
      </c>
      <c r="M2935" t="s">
        <v>0</v>
      </c>
      <c r="N2935" s="2">
        <v>0.23</v>
      </c>
      <c r="O2935" s="2">
        <v>0.77</v>
      </c>
      <c r="P2935">
        <v>7</v>
      </c>
      <c r="Q2935">
        <v>7</v>
      </c>
      <c r="R2935">
        <v>4</v>
      </c>
      <c r="S2935">
        <v>5</v>
      </c>
      <c r="T2935">
        <v>5</v>
      </c>
      <c r="U2935">
        <v>6</v>
      </c>
      <c r="V2935">
        <v>1</v>
      </c>
      <c r="W2935">
        <v>0</v>
      </c>
      <c r="X2935">
        <v>0</v>
      </c>
      <c r="Y2935">
        <v>0</v>
      </c>
      <c r="Z2935">
        <v>0</v>
      </c>
    </row>
    <row r="2936" spans="1:26" x14ac:dyDescent="0.2">
      <c r="A2936" t="s">
        <v>3054</v>
      </c>
      <c r="B2936" t="s">
        <v>74</v>
      </c>
      <c r="C2936">
        <v>2016</v>
      </c>
      <c r="D2936" t="s">
        <v>23</v>
      </c>
      <c r="E2936" t="s">
        <v>80</v>
      </c>
      <c r="F2936" t="s">
        <v>20</v>
      </c>
      <c r="G2936">
        <v>62500</v>
      </c>
      <c r="H2936">
        <v>50000</v>
      </c>
      <c r="I2936" s="13">
        <v>0</v>
      </c>
      <c r="J2936" t="s">
        <v>6208</v>
      </c>
      <c r="K2936">
        <v>2</v>
      </c>
      <c r="L2936">
        <v>3</v>
      </c>
      <c r="M2936" t="s">
        <v>1</v>
      </c>
      <c r="N2936" s="2">
        <v>0.59</v>
      </c>
      <c r="O2936" s="2">
        <v>0.41</v>
      </c>
      <c r="P2936">
        <v>14</v>
      </c>
      <c r="Q2936">
        <v>12</v>
      </c>
      <c r="R2936">
        <v>6</v>
      </c>
      <c r="S2936">
        <v>5</v>
      </c>
      <c r="T2936">
        <v>10</v>
      </c>
      <c r="U2936">
        <v>14</v>
      </c>
      <c r="V2936">
        <v>0</v>
      </c>
      <c r="W2936">
        <v>1</v>
      </c>
      <c r="X2936">
        <v>0</v>
      </c>
      <c r="Y2936">
        <v>0</v>
      </c>
      <c r="Z2936">
        <v>0</v>
      </c>
    </row>
    <row r="2937" spans="1:26" x14ac:dyDescent="0.2">
      <c r="A2937" t="s">
        <v>3055</v>
      </c>
      <c r="B2937" t="s">
        <v>77</v>
      </c>
      <c r="C2937">
        <v>2016</v>
      </c>
      <c r="D2937" t="s">
        <v>35</v>
      </c>
      <c r="E2937" t="s">
        <v>28</v>
      </c>
      <c r="F2937" t="s">
        <v>35</v>
      </c>
      <c r="G2937">
        <v>49000</v>
      </c>
      <c r="H2937">
        <v>39200</v>
      </c>
      <c r="I2937" s="13">
        <v>0.75</v>
      </c>
      <c r="J2937" t="s">
        <v>6207</v>
      </c>
      <c r="K2937">
        <v>0</v>
      </c>
      <c r="L2937">
        <v>0</v>
      </c>
      <c r="M2937" t="s">
        <v>58</v>
      </c>
      <c r="N2937" s="2">
        <v>0.42</v>
      </c>
      <c r="O2937" s="2">
        <v>0.57999999999999996</v>
      </c>
      <c r="P2937">
        <v>8</v>
      </c>
      <c r="Q2937">
        <v>14</v>
      </c>
      <c r="R2937">
        <v>3</v>
      </c>
      <c r="S2937">
        <v>5</v>
      </c>
      <c r="T2937">
        <v>14</v>
      </c>
      <c r="U2937">
        <v>7</v>
      </c>
      <c r="V2937">
        <v>3</v>
      </c>
      <c r="W2937">
        <v>1</v>
      </c>
      <c r="X2937">
        <v>0</v>
      </c>
      <c r="Y2937">
        <v>0</v>
      </c>
      <c r="Z2937">
        <v>0</v>
      </c>
    </row>
    <row r="2938" spans="1:26" x14ac:dyDescent="0.2">
      <c r="A2938" t="s">
        <v>3056</v>
      </c>
      <c r="B2938" t="s">
        <v>61</v>
      </c>
      <c r="C2938">
        <v>2016</v>
      </c>
      <c r="D2938" t="s">
        <v>27</v>
      </c>
      <c r="E2938" t="s">
        <v>18</v>
      </c>
      <c r="F2938" t="s">
        <v>27</v>
      </c>
      <c r="G2938">
        <v>30089</v>
      </c>
      <c r="H2938">
        <v>24071.200000000001</v>
      </c>
      <c r="I2938" s="13">
        <v>0.625</v>
      </c>
      <c r="J2938" t="s">
        <v>6207</v>
      </c>
      <c r="K2938">
        <v>1</v>
      </c>
      <c r="L2938">
        <v>2</v>
      </c>
      <c r="M2938" t="s">
        <v>1</v>
      </c>
      <c r="N2938" s="2">
        <v>0.36</v>
      </c>
      <c r="O2938" s="2">
        <v>0.64</v>
      </c>
      <c r="P2938">
        <v>11</v>
      </c>
      <c r="Q2938">
        <v>18</v>
      </c>
      <c r="R2938">
        <v>5</v>
      </c>
      <c r="S2938">
        <v>11</v>
      </c>
      <c r="T2938">
        <v>16</v>
      </c>
      <c r="U2938">
        <v>11</v>
      </c>
      <c r="V2938">
        <v>5</v>
      </c>
      <c r="W2938">
        <v>2</v>
      </c>
      <c r="X2938">
        <v>1</v>
      </c>
      <c r="Y2938">
        <v>0</v>
      </c>
      <c r="Z2938">
        <v>1</v>
      </c>
    </row>
    <row r="2939" spans="1:26" x14ac:dyDescent="0.2">
      <c r="A2939" t="s">
        <v>3057</v>
      </c>
      <c r="B2939" t="s">
        <v>81</v>
      </c>
      <c r="C2939">
        <v>2016</v>
      </c>
      <c r="D2939" t="s">
        <v>45</v>
      </c>
      <c r="E2939" t="s">
        <v>19</v>
      </c>
      <c r="F2939" t="s">
        <v>26</v>
      </c>
      <c r="G2939">
        <v>39572</v>
      </c>
      <c r="H2939">
        <v>31657.600000000002</v>
      </c>
      <c r="I2939" s="13">
        <v>0</v>
      </c>
      <c r="J2939" t="s">
        <v>6207</v>
      </c>
      <c r="K2939">
        <v>4</v>
      </c>
      <c r="L2939">
        <v>0</v>
      </c>
      <c r="M2939" t="s">
        <v>0</v>
      </c>
      <c r="N2939" s="2">
        <v>0.51</v>
      </c>
      <c r="O2939" s="2">
        <v>0.49</v>
      </c>
      <c r="P2939">
        <v>9</v>
      </c>
      <c r="Q2939">
        <v>12</v>
      </c>
      <c r="R2939">
        <v>5</v>
      </c>
      <c r="S2939">
        <v>8</v>
      </c>
      <c r="T2939">
        <v>9</v>
      </c>
      <c r="U2939">
        <v>7</v>
      </c>
      <c r="V2939">
        <v>2</v>
      </c>
      <c r="W2939">
        <v>0</v>
      </c>
      <c r="X2939">
        <v>0</v>
      </c>
      <c r="Y2939">
        <v>1</v>
      </c>
      <c r="Z2939">
        <v>0</v>
      </c>
    </row>
    <row r="2940" spans="1:26" x14ac:dyDescent="0.2">
      <c r="A2940" t="s">
        <v>3058</v>
      </c>
      <c r="B2940" t="s">
        <v>32</v>
      </c>
      <c r="C2940">
        <v>2016</v>
      </c>
      <c r="D2940" t="s">
        <v>79</v>
      </c>
      <c r="E2940" t="s">
        <v>85</v>
      </c>
      <c r="F2940" t="s">
        <v>20</v>
      </c>
      <c r="G2940">
        <v>25486</v>
      </c>
      <c r="H2940">
        <v>20388.800000000003</v>
      </c>
      <c r="I2940" s="13">
        <v>0.5</v>
      </c>
      <c r="J2940" t="s">
        <v>6207</v>
      </c>
      <c r="K2940">
        <v>1</v>
      </c>
      <c r="L2940">
        <v>0</v>
      </c>
      <c r="M2940" t="s">
        <v>0</v>
      </c>
      <c r="N2940" s="2">
        <v>0.44</v>
      </c>
      <c r="O2940" s="2">
        <v>0.56000000000000005</v>
      </c>
      <c r="P2940">
        <v>16</v>
      </c>
      <c r="Q2940">
        <v>9</v>
      </c>
      <c r="R2940">
        <v>3</v>
      </c>
      <c r="S2940">
        <v>2</v>
      </c>
      <c r="T2940">
        <v>8</v>
      </c>
      <c r="U2940">
        <v>15</v>
      </c>
      <c r="V2940">
        <v>0</v>
      </c>
      <c r="W2940">
        <v>2</v>
      </c>
      <c r="X2940">
        <v>0</v>
      </c>
      <c r="Y2940">
        <v>0</v>
      </c>
      <c r="Z2940">
        <v>0</v>
      </c>
    </row>
    <row r="2941" spans="1:26" x14ac:dyDescent="0.2">
      <c r="A2941" t="s">
        <v>3059</v>
      </c>
      <c r="B2941" t="s">
        <v>41</v>
      </c>
      <c r="C2941">
        <v>2016</v>
      </c>
      <c r="D2941" t="s">
        <v>86</v>
      </c>
      <c r="E2941" t="s">
        <v>71</v>
      </c>
      <c r="F2941" t="s">
        <v>86</v>
      </c>
      <c r="G2941">
        <v>11364</v>
      </c>
      <c r="H2941">
        <v>9091.2000000000007</v>
      </c>
      <c r="I2941" s="13">
        <v>0</v>
      </c>
      <c r="J2941" t="s">
        <v>6207</v>
      </c>
      <c r="K2941">
        <v>2</v>
      </c>
      <c r="L2941">
        <v>0</v>
      </c>
      <c r="M2941" t="s">
        <v>0</v>
      </c>
      <c r="N2941" s="2">
        <v>0.48</v>
      </c>
      <c r="O2941" s="2">
        <v>0.52</v>
      </c>
      <c r="P2941">
        <v>10</v>
      </c>
      <c r="Q2941">
        <v>12</v>
      </c>
      <c r="R2941">
        <v>2</v>
      </c>
      <c r="S2941">
        <v>4</v>
      </c>
      <c r="T2941">
        <v>10</v>
      </c>
      <c r="U2941">
        <v>9</v>
      </c>
      <c r="V2941">
        <v>0</v>
      </c>
      <c r="W2941">
        <v>2</v>
      </c>
      <c r="X2941">
        <v>0</v>
      </c>
      <c r="Y2941">
        <v>0</v>
      </c>
      <c r="Z2941">
        <v>0</v>
      </c>
    </row>
    <row r="2942" spans="1:26" x14ac:dyDescent="0.2">
      <c r="A2942" t="s">
        <v>3060</v>
      </c>
      <c r="B2942" t="s">
        <v>68</v>
      </c>
      <c r="C2942">
        <v>2016</v>
      </c>
      <c r="D2942" t="s">
        <v>87</v>
      </c>
      <c r="E2942" t="s">
        <v>48</v>
      </c>
      <c r="F2942" t="s">
        <v>87</v>
      </c>
      <c r="G2942">
        <v>34742</v>
      </c>
      <c r="H2942">
        <v>27793.600000000002</v>
      </c>
      <c r="I2942" s="13">
        <v>0</v>
      </c>
      <c r="J2942" t="s">
        <v>6207</v>
      </c>
      <c r="K2942">
        <v>1</v>
      </c>
      <c r="L2942">
        <v>3</v>
      </c>
      <c r="M2942" t="s">
        <v>1</v>
      </c>
      <c r="N2942" s="2">
        <v>0.64</v>
      </c>
      <c r="O2942" s="2">
        <v>0.36</v>
      </c>
      <c r="P2942">
        <v>9</v>
      </c>
      <c r="Q2942">
        <v>9</v>
      </c>
      <c r="R2942">
        <v>8</v>
      </c>
      <c r="S2942">
        <v>3</v>
      </c>
      <c r="T2942">
        <v>9</v>
      </c>
      <c r="U2942">
        <v>8</v>
      </c>
      <c r="V2942">
        <v>1</v>
      </c>
      <c r="W2942">
        <v>1</v>
      </c>
      <c r="X2942">
        <v>0</v>
      </c>
      <c r="Y2942">
        <v>0</v>
      </c>
      <c r="Z2942">
        <v>0</v>
      </c>
    </row>
    <row r="2943" spans="1:26" x14ac:dyDescent="0.2">
      <c r="A2943" t="s">
        <v>3061</v>
      </c>
      <c r="B2943" t="s">
        <v>37</v>
      </c>
      <c r="C2943">
        <v>2016</v>
      </c>
      <c r="D2943" t="s">
        <v>51</v>
      </c>
      <c r="E2943" t="s">
        <v>73</v>
      </c>
      <c r="F2943" t="s">
        <v>20</v>
      </c>
      <c r="G2943">
        <v>36284</v>
      </c>
      <c r="H2943">
        <v>29027.200000000001</v>
      </c>
      <c r="I2943" s="13">
        <v>0.5</v>
      </c>
      <c r="J2943" t="s">
        <v>6206</v>
      </c>
      <c r="K2943">
        <v>2</v>
      </c>
      <c r="L2943">
        <v>1</v>
      </c>
      <c r="M2943" t="s">
        <v>0</v>
      </c>
      <c r="N2943" s="2">
        <v>0.51</v>
      </c>
      <c r="O2943" s="2">
        <v>0.49</v>
      </c>
      <c r="P2943">
        <v>19</v>
      </c>
      <c r="Q2943">
        <v>14</v>
      </c>
      <c r="R2943">
        <v>5</v>
      </c>
      <c r="S2943">
        <v>1</v>
      </c>
      <c r="T2943">
        <v>12</v>
      </c>
      <c r="U2943">
        <v>13</v>
      </c>
      <c r="V2943">
        <v>3</v>
      </c>
      <c r="W2943">
        <v>3</v>
      </c>
      <c r="X2943">
        <v>0</v>
      </c>
      <c r="Y2943">
        <v>0</v>
      </c>
      <c r="Z2943">
        <v>1</v>
      </c>
    </row>
    <row r="2944" spans="1:26" x14ac:dyDescent="0.2">
      <c r="A2944" t="s">
        <v>3062</v>
      </c>
      <c r="B2944" t="s">
        <v>66</v>
      </c>
      <c r="C2944">
        <v>2016</v>
      </c>
      <c r="D2944" t="s">
        <v>40</v>
      </c>
      <c r="E2944" t="s">
        <v>26</v>
      </c>
      <c r="F2944" t="s">
        <v>49</v>
      </c>
      <c r="G2944">
        <v>53400</v>
      </c>
      <c r="H2944">
        <v>42720</v>
      </c>
      <c r="I2944" s="13">
        <v>1</v>
      </c>
      <c r="J2944" t="s">
        <v>6207</v>
      </c>
      <c r="K2944">
        <v>1</v>
      </c>
      <c r="L2944">
        <v>1</v>
      </c>
      <c r="M2944" t="s">
        <v>58</v>
      </c>
      <c r="N2944" s="2">
        <v>0.6</v>
      </c>
      <c r="O2944" s="2">
        <v>0.4</v>
      </c>
      <c r="P2944">
        <v>9</v>
      </c>
      <c r="Q2944">
        <v>19</v>
      </c>
      <c r="R2944">
        <v>9</v>
      </c>
      <c r="S2944">
        <v>8</v>
      </c>
      <c r="T2944">
        <v>14</v>
      </c>
      <c r="U2944">
        <v>7</v>
      </c>
      <c r="V2944">
        <v>3</v>
      </c>
      <c r="W2944">
        <v>3</v>
      </c>
      <c r="X2944">
        <v>0</v>
      </c>
      <c r="Y2944">
        <v>0</v>
      </c>
      <c r="Z2944">
        <v>1</v>
      </c>
    </row>
    <row r="2945" spans="1:26" x14ac:dyDescent="0.2">
      <c r="A2945" t="s">
        <v>3063</v>
      </c>
      <c r="B2945" t="s">
        <v>61</v>
      </c>
      <c r="C2945">
        <v>2016</v>
      </c>
      <c r="D2945" t="s">
        <v>26</v>
      </c>
      <c r="E2945" t="s">
        <v>45</v>
      </c>
      <c r="F2945" t="s">
        <v>26</v>
      </c>
      <c r="G2945">
        <v>61276</v>
      </c>
      <c r="H2945">
        <v>49020.800000000003</v>
      </c>
      <c r="I2945" s="13">
        <v>0.25</v>
      </c>
      <c r="J2945" t="s">
        <v>6207</v>
      </c>
      <c r="K2945">
        <v>3</v>
      </c>
      <c r="L2945">
        <v>1</v>
      </c>
      <c r="M2945" t="s">
        <v>0</v>
      </c>
      <c r="N2945" s="2">
        <v>0.51</v>
      </c>
      <c r="O2945" s="2">
        <v>0.49</v>
      </c>
      <c r="P2945">
        <v>10</v>
      </c>
      <c r="Q2945">
        <v>20</v>
      </c>
      <c r="R2945">
        <v>2</v>
      </c>
      <c r="S2945">
        <v>3</v>
      </c>
      <c r="T2945">
        <v>17</v>
      </c>
      <c r="U2945">
        <v>10</v>
      </c>
      <c r="V2945">
        <v>1</v>
      </c>
      <c r="W2945">
        <v>3</v>
      </c>
      <c r="X2945">
        <v>0</v>
      </c>
      <c r="Y2945">
        <v>0</v>
      </c>
      <c r="Z2945">
        <v>0</v>
      </c>
    </row>
    <row r="2946" spans="1:26" x14ac:dyDescent="0.2">
      <c r="A2946" t="s">
        <v>3064</v>
      </c>
      <c r="B2946" t="s">
        <v>54</v>
      </c>
      <c r="C2946">
        <v>2016</v>
      </c>
      <c r="D2946" t="s">
        <v>85</v>
      </c>
      <c r="E2946" t="s">
        <v>35</v>
      </c>
      <c r="F2946" t="s">
        <v>85</v>
      </c>
      <c r="G2946">
        <v>22220</v>
      </c>
      <c r="H2946">
        <v>17776</v>
      </c>
      <c r="I2946" s="13">
        <v>1</v>
      </c>
      <c r="J2946" t="s">
        <v>6206</v>
      </c>
      <c r="K2946">
        <v>1</v>
      </c>
      <c r="L2946">
        <v>0</v>
      </c>
      <c r="M2946" t="s">
        <v>0</v>
      </c>
      <c r="N2946" s="2">
        <v>0.56000000000000005</v>
      </c>
      <c r="O2946" s="2">
        <v>0.44</v>
      </c>
      <c r="P2946">
        <v>8</v>
      </c>
      <c r="Q2946">
        <v>13</v>
      </c>
      <c r="R2946">
        <v>13</v>
      </c>
      <c r="S2946">
        <v>9</v>
      </c>
      <c r="T2946">
        <v>12</v>
      </c>
      <c r="U2946">
        <v>8</v>
      </c>
      <c r="V2946">
        <v>1</v>
      </c>
      <c r="W2946">
        <v>3</v>
      </c>
      <c r="X2946">
        <v>0</v>
      </c>
      <c r="Y2946">
        <v>0</v>
      </c>
      <c r="Z2946">
        <v>0</v>
      </c>
    </row>
    <row r="2947" spans="1:26" x14ac:dyDescent="0.2">
      <c r="A2947" t="s">
        <v>3065</v>
      </c>
      <c r="B2947" t="s">
        <v>41</v>
      </c>
      <c r="C2947">
        <v>2016</v>
      </c>
      <c r="D2947" t="s">
        <v>48</v>
      </c>
      <c r="E2947" t="s">
        <v>63</v>
      </c>
      <c r="F2947" t="s">
        <v>49</v>
      </c>
      <c r="G2947">
        <v>74197</v>
      </c>
      <c r="H2947">
        <v>59357.600000000006</v>
      </c>
      <c r="I2947" s="13">
        <v>0.66666666666666663</v>
      </c>
      <c r="J2947" t="s">
        <v>6207</v>
      </c>
      <c r="K2947">
        <v>0</v>
      </c>
      <c r="L2947">
        <v>0</v>
      </c>
      <c r="M2947" t="s">
        <v>58</v>
      </c>
      <c r="N2947" s="2">
        <v>0.75</v>
      </c>
      <c r="O2947" s="2">
        <v>0.25</v>
      </c>
      <c r="P2947">
        <v>13</v>
      </c>
      <c r="Q2947">
        <v>15</v>
      </c>
      <c r="R2947">
        <v>6</v>
      </c>
      <c r="S2947">
        <v>1</v>
      </c>
      <c r="T2947">
        <v>15</v>
      </c>
      <c r="U2947">
        <v>13</v>
      </c>
      <c r="V2947">
        <v>3</v>
      </c>
      <c r="W2947">
        <v>3</v>
      </c>
      <c r="X2947">
        <v>0</v>
      </c>
      <c r="Y2947">
        <v>0</v>
      </c>
      <c r="Z2947">
        <v>0</v>
      </c>
    </row>
    <row r="2948" spans="1:26" x14ac:dyDescent="0.2">
      <c r="A2948" t="s">
        <v>3066</v>
      </c>
      <c r="B2948" t="s">
        <v>50</v>
      </c>
      <c r="C2948">
        <v>2016</v>
      </c>
      <c r="D2948" t="s">
        <v>80</v>
      </c>
      <c r="E2948" t="s">
        <v>27</v>
      </c>
      <c r="F2948" t="s">
        <v>80</v>
      </c>
      <c r="G2948">
        <v>32261</v>
      </c>
      <c r="H2948">
        <v>25808.800000000003</v>
      </c>
      <c r="I2948" s="13">
        <v>0.6</v>
      </c>
      <c r="J2948" t="s">
        <v>6207</v>
      </c>
      <c r="K2948">
        <v>2</v>
      </c>
      <c r="L2948">
        <v>0</v>
      </c>
      <c r="M2948" t="s">
        <v>0</v>
      </c>
      <c r="N2948" s="2">
        <v>0.48</v>
      </c>
      <c r="O2948" s="2">
        <v>0.52</v>
      </c>
      <c r="P2948">
        <v>14</v>
      </c>
      <c r="Q2948">
        <v>7</v>
      </c>
      <c r="R2948">
        <v>10</v>
      </c>
      <c r="S2948">
        <v>4</v>
      </c>
      <c r="T2948">
        <v>7</v>
      </c>
      <c r="U2948">
        <v>11</v>
      </c>
      <c r="V2948">
        <v>1</v>
      </c>
      <c r="W2948">
        <v>4</v>
      </c>
      <c r="X2948">
        <v>0</v>
      </c>
      <c r="Y2948">
        <v>0</v>
      </c>
      <c r="Z2948">
        <v>0</v>
      </c>
    </row>
    <row r="2949" spans="1:26" x14ac:dyDescent="0.2">
      <c r="A2949" t="s">
        <v>3067</v>
      </c>
      <c r="B2949" t="s">
        <v>53</v>
      </c>
      <c r="C2949">
        <v>2016</v>
      </c>
      <c r="D2949" t="s">
        <v>19</v>
      </c>
      <c r="E2949" t="s">
        <v>23</v>
      </c>
      <c r="F2949" t="s">
        <v>19</v>
      </c>
      <c r="G2949">
        <v>25586</v>
      </c>
      <c r="H2949">
        <v>20468.800000000003</v>
      </c>
      <c r="I2949" s="13">
        <v>0.75</v>
      </c>
      <c r="J2949" t="s">
        <v>6207</v>
      </c>
      <c r="K2949">
        <v>2</v>
      </c>
      <c r="L2949">
        <v>1</v>
      </c>
      <c r="M2949" t="s">
        <v>0</v>
      </c>
      <c r="N2949" s="2">
        <v>0.46</v>
      </c>
      <c r="O2949" s="2">
        <v>0.54</v>
      </c>
      <c r="P2949">
        <v>9</v>
      </c>
      <c r="Q2949">
        <v>18</v>
      </c>
      <c r="R2949">
        <v>5</v>
      </c>
      <c r="S2949">
        <v>5</v>
      </c>
      <c r="T2949">
        <v>16</v>
      </c>
      <c r="U2949">
        <v>9</v>
      </c>
      <c r="V2949">
        <v>2</v>
      </c>
      <c r="W2949">
        <v>2</v>
      </c>
      <c r="X2949">
        <v>0</v>
      </c>
      <c r="Y2949">
        <v>0</v>
      </c>
      <c r="Z2949">
        <v>0</v>
      </c>
    </row>
    <row r="2950" spans="1:26" x14ac:dyDescent="0.2">
      <c r="A2950" t="s">
        <v>3068</v>
      </c>
      <c r="B2950" t="s">
        <v>76</v>
      </c>
      <c r="C2950">
        <v>2016</v>
      </c>
      <c r="D2950" t="s">
        <v>18</v>
      </c>
      <c r="E2950" t="s">
        <v>79</v>
      </c>
      <c r="F2950" t="s">
        <v>20</v>
      </c>
      <c r="G2950">
        <v>40341</v>
      </c>
      <c r="H2950">
        <v>32272.800000000003</v>
      </c>
      <c r="I2950" s="13">
        <v>0.8</v>
      </c>
      <c r="J2950" t="s">
        <v>6207</v>
      </c>
      <c r="K2950">
        <v>1</v>
      </c>
      <c r="L2950">
        <v>2</v>
      </c>
      <c r="M2950" t="s">
        <v>1</v>
      </c>
      <c r="N2950" s="2">
        <v>0.73</v>
      </c>
      <c r="O2950" s="2">
        <v>0.27</v>
      </c>
      <c r="P2950">
        <v>16</v>
      </c>
      <c r="Q2950">
        <v>15</v>
      </c>
      <c r="R2950">
        <v>9</v>
      </c>
      <c r="S2950">
        <v>3</v>
      </c>
      <c r="T2950">
        <v>12</v>
      </c>
      <c r="U2950">
        <v>14</v>
      </c>
      <c r="V2950">
        <v>3</v>
      </c>
      <c r="W2950">
        <v>2</v>
      </c>
      <c r="X2950">
        <v>0</v>
      </c>
      <c r="Y2950">
        <v>0</v>
      </c>
      <c r="Z2950">
        <v>0</v>
      </c>
    </row>
    <row r="2951" spans="1:26" x14ac:dyDescent="0.2">
      <c r="A2951" t="s">
        <v>3069</v>
      </c>
      <c r="B2951" t="s">
        <v>59</v>
      </c>
      <c r="C2951">
        <v>2016</v>
      </c>
      <c r="D2951" t="s">
        <v>28</v>
      </c>
      <c r="E2951" t="s">
        <v>51</v>
      </c>
      <c r="F2951" t="s">
        <v>28</v>
      </c>
      <c r="G2951">
        <v>21944</v>
      </c>
      <c r="H2951">
        <v>17555.2</v>
      </c>
      <c r="I2951" s="13">
        <v>0</v>
      </c>
      <c r="J2951" t="s">
        <v>6206</v>
      </c>
      <c r="K2951">
        <v>0</v>
      </c>
      <c r="L2951">
        <v>2</v>
      </c>
      <c r="M2951" t="s">
        <v>1</v>
      </c>
      <c r="N2951" s="2">
        <v>0.38</v>
      </c>
      <c r="O2951" s="2">
        <v>0.62</v>
      </c>
      <c r="P2951">
        <v>7</v>
      </c>
      <c r="Q2951">
        <v>14</v>
      </c>
      <c r="R2951">
        <v>3</v>
      </c>
      <c r="S2951">
        <v>7</v>
      </c>
      <c r="T2951">
        <v>9</v>
      </c>
      <c r="U2951">
        <v>5</v>
      </c>
      <c r="V2951">
        <v>2</v>
      </c>
      <c r="W2951">
        <v>0</v>
      </c>
      <c r="X2951">
        <v>0</v>
      </c>
      <c r="Y2951">
        <v>0</v>
      </c>
      <c r="Z2951">
        <v>0</v>
      </c>
    </row>
    <row r="2952" spans="1:26" x14ac:dyDescent="0.2">
      <c r="A2952" t="s">
        <v>3070</v>
      </c>
      <c r="B2952" t="s">
        <v>68</v>
      </c>
      <c r="C2952">
        <v>2016</v>
      </c>
      <c r="D2952" t="s">
        <v>73</v>
      </c>
      <c r="E2952" t="s">
        <v>86</v>
      </c>
      <c r="F2952" t="s">
        <v>73</v>
      </c>
      <c r="G2952">
        <v>32384</v>
      </c>
      <c r="H2952">
        <v>25907.200000000001</v>
      </c>
      <c r="I2952" s="13">
        <v>1</v>
      </c>
      <c r="J2952" t="s">
        <v>6207</v>
      </c>
      <c r="K2952">
        <v>0</v>
      </c>
      <c r="L2952">
        <v>0</v>
      </c>
      <c r="M2952" t="s">
        <v>58</v>
      </c>
      <c r="N2952" s="2">
        <v>0.61</v>
      </c>
      <c r="O2952" s="2">
        <v>0.39</v>
      </c>
      <c r="P2952">
        <v>10</v>
      </c>
      <c r="Q2952">
        <v>16</v>
      </c>
      <c r="R2952">
        <v>6</v>
      </c>
      <c r="S2952">
        <v>3</v>
      </c>
      <c r="T2952">
        <v>14</v>
      </c>
      <c r="U2952">
        <v>8</v>
      </c>
      <c r="V2952">
        <v>1</v>
      </c>
      <c r="W2952">
        <v>0</v>
      </c>
      <c r="X2952">
        <v>0</v>
      </c>
      <c r="Y2952">
        <v>0</v>
      </c>
      <c r="Z2952">
        <v>1</v>
      </c>
    </row>
    <row r="2953" spans="1:26" x14ac:dyDescent="0.2">
      <c r="A2953" t="s">
        <v>3071</v>
      </c>
      <c r="B2953" t="s">
        <v>77</v>
      </c>
      <c r="C2953">
        <v>2016</v>
      </c>
      <c r="D2953" t="s">
        <v>71</v>
      </c>
      <c r="E2953" t="s">
        <v>87</v>
      </c>
      <c r="F2953" t="s">
        <v>71</v>
      </c>
      <c r="G2953">
        <v>21088</v>
      </c>
      <c r="H2953">
        <v>16870.400000000001</v>
      </c>
      <c r="I2953" s="13">
        <v>0.8</v>
      </c>
      <c r="J2953" t="s">
        <v>6207</v>
      </c>
      <c r="K2953">
        <v>0</v>
      </c>
      <c r="L2953">
        <v>0</v>
      </c>
      <c r="M2953" t="s">
        <v>58</v>
      </c>
      <c r="N2953" s="2">
        <v>0.55000000000000004</v>
      </c>
      <c r="O2953" s="2">
        <v>0.45</v>
      </c>
      <c r="P2953">
        <v>16</v>
      </c>
      <c r="Q2953">
        <v>11</v>
      </c>
      <c r="R2953">
        <v>11</v>
      </c>
      <c r="S2953">
        <v>3</v>
      </c>
      <c r="T2953">
        <v>9</v>
      </c>
      <c r="U2953">
        <v>16</v>
      </c>
      <c r="V2953">
        <v>2</v>
      </c>
      <c r="W2953">
        <v>3</v>
      </c>
      <c r="X2953">
        <v>0</v>
      </c>
      <c r="Y2953">
        <v>0</v>
      </c>
      <c r="Z2953">
        <v>0</v>
      </c>
    </row>
    <row r="2954" spans="1:26" x14ac:dyDescent="0.2">
      <c r="A2954" t="s">
        <v>3072</v>
      </c>
      <c r="B2954" t="s">
        <v>37</v>
      </c>
      <c r="C2954">
        <v>2016</v>
      </c>
      <c r="D2954" t="s">
        <v>46</v>
      </c>
      <c r="E2954" t="s">
        <v>40</v>
      </c>
      <c r="F2954" t="s">
        <v>20</v>
      </c>
      <c r="G2954">
        <v>60704</v>
      </c>
      <c r="H2954">
        <v>48563.200000000004</v>
      </c>
      <c r="I2954" s="13">
        <v>1</v>
      </c>
      <c r="J2954" t="s">
        <v>6206</v>
      </c>
      <c r="K2954">
        <v>2</v>
      </c>
      <c r="L2954">
        <v>2</v>
      </c>
      <c r="M2954" t="s">
        <v>58</v>
      </c>
      <c r="N2954" s="2">
        <v>0.44</v>
      </c>
      <c r="O2954" s="2">
        <v>0.56000000000000005</v>
      </c>
      <c r="P2954">
        <v>21</v>
      </c>
      <c r="Q2954">
        <v>13</v>
      </c>
      <c r="R2954">
        <v>3</v>
      </c>
      <c r="S2954">
        <v>8</v>
      </c>
      <c r="T2954">
        <v>8</v>
      </c>
      <c r="U2954">
        <v>14</v>
      </c>
      <c r="V2954">
        <v>3</v>
      </c>
      <c r="W2954">
        <v>2</v>
      </c>
      <c r="X2954">
        <v>0</v>
      </c>
      <c r="Y2954">
        <v>0</v>
      </c>
      <c r="Z2954">
        <v>0</v>
      </c>
    </row>
    <row r="2955" spans="1:26" x14ac:dyDescent="0.2">
      <c r="A2955" t="s">
        <v>3073</v>
      </c>
      <c r="B2955" t="s">
        <v>81</v>
      </c>
      <c r="C2955">
        <v>2016</v>
      </c>
      <c r="D2955" t="s">
        <v>85</v>
      </c>
      <c r="E2955" t="s">
        <v>63</v>
      </c>
      <c r="F2955" t="s">
        <v>85</v>
      </c>
      <c r="G2955">
        <v>22220</v>
      </c>
      <c r="H2955">
        <v>17776</v>
      </c>
      <c r="I2955" s="13">
        <v>0.5714285714285714</v>
      </c>
      <c r="J2955" t="s">
        <v>6207</v>
      </c>
      <c r="K2955">
        <v>2</v>
      </c>
      <c r="L2955">
        <v>0</v>
      </c>
      <c r="M2955" t="s">
        <v>0</v>
      </c>
      <c r="N2955" s="2">
        <v>0.55000000000000004</v>
      </c>
      <c r="O2955" s="2">
        <v>0.45</v>
      </c>
      <c r="P2955">
        <v>15</v>
      </c>
      <c r="Q2955">
        <v>12</v>
      </c>
      <c r="R2955">
        <v>5</v>
      </c>
      <c r="S2955">
        <v>6</v>
      </c>
      <c r="T2955">
        <v>11</v>
      </c>
      <c r="U2955">
        <v>14</v>
      </c>
      <c r="V2955">
        <v>2</v>
      </c>
      <c r="W2955">
        <v>4</v>
      </c>
      <c r="X2955">
        <v>1</v>
      </c>
      <c r="Y2955">
        <v>0</v>
      </c>
      <c r="Z2955">
        <v>0</v>
      </c>
    </row>
    <row r="2956" spans="1:26" x14ac:dyDescent="0.2">
      <c r="A2956" t="s">
        <v>3074</v>
      </c>
      <c r="B2956" t="s">
        <v>83</v>
      </c>
      <c r="C2956">
        <v>2016</v>
      </c>
      <c r="D2956" t="s">
        <v>80</v>
      </c>
      <c r="E2956" t="s">
        <v>35</v>
      </c>
      <c r="F2956" t="s">
        <v>80</v>
      </c>
      <c r="G2956">
        <v>32261</v>
      </c>
      <c r="H2956">
        <v>25808.800000000003</v>
      </c>
      <c r="I2956" s="13">
        <v>0</v>
      </c>
      <c r="J2956" t="s">
        <v>6208</v>
      </c>
      <c r="K2956">
        <v>2</v>
      </c>
      <c r="L2956">
        <v>0</v>
      </c>
      <c r="M2956" t="s">
        <v>0</v>
      </c>
      <c r="N2956" s="2">
        <v>0.55000000000000004</v>
      </c>
      <c r="O2956" s="2">
        <v>0.45</v>
      </c>
      <c r="P2956">
        <v>16</v>
      </c>
      <c r="Q2956">
        <v>13</v>
      </c>
      <c r="R2956">
        <v>5</v>
      </c>
      <c r="S2956">
        <v>6</v>
      </c>
      <c r="T2956">
        <v>12</v>
      </c>
      <c r="U2956">
        <v>13</v>
      </c>
      <c r="V2956">
        <v>0</v>
      </c>
      <c r="W2956">
        <v>1</v>
      </c>
      <c r="X2956">
        <v>0</v>
      </c>
      <c r="Y2956">
        <v>0</v>
      </c>
      <c r="Z2956">
        <v>0</v>
      </c>
    </row>
    <row r="2957" spans="1:26" x14ac:dyDescent="0.2">
      <c r="A2957" t="s">
        <v>3075</v>
      </c>
      <c r="B2957" t="s">
        <v>60</v>
      </c>
      <c r="C2957">
        <v>2016</v>
      </c>
      <c r="D2957" t="s">
        <v>28</v>
      </c>
      <c r="E2957" t="s">
        <v>27</v>
      </c>
      <c r="F2957" t="s">
        <v>28</v>
      </c>
      <c r="G2957">
        <v>21944</v>
      </c>
      <c r="H2957">
        <v>17555.2</v>
      </c>
      <c r="I2957" s="13">
        <v>0.4</v>
      </c>
      <c r="J2957" t="s">
        <v>6208</v>
      </c>
      <c r="K2957">
        <v>1</v>
      </c>
      <c r="L2957">
        <v>0</v>
      </c>
      <c r="M2957" t="s">
        <v>0</v>
      </c>
      <c r="N2957" s="2">
        <v>0.48</v>
      </c>
      <c r="O2957" s="2">
        <v>0.53</v>
      </c>
      <c r="P2957">
        <v>19</v>
      </c>
      <c r="Q2957">
        <v>12</v>
      </c>
      <c r="R2957">
        <v>3</v>
      </c>
      <c r="S2957">
        <v>5</v>
      </c>
      <c r="T2957">
        <v>9</v>
      </c>
      <c r="U2957">
        <v>16</v>
      </c>
      <c r="V2957">
        <v>3</v>
      </c>
      <c r="W2957">
        <v>2</v>
      </c>
      <c r="X2957">
        <v>0</v>
      </c>
      <c r="Y2957">
        <v>0</v>
      </c>
      <c r="Z2957">
        <v>0</v>
      </c>
    </row>
    <row r="2958" spans="1:26" x14ac:dyDescent="0.2">
      <c r="A2958" t="s">
        <v>3076</v>
      </c>
      <c r="B2958" t="s">
        <v>67</v>
      </c>
      <c r="C2958">
        <v>2016</v>
      </c>
      <c r="D2958" t="s">
        <v>48</v>
      </c>
      <c r="E2958" t="s">
        <v>45</v>
      </c>
      <c r="F2958" t="s">
        <v>49</v>
      </c>
      <c r="G2958">
        <v>74197</v>
      </c>
      <c r="H2958">
        <v>59357.600000000006</v>
      </c>
      <c r="I2958" s="13">
        <v>0.33333333333333331</v>
      </c>
      <c r="J2958" t="s">
        <v>6207</v>
      </c>
      <c r="K2958">
        <v>1</v>
      </c>
      <c r="L2958">
        <v>1</v>
      </c>
      <c r="M2958" t="s">
        <v>58</v>
      </c>
      <c r="N2958" s="2">
        <v>0.62</v>
      </c>
      <c r="O2958" s="2">
        <v>0.38</v>
      </c>
      <c r="P2958">
        <v>20</v>
      </c>
      <c r="Q2958">
        <v>13</v>
      </c>
      <c r="R2958">
        <v>6</v>
      </c>
      <c r="S2958">
        <v>5</v>
      </c>
      <c r="T2958">
        <v>10</v>
      </c>
      <c r="U2958">
        <v>18</v>
      </c>
      <c r="V2958">
        <v>1</v>
      </c>
      <c r="W2958">
        <v>4</v>
      </c>
      <c r="X2958">
        <v>0</v>
      </c>
      <c r="Y2958">
        <v>1</v>
      </c>
      <c r="Z2958">
        <v>1</v>
      </c>
    </row>
    <row r="2959" spans="1:26" x14ac:dyDescent="0.2">
      <c r="A2959" t="s">
        <v>3077</v>
      </c>
      <c r="B2959" t="s">
        <v>68</v>
      </c>
      <c r="C2959">
        <v>2016</v>
      </c>
      <c r="D2959" t="s">
        <v>71</v>
      </c>
      <c r="E2959" t="s">
        <v>51</v>
      </c>
      <c r="F2959" t="s">
        <v>71</v>
      </c>
      <c r="G2959">
        <v>21088</v>
      </c>
      <c r="H2959">
        <v>16870.400000000001</v>
      </c>
      <c r="I2959" s="13">
        <v>0.5</v>
      </c>
      <c r="J2959" t="s">
        <v>6207</v>
      </c>
      <c r="K2959">
        <v>1</v>
      </c>
      <c r="L2959">
        <v>3</v>
      </c>
      <c r="M2959" t="s">
        <v>1</v>
      </c>
      <c r="N2959" s="2">
        <v>0.28000000000000003</v>
      </c>
      <c r="O2959" s="2">
        <v>0.72</v>
      </c>
      <c r="P2959">
        <v>12</v>
      </c>
      <c r="Q2959">
        <v>9</v>
      </c>
      <c r="R2959">
        <v>5</v>
      </c>
      <c r="S2959">
        <v>7</v>
      </c>
      <c r="T2959">
        <v>7</v>
      </c>
      <c r="U2959">
        <v>8</v>
      </c>
      <c r="V2959">
        <v>1</v>
      </c>
      <c r="W2959">
        <v>1</v>
      </c>
      <c r="X2959">
        <v>0</v>
      </c>
      <c r="Y2959">
        <v>0</v>
      </c>
      <c r="Z2959">
        <v>0</v>
      </c>
    </row>
    <row r="2960" spans="1:26" x14ac:dyDescent="0.2">
      <c r="A2960" t="s">
        <v>3078</v>
      </c>
      <c r="B2960" t="s">
        <v>74</v>
      </c>
      <c r="C2960">
        <v>2016</v>
      </c>
      <c r="D2960" t="s">
        <v>73</v>
      </c>
      <c r="E2960" t="s">
        <v>79</v>
      </c>
      <c r="F2960" t="s">
        <v>73</v>
      </c>
      <c r="G2960">
        <v>32384</v>
      </c>
      <c r="H2960">
        <v>25907.200000000001</v>
      </c>
      <c r="I2960" s="13">
        <v>0.66666666666666663</v>
      </c>
      <c r="J2960" t="s">
        <v>6208</v>
      </c>
      <c r="K2960">
        <v>3</v>
      </c>
      <c r="L2960">
        <v>1</v>
      </c>
      <c r="M2960" t="s">
        <v>0</v>
      </c>
      <c r="N2960" s="2">
        <v>0.61</v>
      </c>
      <c r="O2960" s="2">
        <v>0.39</v>
      </c>
      <c r="P2960">
        <v>12</v>
      </c>
      <c r="Q2960">
        <v>16</v>
      </c>
      <c r="R2960">
        <v>11</v>
      </c>
      <c r="S2960">
        <v>11</v>
      </c>
      <c r="T2960">
        <v>16</v>
      </c>
      <c r="U2960">
        <v>11</v>
      </c>
      <c r="V2960">
        <v>2</v>
      </c>
      <c r="W2960">
        <v>1</v>
      </c>
      <c r="X2960">
        <v>0</v>
      </c>
      <c r="Y2960">
        <v>0</v>
      </c>
      <c r="Z2960">
        <v>0</v>
      </c>
    </row>
    <row r="2961" spans="1:26" x14ac:dyDescent="0.2">
      <c r="A2961" t="s">
        <v>3079</v>
      </c>
      <c r="B2961" t="s">
        <v>66</v>
      </c>
      <c r="C2961">
        <v>2016</v>
      </c>
      <c r="D2961" t="s">
        <v>19</v>
      </c>
      <c r="E2961" t="s">
        <v>87</v>
      </c>
      <c r="F2961" t="s">
        <v>19</v>
      </c>
      <c r="G2961">
        <v>25586</v>
      </c>
      <c r="H2961">
        <v>20468.800000000003</v>
      </c>
      <c r="I2961" s="13">
        <v>0.33333333333333331</v>
      </c>
      <c r="J2961" t="s">
        <v>6207</v>
      </c>
      <c r="K2961">
        <v>4</v>
      </c>
      <c r="L2961">
        <v>2</v>
      </c>
      <c r="M2961" t="s">
        <v>0</v>
      </c>
      <c r="N2961" s="2">
        <v>0.47</v>
      </c>
      <c r="O2961" s="2">
        <v>0.53</v>
      </c>
      <c r="P2961">
        <v>13</v>
      </c>
      <c r="Q2961">
        <v>14</v>
      </c>
      <c r="R2961">
        <v>8</v>
      </c>
      <c r="S2961">
        <v>4</v>
      </c>
      <c r="T2961">
        <v>13</v>
      </c>
      <c r="U2961">
        <v>12</v>
      </c>
      <c r="V2961">
        <v>2</v>
      </c>
      <c r="W2961">
        <v>1</v>
      </c>
      <c r="X2961">
        <v>0</v>
      </c>
      <c r="Y2961">
        <v>0</v>
      </c>
      <c r="Z2961">
        <v>0</v>
      </c>
    </row>
    <row r="2962" spans="1:26" x14ac:dyDescent="0.2">
      <c r="A2962" t="s">
        <v>3080</v>
      </c>
      <c r="B2962" t="s">
        <v>32</v>
      </c>
      <c r="C2962">
        <v>2016</v>
      </c>
      <c r="D2962" t="s">
        <v>46</v>
      </c>
      <c r="E2962" t="s">
        <v>23</v>
      </c>
      <c r="F2962" t="s">
        <v>20</v>
      </c>
      <c r="G2962">
        <v>60704</v>
      </c>
      <c r="H2962">
        <v>48563.200000000004</v>
      </c>
      <c r="I2962" s="13">
        <v>0.75</v>
      </c>
      <c r="J2962" t="s">
        <v>6207</v>
      </c>
      <c r="K2962">
        <v>3</v>
      </c>
      <c r="L2962">
        <v>0</v>
      </c>
      <c r="M2962" t="s">
        <v>0</v>
      </c>
      <c r="N2962" s="2">
        <v>0.66</v>
      </c>
      <c r="O2962" s="2">
        <v>0.34</v>
      </c>
      <c r="P2962">
        <v>8</v>
      </c>
      <c r="Q2962">
        <v>13</v>
      </c>
      <c r="R2962">
        <v>5</v>
      </c>
      <c r="S2962">
        <v>0</v>
      </c>
      <c r="T2962">
        <v>11</v>
      </c>
      <c r="U2962">
        <v>5</v>
      </c>
      <c r="V2962">
        <v>2</v>
      </c>
      <c r="W2962">
        <v>2</v>
      </c>
      <c r="X2962">
        <v>0</v>
      </c>
      <c r="Y2962">
        <v>0</v>
      </c>
      <c r="Z2962">
        <v>0</v>
      </c>
    </row>
    <row r="2963" spans="1:26" x14ac:dyDescent="0.2">
      <c r="A2963" t="s">
        <v>3081</v>
      </c>
      <c r="B2963" t="s">
        <v>50</v>
      </c>
      <c r="C2963">
        <v>2016</v>
      </c>
      <c r="D2963" t="s">
        <v>26</v>
      </c>
      <c r="E2963" t="s">
        <v>86</v>
      </c>
      <c r="F2963" t="s">
        <v>26</v>
      </c>
      <c r="G2963">
        <v>61276</v>
      </c>
      <c r="H2963">
        <v>49020.800000000003</v>
      </c>
      <c r="I2963" s="13">
        <v>0.5</v>
      </c>
      <c r="J2963" t="s">
        <v>6207</v>
      </c>
      <c r="K2963">
        <v>2</v>
      </c>
      <c r="L2963">
        <v>2</v>
      </c>
      <c r="M2963" t="s">
        <v>58</v>
      </c>
      <c r="N2963" s="2">
        <v>0.67</v>
      </c>
      <c r="O2963" s="2">
        <v>0.33</v>
      </c>
      <c r="P2963">
        <v>8</v>
      </c>
      <c r="Q2963">
        <v>13</v>
      </c>
      <c r="R2963">
        <v>7</v>
      </c>
      <c r="S2963">
        <v>2</v>
      </c>
      <c r="T2963">
        <v>11</v>
      </c>
      <c r="U2963">
        <v>8</v>
      </c>
      <c r="V2963">
        <v>1</v>
      </c>
      <c r="W2963">
        <v>1</v>
      </c>
      <c r="X2963">
        <v>0</v>
      </c>
      <c r="Y2963">
        <v>0</v>
      </c>
      <c r="Z2963">
        <v>0</v>
      </c>
    </row>
    <row r="2964" spans="1:26" x14ac:dyDescent="0.2">
      <c r="A2964" t="s">
        <v>3082</v>
      </c>
      <c r="B2964" t="s">
        <v>41</v>
      </c>
      <c r="C2964">
        <v>2016</v>
      </c>
      <c r="D2964" t="s">
        <v>18</v>
      </c>
      <c r="E2964" t="s">
        <v>40</v>
      </c>
      <c r="F2964" t="s">
        <v>20</v>
      </c>
      <c r="G2964">
        <v>40341</v>
      </c>
      <c r="H2964">
        <v>32272.800000000003</v>
      </c>
      <c r="I2964" s="13">
        <v>0.75</v>
      </c>
      <c r="J2964" t="s">
        <v>6207</v>
      </c>
      <c r="K2964">
        <v>2</v>
      </c>
      <c r="L2964">
        <v>1</v>
      </c>
      <c r="M2964" t="s">
        <v>0</v>
      </c>
      <c r="N2964" s="2">
        <v>0.4</v>
      </c>
      <c r="O2964" s="2">
        <v>0.6</v>
      </c>
      <c r="P2964">
        <v>14</v>
      </c>
      <c r="Q2964">
        <v>11</v>
      </c>
      <c r="R2964">
        <v>2</v>
      </c>
      <c r="S2964">
        <v>9</v>
      </c>
      <c r="T2964">
        <v>10</v>
      </c>
      <c r="U2964">
        <v>14</v>
      </c>
      <c r="V2964">
        <v>1</v>
      </c>
      <c r="W2964">
        <v>3</v>
      </c>
      <c r="X2964">
        <v>0</v>
      </c>
      <c r="Y2964">
        <v>0</v>
      </c>
      <c r="Z2964">
        <v>1</v>
      </c>
    </row>
    <row r="2965" spans="1:26" x14ac:dyDescent="0.2">
      <c r="A2965" t="s">
        <v>3083</v>
      </c>
      <c r="B2965" t="s">
        <v>61</v>
      </c>
      <c r="C2965">
        <v>2016</v>
      </c>
      <c r="D2965" t="s">
        <v>51</v>
      </c>
      <c r="E2965" t="s">
        <v>85</v>
      </c>
      <c r="F2965" t="s">
        <v>20</v>
      </c>
      <c r="G2965">
        <v>36284</v>
      </c>
      <c r="H2965">
        <v>29027.200000000001</v>
      </c>
      <c r="I2965" s="13">
        <v>1</v>
      </c>
      <c r="J2965" t="s">
        <v>6207</v>
      </c>
      <c r="K2965">
        <v>4</v>
      </c>
      <c r="L2965">
        <v>0</v>
      </c>
      <c r="M2965" t="s">
        <v>0</v>
      </c>
      <c r="N2965" s="2">
        <v>0.59</v>
      </c>
      <c r="O2965" s="2">
        <v>0.41</v>
      </c>
      <c r="P2965">
        <v>12</v>
      </c>
      <c r="Q2965">
        <v>12</v>
      </c>
      <c r="R2965">
        <v>7</v>
      </c>
      <c r="S2965">
        <v>5</v>
      </c>
      <c r="T2965">
        <v>12</v>
      </c>
      <c r="U2965">
        <v>12</v>
      </c>
      <c r="V2965">
        <v>0</v>
      </c>
      <c r="W2965">
        <v>1</v>
      </c>
      <c r="X2965">
        <v>0</v>
      </c>
      <c r="Y2965">
        <v>0</v>
      </c>
      <c r="Z2965">
        <v>0</v>
      </c>
    </row>
    <row r="2966" spans="1:26" x14ac:dyDescent="0.2">
      <c r="A2966" t="s">
        <v>3084</v>
      </c>
      <c r="B2966" t="s">
        <v>60</v>
      </c>
      <c r="C2966">
        <v>2016</v>
      </c>
      <c r="D2966" t="s">
        <v>23</v>
      </c>
      <c r="E2966" t="s">
        <v>71</v>
      </c>
      <c r="F2966" t="s">
        <v>20</v>
      </c>
      <c r="G2966">
        <v>62500</v>
      </c>
      <c r="H2966">
        <v>50000</v>
      </c>
      <c r="I2966" s="13">
        <v>0.83333333333333337</v>
      </c>
      <c r="J2966" t="s">
        <v>6208</v>
      </c>
      <c r="K2966">
        <v>1</v>
      </c>
      <c r="L2966">
        <v>0</v>
      </c>
      <c r="M2966" t="s">
        <v>0</v>
      </c>
      <c r="N2966" s="2">
        <v>0.46</v>
      </c>
      <c r="O2966" s="2">
        <v>0.54</v>
      </c>
      <c r="P2966">
        <v>12</v>
      </c>
      <c r="Q2966">
        <v>15</v>
      </c>
      <c r="R2966">
        <v>4</v>
      </c>
      <c r="S2966">
        <v>3</v>
      </c>
      <c r="T2966">
        <v>12</v>
      </c>
      <c r="U2966">
        <v>12</v>
      </c>
      <c r="V2966">
        <v>5</v>
      </c>
      <c r="W2966">
        <v>1</v>
      </c>
      <c r="X2966">
        <v>0</v>
      </c>
      <c r="Y2966">
        <v>0</v>
      </c>
      <c r="Z2966">
        <v>0</v>
      </c>
    </row>
    <row r="2967" spans="1:26" x14ac:dyDescent="0.2">
      <c r="A2967" t="s">
        <v>3085</v>
      </c>
      <c r="B2967" t="s">
        <v>88</v>
      </c>
      <c r="C2967">
        <v>2016</v>
      </c>
      <c r="D2967" t="s">
        <v>63</v>
      </c>
      <c r="E2967" t="s">
        <v>73</v>
      </c>
      <c r="F2967" t="s">
        <v>65</v>
      </c>
      <c r="G2967">
        <v>26804</v>
      </c>
      <c r="H2967">
        <v>21443.200000000001</v>
      </c>
      <c r="I2967" s="13">
        <v>0</v>
      </c>
      <c r="J2967" t="s">
        <v>6207</v>
      </c>
      <c r="K2967">
        <v>0</v>
      </c>
      <c r="L2967">
        <v>1</v>
      </c>
      <c r="M2967" t="s">
        <v>1</v>
      </c>
      <c r="N2967" s="2">
        <v>0.41</v>
      </c>
      <c r="O2967" s="2">
        <v>0.59</v>
      </c>
      <c r="P2967">
        <v>12</v>
      </c>
      <c r="Q2967">
        <v>11</v>
      </c>
      <c r="R2967">
        <v>7</v>
      </c>
      <c r="S2967">
        <v>3</v>
      </c>
      <c r="T2967">
        <v>12</v>
      </c>
      <c r="U2967">
        <v>12</v>
      </c>
      <c r="V2967">
        <v>2</v>
      </c>
      <c r="W2967">
        <v>2</v>
      </c>
      <c r="X2967">
        <v>0</v>
      </c>
      <c r="Y2967">
        <v>0</v>
      </c>
      <c r="Z2967">
        <v>0</v>
      </c>
    </row>
    <row r="2968" spans="1:26" x14ac:dyDescent="0.2">
      <c r="A2968" t="s">
        <v>3086</v>
      </c>
      <c r="B2968" t="s">
        <v>41</v>
      </c>
      <c r="C2968">
        <v>2016</v>
      </c>
      <c r="D2968" t="s">
        <v>27</v>
      </c>
      <c r="E2968" t="s">
        <v>26</v>
      </c>
      <c r="F2968" t="s">
        <v>27</v>
      </c>
      <c r="G2968">
        <v>30089</v>
      </c>
      <c r="H2968">
        <v>24071.200000000001</v>
      </c>
      <c r="I2968" s="13">
        <v>1</v>
      </c>
      <c r="J2968" t="s">
        <v>6207</v>
      </c>
      <c r="K2968">
        <v>1</v>
      </c>
      <c r="L2968">
        <v>2</v>
      </c>
      <c r="M2968" t="s">
        <v>1</v>
      </c>
      <c r="N2968" s="2">
        <v>0.44</v>
      </c>
      <c r="O2968" s="2">
        <v>0.56000000000000005</v>
      </c>
      <c r="P2968">
        <v>12</v>
      </c>
      <c r="Q2968">
        <v>12</v>
      </c>
      <c r="R2968">
        <v>5</v>
      </c>
      <c r="S2968">
        <v>8</v>
      </c>
      <c r="T2968">
        <v>7</v>
      </c>
      <c r="U2968">
        <v>11</v>
      </c>
      <c r="V2968">
        <v>0</v>
      </c>
      <c r="W2968">
        <v>2</v>
      </c>
      <c r="X2968">
        <v>0</v>
      </c>
      <c r="Y2968">
        <v>0</v>
      </c>
      <c r="Z2968">
        <v>0</v>
      </c>
    </row>
    <row r="2969" spans="1:26" x14ac:dyDescent="0.2">
      <c r="A2969" t="s">
        <v>3087</v>
      </c>
      <c r="B2969" t="s">
        <v>32</v>
      </c>
      <c r="C2969">
        <v>2016</v>
      </c>
      <c r="D2969" t="s">
        <v>87</v>
      </c>
      <c r="E2969" t="s">
        <v>28</v>
      </c>
      <c r="F2969" t="s">
        <v>87</v>
      </c>
      <c r="G2969">
        <v>34742</v>
      </c>
      <c r="H2969">
        <v>27793.600000000002</v>
      </c>
      <c r="I2969" s="13">
        <v>0.33333333333333331</v>
      </c>
      <c r="J2969" t="s">
        <v>6207</v>
      </c>
      <c r="K2969">
        <v>0</v>
      </c>
      <c r="L2969">
        <v>0</v>
      </c>
      <c r="M2969" t="s">
        <v>58</v>
      </c>
      <c r="N2969" s="2">
        <v>0.56000000000000005</v>
      </c>
      <c r="O2969" s="2">
        <v>0.44</v>
      </c>
      <c r="P2969">
        <v>14</v>
      </c>
      <c r="Q2969">
        <v>11</v>
      </c>
      <c r="R2969">
        <v>4</v>
      </c>
      <c r="S2969">
        <v>3</v>
      </c>
      <c r="T2969">
        <v>9</v>
      </c>
      <c r="U2969">
        <v>12</v>
      </c>
      <c r="V2969">
        <v>0</v>
      </c>
      <c r="W2969">
        <v>3</v>
      </c>
      <c r="X2969">
        <v>0</v>
      </c>
      <c r="Y2969">
        <v>0</v>
      </c>
      <c r="Z2969">
        <v>0</v>
      </c>
    </row>
    <row r="2970" spans="1:26" x14ac:dyDescent="0.2">
      <c r="A2970" t="s">
        <v>3088</v>
      </c>
      <c r="B2970" t="s">
        <v>68</v>
      </c>
      <c r="C2970">
        <v>2016</v>
      </c>
      <c r="D2970" t="s">
        <v>40</v>
      </c>
      <c r="E2970" t="s">
        <v>19</v>
      </c>
      <c r="F2970" t="s">
        <v>49</v>
      </c>
      <c r="G2970">
        <v>53400</v>
      </c>
      <c r="H2970">
        <v>42720</v>
      </c>
      <c r="I2970" s="13">
        <v>1</v>
      </c>
      <c r="J2970" t="s">
        <v>6207</v>
      </c>
      <c r="K2970">
        <v>3</v>
      </c>
      <c r="L2970">
        <v>1</v>
      </c>
      <c r="M2970" t="s">
        <v>0</v>
      </c>
      <c r="N2970" s="2">
        <v>0.68</v>
      </c>
      <c r="O2970" s="2">
        <v>0.32</v>
      </c>
      <c r="P2970">
        <v>10</v>
      </c>
      <c r="Q2970">
        <v>7</v>
      </c>
      <c r="R2970">
        <v>7</v>
      </c>
      <c r="S2970">
        <v>3</v>
      </c>
      <c r="T2970">
        <v>6</v>
      </c>
      <c r="U2970">
        <v>8</v>
      </c>
      <c r="V2970">
        <v>0</v>
      </c>
      <c r="W2970">
        <v>2</v>
      </c>
      <c r="X2970">
        <v>0</v>
      </c>
      <c r="Y2970">
        <v>0</v>
      </c>
      <c r="Z2970">
        <v>0</v>
      </c>
    </row>
    <row r="2971" spans="1:26" x14ac:dyDescent="0.2">
      <c r="A2971" t="s">
        <v>3089</v>
      </c>
      <c r="B2971" t="s">
        <v>37</v>
      </c>
      <c r="C2971">
        <v>2016</v>
      </c>
      <c r="D2971" t="s">
        <v>86</v>
      </c>
      <c r="E2971" t="s">
        <v>18</v>
      </c>
      <c r="F2971" t="s">
        <v>86</v>
      </c>
      <c r="G2971">
        <v>11364</v>
      </c>
      <c r="H2971">
        <v>9091.2000000000007</v>
      </c>
      <c r="I2971" s="13">
        <v>1</v>
      </c>
      <c r="J2971" t="s">
        <v>6206</v>
      </c>
      <c r="K2971">
        <v>1</v>
      </c>
      <c r="L2971">
        <v>3</v>
      </c>
      <c r="M2971" t="s">
        <v>1</v>
      </c>
      <c r="N2971" s="2">
        <v>0.51</v>
      </c>
      <c r="O2971" s="2">
        <v>0.49</v>
      </c>
      <c r="P2971">
        <v>13</v>
      </c>
      <c r="Q2971">
        <v>7</v>
      </c>
      <c r="R2971">
        <v>4</v>
      </c>
      <c r="S2971">
        <v>4</v>
      </c>
      <c r="T2971">
        <v>7</v>
      </c>
      <c r="U2971">
        <v>11</v>
      </c>
      <c r="V2971">
        <v>2</v>
      </c>
      <c r="W2971">
        <v>3</v>
      </c>
      <c r="X2971">
        <v>0</v>
      </c>
      <c r="Y2971">
        <v>0</v>
      </c>
      <c r="Z2971">
        <v>0</v>
      </c>
    </row>
    <row r="2972" spans="1:26" x14ac:dyDescent="0.2">
      <c r="A2972" t="s">
        <v>3090</v>
      </c>
      <c r="B2972" t="s">
        <v>76</v>
      </c>
      <c r="C2972">
        <v>2016</v>
      </c>
      <c r="D2972" t="s">
        <v>35</v>
      </c>
      <c r="E2972" t="s">
        <v>48</v>
      </c>
      <c r="F2972" t="s">
        <v>35</v>
      </c>
      <c r="G2972">
        <v>49000</v>
      </c>
      <c r="H2972">
        <v>39200</v>
      </c>
      <c r="I2972" s="13">
        <v>0.7142857142857143</v>
      </c>
      <c r="J2972" t="s">
        <v>6207</v>
      </c>
      <c r="K2972">
        <v>0</v>
      </c>
      <c r="L2972">
        <v>3</v>
      </c>
      <c r="M2972" t="s">
        <v>1</v>
      </c>
      <c r="N2972" s="2">
        <v>0.3</v>
      </c>
      <c r="O2972" s="2">
        <v>0.7</v>
      </c>
      <c r="P2972">
        <v>22</v>
      </c>
      <c r="Q2972">
        <v>16</v>
      </c>
      <c r="R2972">
        <v>4</v>
      </c>
      <c r="S2972">
        <v>5</v>
      </c>
      <c r="T2972">
        <v>14</v>
      </c>
      <c r="U2972">
        <v>20</v>
      </c>
      <c r="V2972">
        <v>1</v>
      </c>
      <c r="W2972">
        <v>5</v>
      </c>
      <c r="X2972">
        <v>1</v>
      </c>
      <c r="Y2972">
        <v>0</v>
      </c>
      <c r="Z2972">
        <v>0</v>
      </c>
    </row>
    <row r="2973" spans="1:26" x14ac:dyDescent="0.2">
      <c r="A2973" t="s">
        <v>3091</v>
      </c>
      <c r="B2973" t="s">
        <v>77</v>
      </c>
      <c r="C2973">
        <v>2016</v>
      </c>
      <c r="D2973" t="s">
        <v>45</v>
      </c>
      <c r="E2973" t="s">
        <v>80</v>
      </c>
      <c r="F2973" t="s">
        <v>26</v>
      </c>
      <c r="G2973">
        <v>39572</v>
      </c>
      <c r="H2973">
        <v>31657.600000000002</v>
      </c>
      <c r="I2973" s="13">
        <v>0.5</v>
      </c>
      <c r="J2973" t="s">
        <v>6207</v>
      </c>
      <c r="K2973">
        <v>4</v>
      </c>
      <c r="L2973">
        <v>2</v>
      </c>
      <c r="M2973" t="s">
        <v>0</v>
      </c>
      <c r="N2973" s="2">
        <v>0.6</v>
      </c>
      <c r="O2973" s="2">
        <v>0.4</v>
      </c>
      <c r="P2973">
        <v>15</v>
      </c>
      <c r="Q2973">
        <v>8</v>
      </c>
      <c r="R2973">
        <v>4</v>
      </c>
      <c r="S2973">
        <v>6</v>
      </c>
      <c r="T2973">
        <v>8</v>
      </c>
      <c r="U2973">
        <v>15</v>
      </c>
      <c r="V2973">
        <v>2</v>
      </c>
      <c r="W2973">
        <v>2</v>
      </c>
      <c r="X2973">
        <v>0</v>
      </c>
      <c r="Y2973">
        <v>0</v>
      </c>
      <c r="Z2973">
        <v>0</v>
      </c>
    </row>
    <row r="2974" spans="1:26" x14ac:dyDescent="0.2">
      <c r="A2974" t="s">
        <v>3092</v>
      </c>
      <c r="B2974" t="s">
        <v>66</v>
      </c>
      <c r="C2974">
        <v>2016</v>
      </c>
      <c r="D2974" t="s">
        <v>79</v>
      </c>
      <c r="E2974" t="s">
        <v>46</v>
      </c>
      <c r="F2974" t="s">
        <v>20</v>
      </c>
      <c r="G2974">
        <v>25486</v>
      </c>
      <c r="H2974">
        <v>20388.800000000003</v>
      </c>
      <c r="I2974" s="13">
        <v>1</v>
      </c>
      <c r="J2974" t="s">
        <v>6207</v>
      </c>
      <c r="K2974">
        <v>3</v>
      </c>
      <c r="L2974">
        <v>0</v>
      </c>
      <c r="M2974" t="s">
        <v>0</v>
      </c>
      <c r="N2974" s="2">
        <v>0.28000000000000003</v>
      </c>
      <c r="O2974" s="2">
        <v>0.72</v>
      </c>
      <c r="P2974">
        <v>10</v>
      </c>
      <c r="Q2974">
        <v>15</v>
      </c>
      <c r="R2974">
        <v>5</v>
      </c>
      <c r="S2974">
        <v>8</v>
      </c>
      <c r="T2974">
        <v>11</v>
      </c>
      <c r="U2974">
        <v>10</v>
      </c>
      <c r="V2974">
        <v>0</v>
      </c>
      <c r="W2974">
        <v>1</v>
      </c>
      <c r="X2974">
        <v>0</v>
      </c>
      <c r="Y2974">
        <v>0</v>
      </c>
      <c r="Z2974">
        <v>1</v>
      </c>
    </row>
    <row r="2975" spans="1:26" x14ac:dyDescent="0.2">
      <c r="A2975" t="s">
        <v>3093</v>
      </c>
      <c r="B2975" t="s">
        <v>66</v>
      </c>
      <c r="C2975">
        <v>2016</v>
      </c>
      <c r="D2975" t="s">
        <v>51</v>
      </c>
      <c r="E2975" t="s">
        <v>86</v>
      </c>
      <c r="F2975" t="s">
        <v>20</v>
      </c>
      <c r="G2975">
        <v>36284</v>
      </c>
      <c r="H2975">
        <v>29027.200000000001</v>
      </c>
      <c r="I2975" s="13">
        <v>0</v>
      </c>
      <c r="J2975" t="s">
        <v>6207</v>
      </c>
      <c r="K2975">
        <v>4</v>
      </c>
      <c r="L2975">
        <v>0</v>
      </c>
      <c r="M2975" t="s">
        <v>0</v>
      </c>
      <c r="N2975" s="2">
        <v>0.69</v>
      </c>
      <c r="O2975" s="2">
        <v>0.31</v>
      </c>
      <c r="P2975">
        <v>12</v>
      </c>
      <c r="Q2975">
        <v>11</v>
      </c>
      <c r="R2975">
        <v>13</v>
      </c>
      <c r="S2975">
        <v>1</v>
      </c>
      <c r="T2975">
        <v>8</v>
      </c>
      <c r="U2975">
        <v>10</v>
      </c>
      <c r="V2975">
        <v>0</v>
      </c>
      <c r="W2975">
        <v>1</v>
      </c>
      <c r="X2975">
        <v>0</v>
      </c>
      <c r="Y2975">
        <v>0</v>
      </c>
      <c r="Z2975">
        <v>0</v>
      </c>
    </row>
    <row r="2976" spans="1:26" x14ac:dyDescent="0.2">
      <c r="A2976" t="s">
        <v>3094</v>
      </c>
      <c r="B2976" t="s">
        <v>50</v>
      </c>
      <c r="C2976">
        <v>2016</v>
      </c>
      <c r="D2976" t="s">
        <v>85</v>
      </c>
      <c r="E2976" t="s">
        <v>71</v>
      </c>
      <c r="F2976" t="s">
        <v>85</v>
      </c>
      <c r="G2976">
        <v>22220</v>
      </c>
      <c r="H2976">
        <v>17776</v>
      </c>
      <c r="I2976" s="13">
        <v>0</v>
      </c>
      <c r="J2976" t="s">
        <v>6207</v>
      </c>
      <c r="K2976">
        <v>1</v>
      </c>
      <c r="L2976">
        <v>0</v>
      </c>
      <c r="M2976" t="s">
        <v>0</v>
      </c>
      <c r="N2976" s="2">
        <v>0.52</v>
      </c>
      <c r="O2976" s="2">
        <v>0.48</v>
      </c>
      <c r="P2976">
        <v>15</v>
      </c>
      <c r="Q2976">
        <v>12</v>
      </c>
      <c r="R2976">
        <v>6</v>
      </c>
      <c r="S2976">
        <v>2</v>
      </c>
      <c r="T2976">
        <v>8</v>
      </c>
      <c r="U2976">
        <v>13</v>
      </c>
      <c r="V2976">
        <v>0</v>
      </c>
      <c r="W2976">
        <v>0</v>
      </c>
      <c r="X2976">
        <v>0</v>
      </c>
      <c r="Y2976">
        <v>0</v>
      </c>
      <c r="Z2976">
        <v>0</v>
      </c>
    </row>
    <row r="2977" spans="1:26" x14ac:dyDescent="0.2">
      <c r="A2977" t="s">
        <v>3095</v>
      </c>
      <c r="B2977" t="s">
        <v>37</v>
      </c>
      <c r="C2977">
        <v>2016</v>
      </c>
      <c r="D2977" t="s">
        <v>35</v>
      </c>
      <c r="E2977" t="s">
        <v>23</v>
      </c>
      <c r="F2977" t="s">
        <v>35</v>
      </c>
      <c r="G2977">
        <v>49000</v>
      </c>
      <c r="H2977">
        <v>39200</v>
      </c>
      <c r="I2977" s="13">
        <v>0</v>
      </c>
      <c r="J2977" t="s">
        <v>6206</v>
      </c>
      <c r="K2977">
        <v>2</v>
      </c>
      <c r="L2977">
        <v>2</v>
      </c>
      <c r="M2977" t="s">
        <v>58</v>
      </c>
      <c r="N2977" s="2">
        <v>0.47</v>
      </c>
      <c r="O2977" s="2">
        <v>0.53</v>
      </c>
      <c r="P2977">
        <v>10</v>
      </c>
      <c r="Q2977">
        <v>16</v>
      </c>
      <c r="R2977">
        <v>7</v>
      </c>
      <c r="S2977">
        <v>1</v>
      </c>
      <c r="T2977">
        <v>14</v>
      </c>
      <c r="U2977">
        <v>10</v>
      </c>
      <c r="V2977">
        <v>1</v>
      </c>
      <c r="W2977">
        <v>1</v>
      </c>
      <c r="X2977">
        <v>0</v>
      </c>
      <c r="Y2977">
        <v>1</v>
      </c>
      <c r="Z2977">
        <v>0</v>
      </c>
    </row>
    <row r="2978" spans="1:26" x14ac:dyDescent="0.2">
      <c r="A2978" t="s">
        <v>3096</v>
      </c>
      <c r="B2978" t="s">
        <v>59</v>
      </c>
      <c r="C2978">
        <v>2016</v>
      </c>
      <c r="D2978" t="s">
        <v>27</v>
      </c>
      <c r="E2978" t="s">
        <v>19</v>
      </c>
      <c r="F2978" t="s">
        <v>27</v>
      </c>
      <c r="G2978">
        <v>30089</v>
      </c>
      <c r="H2978">
        <v>24071.200000000001</v>
      </c>
      <c r="I2978" s="13">
        <v>1</v>
      </c>
      <c r="J2978" t="s">
        <v>6206</v>
      </c>
      <c r="K2978">
        <v>3</v>
      </c>
      <c r="L2978">
        <v>1</v>
      </c>
      <c r="M2978" t="s">
        <v>0</v>
      </c>
      <c r="N2978" s="2">
        <v>0.45</v>
      </c>
      <c r="O2978" s="2">
        <v>0.55000000000000004</v>
      </c>
      <c r="P2978">
        <v>7</v>
      </c>
      <c r="Q2978">
        <v>16</v>
      </c>
      <c r="R2978">
        <v>3</v>
      </c>
      <c r="S2978">
        <v>7</v>
      </c>
      <c r="T2978">
        <v>12</v>
      </c>
      <c r="U2978">
        <v>5</v>
      </c>
      <c r="V2978">
        <v>0</v>
      </c>
      <c r="W2978">
        <v>2</v>
      </c>
      <c r="X2978">
        <v>0</v>
      </c>
      <c r="Y2978">
        <v>0</v>
      </c>
      <c r="Z2978">
        <v>0</v>
      </c>
    </row>
    <row r="2979" spans="1:26" x14ac:dyDescent="0.2">
      <c r="A2979" t="s">
        <v>3097</v>
      </c>
      <c r="B2979" t="s">
        <v>44</v>
      </c>
      <c r="C2979">
        <v>2016</v>
      </c>
      <c r="D2979" t="s">
        <v>45</v>
      </c>
      <c r="E2979" t="s">
        <v>28</v>
      </c>
      <c r="F2979" t="s">
        <v>26</v>
      </c>
      <c r="G2979">
        <v>39572</v>
      </c>
      <c r="H2979">
        <v>31657.600000000002</v>
      </c>
      <c r="I2979" s="13">
        <v>0.5</v>
      </c>
      <c r="J2979" t="s">
        <v>6207</v>
      </c>
      <c r="K2979">
        <v>3</v>
      </c>
      <c r="L2979">
        <v>1</v>
      </c>
      <c r="M2979" t="s">
        <v>0</v>
      </c>
      <c r="N2979" s="2">
        <v>0.63</v>
      </c>
      <c r="O2979" s="2">
        <v>0.37</v>
      </c>
      <c r="P2979">
        <v>13</v>
      </c>
      <c r="Q2979">
        <v>16</v>
      </c>
      <c r="R2979">
        <v>6</v>
      </c>
      <c r="S2979">
        <v>7</v>
      </c>
      <c r="T2979">
        <v>15</v>
      </c>
      <c r="U2979">
        <v>14</v>
      </c>
      <c r="V2979">
        <v>2</v>
      </c>
      <c r="W2979">
        <v>0</v>
      </c>
      <c r="X2979">
        <v>0</v>
      </c>
      <c r="Y2979">
        <v>0</v>
      </c>
      <c r="Z2979">
        <v>1</v>
      </c>
    </row>
    <row r="2980" spans="1:26" x14ac:dyDescent="0.2">
      <c r="A2980" t="s">
        <v>3098</v>
      </c>
      <c r="B2980" t="s">
        <v>41</v>
      </c>
      <c r="C2980">
        <v>2016</v>
      </c>
      <c r="D2980" t="s">
        <v>79</v>
      </c>
      <c r="E2980" t="s">
        <v>80</v>
      </c>
      <c r="F2980" t="s">
        <v>20</v>
      </c>
      <c r="G2980">
        <v>25486</v>
      </c>
      <c r="H2980">
        <v>20388.800000000003</v>
      </c>
      <c r="I2980" s="13">
        <v>0</v>
      </c>
      <c r="J2980" t="s">
        <v>6207</v>
      </c>
      <c r="K2980">
        <v>2</v>
      </c>
      <c r="L2980">
        <v>2</v>
      </c>
      <c r="M2980" t="s">
        <v>58</v>
      </c>
      <c r="N2980" s="2">
        <v>0.57999999999999996</v>
      </c>
      <c r="O2980" s="2">
        <v>0.42</v>
      </c>
      <c r="P2980">
        <v>16</v>
      </c>
      <c r="Q2980">
        <v>10</v>
      </c>
      <c r="R2980">
        <v>8</v>
      </c>
      <c r="S2980">
        <v>5</v>
      </c>
      <c r="T2980">
        <v>10</v>
      </c>
      <c r="U2980">
        <v>16</v>
      </c>
      <c r="V2980">
        <v>0</v>
      </c>
      <c r="W2980">
        <v>2</v>
      </c>
      <c r="X2980">
        <v>0</v>
      </c>
      <c r="Y2980">
        <v>0</v>
      </c>
      <c r="Z2980">
        <v>0</v>
      </c>
    </row>
    <row r="2981" spans="1:26" x14ac:dyDescent="0.2">
      <c r="A2981" t="s">
        <v>3099</v>
      </c>
      <c r="B2981" t="s">
        <v>67</v>
      </c>
      <c r="C2981">
        <v>2016</v>
      </c>
      <c r="D2981" t="s">
        <v>73</v>
      </c>
      <c r="E2981" t="s">
        <v>40</v>
      </c>
      <c r="F2981" t="s">
        <v>73</v>
      </c>
      <c r="G2981">
        <v>32384</v>
      </c>
      <c r="H2981">
        <v>25907.200000000001</v>
      </c>
      <c r="I2981" s="13">
        <v>0.33333333333333331</v>
      </c>
      <c r="J2981" t="s">
        <v>6207</v>
      </c>
      <c r="K2981">
        <v>0</v>
      </c>
      <c r="L2981">
        <v>3</v>
      </c>
      <c r="M2981" t="s">
        <v>1</v>
      </c>
      <c r="N2981" s="2">
        <v>0.41</v>
      </c>
      <c r="O2981" s="2">
        <v>0.59</v>
      </c>
      <c r="P2981">
        <v>8</v>
      </c>
      <c r="Q2981">
        <v>9</v>
      </c>
      <c r="R2981">
        <v>4</v>
      </c>
      <c r="S2981">
        <v>8</v>
      </c>
      <c r="T2981">
        <v>9</v>
      </c>
      <c r="U2981">
        <v>8</v>
      </c>
      <c r="V2981">
        <v>3</v>
      </c>
      <c r="W2981">
        <v>0</v>
      </c>
      <c r="X2981">
        <v>0</v>
      </c>
      <c r="Y2981">
        <v>0</v>
      </c>
      <c r="Z2981">
        <v>0</v>
      </c>
    </row>
    <row r="2982" spans="1:26" x14ac:dyDescent="0.2">
      <c r="A2982" t="s">
        <v>3100</v>
      </c>
      <c r="B2982" t="s">
        <v>68</v>
      </c>
      <c r="C2982">
        <v>2016</v>
      </c>
      <c r="D2982" t="s">
        <v>63</v>
      </c>
      <c r="E2982" t="s">
        <v>26</v>
      </c>
      <c r="F2982" t="s">
        <v>65</v>
      </c>
      <c r="G2982">
        <v>26804</v>
      </c>
      <c r="H2982">
        <v>21443.200000000001</v>
      </c>
      <c r="I2982" s="13">
        <v>0.25</v>
      </c>
      <c r="J2982" t="s">
        <v>6207</v>
      </c>
      <c r="K2982">
        <v>0</v>
      </c>
      <c r="L2982">
        <v>1</v>
      </c>
      <c r="M2982" t="s">
        <v>1</v>
      </c>
      <c r="N2982" s="2">
        <v>0.36</v>
      </c>
      <c r="O2982" s="2">
        <v>0.64</v>
      </c>
      <c r="P2982">
        <v>11</v>
      </c>
      <c r="Q2982">
        <v>21</v>
      </c>
      <c r="R2982">
        <v>4</v>
      </c>
      <c r="S2982">
        <v>4</v>
      </c>
      <c r="T2982">
        <v>15</v>
      </c>
      <c r="U2982">
        <v>9</v>
      </c>
      <c r="V2982">
        <v>3</v>
      </c>
      <c r="W2982">
        <v>1</v>
      </c>
      <c r="X2982">
        <v>0</v>
      </c>
      <c r="Y2982">
        <v>0</v>
      </c>
      <c r="Z2982">
        <v>0</v>
      </c>
    </row>
    <row r="2983" spans="1:26" x14ac:dyDescent="0.2">
      <c r="A2983" t="s">
        <v>3101</v>
      </c>
      <c r="B2983" t="s">
        <v>77</v>
      </c>
      <c r="C2983">
        <v>2016</v>
      </c>
      <c r="D2983" t="s">
        <v>48</v>
      </c>
      <c r="E2983" t="s">
        <v>18</v>
      </c>
      <c r="F2983" t="s">
        <v>49</v>
      </c>
      <c r="G2983">
        <v>74197</v>
      </c>
      <c r="H2983">
        <v>59357.600000000006</v>
      </c>
      <c r="I2983" s="13">
        <v>0.83333333333333337</v>
      </c>
      <c r="J2983" t="s">
        <v>6207</v>
      </c>
      <c r="K2983">
        <v>2</v>
      </c>
      <c r="L2983">
        <v>0</v>
      </c>
      <c r="M2983" t="s">
        <v>0</v>
      </c>
      <c r="N2983" s="2">
        <v>0.46</v>
      </c>
      <c r="O2983" s="2">
        <v>0.54</v>
      </c>
      <c r="P2983">
        <v>21</v>
      </c>
      <c r="Q2983">
        <v>16</v>
      </c>
      <c r="R2983">
        <v>1</v>
      </c>
      <c r="S2983">
        <v>3</v>
      </c>
      <c r="T2983">
        <v>16</v>
      </c>
      <c r="U2983">
        <v>20</v>
      </c>
      <c r="V2983">
        <v>3</v>
      </c>
      <c r="W2983">
        <v>3</v>
      </c>
      <c r="X2983">
        <v>0</v>
      </c>
      <c r="Y2983">
        <v>0</v>
      </c>
      <c r="Z2983">
        <v>0</v>
      </c>
    </row>
    <row r="2984" spans="1:26" x14ac:dyDescent="0.2">
      <c r="A2984" t="s">
        <v>3102</v>
      </c>
      <c r="B2984" t="s">
        <v>61</v>
      </c>
      <c r="C2984">
        <v>2016</v>
      </c>
      <c r="D2984" t="s">
        <v>87</v>
      </c>
      <c r="E2984" t="s">
        <v>46</v>
      </c>
      <c r="F2984" t="s">
        <v>87</v>
      </c>
      <c r="G2984">
        <v>34742</v>
      </c>
      <c r="H2984">
        <v>27793.600000000002</v>
      </c>
      <c r="I2984" s="13">
        <v>0.5</v>
      </c>
      <c r="J2984" t="s">
        <v>6207</v>
      </c>
      <c r="K2984">
        <v>1</v>
      </c>
      <c r="L2984">
        <v>2</v>
      </c>
      <c r="M2984" t="s">
        <v>1</v>
      </c>
      <c r="N2984" s="2">
        <v>0.35</v>
      </c>
      <c r="O2984" s="2">
        <v>0.65</v>
      </c>
      <c r="P2984">
        <v>16</v>
      </c>
      <c r="Q2984">
        <v>14</v>
      </c>
      <c r="R2984">
        <v>2</v>
      </c>
      <c r="S2984">
        <v>4</v>
      </c>
      <c r="T2984">
        <v>11</v>
      </c>
      <c r="U2984">
        <v>16</v>
      </c>
      <c r="V2984">
        <v>2</v>
      </c>
      <c r="W2984">
        <v>2</v>
      </c>
      <c r="X2984">
        <v>0</v>
      </c>
      <c r="Y2984">
        <v>0</v>
      </c>
      <c r="Z2984">
        <v>0</v>
      </c>
    </row>
    <row r="2985" spans="1:26" x14ac:dyDescent="0.2">
      <c r="A2985" t="s">
        <v>3103</v>
      </c>
      <c r="B2985" t="s">
        <v>74</v>
      </c>
      <c r="C2985">
        <v>2016</v>
      </c>
      <c r="D2985" t="s">
        <v>23</v>
      </c>
      <c r="E2985" t="s">
        <v>45</v>
      </c>
      <c r="F2985" t="s">
        <v>20</v>
      </c>
      <c r="G2985">
        <v>62500</v>
      </c>
      <c r="H2985">
        <v>50000</v>
      </c>
      <c r="I2985" s="13">
        <v>0.6</v>
      </c>
      <c r="J2985" t="s">
        <v>6208</v>
      </c>
      <c r="K2985">
        <v>0</v>
      </c>
      <c r="L2985">
        <v>0</v>
      </c>
      <c r="M2985" t="s">
        <v>58</v>
      </c>
      <c r="N2985" s="2">
        <v>0.41</v>
      </c>
      <c r="O2985" s="2">
        <v>0.59</v>
      </c>
      <c r="P2985">
        <v>17</v>
      </c>
      <c r="Q2985">
        <v>10</v>
      </c>
      <c r="R2985">
        <v>8</v>
      </c>
      <c r="S2985">
        <v>4</v>
      </c>
      <c r="T2985">
        <v>9</v>
      </c>
      <c r="U2985">
        <v>15</v>
      </c>
      <c r="V2985">
        <v>2</v>
      </c>
      <c r="W2985">
        <v>3</v>
      </c>
      <c r="X2985">
        <v>0</v>
      </c>
      <c r="Y2985">
        <v>0</v>
      </c>
      <c r="Z2985">
        <v>0</v>
      </c>
    </row>
    <row r="2986" spans="1:26" x14ac:dyDescent="0.2">
      <c r="A2986" t="s">
        <v>3104</v>
      </c>
      <c r="B2986" t="s">
        <v>66</v>
      </c>
      <c r="C2986">
        <v>2016</v>
      </c>
      <c r="D2986" t="s">
        <v>71</v>
      </c>
      <c r="E2986" t="s">
        <v>27</v>
      </c>
      <c r="F2986" t="s">
        <v>71</v>
      </c>
      <c r="G2986">
        <v>21088</v>
      </c>
      <c r="H2986">
        <v>16870.400000000001</v>
      </c>
      <c r="I2986" s="13">
        <v>0.25</v>
      </c>
      <c r="J2986" t="s">
        <v>6207</v>
      </c>
      <c r="K2986">
        <v>2</v>
      </c>
      <c r="L2986">
        <v>0</v>
      </c>
      <c r="M2986" t="s">
        <v>0</v>
      </c>
      <c r="N2986" s="2">
        <v>0.46</v>
      </c>
      <c r="O2986" s="2">
        <v>0.54</v>
      </c>
      <c r="P2986">
        <v>15</v>
      </c>
      <c r="Q2986">
        <v>5</v>
      </c>
      <c r="R2986">
        <v>11</v>
      </c>
      <c r="S2986">
        <v>4</v>
      </c>
      <c r="T2986">
        <v>5</v>
      </c>
      <c r="U2986">
        <v>14</v>
      </c>
      <c r="V2986">
        <v>2</v>
      </c>
      <c r="W2986">
        <v>2</v>
      </c>
      <c r="X2986">
        <v>0</v>
      </c>
      <c r="Y2986">
        <v>0</v>
      </c>
      <c r="Z2986">
        <v>1</v>
      </c>
    </row>
    <row r="2987" spans="1:26" x14ac:dyDescent="0.2">
      <c r="A2987" t="s">
        <v>3105</v>
      </c>
      <c r="B2987" t="s">
        <v>77</v>
      </c>
      <c r="C2987">
        <v>2016</v>
      </c>
      <c r="D2987" t="s">
        <v>19</v>
      </c>
      <c r="E2987" t="s">
        <v>85</v>
      </c>
      <c r="F2987" t="s">
        <v>19</v>
      </c>
      <c r="G2987">
        <v>25586</v>
      </c>
      <c r="H2987">
        <v>20468.800000000003</v>
      </c>
      <c r="I2987" s="13">
        <v>0.8</v>
      </c>
      <c r="J2987" t="s">
        <v>6207</v>
      </c>
      <c r="K2987">
        <v>2</v>
      </c>
      <c r="L2987">
        <v>0</v>
      </c>
      <c r="M2987" t="s">
        <v>0</v>
      </c>
      <c r="N2987" s="2">
        <v>0.34</v>
      </c>
      <c r="O2987" s="2">
        <v>0.66</v>
      </c>
      <c r="P2987">
        <v>13</v>
      </c>
      <c r="Q2987">
        <v>12</v>
      </c>
      <c r="R2987">
        <v>4</v>
      </c>
      <c r="S2987">
        <v>7</v>
      </c>
      <c r="T2987">
        <v>10</v>
      </c>
      <c r="U2987">
        <v>11</v>
      </c>
      <c r="V2987">
        <v>3</v>
      </c>
      <c r="W2987">
        <v>1</v>
      </c>
      <c r="X2987">
        <v>1</v>
      </c>
      <c r="Y2987">
        <v>0</v>
      </c>
      <c r="Z2987">
        <v>0</v>
      </c>
    </row>
    <row r="2988" spans="1:26" x14ac:dyDescent="0.2">
      <c r="A2988" t="s">
        <v>3106</v>
      </c>
      <c r="B2988" t="s">
        <v>83</v>
      </c>
      <c r="C2988">
        <v>2016</v>
      </c>
      <c r="D2988" t="s">
        <v>86</v>
      </c>
      <c r="E2988" t="s">
        <v>87</v>
      </c>
      <c r="F2988" t="s">
        <v>86</v>
      </c>
      <c r="G2988">
        <v>11364</v>
      </c>
      <c r="H2988">
        <v>9091.2000000000007</v>
      </c>
      <c r="I2988" s="13">
        <v>0.5</v>
      </c>
      <c r="J2988" t="s">
        <v>6208</v>
      </c>
      <c r="K2988">
        <v>4</v>
      </c>
      <c r="L2988">
        <v>0</v>
      </c>
      <c r="M2988" t="s">
        <v>0</v>
      </c>
      <c r="N2988" s="2">
        <v>0.68</v>
      </c>
      <c r="O2988" s="2">
        <v>0.32</v>
      </c>
      <c r="P2988">
        <v>17</v>
      </c>
      <c r="Q2988">
        <v>6</v>
      </c>
      <c r="R2988">
        <v>4</v>
      </c>
      <c r="S2988">
        <v>3</v>
      </c>
      <c r="T2988">
        <v>4</v>
      </c>
      <c r="U2988">
        <v>14</v>
      </c>
      <c r="V2988">
        <v>0</v>
      </c>
      <c r="W2988">
        <v>3</v>
      </c>
      <c r="X2988">
        <v>0</v>
      </c>
      <c r="Y2988">
        <v>1</v>
      </c>
      <c r="Z2988">
        <v>0</v>
      </c>
    </row>
    <row r="2989" spans="1:26" x14ac:dyDescent="0.2">
      <c r="A2989" t="s">
        <v>3107</v>
      </c>
      <c r="B2989" t="s">
        <v>61</v>
      </c>
      <c r="C2989">
        <v>2016</v>
      </c>
      <c r="D2989" t="s">
        <v>28</v>
      </c>
      <c r="E2989" t="s">
        <v>48</v>
      </c>
      <c r="F2989" t="s">
        <v>28</v>
      </c>
      <c r="G2989">
        <v>21944</v>
      </c>
      <c r="H2989">
        <v>17555.2</v>
      </c>
      <c r="I2989" s="13">
        <v>0.33333333333333331</v>
      </c>
      <c r="J2989" t="s">
        <v>6207</v>
      </c>
      <c r="K2989">
        <v>0</v>
      </c>
      <c r="L2989">
        <v>2</v>
      </c>
      <c r="M2989" t="s">
        <v>1</v>
      </c>
      <c r="N2989" s="2">
        <v>0.46</v>
      </c>
      <c r="O2989" s="2">
        <v>0.54</v>
      </c>
      <c r="P2989">
        <v>17</v>
      </c>
      <c r="Q2989">
        <v>19</v>
      </c>
      <c r="R2989">
        <v>3</v>
      </c>
      <c r="S2989">
        <v>3</v>
      </c>
      <c r="T2989">
        <v>17</v>
      </c>
      <c r="U2989">
        <v>16</v>
      </c>
      <c r="V2989">
        <v>2</v>
      </c>
      <c r="W2989">
        <v>1</v>
      </c>
      <c r="X2989">
        <v>0</v>
      </c>
      <c r="Y2989">
        <v>0</v>
      </c>
      <c r="Z2989">
        <v>0</v>
      </c>
    </row>
    <row r="2990" spans="1:26" x14ac:dyDescent="0.2">
      <c r="A2990" t="s">
        <v>3108</v>
      </c>
      <c r="B2990" t="s">
        <v>37</v>
      </c>
      <c r="C2990">
        <v>2016</v>
      </c>
      <c r="D2990" t="s">
        <v>26</v>
      </c>
      <c r="E2990" t="s">
        <v>79</v>
      </c>
      <c r="F2990" t="s">
        <v>26</v>
      </c>
      <c r="G2990">
        <v>61276</v>
      </c>
      <c r="H2990">
        <v>49020.800000000003</v>
      </c>
      <c r="I2990" s="13">
        <v>1</v>
      </c>
      <c r="J2990" t="s">
        <v>6206</v>
      </c>
      <c r="K2990">
        <v>1</v>
      </c>
      <c r="L2990">
        <v>2</v>
      </c>
      <c r="M2990" t="s">
        <v>1</v>
      </c>
      <c r="N2990" s="2">
        <v>0.72</v>
      </c>
      <c r="O2990" s="2">
        <v>0.28000000000000003</v>
      </c>
      <c r="P2990">
        <v>13</v>
      </c>
      <c r="Q2990">
        <v>9</v>
      </c>
      <c r="R2990">
        <v>4</v>
      </c>
      <c r="S2990">
        <v>3</v>
      </c>
      <c r="T2990">
        <v>8</v>
      </c>
      <c r="U2990">
        <v>10</v>
      </c>
      <c r="V2990">
        <v>1</v>
      </c>
      <c r="W2990">
        <v>2</v>
      </c>
      <c r="X2990">
        <v>0</v>
      </c>
      <c r="Y2990">
        <v>0</v>
      </c>
      <c r="Z2990">
        <v>0</v>
      </c>
    </row>
    <row r="2991" spans="1:26" x14ac:dyDescent="0.2">
      <c r="A2991" t="s">
        <v>3109</v>
      </c>
      <c r="B2991" t="s">
        <v>50</v>
      </c>
      <c r="C2991">
        <v>2016</v>
      </c>
      <c r="D2991" t="s">
        <v>18</v>
      </c>
      <c r="E2991" t="s">
        <v>73</v>
      </c>
      <c r="F2991" t="s">
        <v>20</v>
      </c>
      <c r="G2991">
        <v>40341</v>
      </c>
      <c r="H2991">
        <v>32272.800000000003</v>
      </c>
      <c r="I2991" s="13">
        <v>1</v>
      </c>
      <c r="J2991" t="s">
        <v>6207</v>
      </c>
      <c r="K2991">
        <v>4</v>
      </c>
      <c r="L2991">
        <v>2</v>
      </c>
      <c r="M2991" t="s">
        <v>0</v>
      </c>
      <c r="N2991" s="2">
        <v>0.48</v>
      </c>
      <c r="O2991" s="2">
        <v>0.52</v>
      </c>
      <c r="P2991">
        <v>11</v>
      </c>
      <c r="Q2991">
        <v>13</v>
      </c>
      <c r="R2991">
        <v>6</v>
      </c>
      <c r="S2991">
        <v>7</v>
      </c>
      <c r="T2991">
        <v>13</v>
      </c>
      <c r="U2991">
        <v>9</v>
      </c>
      <c r="V2991">
        <v>2</v>
      </c>
      <c r="W2991">
        <v>2</v>
      </c>
      <c r="X2991">
        <v>0</v>
      </c>
      <c r="Y2991">
        <v>0</v>
      </c>
      <c r="Z2991">
        <v>0</v>
      </c>
    </row>
    <row r="2992" spans="1:26" x14ac:dyDescent="0.2">
      <c r="A2992" t="s">
        <v>3110</v>
      </c>
      <c r="B2992" t="s">
        <v>41</v>
      </c>
      <c r="C2992">
        <v>2016</v>
      </c>
      <c r="D2992" t="s">
        <v>87</v>
      </c>
      <c r="E2992" t="s">
        <v>35</v>
      </c>
      <c r="F2992" t="s">
        <v>87</v>
      </c>
      <c r="G2992">
        <v>34742</v>
      </c>
      <c r="H2992">
        <v>27793.600000000002</v>
      </c>
      <c r="I2992" s="13">
        <v>0.66666666666666663</v>
      </c>
      <c r="J2992" t="s">
        <v>6207</v>
      </c>
      <c r="K2992">
        <v>1</v>
      </c>
      <c r="L2992">
        <v>0</v>
      </c>
      <c r="M2992" t="s">
        <v>0</v>
      </c>
      <c r="N2992" s="2">
        <v>0.49</v>
      </c>
      <c r="O2992" s="2">
        <v>0.51</v>
      </c>
      <c r="P2992">
        <v>17</v>
      </c>
      <c r="Q2992">
        <v>16</v>
      </c>
      <c r="R2992">
        <v>3</v>
      </c>
      <c r="S2992">
        <v>5</v>
      </c>
      <c r="T2992">
        <v>15</v>
      </c>
      <c r="U2992">
        <v>11</v>
      </c>
      <c r="V2992">
        <v>3</v>
      </c>
      <c r="W2992">
        <v>3</v>
      </c>
      <c r="X2992">
        <v>0</v>
      </c>
      <c r="Y2992">
        <v>0</v>
      </c>
      <c r="Z2992">
        <v>0</v>
      </c>
    </row>
    <row r="2993" spans="1:26" x14ac:dyDescent="0.2">
      <c r="A2993" t="s">
        <v>3111</v>
      </c>
      <c r="B2993" t="s">
        <v>53</v>
      </c>
      <c r="C2993">
        <v>2016</v>
      </c>
      <c r="D2993" t="s">
        <v>46</v>
      </c>
      <c r="E2993" t="s">
        <v>80</v>
      </c>
      <c r="F2993" t="s">
        <v>20</v>
      </c>
      <c r="G2993">
        <v>60704</v>
      </c>
      <c r="H2993">
        <v>48563.200000000004</v>
      </c>
      <c r="I2993" s="13">
        <v>0.83333333333333337</v>
      </c>
      <c r="J2993" t="s">
        <v>6207</v>
      </c>
      <c r="K2993">
        <v>1</v>
      </c>
      <c r="L2993">
        <v>0</v>
      </c>
      <c r="M2993" t="s">
        <v>0</v>
      </c>
      <c r="N2993" s="2">
        <v>0.69</v>
      </c>
      <c r="O2993" s="2">
        <v>0.31</v>
      </c>
      <c r="P2993">
        <v>19</v>
      </c>
      <c r="Q2993">
        <v>16</v>
      </c>
      <c r="R2993">
        <v>12</v>
      </c>
      <c r="S2993">
        <v>1</v>
      </c>
      <c r="T2993">
        <v>9</v>
      </c>
      <c r="U2993">
        <v>13</v>
      </c>
      <c r="V2993">
        <v>2</v>
      </c>
      <c r="W2993">
        <v>4</v>
      </c>
      <c r="X2993">
        <v>0</v>
      </c>
      <c r="Y2993">
        <v>0</v>
      </c>
      <c r="Z2993">
        <v>0</v>
      </c>
    </row>
    <row r="2994" spans="1:26" x14ac:dyDescent="0.2">
      <c r="A2994" t="s">
        <v>3112</v>
      </c>
      <c r="B2994" t="s">
        <v>68</v>
      </c>
      <c r="C2994">
        <v>2016</v>
      </c>
      <c r="D2994" t="s">
        <v>79</v>
      </c>
      <c r="E2994" t="s">
        <v>51</v>
      </c>
      <c r="F2994" t="s">
        <v>20</v>
      </c>
      <c r="G2994">
        <v>25486</v>
      </c>
      <c r="H2994">
        <v>20388.800000000003</v>
      </c>
      <c r="I2994" s="13">
        <v>0.5</v>
      </c>
      <c r="J2994" t="s">
        <v>6207</v>
      </c>
      <c r="K2994">
        <v>0</v>
      </c>
      <c r="L2994">
        <v>1</v>
      </c>
      <c r="M2994" t="s">
        <v>1</v>
      </c>
      <c r="N2994" s="2">
        <v>0.32</v>
      </c>
      <c r="O2994" s="2">
        <v>0.68</v>
      </c>
      <c r="P2994">
        <v>15</v>
      </c>
      <c r="Q2994">
        <v>13</v>
      </c>
      <c r="R2994">
        <v>2</v>
      </c>
      <c r="S2994">
        <v>11</v>
      </c>
      <c r="T2994">
        <v>13</v>
      </c>
      <c r="U2994">
        <v>15</v>
      </c>
      <c r="V2994">
        <v>3</v>
      </c>
      <c r="W2994">
        <v>3</v>
      </c>
      <c r="X2994">
        <v>0</v>
      </c>
      <c r="Y2994">
        <v>0</v>
      </c>
      <c r="Z2994">
        <v>0</v>
      </c>
    </row>
    <row r="2995" spans="1:26" x14ac:dyDescent="0.2">
      <c r="A2995" t="s">
        <v>3113</v>
      </c>
      <c r="B2995" t="s">
        <v>32</v>
      </c>
      <c r="C2995">
        <v>2016</v>
      </c>
      <c r="D2995" t="s">
        <v>40</v>
      </c>
      <c r="E2995" t="s">
        <v>48</v>
      </c>
      <c r="F2995" t="s">
        <v>49</v>
      </c>
      <c r="G2995">
        <v>53400</v>
      </c>
      <c r="H2995">
        <v>42720</v>
      </c>
      <c r="I2995" s="13">
        <v>0.66666666666666663</v>
      </c>
      <c r="J2995" t="s">
        <v>6207</v>
      </c>
      <c r="K2995">
        <v>0</v>
      </c>
      <c r="L2995">
        <v>0</v>
      </c>
      <c r="M2995" t="s">
        <v>58</v>
      </c>
      <c r="N2995" s="2">
        <v>0.69</v>
      </c>
      <c r="O2995" s="2">
        <v>0.31</v>
      </c>
      <c r="P2995">
        <v>8</v>
      </c>
      <c r="Q2995">
        <v>12</v>
      </c>
      <c r="R2995">
        <v>7</v>
      </c>
      <c r="S2995">
        <v>4</v>
      </c>
      <c r="T2995">
        <v>10</v>
      </c>
      <c r="U2995">
        <v>8</v>
      </c>
      <c r="V2995">
        <v>1</v>
      </c>
      <c r="W2995">
        <v>1</v>
      </c>
      <c r="X2995">
        <v>0</v>
      </c>
      <c r="Y2995">
        <v>1</v>
      </c>
      <c r="Z2995">
        <v>0</v>
      </c>
    </row>
    <row r="2996" spans="1:26" x14ac:dyDescent="0.2">
      <c r="A2996" t="s">
        <v>3114</v>
      </c>
      <c r="B2996" t="s">
        <v>44</v>
      </c>
      <c r="C2996">
        <v>2016</v>
      </c>
      <c r="D2996" t="s">
        <v>63</v>
      </c>
      <c r="E2996" t="s">
        <v>80</v>
      </c>
      <c r="F2996" t="s">
        <v>65</v>
      </c>
      <c r="G2996">
        <v>26804</v>
      </c>
      <c r="H2996">
        <v>21443.200000000001</v>
      </c>
      <c r="I2996" s="13">
        <v>0.5</v>
      </c>
      <c r="J2996" t="s">
        <v>6207</v>
      </c>
      <c r="K2996">
        <v>0</v>
      </c>
      <c r="L2996">
        <v>1</v>
      </c>
      <c r="M2996" t="s">
        <v>1</v>
      </c>
      <c r="N2996" s="2">
        <v>0.55000000000000004</v>
      </c>
      <c r="O2996" s="2">
        <v>0.45</v>
      </c>
      <c r="P2996">
        <v>10</v>
      </c>
      <c r="Q2996">
        <v>15</v>
      </c>
      <c r="R2996">
        <v>5</v>
      </c>
      <c r="S2996">
        <v>6</v>
      </c>
      <c r="T2996">
        <v>14</v>
      </c>
      <c r="U2996">
        <v>9</v>
      </c>
      <c r="V2996">
        <v>2</v>
      </c>
      <c r="W2996">
        <v>2</v>
      </c>
      <c r="X2996">
        <v>0</v>
      </c>
      <c r="Y2996">
        <v>0</v>
      </c>
      <c r="Z2996">
        <v>0</v>
      </c>
    </row>
    <row r="2997" spans="1:26" x14ac:dyDescent="0.2">
      <c r="A2997" t="s">
        <v>3115</v>
      </c>
      <c r="B2997" t="s">
        <v>59</v>
      </c>
      <c r="C2997">
        <v>2016</v>
      </c>
      <c r="D2997" t="s">
        <v>35</v>
      </c>
      <c r="E2997" t="s">
        <v>86</v>
      </c>
      <c r="F2997" t="s">
        <v>35</v>
      </c>
      <c r="G2997">
        <v>49000</v>
      </c>
      <c r="H2997">
        <v>39200</v>
      </c>
      <c r="I2997" s="13">
        <v>0.8</v>
      </c>
      <c r="J2997" t="s">
        <v>6206</v>
      </c>
      <c r="K2997">
        <v>0</v>
      </c>
      <c r="L2997">
        <v>1</v>
      </c>
      <c r="M2997" t="s">
        <v>1</v>
      </c>
      <c r="N2997" s="2">
        <v>0.41</v>
      </c>
      <c r="O2997" s="2">
        <v>0.59</v>
      </c>
      <c r="P2997">
        <v>10</v>
      </c>
      <c r="Q2997">
        <v>18</v>
      </c>
      <c r="R2997">
        <v>6</v>
      </c>
      <c r="S2997">
        <v>5</v>
      </c>
      <c r="T2997">
        <v>13</v>
      </c>
      <c r="U2997">
        <v>9</v>
      </c>
      <c r="V2997">
        <v>3</v>
      </c>
      <c r="W2997">
        <v>2</v>
      </c>
      <c r="X2997">
        <v>0</v>
      </c>
      <c r="Y2997">
        <v>0</v>
      </c>
      <c r="Z2997">
        <v>0</v>
      </c>
    </row>
    <row r="2998" spans="1:26" x14ac:dyDescent="0.2">
      <c r="A2998" t="s">
        <v>3116</v>
      </c>
      <c r="B2998" t="s">
        <v>54</v>
      </c>
      <c r="C2998">
        <v>2016</v>
      </c>
      <c r="D2998" t="s">
        <v>27</v>
      </c>
      <c r="E2998" t="s">
        <v>23</v>
      </c>
      <c r="F2998" t="s">
        <v>27</v>
      </c>
      <c r="G2998">
        <v>30089</v>
      </c>
      <c r="H2998">
        <v>24071.200000000001</v>
      </c>
      <c r="I2998" s="13">
        <v>1</v>
      </c>
      <c r="J2998" t="s">
        <v>6206</v>
      </c>
      <c r="K2998">
        <v>0</v>
      </c>
      <c r="L2998">
        <v>0</v>
      </c>
      <c r="M2998" t="s">
        <v>58</v>
      </c>
      <c r="N2998" s="2">
        <v>0.56999999999999995</v>
      </c>
      <c r="O2998" s="2">
        <v>0.43</v>
      </c>
      <c r="P2998">
        <v>7</v>
      </c>
      <c r="Q2998">
        <v>13</v>
      </c>
      <c r="R2998">
        <v>5</v>
      </c>
      <c r="S2998">
        <v>3</v>
      </c>
      <c r="T2998">
        <v>12</v>
      </c>
      <c r="U2998">
        <v>3</v>
      </c>
      <c r="V2998">
        <v>1</v>
      </c>
      <c r="W2998">
        <v>0</v>
      </c>
      <c r="X2998">
        <v>0</v>
      </c>
      <c r="Y2998">
        <v>0</v>
      </c>
      <c r="Z2998">
        <v>0</v>
      </c>
    </row>
    <row r="2999" spans="1:26" x14ac:dyDescent="0.2">
      <c r="A2999" t="s">
        <v>3117</v>
      </c>
      <c r="B2999" t="s">
        <v>41</v>
      </c>
      <c r="C2999">
        <v>2016</v>
      </c>
      <c r="D2999" t="s">
        <v>73</v>
      </c>
      <c r="E2999" t="s">
        <v>19</v>
      </c>
      <c r="F2999" t="s">
        <v>73</v>
      </c>
      <c r="G2999">
        <v>32384</v>
      </c>
      <c r="H2999">
        <v>25907.200000000001</v>
      </c>
      <c r="I2999" s="13">
        <v>0.66666666666666663</v>
      </c>
      <c r="J2999" t="s">
        <v>6207</v>
      </c>
      <c r="K2999">
        <v>0</v>
      </c>
      <c r="L2999">
        <v>0</v>
      </c>
      <c r="M2999" t="s">
        <v>58</v>
      </c>
      <c r="N2999" s="2">
        <v>0.52</v>
      </c>
      <c r="O2999" s="2">
        <v>0.48</v>
      </c>
      <c r="P2999">
        <v>13</v>
      </c>
      <c r="Q2999">
        <v>11</v>
      </c>
      <c r="R2999">
        <v>6</v>
      </c>
      <c r="S2999">
        <v>6</v>
      </c>
      <c r="T2999">
        <v>9</v>
      </c>
      <c r="U2999">
        <v>13</v>
      </c>
      <c r="V2999">
        <v>0</v>
      </c>
      <c r="W2999">
        <v>3</v>
      </c>
      <c r="X2999">
        <v>0</v>
      </c>
      <c r="Y2999">
        <v>0</v>
      </c>
      <c r="Z2999">
        <v>1</v>
      </c>
    </row>
    <row r="3000" spans="1:26" x14ac:dyDescent="0.2">
      <c r="A3000" t="s">
        <v>3118</v>
      </c>
      <c r="B3000" t="s">
        <v>77</v>
      </c>
      <c r="C3000">
        <v>2016</v>
      </c>
      <c r="D3000" t="s">
        <v>79</v>
      </c>
      <c r="E3000" t="s">
        <v>28</v>
      </c>
      <c r="F3000" t="s">
        <v>20</v>
      </c>
      <c r="G3000">
        <v>25486</v>
      </c>
      <c r="H3000">
        <v>20388.800000000003</v>
      </c>
      <c r="I3000" s="13">
        <v>1</v>
      </c>
      <c r="J3000" t="s">
        <v>6207</v>
      </c>
      <c r="K3000">
        <v>0</v>
      </c>
      <c r="L3000">
        <v>2</v>
      </c>
      <c r="M3000" t="s">
        <v>1</v>
      </c>
      <c r="N3000" s="2">
        <v>0.64</v>
      </c>
      <c r="O3000" s="2">
        <v>0.36</v>
      </c>
      <c r="P3000">
        <v>12</v>
      </c>
      <c r="Q3000">
        <v>13</v>
      </c>
      <c r="R3000">
        <v>14</v>
      </c>
      <c r="S3000">
        <v>4</v>
      </c>
      <c r="T3000">
        <v>11</v>
      </c>
      <c r="U3000">
        <v>12</v>
      </c>
      <c r="V3000">
        <v>2</v>
      </c>
      <c r="W3000">
        <v>0</v>
      </c>
      <c r="X3000">
        <v>0</v>
      </c>
      <c r="Y3000">
        <v>0</v>
      </c>
      <c r="Z3000">
        <v>0</v>
      </c>
    </row>
    <row r="3001" spans="1:26" x14ac:dyDescent="0.2">
      <c r="A3001" t="s">
        <v>3119</v>
      </c>
      <c r="B3001" t="s">
        <v>67</v>
      </c>
      <c r="C3001">
        <v>2016</v>
      </c>
      <c r="D3001" t="s">
        <v>48</v>
      </c>
      <c r="E3001" t="s">
        <v>71</v>
      </c>
      <c r="F3001" t="s">
        <v>49</v>
      </c>
      <c r="G3001">
        <v>74197</v>
      </c>
      <c r="H3001">
        <v>59357.600000000006</v>
      </c>
      <c r="I3001" s="13">
        <v>0.5</v>
      </c>
      <c r="J3001" t="s">
        <v>6207</v>
      </c>
      <c r="K3001">
        <v>1</v>
      </c>
      <c r="L3001">
        <v>1</v>
      </c>
      <c r="M3001" t="s">
        <v>58</v>
      </c>
      <c r="N3001" s="2">
        <v>0.55000000000000004</v>
      </c>
      <c r="O3001" s="2">
        <v>0.45</v>
      </c>
      <c r="P3001">
        <v>14</v>
      </c>
      <c r="Q3001">
        <v>12</v>
      </c>
      <c r="R3001">
        <v>5</v>
      </c>
      <c r="S3001">
        <v>2</v>
      </c>
      <c r="T3001">
        <v>11</v>
      </c>
      <c r="U3001">
        <v>13</v>
      </c>
      <c r="V3001">
        <v>2</v>
      </c>
      <c r="W3001">
        <v>2</v>
      </c>
      <c r="X3001">
        <v>0</v>
      </c>
      <c r="Y3001">
        <v>0</v>
      </c>
      <c r="Z3001">
        <v>1</v>
      </c>
    </row>
    <row r="3002" spans="1:26" x14ac:dyDescent="0.2">
      <c r="A3002" t="s">
        <v>3120</v>
      </c>
      <c r="B3002" t="s">
        <v>60</v>
      </c>
      <c r="C3002">
        <v>2016</v>
      </c>
      <c r="D3002" t="s">
        <v>87</v>
      </c>
      <c r="E3002" t="s">
        <v>40</v>
      </c>
      <c r="F3002" t="s">
        <v>87</v>
      </c>
      <c r="G3002">
        <v>34742</v>
      </c>
      <c r="H3002">
        <v>27793.600000000002</v>
      </c>
      <c r="I3002" s="13">
        <v>0.625</v>
      </c>
      <c r="J3002" t="s">
        <v>6208</v>
      </c>
      <c r="K3002">
        <v>2</v>
      </c>
      <c r="L3002">
        <v>2</v>
      </c>
      <c r="M3002" t="s">
        <v>58</v>
      </c>
      <c r="N3002" s="2">
        <v>0.32</v>
      </c>
      <c r="O3002" s="2">
        <v>0.68</v>
      </c>
      <c r="P3002">
        <v>10</v>
      </c>
      <c r="Q3002">
        <v>9</v>
      </c>
      <c r="R3002">
        <v>4</v>
      </c>
      <c r="S3002">
        <v>11</v>
      </c>
      <c r="T3002">
        <v>9</v>
      </c>
      <c r="U3002">
        <v>9</v>
      </c>
      <c r="V3002">
        <v>4</v>
      </c>
      <c r="W3002">
        <v>4</v>
      </c>
      <c r="X3002">
        <v>0</v>
      </c>
      <c r="Y3002">
        <v>0</v>
      </c>
      <c r="Z3002">
        <v>1</v>
      </c>
    </row>
    <row r="3003" spans="1:26" x14ac:dyDescent="0.2">
      <c r="A3003" t="s">
        <v>3121</v>
      </c>
      <c r="B3003" t="s">
        <v>68</v>
      </c>
      <c r="C3003">
        <v>2016</v>
      </c>
      <c r="D3003" t="s">
        <v>45</v>
      </c>
      <c r="E3003" t="s">
        <v>18</v>
      </c>
      <c r="F3003" t="s">
        <v>26</v>
      </c>
      <c r="G3003">
        <v>39572</v>
      </c>
      <c r="H3003">
        <v>31657.600000000002</v>
      </c>
      <c r="I3003" s="13">
        <v>0.7142857142857143</v>
      </c>
      <c r="J3003" t="s">
        <v>6207</v>
      </c>
      <c r="K3003">
        <v>0</v>
      </c>
      <c r="L3003">
        <v>3</v>
      </c>
      <c r="M3003" t="s">
        <v>1</v>
      </c>
      <c r="N3003" s="2">
        <v>0.5</v>
      </c>
      <c r="O3003" s="2">
        <v>0.5</v>
      </c>
      <c r="P3003">
        <v>12</v>
      </c>
      <c r="Q3003">
        <v>15</v>
      </c>
      <c r="R3003">
        <v>2</v>
      </c>
      <c r="S3003">
        <v>4</v>
      </c>
      <c r="T3003">
        <v>13</v>
      </c>
      <c r="U3003">
        <v>11</v>
      </c>
      <c r="V3003">
        <v>3</v>
      </c>
      <c r="W3003">
        <v>4</v>
      </c>
      <c r="X3003">
        <v>0</v>
      </c>
      <c r="Y3003">
        <v>0</v>
      </c>
      <c r="Z3003">
        <v>0</v>
      </c>
    </row>
    <row r="3004" spans="1:26" x14ac:dyDescent="0.2">
      <c r="A3004" t="s">
        <v>3122</v>
      </c>
      <c r="B3004" t="s">
        <v>66</v>
      </c>
      <c r="C3004">
        <v>2016</v>
      </c>
      <c r="D3004" t="s">
        <v>51</v>
      </c>
      <c r="E3004" t="s">
        <v>46</v>
      </c>
      <c r="F3004" t="s">
        <v>20</v>
      </c>
      <c r="G3004">
        <v>36284</v>
      </c>
      <c r="H3004">
        <v>29027.200000000001</v>
      </c>
      <c r="I3004" s="13">
        <v>0.75</v>
      </c>
      <c r="J3004" t="s">
        <v>6207</v>
      </c>
      <c r="K3004">
        <v>2</v>
      </c>
      <c r="L3004">
        <v>0</v>
      </c>
      <c r="M3004" t="s">
        <v>0</v>
      </c>
      <c r="N3004" s="2">
        <v>0.51</v>
      </c>
      <c r="O3004" s="2">
        <v>0.49</v>
      </c>
      <c r="P3004">
        <v>18</v>
      </c>
      <c r="Q3004">
        <v>9</v>
      </c>
      <c r="R3004">
        <v>14</v>
      </c>
      <c r="S3004">
        <v>5</v>
      </c>
      <c r="T3004">
        <v>7</v>
      </c>
      <c r="U3004">
        <v>15</v>
      </c>
      <c r="V3004">
        <v>1</v>
      </c>
      <c r="W3004">
        <v>3</v>
      </c>
      <c r="X3004">
        <v>0</v>
      </c>
      <c r="Y3004">
        <v>0</v>
      </c>
      <c r="Z3004">
        <v>1</v>
      </c>
    </row>
    <row r="3005" spans="1:26" x14ac:dyDescent="0.2">
      <c r="A3005" t="s">
        <v>3123</v>
      </c>
      <c r="B3005" t="s">
        <v>76</v>
      </c>
      <c r="C3005">
        <v>2016</v>
      </c>
      <c r="D3005" t="s">
        <v>85</v>
      </c>
      <c r="E3005" t="s">
        <v>26</v>
      </c>
      <c r="F3005" t="s">
        <v>85</v>
      </c>
      <c r="G3005">
        <v>22220</v>
      </c>
      <c r="H3005">
        <v>17776</v>
      </c>
      <c r="I3005" s="13">
        <v>1</v>
      </c>
      <c r="J3005" t="s">
        <v>6207</v>
      </c>
      <c r="K3005">
        <v>0</v>
      </c>
      <c r="L3005">
        <v>1</v>
      </c>
      <c r="M3005" t="s">
        <v>1</v>
      </c>
      <c r="N3005" s="2">
        <v>0.4</v>
      </c>
      <c r="O3005" s="2">
        <v>0.6</v>
      </c>
      <c r="P3005">
        <v>9</v>
      </c>
      <c r="Q3005">
        <v>17</v>
      </c>
      <c r="R3005">
        <v>3</v>
      </c>
      <c r="S3005">
        <v>5</v>
      </c>
      <c r="T3005">
        <v>11</v>
      </c>
      <c r="U3005">
        <v>9</v>
      </c>
      <c r="V3005">
        <v>3</v>
      </c>
      <c r="W3005">
        <v>1</v>
      </c>
      <c r="X3005">
        <v>0</v>
      </c>
      <c r="Y3005">
        <v>0</v>
      </c>
      <c r="Z3005">
        <v>0</v>
      </c>
    </row>
    <row r="3006" spans="1:26" x14ac:dyDescent="0.2">
      <c r="A3006" t="s">
        <v>3124</v>
      </c>
      <c r="B3006" t="s">
        <v>61</v>
      </c>
      <c r="C3006">
        <v>2016</v>
      </c>
      <c r="D3006" t="s">
        <v>23</v>
      </c>
      <c r="E3006" t="s">
        <v>51</v>
      </c>
      <c r="F3006" t="s">
        <v>20</v>
      </c>
      <c r="G3006">
        <v>62500</v>
      </c>
      <c r="H3006">
        <v>50000</v>
      </c>
      <c r="I3006" s="13">
        <v>0.33333333333333331</v>
      </c>
      <c r="J3006" t="s">
        <v>6207</v>
      </c>
      <c r="K3006">
        <v>1</v>
      </c>
      <c r="L3006">
        <v>0</v>
      </c>
      <c r="M3006" t="s">
        <v>0</v>
      </c>
      <c r="N3006" s="2">
        <v>0.32</v>
      </c>
      <c r="O3006" s="2">
        <v>0.68</v>
      </c>
      <c r="P3006">
        <v>9</v>
      </c>
      <c r="Q3006">
        <v>11</v>
      </c>
      <c r="R3006">
        <v>3</v>
      </c>
      <c r="S3006">
        <v>7</v>
      </c>
      <c r="T3006">
        <v>8</v>
      </c>
      <c r="U3006">
        <v>9</v>
      </c>
      <c r="V3006">
        <v>4</v>
      </c>
      <c r="W3006">
        <v>2</v>
      </c>
      <c r="X3006">
        <v>0</v>
      </c>
      <c r="Y3006">
        <v>0</v>
      </c>
      <c r="Z3006">
        <v>0</v>
      </c>
    </row>
    <row r="3007" spans="1:26" x14ac:dyDescent="0.2">
      <c r="A3007" t="s">
        <v>3125</v>
      </c>
      <c r="B3007" t="s">
        <v>66</v>
      </c>
      <c r="C3007">
        <v>2016</v>
      </c>
      <c r="D3007" t="s">
        <v>40</v>
      </c>
      <c r="E3007" t="s">
        <v>79</v>
      </c>
      <c r="F3007" t="s">
        <v>49</v>
      </c>
      <c r="G3007">
        <v>53400</v>
      </c>
      <c r="H3007">
        <v>42720</v>
      </c>
      <c r="I3007" s="13">
        <v>0.75</v>
      </c>
      <c r="J3007" t="s">
        <v>6207</v>
      </c>
      <c r="K3007">
        <v>5</v>
      </c>
      <c r="L3007">
        <v>0</v>
      </c>
      <c r="M3007" t="s">
        <v>0</v>
      </c>
      <c r="N3007" s="2">
        <v>0.69</v>
      </c>
      <c r="O3007" s="2">
        <v>0.31</v>
      </c>
      <c r="P3007">
        <v>8</v>
      </c>
      <c r="Q3007">
        <v>14</v>
      </c>
      <c r="R3007">
        <v>9</v>
      </c>
      <c r="S3007">
        <v>3</v>
      </c>
      <c r="T3007">
        <v>12</v>
      </c>
      <c r="U3007">
        <v>8</v>
      </c>
      <c r="V3007">
        <v>1</v>
      </c>
      <c r="W3007">
        <v>3</v>
      </c>
      <c r="X3007">
        <v>0</v>
      </c>
      <c r="Y3007">
        <v>0</v>
      </c>
      <c r="Z3007">
        <v>0</v>
      </c>
    </row>
    <row r="3008" spans="1:26" x14ac:dyDescent="0.2">
      <c r="A3008" t="s">
        <v>3126</v>
      </c>
      <c r="B3008" t="s">
        <v>74</v>
      </c>
      <c r="C3008">
        <v>2016</v>
      </c>
      <c r="D3008" t="s">
        <v>80</v>
      </c>
      <c r="E3008" t="s">
        <v>85</v>
      </c>
      <c r="F3008" t="s">
        <v>80</v>
      </c>
      <c r="G3008">
        <v>32261</v>
      </c>
      <c r="H3008">
        <v>25808.800000000003</v>
      </c>
      <c r="I3008" s="13">
        <v>0</v>
      </c>
      <c r="J3008" t="s">
        <v>6208</v>
      </c>
      <c r="K3008">
        <v>3</v>
      </c>
      <c r="L3008">
        <v>0</v>
      </c>
      <c r="M3008" t="s">
        <v>0</v>
      </c>
      <c r="N3008" s="2">
        <v>0.42</v>
      </c>
      <c r="O3008" s="2">
        <v>0.57999999999999996</v>
      </c>
      <c r="P3008">
        <v>13</v>
      </c>
      <c r="Q3008">
        <v>12</v>
      </c>
      <c r="R3008">
        <v>10</v>
      </c>
      <c r="S3008">
        <v>1</v>
      </c>
      <c r="T3008">
        <v>8</v>
      </c>
      <c r="U3008">
        <v>10</v>
      </c>
      <c r="V3008">
        <v>0</v>
      </c>
      <c r="W3008">
        <v>0</v>
      </c>
      <c r="X3008">
        <v>0</v>
      </c>
      <c r="Y3008">
        <v>0</v>
      </c>
      <c r="Z3008">
        <v>0</v>
      </c>
    </row>
    <row r="3009" spans="1:26" x14ac:dyDescent="0.2">
      <c r="A3009" t="s">
        <v>3127</v>
      </c>
      <c r="B3009" t="s">
        <v>67</v>
      </c>
      <c r="C3009">
        <v>2016</v>
      </c>
      <c r="D3009" t="s">
        <v>19</v>
      </c>
      <c r="E3009" t="s">
        <v>35</v>
      </c>
      <c r="F3009" t="s">
        <v>19</v>
      </c>
      <c r="G3009">
        <v>25586</v>
      </c>
      <c r="H3009">
        <v>20468.800000000003</v>
      </c>
      <c r="I3009" s="13">
        <v>0.75</v>
      </c>
      <c r="J3009" t="s">
        <v>6207</v>
      </c>
      <c r="K3009">
        <v>0</v>
      </c>
      <c r="L3009">
        <v>2</v>
      </c>
      <c r="M3009" t="s">
        <v>1</v>
      </c>
      <c r="N3009" s="2">
        <v>0.6</v>
      </c>
      <c r="O3009" s="2">
        <v>0.4</v>
      </c>
      <c r="P3009">
        <v>12</v>
      </c>
      <c r="Q3009">
        <v>10</v>
      </c>
      <c r="R3009">
        <v>7</v>
      </c>
      <c r="S3009">
        <v>4</v>
      </c>
      <c r="T3009">
        <v>10</v>
      </c>
      <c r="U3009">
        <v>8</v>
      </c>
      <c r="V3009">
        <v>3</v>
      </c>
      <c r="W3009">
        <v>1</v>
      </c>
      <c r="X3009">
        <v>0</v>
      </c>
      <c r="Y3009">
        <v>0</v>
      </c>
      <c r="Z3009">
        <v>0</v>
      </c>
    </row>
    <row r="3010" spans="1:26" x14ac:dyDescent="0.2">
      <c r="A3010" t="s">
        <v>3128</v>
      </c>
      <c r="B3010" t="s">
        <v>53</v>
      </c>
      <c r="C3010">
        <v>2016</v>
      </c>
      <c r="D3010" t="s">
        <v>28</v>
      </c>
      <c r="E3010" t="s">
        <v>63</v>
      </c>
      <c r="F3010" t="s">
        <v>28</v>
      </c>
      <c r="G3010">
        <v>21944</v>
      </c>
      <c r="H3010">
        <v>17555.2</v>
      </c>
      <c r="I3010" s="13">
        <v>0.5</v>
      </c>
      <c r="J3010" t="s">
        <v>6207</v>
      </c>
      <c r="K3010">
        <v>2</v>
      </c>
      <c r="L3010">
        <v>2</v>
      </c>
      <c r="M3010" t="s">
        <v>58</v>
      </c>
      <c r="N3010" s="2">
        <v>0.55000000000000004</v>
      </c>
      <c r="O3010" s="2">
        <v>0.45</v>
      </c>
      <c r="P3010">
        <v>15</v>
      </c>
      <c r="Q3010">
        <v>10</v>
      </c>
      <c r="R3010">
        <v>5</v>
      </c>
      <c r="S3010">
        <v>8</v>
      </c>
      <c r="T3010">
        <v>9</v>
      </c>
      <c r="U3010">
        <v>14</v>
      </c>
      <c r="V3010">
        <v>1</v>
      </c>
      <c r="W3010">
        <v>3</v>
      </c>
      <c r="X3010">
        <v>0</v>
      </c>
      <c r="Y3010">
        <v>0</v>
      </c>
      <c r="Z3010">
        <v>0</v>
      </c>
    </row>
    <row r="3011" spans="1:26" x14ac:dyDescent="0.2">
      <c r="A3011" t="s">
        <v>3129</v>
      </c>
      <c r="B3011" t="s">
        <v>81</v>
      </c>
      <c r="C3011">
        <v>2016</v>
      </c>
      <c r="D3011" t="s">
        <v>86</v>
      </c>
      <c r="E3011" t="s">
        <v>27</v>
      </c>
      <c r="F3011" t="s">
        <v>86</v>
      </c>
      <c r="G3011">
        <v>11364</v>
      </c>
      <c r="H3011">
        <v>9091.2000000000007</v>
      </c>
      <c r="I3011" s="13">
        <v>1</v>
      </c>
      <c r="J3011" t="s">
        <v>6207</v>
      </c>
      <c r="K3011">
        <v>2</v>
      </c>
      <c r="L3011">
        <v>2</v>
      </c>
      <c r="M3011" t="s">
        <v>58</v>
      </c>
      <c r="N3011" s="2">
        <v>0.57999999999999996</v>
      </c>
      <c r="O3011" s="2">
        <v>0.42</v>
      </c>
      <c r="P3011">
        <v>17</v>
      </c>
      <c r="Q3011">
        <v>11</v>
      </c>
      <c r="R3011">
        <v>0</v>
      </c>
      <c r="S3011">
        <v>7</v>
      </c>
      <c r="T3011">
        <v>10</v>
      </c>
      <c r="U3011">
        <v>15</v>
      </c>
      <c r="V3011">
        <v>2</v>
      </c>
      <c r="W3011">
        <v>0</v>
      </c>
      <c r="X3011">
        <v>0</v>
      </c>
      <c r="Y3011">
        <v>0</v>
      </c>
      <c r="Z3011">
        <v>0</v>
      </c>
    </row>
    <row r="3012" spans="1:26" x14ac:dyDescent="0.2">
      <c r="A3012" t="s">
        <v>3130</v>
      </c>
      <c r="B3012" t="s">
        <v>32</v>
      </c>
      <c r="C3012">
        <v>2016</v>
      </c>
      <c r="D3012" t="s">
        <v>71</v>
      </c>
      <c r="E3012" t="s">
        <v>45</v>
      </c>
      <c r="F3012" t="s">
        <v>71</v>
      </c>
      <c r="G3012">
        <v>21088</v>
      </c>
      <c r="H3012">
        <v>16870.400000000001</v>
      </c>
      <c r="I3012" s="13">
        <v>0</v>
      </c>
      <c r="J3012" t="s">
        <v>6207</v>
      </c>
      <c r="K3012">
        <v>1</v>
      </c>
      <c r="L3012">
        <v>0</v>
      </c>
      <c r="M3012" t="s">
        <v>0</v>
      </c>
      <c r="N3012" s="2">
        <v>0.38</v>
      </c>
      <c r="O3012" s="2">
        <v>0.62</v>
      </c>
      <c r="P3012">
        <v>13</v>
      </c>
      <c r="Q3012">
        <v>5</v>
      </c>
      <c r="R3012">
        <v>9</v>
      </c>
      <c r="S3012">
        <v>5</v>
      </c>
      <c r="T3012">
        <v>5</v>
      </c>
      <c r="U3012">
        <v>13</v>
      </c>
      <c r="V3012">
        <v>0</v>
      </c>
      <c r="W3012">
        <v>0</v>
      </c>
      <c r="X3012">
        <v>0</v>
      </c>
      <c r="Y3012">
        <v>0</v>
      </c>
      <c r="Z3012">
        <v>0</v>
      </c>
    </row>
    <row r="3013" spans="1:26" x14ac:dyDescent="0.2">
      <c r="A3013" t="s">
        <v>3131</v>
      </c>
      <c r="B3013" t="s">
        <v>77</v>
      </c>
      <c r="C3013">
        <v>2016</v>
      </c>
      <c r="D3013" t="s">
        <v>26</v>
      </c>
      <c r="E3013" t="s">
        <v>73</v>
      </c>
      <c r="F3013" t="s">
        <v>26</v>
      </c>
      <c r="G3013">
        <v>61276</v>
      </c>
      <c r="H3013">
        <v>49020.800000000003</v>
      </c>
      <c r="I3013" s="13">
        <v>0.25</v>
      </c>
      <c r="J3013" t="s">
        <v>6207</v>
      </c>
      <c r="K3013">
        <v>0</v>
      </c>
      <c r="L3013">
        <v>0</v>
      </c>
      <c r="M3013" t="s">
        <v>58</v>
      </c>
      <c r="N3013" s="2">
        <v>0.65</v>
      </c>
      <c r="O3013" s="2">
        <v>0.35</v>
      </c>
      <c r="P3013">
        <v>6</v>
      </c>
      <c r="Q3013">
        <v>10</v>
      </c>
      <c r="R3013">
        <v>3</v>
      </c>
      <c r="S3013">
        <v>6</v>
      </c>
      <c r="T3013">
        <v>9</v>
      </c>
      <c r="U3013">
        <v>4</v>
      </c>
      <c r="V3013">
        <v>1</v>
      </c>
      <c r="W3013">
        <v>3</v>
      </c>
      <c r="X3013">
        <v>0</v>
      </c>
      <c r="Y3013">
        <v>0</v>
      </c>
      <c r="Z3013">
        <v>1</v>
      </c>
    </row>
    <row r="3014" spans="1:26" x14ac:dyDescent="0.2">
      <c r="A3014" t="s">
        <v>3132</v>
      </c>
      <c r="B3014" t="s">
        <v>37</v>
      </c>
      <c r="C3014">
        <v>2016</v>
      </c>
      <c r="D3014" t="s">
        <v>46</v>
      </c>
      <c r="E3014" t="s">
        <v>48</v>
      </c>
      <c r="F3014" t="s">
        <v>20</v>
      </c>
      <c r="G3014">
        <v>60704</v>
      </c>
      <c r="H3014">
        <v>48563.200000000004</v>
      </c>
      <c r="I3014" s="13">
        <v>1</v>
      </c>
      <c r="J3014" t="s">
        <v>6206</v>
      </c>
      <c r="K3014">
        <v>2</v>
      </c>
      <c r="L3014">
        <v>0</v>
      </c>
      <c r="M3014" t="s">
        <v>0</v>
      </c>
      <c r="N3014" s="2">
        <v>0.5</v>
      </c>
      <c r="O3014" s="2">
        <v>0.5</v>
      </c>
      <c r="P3014">
        <v>13</v>
      </c>
      <c r="Q3014">
        <v>16</v>
      </c>
      <c r="R3014">
        <v>5</v>
      </c>
      <c r="S3014">
        <v>9</v>
      </c>
      <c r="T3014">
        <v>14</v>
      </c>
      <c r="U3014">
        <v>10</v>
      </c>
      <c r="V3014">
        <v>1</v>
      </c>
      <c r="W3014">
        <v>0</v>
      </c>
      <c r="X3014">
        <v>0</v>
      </c>
      <c r="Y3014">
        <v>0</v>
      </c>
      <c r="Z3014">
        <v>0</v>
      </c>
    </row>
    <row r="3015" spans="1:26" x14ac:dyDescent="0.2">
      <c r="A3015" t="s">
        <v>3133</v>
      </c>
      <c r="B3015" t="s">
        <v>76</v>
      </c>
      <c r="C3015">
        <v>2016</v>
      </c>
      <c r="D3015" t="s">
        <v>18</v>
      </c>
      <c r="E3015" t="s">
        <v>87</v>
      </c>
      <c r="F3015" t="s">
        <v>20</v>
      </c>
      <c r="G3015">
        <v>40341</v>
      </c>
      <c r="H3015">
        <v>32272.800000000003</v>
      </c>
      <c r="I3015" s="13">
        <v>0.5</v>
      </c>
      <c r="J3015" t="s">
        <v>6207</v>
      </c>
      <c r="K3015">
        <v>3</v>
      </c>
      <c r="L3015">
        <v>0</v>
      </c>
      <c r="M3015" t="s">
        <v>0</v>
      </c>
      <c r="N3015" s="2">
        <v>0.56999999999999995</v>
      </c>
      <c r="O3015" s="2">
        <v>0.43</v>
      </c>
      <c r="P3015">
        <v>23</v>
      </c>
      <c r="Q3015">
        <v>6</v>
      </c>
      <c r="R3015">
        <v>8</v>
      </c>
      <c r="S3015">
        <v>1</v>
      </c>
      <c r="T3015">
        <v>8</v>
      </c>
      <c r="U3015">
        <v>21</v>
      </c>
      <c r="V3015">
        <v>0</v>
      </c>
      <c r="W3015">
        <v>2</v>
      </c>
      <c r="X3015">
        <v>0</v>
      </c>
      <c r="Y3015">
        <v>0</v>
      </c>
      <c r="Z3015">
        <v>0</v>
      </c>
    </row>
    <row r="3016" spans="1:26" x14ac:dyDescent="0.2">
      <c r="A3016" t="s">
        <v>3134</v>
      </c>
      <c r="B3016" t="s">
        <v>68</v>
      </c>
      <c r="C3016">
        <v>2016</v>
      </c>
      <c r="D3016" t="s">
        <v>73</v>
      </c>
      <c r="E3016" t="s">
        <v>46</v>
      </c>
      <c r="F3016" t="s">
        <v>73</v>
      </c>
      <c r="G3016">
        <v>32384</v>
      </c>
      <c r="H3016">
        <v>25907.200000000001</v>
      </c>
      <c r="I3016" s="13">
        <v>0.66666666666666663</v>
      </c>
      <c r="J3016" t="s">
        <v>6207</v>
      </c>
      <c r="K3016">
        <v>0</v>
      </c>
      <c r="L3016">
        <v>2</v>
      </c>
      <c r="M3016" t="s">
        <v>1</v>
      </c>
      <c r="N3016" s="2">
        <v>0.47</v>
      </c>
      <c r="O3016" s="2">
        <v>0.53</v>
      </c>
      <c r="P3016">
        <v>6</v>
      </c>
      <c r="Q3016">
        <v>8</v>
      </c>
      <c r="R3016">
        <v>5</v>
      </c>
      <c r="S3016">
        <v>5</v>
      </c>
      <c r="T3016">
        <v>8</v>
      </c>
      <c r="U3016">
        <v>5</v>
      </c>
      <c r="V3016">
        <v>1</v>
      </c>
      <c r="W3016">
        <v>2</v>
      </c>
      <c r="X3016">
        <v>0</v>
      </c>
      <c r="Y3016">
        <v>0</v>
      </c>
      <c r="Z3016">
        <v>0</v>
      </c>
    </row>
    <row r="3017" spans="1:26" x14ac:dyDescent="0.2">
      <c r="A3017" t="s">
        <v>3135</v>
      </c>
      <c r="B3017" t="s">
        <v>60</v>
      </c>
      <c r="C3017">
        <v>2016</v>
      </c>
      <c r="D3017" t="s">
        <v>45</v>
      </c>
      <c r="E3017" t="s">
        <v>85</v>
      </c>
      <c r="F3017" t="s">
        <v>26</v>
      </c>
      <c r="G3017">
        <v>39572</v>
      </c>
      <c r="H3017">
        <v>31657.600000000002</v>
      </c>
      <c r="I3017" s="13">
        <v>1</v>
      </c>
      <c r="J3017" t="s">
        <v>6208</v>
      </c>
      <c r="K3017">
        <v>1</v>
      </c>
      <c r="L3017">
        <v>0</v>
      </c>
      <c r="M3017" t="s">
        <v>0</v>
      </c>
      <c r="N3017" s="2">
        <v>0.63</v>
      </c>
      <c r="O3017" s="2">
        <v>0.37</v>
      </c>
      <c r="P3017">
        <v>12</v>
      </c>
      <c r="Q3017">
        <v>9</v>
      </c>
      <c r="R3017">
        <v>9</v>
      </c>
      <c r="S3017">
        <v>8</v>
      </c>
      <c r="T3017">
        <v>7</v>
      </c>
      <c r="U3017">
        <v>11</v>
      </c>
      <c r="V3017">
        <v>0</v>
      </c>
      <c r="W3017">
        <v>3</v>
      </c>
      <c r="X3017">
        <v>0</v>
      </c>
      <c r="Y3017">
        <v>0</v>
      </c>
      <c r="Z3017">
        <v>0</v>
      </c>
    </row>
    <row r="3018" spans="1:26" x14ac:dyDescent="0.2">
      <c r="A3018" t="s">
        <v>3136</v>
      </c>
      <c r="B3018" t="s">
        <v>66</v>
      </c>
      <c r="C3018">
        <v>2016</v>
      </c>
      <c r="D3018" t="s">
        <v>63</v>
      </c>
      <c r="E3018" t="s">
        <v>18</v>
      </c>
      <c r="F3018" t="s">
        <v>65</v>
      </c>
      <c r="G3018">
        <v>26804</v>
      </c>
      <c r="H3018">
        <v>21443.200000000001</v>
      </c>
      <c r="I3018" s="13">
        <v>0.66666666666666663</v>
      </c>
      <c r="J3018" t="s">
        <v>6207</v>
      </c>
      <c r="K3018">
        <v>0</v>
      </c>
      <c r="L3018">
        <v>1</v>
      </c>
      <c r="M3018" t="s">
        <v>1</v>
      </c>
      <c r="N3018" s="2">
        <v>0.32</v>
      </c>
      <c r="O3018" s="2">
        <v>0.68</v>
      </c>
      <c r="P3018">
        <v>9</v>
      </c>
      <c r="Q3018">
        <v>16</v>
      </c>
      <c r="R3018">
        <v>5</v>
      </c>
      <c r="S3018">
        <v>8</v>
      </c>
      <c r="T3018">
        <v>13</v>
      </c>
      <c r="U3018">
        <v>8</v>
      </c>
      <c r="V3018">
        <v>3</v>
      </c>
      <c r="W3018">
        <v>0</v>
      </c>
      <c r="X3018">
        <v>0</v>
      </c>
      <c r="Y3018">
        <v>0</v>
      </c>
      <c r="Z3018">
        <v>0</v>
      </c>
    </row>
    <row r="3019" spans="1:26" x14ac:dyDescent="0.2">
      <c r="A3019" t="s">
        <v>3137</v>
      </c>
      <c r="B3019" t="s">
        <v>77</v>
      </c>
      <c r="C3019">
        <v>2016</v>
      </c>
      <c r="D3019" t="s">
        <v>40</v>
      </c>
      <c r="E3019" t="s">
        <v>80</v>
      </c>
      <c r="F3019" t="s">
        <v>49</v>
      </c>
      <c r="G3019">
        <v>53400</v>
      </c>
      <c r="H3019">
        <v>42720</v>
      </c>
      <c r="I3019" s="13">
        <v>0.83333333333333337</v>
      </c>
      <c r="J3019" t="s">
        <v>6207</v>
      </c>
      <c r="K3019">
        <v>2</v>
      </c>
      <c r="L3019">
        <v>1</v>
      </c>
      <c r="M3019" t="s">
        <v>0</v>
      </c>
      <c r="N3019" s="2">
        <v>0.66</v>
      </c>
      <c r="O3019" s="2">
        <v>0.34</v>
      </c>
      <c r="P3019">
        <v>14</v>
      </c>
      <c r="Q3019">
        <v>12</v>
      </c>
      <c r="R3019">
        <v>9</v>
      </c>
      <c r="S3019">
        <v>3</v>
      </c>
      <c r="T3019">
        <v>12</v>
      </c>
      <c r="U3019">
        <v>16</v>
      </c>
      <c r="V3019">
        <v>3</v>
      </c>
      <c r="W3019">
        <v>3</v>
      </c>
      <c r="X3019">
        <v>0</v>
      </c>
      <c r="Y3019">
        <v>0</v>
      </c>
      <c r="Z3019">
        <v>2</v>
      </c>
    </row>
    <row r="3020" spans="1:26" x14ac:dyDescent="0.2">
      <c r="A3020" t="s">
        <v>3138</v>
      </c>
      <c r="B3020" t="s">
        <v>37</v>
      </c>
      <c r="C3020">
        <v>2016</v>
      </c>
      <c r="D3020" t="s">
        <v>35</v>
      </c>
      <c r="E3020" t="s">
        <v>71</v>
      </c>
      <c r="F3020" t="s">
        <v>35</v>
      </c>
      <c r="G3020">
        <v>49000</v>
      </c>
      <c r="H3020">
        <v>39200</v>
      </c>
      <c r="I3020" s="13">
        <v>1</v>
      </c>
      <c r="J3020" t="s">
        <v>6206</v>
      </c>
      <c r="K3020">
        <v>0</v>
      </c>
      <c r="L3020">
        <v>2</v>
      </c>
      <c r="M3020" t="s">
        <v>1</v>
      </c>
      <c r="N3020" s="2">
        <v>0.53</v>
      </c>
      <c r="O3020" s="2">
        <v>0.47</v>
      </c>
      <c r="P3020">
        <v>7</v>
      </c>
      <c r="Q3020">
        <v>15</v>
      </c>
      <c r="R3020">
        <v>8</v>
      </c>
      <c r="S3020">
        <v>4</v>
      </c>
      <c r="T3020">
        <v>13</v>
      </c>
      <c r="U3020">
        <v>6</v>
      </c>
      <c r="V3020">
        <v>4</v>
      </c>
      <c r="W3020">
        <v>0</v>
      </c>
      <c r="X3020">
        <v>0</v>
      </c>
      <c r="Y3020">
        <v>0</v>
      </c>
      <c r="Z3020">
        <v>0</v>
      </c>
    </row>
    <row r="3021" spans="1:26" x14ac:dyDescent="0.2">
      <c r="A3021" t="s">
        <v>3139</v>
      </c>
      <c r="B3021" t="s">
        <v>61</v>
      </c>
      <c r="C3021">
        <v>2016</v>
      </c>
      <c r="D3021" t="s">
        <v>87</v>
      </c>
      <c r="E3021" t="s">
        <v>73</v>
      </c>
      <c r="F3021" t="s">
        <v>87</v>
      </c>
      <c r="G3021">
        <v>34742</v>
      </c>
      <c r="H3021">
        <v>27793.600000000002</v>
      </c>
      <c r="I3021" s="13">
        <v>0</v>
      </c>
      <c r="J3021" t="s">
        <v>6207</v>
      </c>
      <c r="K3021">
        <v>1</v>
      </c>
      <c r="L3021">
        <v>2</v>
      </c>
      <c r="M3021" t="s">
        <v>1</v>
      </c>
      <c r="N3021" s="2">
        <v>0.42</v>
      </c>
      <c r="O3021" s="2">
        <v>0.57999999999999996</v>
      </c>
      <c r="P3021">
        <v>11</v>
      </c>
      <c r="Q3021">
        <v>20</v>
      </c>
      <c r="R3021">
        <v>6</v>
      </c>
      <c r="S3021">
        <v>3</v>
      </c>
      <c r="T3021">
        <v>19</v>
      </c>
      <c r="U3021">
        <v>11</v>
      </c>
      <c r="V3021">
        <v>3</v>
      </c>
      <c r="W3021">
        <v>0</v>
      </c>
      <c r="X3021">
        <v>0</v>
      </c>
      <c r="Y3021">
        <v>0</v>
      </c>
      <c r="Z3021">
        <v>1</v>
      </c>
    </row>
    <row r="3022" spans="1:26" x14ac:dyDescent="0.2">
      <c r="A3022" t="s">
        <v>3140</v>
      </c>
      <c r="B3022" t="s">
        <v>54</v>
      </c>
      <c r="C3022">
        <v>2016</v>
      </c>
      <c r="D3022" t="s">
        <v>86</v>
      </c>
      <c r="E3022" t="s">
        <v>28</v>
      </c>
      <c r="F3022" t="s">
        <v>86</v>
      </c>
      <c r="G3022">
        <v>11364</v>
      </c>
      <c r="H3022">
        <v>9091.2000000000007</v>
      </c>
      <c r="I3022" s="13">
        <v>1</v>
      </c>
      <c r="J3022" t="s">
        <v>6206</v>
      </c>
      <c r="K3022">
        <v>2</v>
      </c>
      <c r="L3022">
        <v>1</v>
      </c>
      <c r="M3022" t="s">
        <v>0</v>
      </c>
      <c r="N3022" s="2">
        <v>0.55000000000000004</v>
      </c>
      <c r="O3022" s="2">
        <v>0.45</v>
      </c>
      <c r="P3022">
        <v>16</v>
      </c>
      <c r="Q3022">
        <v>9</v>
      </c>
      <c r="R3022">
        <v>7</v>
      </c>
      <c r="S3022">
        <v>1</v>
      </c>
      <c r="T3022">
        <v>6</v>
      </c>
      <c r="U3022">
        <v>11</v>
      </c>
      <c r="V3022">
        <v>0</v>
      </c>
      <c r="W3022">
        <v>1</v>
      </c>
      <c r="X3022">
        <v>0</v>
      </c>
      <c r="Y3022">
        <v>0</v>
      </c>
      <c r="Z3022">
        <v>0</v>
      </c>
    </row>
    <row r="3023" spans="1:26" x14ac:dyDescent="0.2">
      <c r="A3023" t="s">
        <v>3141</v>
      </c>
      <c r="B3023" t="s">
        <v>41</v>
      </c>
      <c r="C3023">
        <v>2016</v>
      </c>
      <c r="D3023" t="s">
        <v>27</v>
      </c>
      <c r="E3023" t="s">
        <v>46</v>
      </c>
      <c r="F3023" t="s">
        <v>27</v>
      </c>
      <c r="G3023">
        <v>30089</v>
      </c>
      <c r="H3023">
        <v>24071.200000000001</v>
      </c>
      <c r="I3023" s="13">
        <v>0.33333333333333331</v>
      </c>
      <c r="J3023" t="s">
        <v>6207</v>
      </c>
      <c r="K3023">
        <v>1</v>
      </c>
      <c r="L3023">
        <v>4</v>
      </c>
      <c r="M3023" t="s">
        <v>1</v>
      </c>
      <c r="N3023" s="2">
        <v>0.33</v>
      </c>
      <c r="O3023" s="2">
        <v>0.67</v>
      </c>
      <c r="P3023">
        <v>8</v>
      </c>
      <c r="Q3023">
        <v>16</v>
      </c>
      <c r="R3023">
        <v>7</v>
      </c>
      <c r="S3023">
        <v>6</v>
      </c>
      <c r="T3023">
        <v>13</v>
      </c>
      <c r="U3023">
        <v>7</v>
      </c>
      <c r="V3023">
        <v>1</v>
      </c>
      <c r="W3023">
        <v>2</v>
      </c>
      <c r="X3023">
        <v>0</v>
      </c>
      <c r="Y3023">
        <v>0</v>
      </c>
      <c r="Z3023">
        <v>0</v>
      </c>
    </row>
    <row r="3024" spans="1:26" x14ac:dyDescent="0.2">
      <c r="A3024" t="s">
        <v>3142</v>
      </c>
      <c r="B3024" t="s">
        <v>32</v>
      </c>
      <c r="C3024">
        <v>2016</v>
      </c>
      <c r="D3024" t="s">
        <v>79</v>
      </c>
      <c r="E3024" t="s">
        <v>19</v>
      </c>
      <c r="F3024" t="s">
        <v>20</v>
      </c>
      <c r="G3024">
        <v>25486</v>
      </c>
      <c r="H3024">
        <v>20388.800000000003</v>
      </c>
      <c r="I3024" s="13">
        <v>0.375</v>
      </c>
      <c r="J3024" t="s">
        <v>6207</v>
      </c>
      <c r="K3024">
        <v>4</v>
      </c>
      <c r="L3024">
        <v>0</v>
      </c>
      <c r="M3024" t="s">
        <v>0</v>
      </c>
      <c r="N3024" s="2">
        <v>0.3</v>
      </c>
      <c r="O3024" s="2">
        <v>0.7</v>
      </c>
      <c r="P3024">
        <v>14</v>
      </c>
      <c r="Q3024">
        <v>16</v>
      </c>
      <c r="R3024">
        <v>3</v>
      </c>
      <c r="S3024">
        <v>7</v>
      </c>
      <c r="T3024">
        <v>13</v>
      </c>
      <c r="U3024">
        <v>14</v>
      </c>
      <c r="V3024">
        <v>3</v>
      </c>
      <c r="W3024">
        <v>5</v>
      </c>
      <c r="X3024">
        <v>0</v>
      </c>
      <c r="Y3024">
        <v>0</v>
      </c>
      <c r="Z3024">
        <v>1</v>
      </c>
    </row>
    <row r="3025" spans="1:26" x14ac:dyDescent="0.2">
      <c r="A3025" t="s">
        <v>3143</v>
      </c>
      <c r="B3025" t="s">
        <v>67</v>
      </c>
      <c r="C3025">
        <v>2016</v>
      </c>
      <c r="D3025" t="s">
        <v>23</v>
      </c>
      <c r="E3025" t="s">
        <v>26</v>
      </c>
      <c r="F3025" t="s">
        <v>20</v>
      </c>
      <c r="G3025">
        <v>62500</v>
      </c>
      <c r="H3025">
        <v>50000</v>
      </c>
      <c r="I3025" s="13">
        <v>0.5</v>
      </c>
      <c r="J3025" t="s">
        <v>6207</v>
      </c>
      <c r="K3025">
        <v>0</v>
      </c>
      <c r="L3025">
        <v>4</v>
      </c>
      <c r="M3025" t="s">
        <v>1</v>
      </c>
      <c r="N3025" s="2">
        <v>0.33</v>
      </c>
      <c r="O3025" s="2">
        <v>0.67</v>
      </c>
      <c r="P3025">
        <v>13</v>
      </c>
      <c r="Q3025">
        <v>8</v>
      </c>
      <c r="R3025">
        <v>4</v>
      </c>
      <c r="S3025">
        <v>6</v>
      </c>
      <c r="T3025">
        <v>5</v>
      </c>
      <c r="U3025">
        <v>10</v>
      </c>
      <c r="V3025">
        <v>2</v>
      </c>
      <c r="W3025">
        <v>0</v>
      </c>
      <c r="X3025">
        <v>0</v>
      </c>
      <c r="Y3025">
        <v>0</v>
      </c>
      <c r="Z3025">
        <v>0</v>
      </c>
    </row>
    <row r="3026" spans="1:26" x14ac:dyDescent="0.2">
      <c r="A3026" t="s">
        <v>3144</v>
      </c>
      <c r="B3026" t="s">
        <v>68</v>
      </c>
      <c r="C3026">
        <v>2016</v>
      </c>
      <c r="D3026" t="s">
        <v>51</v>
      </c>
      <c r="E3026" t="s">
        <v>48</v>
      </c>
      <c r="F3026" t="s">
        <v>20</v>
      </c>
      <c r="G3026">
        <v>36284</v>
      </c>
      <c r="H3026">
        <v>29027.200000000001</v>
      </c>
      <c r="I3026" s="13">
        <v>0.66666666666666663</v>
      </c>
      <c r="J3026" t="s">
        <v>6207</v>
      </c>
      <c r="K3026">
        <v>2</v>
      </c>
      <c r="L3026">
        <v>1</v>
      </c>
      <c r="M3026" t="s">
        <v>0</v>
      </c>
      <c r="N3026" s="2">
        <v>0.6</v>
      </c>
      <c r="O3026" s="2">
        <v>0.4</v>
      </c>
      <c r="P3026">
        <v>15</v>
      </c>
      <c r="Q3026">
        <v>17</v>
      </c>
      <c r="R3026">
        <v>8</v>
      </c>
      <c r="S3026">
        <v>3</v>
      </c>
      <c r="T3026">
        <v>14</v>
      </c>
      <c r="U3026">
        <v>15</v>
      </c>
      <c r="V3026">
        <v>1</v>
      </c>
      <c r="W3026">
        <v>2</v>
      </c>
      <c r="X3026">
        <v>0</v>
      </c>
      <c r="Y3026">
        <v>0</v>
      </c>
      <c r="Z3026">
        <v>0</v>
      </c>
    </row>
    <row r="3027" spans="1:26" x14ac:dyDescent="0.2">
      <c r="A3027" t="s">
        <v>3145</v>
      </c>
      <c r="B3027" t="s">
        <v>50</v>
      </c>
      <c r="C3027">
        <v>2016</v>
      </c>
      <c r="D3027" t="s">
        <v>18</v>
      </c>
      <c r="E3027" t="s">
        <v>85</v>
      </c>
      <c r="F3027" t="s">
        <v>20</v>
      </c>
      <c r="G3027">
        <v>40341</v>
      </c>
      <c r="H3027">
        <v>32272.800000000003</v>
      </c>
      <c r="I3027" s="13">
        <v>0.625</v>
      </c>
      <c r="J3027" t="s">
        <v>6207</v>
      </c>
      <c r="K3027">
        <v>4</v>
      </c>
      <c r="L3027">
        <v>3</v>
      </c>
      <c r="M3027" t="s">
        <v>0</v>
      </c>
      <c r="N3027" s="2">
        <v>0.47</v>
      </c>
      <c r="O3027" s="2">
        <v>0.53</v>
      </c>
      <c r="P3027">
        <v>14</v>
      </c>
      <c r="Q3027">
        <v>10</v>
      </c>
      <c r="R3027">
        <v>8</v>
      </c>
      <c r="S3027">
        <v>3</v>
      </c>
      <c r="T3027">
        <v>7</v>
      </c>
      <c r="U3027">
        <v>12</v>
      </c>
      <c r="V3027">
        <v>2</v>
      </c>
      <c r="W3027">
        <v>5</v>
      </c>
      <c r="X3027">
        <v>0</v>
      </c>
      <c r="Y3027">
        <v>1</v>
      </c>
      <c r="Z3027">
        <v>0</v>
      </c>
    </row>
    <row r="3028" spans="1:26" x14ac:dyDescent="0.2">
      <c r="A3028" t="s">
        <v>3146</v>
      </c>
      <c r="B3028" t="s">
        <v>74</v>
      </c>
      <c r="C3028">
        <v>2016</v>
      </c>
      <c r="D3028" t="s">
        <v>46</v>
      </c>
      <c r="E3028" t="s">
        <v>35</v>
      </c>
      <c r="F3028" t="s">
        <v>20</v>
      </c>
      <c r="G3028">
        <v>60704</v>
      </c>
      <c r="H3028">
        <v>48563.200000000004</v>
      </c>
      <c r="I3028" s="13">
        <v>0.83333333333333337</v>
      </c>
      <c r="J3028" t="s">
        <v>6208</v>
      </c>
      <c r="K3028">
        <v>2</v>
      </c>
      <c r="L3028">
        <v>0</v>
      </c>
      <c r="M3028" t="s">
        <v>0</v>
      </c>
      <c r="N3028" s="2">
        <v>0.63</v>
      </c>
      <c r="O3028" s="2">
        <v>0.37</v>
      </c>
      <c r="P3028">
        <v>13</v>
      </c>
      <c r="Q3028">
        <v>17</v>
      </c>
      <c r="R3028">
        <v>17</v>
      </c>
      <c r="S3028">
        <v>3</v>
      </c>
      <c r="T3028">
        <v>15</v>
      </c>
      <c r="U3028">
        <v>10</v>
      </c>
      <c r="V3028">
        <v>4</v>
      </c>
      <c r="W3028">
        <v>2</v>
      </c>
      <c r="X3028">
        <v>0</v>
      </c>
      <c r="Y3028">
        <v>0</v>
      </c>
      <c r="Z3028">
        <v>0</v>
      </c>
    </row>
    <row r="3029" spans="1:26" x14ac:dyDescent="0.2">
      <c r="A3029" t="s">
        <v>3147</v>
      </c>
      <c r="B3029" t="s">
        <v>76</v>
      </c>
      <c r="C3029">
        <v>2016</v>
      </c>
      <c r="D3029" t="s">
        <v>40</v>
      </c>
      <c r="E3029" t="s">
        <v>63</v>
      </c>
      <c r="F3029" t="s">
        <v>49</v>
      </c>
      <c r="G3029">
        <v>53400</v>
      </c>
      <c r="H3029">
        <v>42720</v>
      </c>
      <c r="I3029" s="13">
        <v>0.66666666666666663</v>
      </c>
      <c r="J3029" t="s">
        <v>6207</v>
      </c>
      <c r="K3029">
        <v>3</v>
      </c>
      <c r="L3029">
        <v>1</v>
      </c>
      <c r="M3029" t="s">
        <v>0</v>
      </c>
      <c r="N3029" s="2">
        <v>0.71</v>
      </c>
      <c r="O3029" s="2">
        <v>0.28999999999999998</v>
      </c>
      <c r="P3029">
        <v>12</v>
      </c>
      <c r="Q3029">
        <v>10</v>
      </c>
      <c r="R3029">
        <v>7</v>
      </c>
      <c r="S3029">
        <v>1</v>
      </c>
      <c r="T3029">
        <v>8</v>
      </c>
      <c r="U3029">
        <v>11</v>
      </c>
      <c r="V3029">
        <v>1</v>
      </c>
      <c r="W3029">
        <v>2</v>
      </c>
      <c r="X3029">
        <v>0</v>
      </c>
      <c r="Y3029">
        <v>0</v>
      </c>
      <c r="Z3029">
        <v>0</v>
      </c>
    </row>
    <row r="3030" spans="1:26" x14ac:dyDescent="0.2">
      <c r="A3030" t="s">
        <v>3148</v>
      </c>
      <c r="B3030" t="s">
        <v>41</v>
      </c>
      <c r="C3030">
        <v>2016</v>
      </c>
      <c r="D3030" t="s">
        <v>73</v>
      </c>
      <c r="E3030" t="s">
        <v>48</v>
      </c>
      <c r="F3030" t="s">
        <v>73</v>
      </c>
      <c r="G3030">
        <v>32384</v>
      </c>
      <c r="H3030">
        <v>25907.200000000001</v>
      </c>
      <c r="I3030" s="13">
        <v>0.33333333333333331</v>
      </c>
      <c r="J3030" t="s">
        <v>6207</v>
      </c>
      <c r="K3030">
        <v>0</v>
      </c>
      <c r="L3030">
        <v>0</v>
      </c>
      <c r="M3030" t="s">
        <v>58</v>
      </c>
      <c r="N3030" s="2">
        <v>0.53</v>
      </c>
      <c r="O3030" s="2">
        <v>0.47</v>
      </c>
      <c r="P3030">
        <v>13</v>
      </c>
      <c r="Q3030">
        <v>6</v>
      </c>
      <c r="R3030">
        <v>7</v>
      </c>
      <c r="S3030">
        <v>3</v>
      </c>
      <c r="T3030">
        <v>7</v>
      </c>
      <c r="U3030">
        <v>10</v>
      </c>
      <c r="V3030">
        <v>2</v>
      </c>
      <c r="W3030">
        <v>1</v>
      </c>
      <c r="X3030">
        <v>0</v>
      </c>
      <c r="Y3030">
        <v>0</v>
      </c>
      <c r="Z3030">
        <v>1</v>
      </c>
    </row>
    <row r="3031" spans="1:26" x14ac:dyDescent="0.2">
      <c r="A3031" t="s">
        <v>3149</v>
      </c>
      <c r="B3031" t="s">
        <v>66</v>
      </c>
      <c r="C3031">
        <v>2016</v>
      </c>
      <c r="D3031" t="s">
        <v>80</v>
      </c>
      <c r="E3031" t="s">
        <v>51</v>
      </c>
      <c r="F3031" t="s">
        <v>80</v>
      </c>
      <c r="G3031">
        <v>32261</v>
      </c>
      <c r="H3031">
        <v>25808.800000000003</v>
      </c>
      <c r="I3031" s="13">
        <v>0.5</v>
      </c>
      <c r="J3031" t="s">
        <v>6207</v>
      </c>
      <c r="K3031">
        <v>1</v>
      </c>
      <c r="L3031">
        <v>6</v>
      </c>
      <c r="M3031" t="s">
        <v>1</v>
      </c>
      <c r="N3031" s="2">
        <v>0.37</v>
      </c>
      <c r="O3031" s="2">
        <v>0.63</v>
      </c>
      <c r="P3031">
        <v>10</v>
      </c>
      <c r="Q3031">
        <v>15</v>
      </c>
      <c r="R3031">
        <v>4</v>
      </c>
      <c r="S3031">
        <v>4</v>
      </c>
      <c r="T3031">
        <v>11</v>
      </c>
      <c r="U3031">
        <v>8</v>
      </c>
      <c r="V3031">
        <v>3</v>
      </c>
      <c r="W3031">
        <v>1</v>
      </c>
      <c r="X3031">
        <v>0</v>
      </c>
      <c r="Y3031">
        <v>0</v>
      </c>
      <c r="Z3031">
        <v>0</v>
      </c>
    </row>
    <row r="3032" spans="1:26" x14ac:dyDescent="0.2">
      <c r="A3032" t="s">
        <v>3150</v>
      </c>
      <c r="B3032" t="s">
        <v>68</v>
      </c>
      <c r="C3032">
        <v>2016</v>
      </c>
      <c r="D3032" t="s">
        <v>85</v>
      </c>
      <c r="E3032" t="s">
        <v>40</v>
      </c>
      <c r="F3032" t="s">
        <v>85</v>
      </c>
      <c r="G3032">
        <v>22220</v>
      </c>
      <c r="H3032">
        <v>17776</v>
      </c>
      <c r="I3032" s="13">
        <v>1</v>
      </c>
      <c r="J3032" t="s">
        <v>6207</v>
      </c>
      <c r="K3032">
        <v>0</v>
      </c>
      <c r="L3032">
        <v>5</v>
      </c>
      <c r="M3032" t="s">
        <v>1</v>
      </c>
      <c r="N3032" s="2">
        <v>0.33</v>
      </c>
      <c r="O3032" s="2">
        <v>0.67</v>
      </c>
      <c r="P3032">
        <v>12</v>
      </c>
      <c r="Q3032">
        <v>12</v>
      </c>
      <c r="R3032">
        <v>4</v>
      </c>
      <c r="S3032">
        <v>5</v>
      </c>
      <c r="T3032">
        <v>12</v>
      </c>
      <c r="U3032">
        <v>10</v>
      </c>
      <c r="V3032">
        <v>1</v>
      </c>
      <c r="W3032">
        <v>0</v>
      </c>
      <c r="X3032">
        <v>0</v>
      </c>
      <c r="Y3032">
        <v>0</v>
      </c>
      <c r="Z3032">
        <v>0</v>
      </c>
    </row>
    <row r="3033" spans="1:26" x14ac:dyDescent="0.2">
      <c r="A3033" t="s">
        <v>3151</v>
      </c>
      <c r="B3033" t="s">
        <v>41</v>
      </c>
      <c r="C3033">
        <v>2016</v>
      </c>
      <c r="D3033" t="s">
        <v>71</v>
      </c>
      <c r="E3033" t="s">
        <v>63</v>
      </c>
      <c r="F3033" t="s">
        <v>71</v>
      </c>
      <c r="G3033">
        <v>21088</v>
      </c>
      <c r="H3033">
        <v>16870.400000000001</v>
      </c>
      <c r="I3033" s="13">
        <v>1</v>
      </c>
      <c r="J3033" t="s">
        <v>6207</v>
      </c>
      <c r="K3033">
        <v>2</v>
      </c>
      <c r="L3033">
        <v>1</v>
      </c>
      <c r="M3033" t="s">
        <v>0</v>
      </c>
      <c r="N3033" s="2">
        <v>0.66</v>
      </c>
      <c r="O3033" s="2">
        <v>0.34</v>
      </c>
      <c r="P3033">
        <v>10</v>
      </c>
      <c r="Q3033">
        <v>10</v>
      </c>
      <c r="R3033">
        <v>7</v>
      </c>
      <c r="S3033">
        <v>4</v>
      </c>
      <c r="T3033">
        <v>8</v>
      </c>
      <c r="U3033">
        <v>10</v>
      </c>
      <c r="V3033">
        <v>1</v>
      </c>
      <c r="W3033">
        <v>1</v>
      </c>
      <c r="X3033">
        <v>0</v>
      </c>
      <c r="Y3033">
        <v>0</v>
      </c>
      <c r="Z3033">
        <v>0</v>
      </c>
    </row>
    <row r="3034" spans="1:26" x14ac:dyDescent="0.2">
      <c r="A3034" t="s">
        <v>3152</v>
      </c>
      <c r="B3034" t="s">
        <v>54</v>
      </c>
      <c r="C3034">
        <v>2016</v>
      </c>
      <c r="D3034" t="s">
        <v>73</v>
      </c>
      <c r="E3034" t="s">
        <v>27</v>
      </c>
      <c r="F3034" t="s">
        <v>73</v>
      </c>
      <c r="G3034">
        <v>32384</v>
      </c>
      <c r="H3034">
        <v>25907.200000000001</v>
      </c>
      <c r="I3034" s="13">
        <v>0.66666666666666663</v>
      </c>
      <c r="J3034" t="s">
        <v>6206</v>
      </c>
      <c r="K3034">
        <v>0</v>
      </c>
      <c r="L3034">
        <v>1</v>
      </c>
      <c r="M3034" t="s">
        <v>1</v>
      </c>
      <c r="N3034" s="2">
        <v>0.61</v>
      </c>
      <c r="O3034" s="2">
        <v>0.39</v>
      </c>
      <c r="P3034">
        <v>11</v>
      </c>
      <c r="Q3034">
        <v>15</v>
      </c>
      <c r="R3034">
        <v>4</v>
      </c>
      <c r="S3034">
        <v>10</v>
      </c>
      <c r="T3034">
        <v>12</v>
      </c>
      <c r="U3034">
        <v>10</v>
      </c>
      <c r="V3034">
        <v>2</v>
      </c>
      <c r="W3034">
        <v>4</v>
      </c>
      <c r="X3034">
        <v>0</v>
      </c>
      <c r="Y3034">
        <v>0</v>
      </c>
      <c r="Z3034">
        <v>0</v>
      </c>
    </row>
    <row r="3035" spans="1:26" x14ac:dyDescent="0.2">
      <c r="A3035" t="s">
        <v>3153</v>
      </c>
      <c r="B3035" t="s">
        <v>61</v>
      </c>
      <c r="C3035">
        <v>2016</v>
      </c>
      <c r="D3035" t="s">
        <v>48</v>
      </c>
      <c r="E3035" t="s">
        <v>79</v>
      </c>
      <c r="F3035" t="s">
        <v>49</v>
      </c>
      <c r="G3035">
        <v>74197</v>
      </c>
      <c r="H3035">
        <v>59357.600000000006</v>
      </c>
      <c r="I3035" s="13">
        <v>0</v>
      </c>
      <c r="J3035" t="s">
        <v>6207</v>
      </c>
      <c r="K3035">
        <v>2</v>
      </c>
      <c r="L3035">
        <v>0</v>
      </c>
      <c r="M3035" t="s">
        <v>0</v>
      </c>
      <c r="N3035" s="2">
        <v>0.59</v>
      </c>
      <c r="O3035" s="2">
        <v>0.41</v>
      </c>
      <c r="P3035">
        <v>12</v>
      </c>
      <c r="Q3035">
        <v>16</v>
      </c>
      <c r="R3035">
        <v>3</v>
      </c>
      <c r="S3035">
        <v>6</v>
      </c>
      <c r="T3035">
        <v>16</v>
      </c>
      <c r="U3035">
        <v>10</v>
      </c>
      <c r="V3035">
        <v>2</v>
      </c>
      <c r="W3035">
        <v>0</v>
      </c>
      <c r="X3035">
        <v>0</v>
      </c>
      <c r="Y3035">
        <v>0</v>
      </c>
      <c r="Z3035">
        <v>0</v>
      </c>
    </row>
    <row r="3036" spans="1:26" x14ac:dyDescent="0.2">
      <c r="A3036" t="s">
        <v>3154</v>
      </c>
      <c r="B3036" t="s">
        <v>32</v>
      </c>
      <c r="C3036">
        <v>2016</v>
      </c>
      <c r="D3036" t="s">
        <v>26</v>
      </c>
      <c r="E3036" t="s">
        <v>87</v>
      </c>
      <c r="F3036" t="s">
        <v>26</v>
      </c>
      <c r="G3036">
        <v>61276</v>
      </c>
      <c r="H3036">
        <v>49020.800000000003</v>
      </c>
      <c r="I3036" s="13">
        <v>1</v>
      </c>
      <c r="J3036" t="s">
        <v>6207</v>
      </c>
      <c r="K3036">
        <v>3</v>
      </c>
      <c r="L3036">
        <v>0</v>
      </c>
      <c r="M3036" t="s">
        <v>0</v>
      </c>
      <c r="N3036" s="2">
        <v>0.74</v>
      </c>
      <c r="O3036" s="2">
        <v>0.26</v>
      </c>
      <c r="P3036">
        <v>8</v>
      </c>
      <c r="Q3036">
        <v>14</v>
      </c>
      <c r="R3036">
        <v>3</v>
      </c>
      <c r="S3036">
        <v>3</v>
      </c>
      <c r="T3036">
        <v>13</v>
      </c>
      <c r="U3036">
        <v>8</v>
      </c>
      <c r="V3036">
        <v>0</v>
      </c>
      <c r="W3036">
        <v>1</v>
      </c>
      <c r="X3036">
        <v>0</v>
      </c>
      <c r="Y3036">
        <v>0</v>
      </c>
      <c r="Z3036">
        <v>0</v>
      </c>
    </row>
    <row r="3037" spans="1:26" x14ac:dyDescent="0.2">
      <c r="A3037" t="s">
        <v>3155</v>
      </c>
      <c r="B3037" t="s">
        <v>50</v>
      </c>
      <c r="C3037">
        <v>2016</v>
      </c>
      <c r="D3037" t="s">
        <v>80</v>
      </c>
      <c r="E3037" t="s">
        <v>86</v>
      </c>
      <c r="F3037" t="s">
        <v>80</v>
      </c>
      <c r="G3037">
        <v>32261</v>
      </c>
      <c r="H3037">
        <v>25808.800000000003</v>
      </c>
      <c r="I3037" s="13">
        <v>0.4</v>
      </c>
      <c r="J3037" t="s">
        <v>6207</v>
      </c>
      <c r="K3037">
        <v>1</v>
      </c>
      <c r="L3037">
        <v>1</v>
      </c>
      <c r="M3037" t="s">
        <v>58</v>
      </c>
      <c r="N3037" s="2">
        <v>0.49</v>
      </c>
      <c r="O3037" s="2">
        <v>0.51</v>
      </c>
      <c r="P3037">
        <v>11</v>
      </c>
      <c r="Q3037">
        <v>16</v>
      </c>
      <c r="R3037">
        <v>9</v>
      </c>
      <c r="S3037">
        <v>1</v>
      </c>
      <c r="T3037">
        <v>11</v>
      </c>
      <c r="U3037">
        <v>10</v>
      </c>
      <c r="V3037">
        <v>4</v>
      </c>
      <c r="W3037">
        <v>1</v>
      </c>
      <c r="X3037">
        <v>0</v>
      </c>
      <c r="Y3037">
        <v>0</v>
      </c>
      <c r="Z3037">
        <v>0</v>
      </c>
    </row>
    <row r="3038" spans="1:26" x14ac:dyDescent="0.2">
      <c r="A3038" t="s">
        <v>3156</v>
      </c>
      <c r="B3038" t="s">
        <v>37</v>
      </c>
      <c r="C3038">
        <v>2016</v>
      </c>
      <c r="D3038" t="s">
        <v>19</v>
      </c>
      <c r="E3038" t="s">
        <v>51</v>
      </c>
      <c r="F3038" t="s">
        <v>19</v>
      </c>
      <c r="G3038">
        <v>25586</v>
      </c>
      <c r="H3038">
        <v>20468.800000000003</v>
      </c>
      <c r="I3038" s="13">
        <v>0</v>
      </c>
      <c r="J3038" t="s">
        <v>6206</v>
      </c>
      <c r="K3038">
        <v>1</v>
      </c>
      <c r="L3038">
        <v>7</v>
      </c>
      <c r="M3038" t="s">
        <v>1</v>
      </c>
      <c r="N3038" s="2">
        <v>0.35</v>
      </c>
      <c r="O3038" s="2">
        <v>0.65</v>
      </c>
      <c r="P3038">
        <v>5</v>
      </c>
      <c r="Q3038">
        <v>17</v>
      </c>
      <c r="R3038">
        <v>2</v>
      </c>
      <c r="S3038">
        <v>3</v>
      </c>
      <c r="T3038">
        <v>14</v>
      </c>
      <c r="U3038">
        <v>5</v>
      </c>
      <c r="V3038">
        <v>0</v>
      </c>
      <c r="W3038">
        <v>0</v>
      </c>
      <c r="X3038">
        <v>0</v>
      </c>
      <c r="Y3038">
        <v>0</v>
      </c>
      <c r="Z3038">
        <v>0</v>
      </c>
    </row>
    <row r="3039" spans="1:26" x14ac:dyDescent="0.2">
      <c r="A3039" t="s">
        <v>3157</v>
      </c>
      <c r="B3039" t="s">
        <v>67</v>
      </c>
      <c r="C3039">
        <v>2016</v>
      </c>
      <c r="D3039" t="s">
        <v>18</v>
      </c>
      <c r="E3039" t="s">
        <v>35</v>
      </c>
      <c r="F3039" t="s">
        <v>20</v>
      </c>
      <c r="G3039">
        <v>40341</v>
      </c>
      <c r="H3039">
        <v>32272.800000000003</v>
      </c>
      <c r="I3039" s="13">
        <v>1</v>
      </c>
      <c r="J3039" t="s">
        <v>6207</v>
      </c>
      <c r="K3039">
        <v>5</v>
      </c>
      <c r="L3039">
        <v>1</v>
      </c>
      <c r="M3039" t="s">
        <v>0</v>
      </c>
      <c r="N3039" s="2">
        <v>0.71</v>
      </c>
      <c r="O3039" s="2">
        <v>0.28999999999999998</v>
      </c>
      <c r="P3039">
        <v>16</v>
      </c>
      <c r="Q3039">
        <v>8</v>
      </c>
      <c r="R3039">
        <v>11</v>
      </c>
      <c r="S3039">
        <v>1</v>
      </c>
      <c r="T3039">
        <v>8</v>
      </c>
      <c r="U3039">
        <v>15</v>
      </c>
      <c r="V3039">
        <v>1</v>
      </c>
      <c r="W3039">
        <v>1</v>
      </c>
      <c r="X3039">
        <v>0</v>
      </c>
      <c r="Y3039">
        <v>0</v>
      </c>
      <c r="Z3039">
        <v>0</v>
      </c>
    </row>
    <row r="3040" spans="1:26" x14ac:dyDescent="0.2">
      <c r="A3040" t="s">
        <v>3158</v>
      </c>
      <c r="B3040" t="s">
        <v>77</v>
      </c>
      <c r="C3040">
        <v>2016</v>
      </c>
      <c r="D3040" t="s">
        <v>28</v>
      </c>
      <c r="E3040" t="s">
        <v>23</v>
      </c>
      <c r="F3040" t="s">
        <v>28</v>
      </c>
      <c r="G3040">
        <v>21944</v>
      </c>
      <c r="H3040">
        <v>17555.2</v>
      </c>
      <c r="I3040" s="13">
        <v>0.5</v>
      </c>
      <c r="J3040" t="s">
        <v>6207</v>
      </c>
      <c r="K3040">
        <v>1</v>
      </c>
      <c r="L3040">
        <v>2</v>
      </c>
      <c r="M3040" t="s">
        <v>1</v>
      </c>
      <c r="N3040" s="2">
        <v>0.44</v>
      </c>
      <c r="O3040" s="2">
        <v>0.56000000000000005</v>
      </c>
      <c r="P3040">
        <v>17</v>
      </c>
      <c r="Q3040">
        <v>11</v>
      </c>
      <c r="R3040">
        <v>2</v>
      </c>
      <c r="S3040">
        <v>5</v>
      </c>
      <c r="T3040">
        <v>11</v>
      </c>
      <c r="U3040">
        <v>14</v>
      </c>
      <c r="V3040">
        <v>2</v>
      </c>
      <c r="W3040">
        <v>2</v>
      </c>
      <c r="X3040">
        <v>0</v>
      </c>
      <c r="Y3040">
        <v>0</v>
      </c>
      <c r="Z3040">
        <v>0</v>
      </c>
    </row>
    <row r="3041" spans="1:26" x14ac:dyDescent="0.2">
      <c r="A3041" t="s">
        <v>3159</v>
      </c>
      <c r="B3041" t="s">
        <v>66</v>
      </c>
      <c r="C3041">
        <v>2016</v>
      </c>
      <c r="D3041" t="s">
        <v>46</v>
      </c>
      <c r="E3041" t="s">
        <v>45</v>
      </c>
      <c r="F3041" t="s">
        <v>20</v>
      </c>
      <c r="G3041">
        <v>60704</v>
      </c>
      <c r="H3041">
        <v>48563.200000000004</v>
      </c>
      <c r="I3041" s="13">
        <v>0.42857142857142855</v>
      </c>
      <c r="J3041" t="s">
        <v>6207</v>
      </c>
      <c r="K3041">
        <v>3</v>
      </c>
      <c r="L3041">
        <v>1</v>
      </c>
      <c r="M3041" t="s">
        <v>0</v>
      </c>
      <c r="N3041" s="2">
        <v>0.5</v>
      </c>
      <c r="O3041" s="2">
        <v>0.5</v>
      </c>
      <c r="P3041">
        <v>17</v>
      </c>
      <c r="Q3041">
        <v>9</v>
      </c>
      <c r="R3041">
        <v>4</v>
      </c>
      <c r="S3041">
        <v>6</v>
      </c>
      <c r="T3041">
        <v>10</v>
      </c>
      <c r="U3041">
        <v>15</v>
      </c>
      <c r="V3041">
        <v>2</v>
      </c>
      <c r="W3041">
        <v>4</v>
      </c>
      <c r="X3041">
        <v>1</v>
      </c>
      <c r="Y3041">
        <v>0</v>
      </c>
      <c r="Z3041">
        <v>1</v>
      </c>
    </row>
    <row r="3042" spans="1:26" x14ac:dyDescent="0.2">
      <c r="A3042" t="s">
        <v>3160</v>
      </c>
      <c r="B3042" t="s">
        <v>41</v>
      </c>
      <c r="C3042">
        <v>2017</v>
      </c>
      <c r="D3042" t="s">
        <v>46</v>
      </c>
      <c r="E3042" t="s">
        <v>80</v>
      </c>
      <c r="F3042" t="s">
        <v>20</v>
      </c>
      <c r="G3042">
        <v>60704</v>
      </c>
      <c r="H3042">
        <v>48563.200000000004</v>
      </c>
      <c r="I3042" s="13">
        <v>1</v>
      </c>
      <c r="J3042" t="s">
        <v>6207</v>
      </c>
      <c r="K3042">
        <v>4</v>
      </c>
      <c r="L3042">
        <v>3</v>
      </c>
      <c r="M3042" t="s">
        <v>0</v>
      </c>
      <c r="N3042" s="2">
        <v>0.7</v>
      </c>
      <c r="O3042" s="2">
        <v>0.3</v>
      </c>
      <c r="P3042">
        <v>15</v>
      </c>
      <c r="Q3042">
        <v>14</v>
      </c>
      <c r="R3042">
        <v>9</v>
      </c>
      <c r="S3042">
        <v>4</v>
      </c>
      <c r="T3042">
        <v>9</v>
      </c>
      <c r="U3042">
        <v>12</v>
      </c>
      <c r="V3042">
        <v>0</v>
      </c>
      <c r="W3042">
        <v>1</v>
      </c>
      <c r="X3042">
        <v>0</v>
      </c>
      <c r="Y3042">
        <v>0</v>
      </c>
      <c r="Z3042">
        <v>0</v>
      </c>
    </row>
    <row r="3043" spans="1:26" x14ac:dyDescent="0.2">
      <c r="A3043" t="s">
        <v>3161</v>
      </c>
      <c r="B3043" t="s">
        <v>61</v>
      </c>
      <c r="C3043">
        <v>2017</v>
      </c>
      <c r="D3043" t="s">
        <v>85</v>
      </c>
      <c r="E3043" t="s">
        <v>26</v>
      </c>
      <c r="F3043" t="s">
        <v>85</v>
      </c>
      <c r="G3043">
        <v>22220</v>
      </c>
      <c r="H3043">
        <v>17776</v>
      </c>
      <c r="I3043" s="13">
        <v>0.66666666666666663</v>
      </c>
      <c r="J3043" t="s">
        <v>6207</v>
      </c>
      <c r="K3043">
        <v>3</v>
      </c>
      <c r="L3043">
        <v>3</v>
      </c>
      <c r="M3043" t="s">
        <v>58</v>
      </c>
      <c r="N3043" s="2">
        <v>0.46</v>
      </c>
      <c r="O3043" s="2">
        <v>0.54</v>
      </c>
      <c r="P3043">
        <v>9</v>
      </c>
      <c r="Q3043">
        <v>17</v>
      </c>
      <c r="R3043">
        <v>3</v>
      </c>
      <c r="S3043">
        <v>3</v>
      </c>
      <c r="T3043">
        <v>14</v>
      </c>
      <c r="U3043">
        <v>8</v>
      </c>
      <c r="V3043">
        <v>0</v>
      </c>
      <c r="W3043">
        <v>3</v>
      </c>
      <c r="X3043">
        <v>0</v>
      </c>
      <c r="Y3043">
        <v>0</v>
      </c>
      <c r="Z3043">
        <v>1</v>
      </c>
    </row>
    <row r="3044" spans="1:26" x14ac:dyDescent="0.2">
      <c r="A3044" t="s">
        <v>3162</v>
      </c>
      <c r="B3044" t="s">
        <v>77</v>
      </c>
      <c r="C3044">
        <v>2017</v>
      </c>
      <c r="D3044" t="s">
        <v>63</v>
      </c>
      <c r="E3044" t="s">
        <v>86</v>
      </c>
      <c r="F3044" t="s">
        <v>65</v>
      </c>
      <c r="G3044">
        <v>26804</v>
      </c>
      <c r="H3044">
        <v>21443.200000000001</v>
      </c>
      <c r="I3044" s="13">
        <v>0.75</v>
      </c>
      <c r="J3044" t="s">
        <v>6207</v>
      </c>
      <c r="K3044">
        <v>1</v>
      </c>
      <c r="L3044">
        <v>0</v>
      </c>
      <c r="M3044" t="s">
        <v>0</v>
      </c>
      <c r="N3044" s="2">
        <v>0.28999999999999998</v>
      </c>
      <c r="O3044" s="2">
        <v>0.71</v>
      </c>
      <c r="P3044">
        <v>3</v>
      </c>
      <c r="Q3044">
        <v>17</v>
      </c>
      <c r="R3044">
        <v>8</v>
      </c>
      <c r="S3044">
        <v>2</v>
      </c>
      <c r="T3044">
        <v>15</v>
      </c>
      <c r="U3044">
        <v>3</v>
      </c>
      <c r="V3044">
        <v>3</v>
      </c>
      <c r="W3044">
        <v>1</v>
      </c>
      <c r="X3044">
        <v>0</v>
      </c>
      <c r="Y3044">
        <v>0</v>
      </c>
      <c r="Z3044">
        <v>0</v>
      </c>
    </row>
    <row r="3045" spans="1:26" x14ac:dyDescent="0.2">
      <c r="A3045" t="s">
        <v>3163</v>
      </c>
      <c r="B3045" t="s">
        <v>53</v>
      </c>
      <c r="C3045">
        <v>2017</v>
      </c>
      <c r="D3045" t="s">
        <v>73</v>
      </c>
      <c r="E3045" t="s">
        <v>71</v>
      </c>
      <c r="F3045" t="s">
        <v>73</v>
      </c>
      <c r="G3045">
        <v>32384</v>
      </c>
      <c r="H3045">
        <v>25907.200000000001</v>
      </c>
      <c r="I3045" s="13">
        <v>0.33333333333333331</v>
      </c>
      <c r="J3045" t="s">
        <v>6207</v>
      </c>
      <c r="K3045">
        <v>0</v>
      </c>
      <c r="L3045">
        <v>0</v>
      </c>
      <c r="M3045" t="s">
        <v>58</v>
      </c>
      <c r="N3045" s="2">
        <v>0.6</v>
      </c>
      <c r="O3045" s="2">
        <v>0.4</v>
      </c>
      <c r="P3045">
        <v>14</v>
      </c>
      <c r="Q3045">
        <v>10</v>
      </c>
      <c r="R3045">
        <v>13</v>
      </c>
      <c r="S3045">
        <v>0</v>
      </c>
      <c r="T3045">
        <v>10</v>
      </c>
      <c r="U3045">
        <v>13</v>
      </c>
      <c r="V3045">
        <v>2</v>
      </c>
      <c r="W3045">
        <v>1</v>
      </c>
      <c r="X3045">
        <v>0</v>
      </c>
      <c r="Y3045">
        <v>0</v>
      </c>
      <c r="Z3045">
        <v>0</v>
      </c>
    </row>
    <row r="3046" spans="1:26" x14ac:dyDescent="0.2">
      <c r="A3046" t="s">
        <v>3164</v>
      </c>
      <c r="B3046" t="s">
        <v>67</v>
      </c>
      <c r="C3046">
        <v>2017</v>
      </c>
      <c r="D3046" t="s">
        <v>45</v>
      </c>
      <c r="E3046" t="s">
        <v>27</v>
      </c>
      <c r="F3046" t="s">
        <v>26</v>
      </c>
      <c r="G3046">
        <v>39572</v>
      </c>
      <c r="H3046">
        <v>31657.600000000002</v>
      </c>
      <c r="I3046" s="13">
        <v>0.5</v>
      </c>
      <c r="J3046" t="s">
        <v>6207</v>
      </c>
      <c r="K3046">
        <v>1</v>
      </c>
      <c r="L3046">
        <v>0</v>
      </c>
      <c r="M3046" t="s">
        <v>0</v>
      </c>
      <c r="N3046" s="2">
        <v>0.62</v>
      </c>
      <c r="O3046" s="2">
        <v>0.38</v>
      </c>
      <c r="P3046">
        <v>16</v>
      </c>
      <c r="Q3046">
        <v>15</v>
      </c>
      <c r="R3046">
        <v>6</v>
      </c>
      <c r="S3046">
        <v>7</v>
      </c>
      <c r="T3046">
        <v>13</v>
      </c>
      <c r="U3046">
        <v>10</v>
      </c>
      <c r="V3046">
        <v>1</v>
      </c>
      <c r="W3046">
        <v>1</v>
      </c>
      <c r="X3046">
        <v>0</v>
      </c>
      <c r="Y3046">
        <v>0</v>
      </c>
      <c r="Z3046">
        <v>0</v>
      </c>
    </row>
    <row r="3047" spans="1:26" x14ac:dyDescent="0.2">
      <c r="A3047" t="s">
        <v>3165</v>
      </c>
      <c r="B3047" t="s">
        <v>68</v>
      </c>
      <c r="C3047">
        <v>2017</v>
      </c>
      <c r="D3047" t="s">
        <v>79</v>
      </c>
      <c r="E3047" t="s">
        <v>89</v>
      </c>
      <c r="F3047" t="s">
        <v>20</v>
      </c>
      <c r="G3047">
        <v>25486</v>
      </c>
      <c r="H3047">
        <v>20388.800000000003</v>
      </c>
      <c r="I3047" s="13">
        <v>0.5</v>
      </c>
      <c r="J3047" t="s">
        <v>6207</v>
      </c>
      <c r="K3047">
        <v>0</v>
      </c>
      <c r="L3047">
        <v>3</v>
      </c>
      <c r="M3047" t="s">
        <v>1</v>
      </c>
      <c r="N3047" s="2">
        <v>0.56999999999999995</v>
      </c>
      <c r="O3047" s="2">
        <v>0.43</v>
      </c>
      <c r="P3047">
        <v>21</v>
      </c>
      <c r="Q3047">
        <v>7</v>
      </c>
      <c r="R3047">
        <v>12</v>
      </c>
      <c r="S3047">
        <v>9</v>
      </c>
      <c r="T3047">
        <v>7</v>
      </c>
      <c r="U3047">
        <v>19</v>
      </c>
      <c r="V3047">
        <v>1</v>
      </c>
      <c r="W3047">
        <v>3</v>
      </c>
      <c r="X3047">
        <v>0</v>
      </c>
      <c r="Y3047">
        <v>0</v>
      </c>
      <c r="Z3047">
        <v>0</v>
      </c>
    </row>
    <row r="3048" spans="1:26" x14ac:dyDescent="0.2">
      <c r="A3048" t="s">
        <v>3166</v>
      </c>
      <c r="B3048" t="s">
        <v>76</v>
      </c>
      <c r="C3048">
        <v>2017</v>
      </c>
      <c r="D3048" t="s">
        <v>18</v>
      </c>
      <c r="E3048" t="s">
        <v>28</v>
      </c>
      <c r="F3048" t="s">
        <v>20</v>
      </c>
      <c r="G3048">
        <v>40341</v>
      </c>
      <c r="H3048">
        <v>32272.800000000003</v>
      </c>
      <c r="I3048" s="13">
        <v>0.66666666666666663</v>
      </c>
      <c r="J3048" t="s">
        <v>6207</v>
      </c>
      <c r="K3048">
        <v>2</v>
      </c>
      <c r="L3048">
        <v>3</v>
      </c>
      <c r="M3048" t="s">
        <v>1</v>
      </c>
      <c r="N3048" s="2">
        <v>0.62</v>
      </c>
      <c r="O3048" s="2">
        <v>0.38</v>
      </c>
      <c r="P3048">
        <v>12</v>
      </c>
      <c r="Q3048">
        <v>18</v>
      </c>
      <c r="R3048">
        <v>8</v>
      </c>
      <c r="S3048">
        <v>5</v>
      </c>
      <c r="T3048">
        <v>16</v>
      </c>
      <c r="U3048">
        <v>12</v>
      </c>
      <c r="V3048">
        <v>4</v>
      </c>
      <c r="W3048">
        <v>3</v>
      </c>
      <c r="X3048">
        <v>2</v>
      </c>
      <c r="Y3048">
        <v>0</v>
      </c>
      <c r="Z3048">
        <v>0</v>
      </c>
    </row>
    <row r="3049" spans="1:26" x14ac:dyDescent="0.2">
      <c r="A3049" t="s">
        <v>3167</v>
      </c>
      <c r="B3049" t="s">
        <v>66</v>
      </c>
      <c r="C3049">
        <v>2017</v>
      </c>
      <c r="D3049" t="s">
        <v>90</v>
      </c>
      <c r="E3049" t="s">
        <v>40</v>
      </c>
      <c r="F3049" t="s">
        <v>91</v>
      </c>
      <c r="G3049">
        <v>31876</v>
      </c>
      <c r="H3049">
        <v>25500.800000000003</v>
      </c>
      <c r="I3049" s="13">
        <v>0.5</v>
      </c>
      <c r="J3049" t="s">
        <v>6207</v>
      </c>
      <c r="K3049">
        <v>0</v>
      </c>
      <c r="L3049">
        <v>2</v>
      </c>
      <c r="M3049" t="s">
        <v>1</v>
      </c>
      <c r="N3049" s="2">
        <v>0.22</v>
      </c>
      <c r="O3049" s="2">
        <v>0.78</v>
      </c>
      <c r="P3049">
        <v>10</v>
      </c>
      <c r="Q3049">
        <v>12</v>
      </c>
      <c r="R3049">
        <v>3</v>
      </c>
      <c r="S3049">
        <v>10</v>
      </c>
      <c r="T3049">
        <v>6</v>
      </c>
      <c r="U3049">
        <v>9</v>
      </c>
      <c r="V3049">
        <v>0</v>
      </c>
      <c r="W3049">
        <v>2</v>
      </c>
      <c r="X3049">
        <v>0</v>
      </c>
      <c r="Y3049">
        <v>0</v>
      </c>
      <c r="Z3049">
        <v>0</v>
      </c>
    </row>
    <row r="3050" spans="1:26" x14ac:dyDescent="0.2">
      <c r="A3050" t="s">
        <v>3168</v>
      </c>
      <c r="B3050" t="s">
        <v>37</v>
      </c>
      <c r="C3050">
        <v>2017</v>
      </c>
      <c r="D3050" t="s">
        <v>64</v>
      </c>
      <c r="E3050" t="s">
        <v>51</v>
      </c>
      <c r="F3050" t="s">
        <v>64</v>
      </c>
      <c r="G3050">
        <v>52264</v>
      </c>
      <c r="H3050">
        <v>41811.200000000004</v>
      </c>
      <c r="I3050" s="13">
        <v>0</v>
      </c>
      <c r="J3050" t="s">
        <v>6206</v>
      </c>
      <c r="K3050">
        <v>0</v>
      </c>
      <c r="L3050">
        <v>2</v>
      </c>
      <c r="M3050" t="s">
        <v>1</v>
      </c>
      <c r="N3050" s="2">
        <v>0.27</v>
      </c>
      <c r="O3050" s="2">
        <v>0.73</v>
      </c>
      <c r="P3050">
        <v>11</v>
      </c>
      <c r="Q3050">
        <v>9</v>
      </c>
      <c r="R3050">
        <v>5</v>
      </c>
      <c r="S3050">
        <v>7</v>
      </c>
      <c r="T3050">
        <v>6</v>
      </c>
      <c r="U3050">
        <v>10</v>
      </c>
      <c r="V3050">
        <v>1</v>
      </c>
      <c r="W3050">
        <v>2</v>
      </c>
      <c r="X3050">
        <v>1</v>
      </c>
      <c r="Y3050">
        <v>0</v>
      </c>
      <c r="Z3050">
        <v>0</v>
      </c>
    </row>
    <row r="3051" spans="1:26" x14ac:dyDescent="0.2">
      <c r="A3051" t="s">
        <v>3169</v>
      </c>
      <c r="B3051" t="s">
        <v>32</v>
      </c>
      <c r="C3051">
        <v>2017</v>
      </c>
      <c r="D3051" t="s">
        <v>48</v>
      </c>
      <c r="E3051" t="s">
        <v>23</v>
      </c>
      <c r="F3051" t="s">
        <v>49</v>
      </c>
      <c r="G3051">
        <v>74197</v>
      </c>
      <c r="H3051">
        <v>59357.600000000006</v>
      </c>
      <c r="I3051" s="13">
        <v>1</v>
      </c>
      <c r="J3051" t="s">
        <v>6207</v>
      </c>
      <c r="K3051">
        <v>4</v>
      </c>
      <c r="L3051">
        <v>0</v>
      </c>
      <c r="M3051" t="s">
        <v>0</v>
      </c>
      <c r="N3051" s="2">
        <v>0.55000000000000004</v>
      </c>
      <c r="O3051" s="2">
        <v>0.45</v>
      </c>
      <c r="P3051">
        <v>11</v>
      </c>
      <c r="Q3051">
        <v>20</v>
      </c>
      <c r="R3051">
        <v>11</v>
      </c>
      <c r="S3051">
        <v>1</v>
      </c>
      <c r="T3051">
        <v>19</v>
      </c>
      <c r="U3051">
        <v>7</v>
      </c>
      <c r="V3051">
        <v>2</v>
      </c>
      <c r="W3051">
        <v>2</v>
      </c>
      <c r="X3051">
        <v>0</v>
      </c>
      <c r="Y3051">
        <v>0</v>
      </c>
      <c r="Z3051">
        <v>0</v>
      </c>
    </row>
    <row r="3052" spans="1:26" x14ac:dyDescent="0.2">
      <c r="A3052" t="s">
        <v>3170</v>
      </c>
      <c r="B3052" t="s">
        <v>68</v>
      </c>
      <c r="C3052">
        <v>2017</v>
      </c>
      <c r="D3052" t="s">
        <v>71</v>
      </c>
      <c r="E3052" t="s">
        <v>48</v>
      </c>
      <c r="F3052" t="s">
        <v>71</v>
      </c>
      <c r="G3052">
        <v>21088</v>
      </c>
      <c r="H3052">
        <v>16870.400000000001</v>
      </c>
      <c r="I3052" s="13">
        <v>1</v>
      </c>
      <c r="J3052" t="s">
        <v>6207</v>
      </c>
      <c r="K3052">
        <v>0</v>
      </c>
      <c r="L3052">
        <v>4</v>
      </c>
      <c r="M3052" t="s">
        <v>1</v>
      </c>
      <c r="N3052" s="2">
        <v>0.41</v>
      </c>
      <c r="O3052" s="2">
        <v>0.59</v>
      </c>
      <c r="P3052">
        <v>11</v>
      </c>
      <c r="Q3052">
        <v>13</v>
      </c>
      <c r="R3052">
        <v>3</v>
      </c>
      <c r="S3052">
        <v>5</v>
      </c>
      <c r="T3052">
        <v>12</v>
      </c>
      <c r="U3052">
        <v>11</v>
      </c>
      <c r="V3052">
        <v>1</v>
      </c>
      <c r="W3052">
        <v>1</v>
      </c>
      <c r="X3052">
        <v>0</v>
      </c>
      <c r="Y3052">
        <v>0</v>
      </c>
      <c r="Z3052">
        <v>0</v>
      </c>
    </row>
    <row r="3053" spans="1:26" x14ac:dyDescent="0.2">
      <c r="A3053" t="s">
        <v>3171</v>
      </c>
      <c r="B3053" t="s">
        <v>50</v>
      </c>
      <c r="C3053">
        <v>2017</v>
      </c>
      <c r="D3053" t="s">
        <v>73</v>
      </c>
      <c r="E3053" t="s">
        <v>23</v>
      </c>
      <c r="F3053" t="s">
        <v>73</v>
      </c>
      <c r="G3053">
        <v>32384</v>
      </c>
      <c r="H3053">
        <v>25907.200000000001</v>
      </c>
      <c r="I3053" s="13">
        <v>1</v>
      </c>
      <c r="J3053" t="s">
        <v>6207</v>
      </c>
      <c r="K3053">
        <v>3</v>
      </c>
      <c r="L3053">
        <v>2</v>
      </c>
      <c r="M3053" t="s">
        <v>0</v>
      </c>
      <c r="N3053" s="2">
        <v>0.67</v>
      </c>
      <c r="O3053" s="2">
        <v>0.33</v>
      </c>
      <c r="P3053">
        <v>8</v>
      </c>
      <c r="Q3053">
        <v>20</v>
      </c>
      <c r="R3053">
        <v>7</v>
      </c>
      <c r="S3053">
        <v>2</v>
      </c>
      <c r="T3053">
        <v>18</v>
      </c>
      <c r="U3053">
        <v>10</v>
      </c>
      <c r="V3053">
        <v>1</v>
      </c>
      <c r="W3053">
        <v>1</v>
      </c>
      <c r="X3053">
        <v>0</v>
      </c>
      <c r="Y3053">
        <v>1</v>
      </c>
      <c r="Z3053">
        <v>2</v>
      </c>
    </row>
    <row r="3054" spans="1:26" x14ac:dyDescent="0.2">
      <c r="A3054" t="s">
        <v>3172</v>
      </c>
      <c r="B3054" t="s">
        <v>60</v>
      </c>
      <c r="C3054">
        <v>2017</v>
      </c>
      <c r="D3054" t="s">
        <v>26</v>
      </c>
      <c r="E3054" t="s">
        <v>79</v>
      </c>
      <c r="F3054" t="s">
        <v>26</v>
      </c>
      <c r="G3054">
        <v>61276</v>
      </c>
      <c r="H3054">
        <v>49020.800000000003</v>
      </c>
      <c r="I3054" s="13">
        <v>0.25</v>
      </c>
      <c r="J3054" t="s">
        <v>6208</v>
      </c>
      <c r="K3054">
        <v>1</v>
      </c>
      <c r="L3054">
        <v>0</v>
      </c>
      <c r="M3054" t="s">
        <v>0</v>
      </c>
      <c r="N3054" s="2">
        <v>0.72</v>
      </c>
      <c r="O3054" s="2">
        <v>0.28000000000000003</v>
      </c>
      <c r="P3054">
        <v>17</v>
      </c>
      <c r="Q3054">
        <v>14</v>
      </c>
      <c r="R3054">
        <v>4</v>
      </c>
      <c r="S3054">
        <v>2</v>
      </c>
      <c r="T3054">
        <v>12</v>
      </c>
      <c r="U3054">
        <v>13</v>
      </c>
      <c r="V3054">
        <v>1</v>
      </c>
      <c r="W3054">
        <v>3</v>
      </c>
      <c r="X3054">
        <v>0</v>
      </c>
      <c r="Y3054">
        <v>0</v>
      </c>
      <c r="Z3054">
        <v>0</v>
      </c>
    </row>
    <row r="3055" spans="1:26" x14ac:dyDescent="0.2">
      <c r="A3055" t="s">
        <v>3173</v>
      </c>
      <c r="B3055" t="s">
        <v>54</v>
      </c>
      <c r="C3055">
        <v>2017</v>
      </c>
      <c r="D3055" t="s">
        <v>80</v>
      </c>
      <c r="E3055" t="s">
        <v>90</v>
      </c>
      <c r="F3055" t="s">
        <v>80</v>
      </c>
      <c r="G3055">
        <v>32261</v>
      </c>
      <c r="H3055">
        <v>25808.800000000003</v>
      </c>
      <c r="I3055" s="13">
        <v>1</v>
      </c>
      <c r="J3055" t="s">
        <v>6206</v>
      </c>
      <c r="K3055">
        <v>2</v>
      </c>
      <c r="L3055">
        <v>0</v>
      </c>
      <c r="M3055" t="s">
        <v>0</v>
      </c>
      <c r="N3055" s="2">
        <v>0.45</v>
      </c>
      <c r="O3055" s="2">
        <v>0.55000000000000004</v>
      </c>
      <c r="P3055">
        <v>12</v>
      </c>
      <c r="Q3055">
        <v>9</v>
      </c>
      <c r="R3055">
        <v>6</v>
      </c>
      <c r="S3055">
        <v>2</v>
      </c>
      <c r="T3055">
        <v>8</v>
      </c>
      <c r="U3055">
        <v>10</v>
      </c>
      <c r="V3055">
        <v>1</v>
      </c>
      <c r="W3055">
        <v>0</v>
      </c>
      <c r="X3055">
        <v>0</v>
      </c>
      <c r="Y3055">
        <v>0</v>
      </c>
      <c r="Z3055">
        <v>0</v>
      </c>
    </row>
    <row r="3056" spans="1:26" x14ac:dyDescent="0.2">
      <c r="A3056" t="s">
        <v>3174</v>
      </c>
      <c r="B3056" t="s">
        <v>32</v>
      </c>
      <c r="C3056">
        <v>2017</v>
      </c>
      <c r="D3056" t="s">
        <v>28</v>
      </c>
      <c r="E3056" t="s">
        <v>63</v>
      </c>
      <c r="F3056" t="s">
        <v>28</v>
      </c>
      <c r="G3056">
        <v>21944</v>
      </c>
      <c r="H3056">
        <v>17555.2</v>
      </c>
      <c r="I3056" s="13">
        <v>0</v>
      </c>
      <c r="J3056" t="s">
        <v>6207</v>
      </c>
      <c r="K3056">
        <v>0</v>
      </c>
      <c r="L3056">
        <v>1</v>
      </c>
      <c r="M3056" t="s">
        <v>1</v>
      </c>
      <c r="N3056" s="2">
        <v>0.68</v>
      </c>
      <c r="O3056" s="2">
        <v>0.32</v>
      </c>
      <c r="P3056">
        <v>14</v>
      </c>
      <c r="Q3056">
        <v>12</v>
      </c>
      <c r="R3056">
        <v>5</v>
      </c>
      <c r="S3056">
        <v>5</v>
      </c>
      <c r="T3056">
        <v>11</v>
      </c>
      <c r="U3056">
        <v>11</v>
      </c>
      <c r="V3056">
        <v>1</v>
      </c>
      <c r="W3056">
        <v>0</v>
      </c>
      <c r="X3056">
        <v>0</v>
      </c>
      <c r="Y3056">
        <v>1</v>
      </c>
      <c r="Z3056">
        <v>0</v>
      </c>
    </row>
    <row r="3057" spans="1:26" x14ac:dyDescent="0.2">
      <c r="A3057" t="s">
        <v>3175</v>
      </c>
      <c r="B3057" t="s">
        <v>74</v>
      </c>
      <c r="C3057">
        <v>2017</v>
      </c>
      <c r="D3057" t="s">
        <v>86</v>
      </c>
      <c r="E3057" t="s">
        <v>85</v>
      </c>
      <c r="F3057" t="s">
        <v>86</v>
      </c>
      <c r="G3057">
        <v>11364</v>
      </c>
      <c r="H3057">
        <v>9091.2000000000007</v>
      </c>
      <c r="I3057" s="13">
        <v>0.5</v>
      </c>
      <c r="J3057" t="s">
        <v>6208</v>
      </c>
      <c r="K3057">
        <v>0</v>
      </c>
      <c r="L3057">
        <v>2</v>
      </c>
      <c r="M3057" t="s">
        <v>1</v>
      </c>
      <c r="N3057" s="2">
        <v>0.56000000000000005</v>
      </c>
      <c r="O3057" s="2">
        <v>0.44</v>
      </c>
      <c r="P3057">
        <v>19</v>
      </c>
      <c r="Q3057">
        <v>8</v>
      </c>
      <c r="R3057">
        <v>8</v>
      </c>
      <c r="S3057">
        <v>5</v>
      </c>
      <c r="T3057">
        <v>6</v>
      </c>
      <c r="U3057">
        <v>14</v>
      </c>
      <c r="V3057">
        <v>1</v>
      </c>
      <c r="W3057">
        <v>3</v>
      </c>
      <c r="X3057">
        <v>0</v>
      </c>
      <c r="Y3057">
        <v>0</v>
      </c>
      <c r="Z3057">
        <v>0</v>
      </c>
    </row>
    <row r="3058" spans="1:26" x14ac:dyDescent="0.2">
      <c r="A3058" t="s">
        <v>3176</v>
      </c>
      <c r="B3058" t="s">
        <v>37</v>
      </c>
      <c r="C3058">
        <v>2017</v>
      </c>
      <c r="D3058" t="s">
        <v>27</v>
      </c>
      <c r="E3058" t="s">
        <v>46</v>
      </c>
      <c r="F3058" t="s">
        <v>27</v>
      </c>
      <c r="G3058">
        <v>30089</v>
      </c>
      <c r="H3058">
        <v>24071.200000000001</v>
      </c>
      <c r="I3058" s="13">
        <v>0</v>
      </c>
      <c r="J3058" t="s">
        <v>6206</v>
      </c>
      <c r="K3058">
        <v>1</v>
      </c>
      <c r="L3058">
        <v>0</v>
      </c>
      <c r="M3058" t="s">
        <v>0</v>
      </c>
      <c r="N3058" s="2">
        <v>0.22</v>
      </c>
      <c r="O3058" s="2">
        <v>0.78</v>
      </c>
      <c r="P3058">
        <v>14</v>
      </c>
      <c r="Q3058">
        <v>8</v>
      </c>
      <c r="R3058">
        <v>2</v>
      </c>
      <c r="S3058">
        <v>9</v>
      </c>
      <c r="T3058">
        <v>6</v>
      </c>
      <c r="U3058">
        <v>11</v>
      </c>
      <c r="V3058">
        <v>0</v>
      </c>
      <c r="W3058">
        <v>0</v>
      </c>
      <c r="X3058">
        <v>0</v>
      </c>
      <c r="Y3058">
        <v>0</v>
      </c>
      <c r="Z3058">
        <v>0</v>
      </c>
    </row>
    <row r="3059" spans="1:26" x14ac:dyDescent="0.2">
      <c r="A3059" t="s">
        <v>3177</v>
      </c>
      <c r="B3059" t="s">
        <v>76</v>
      </c>
      <c r="C3059">
        <v>2017</v>
      </c>
      <c r="D3059" t="s">
        <v>89</v>
      </c>
      <c r="E3059" t="s">
        <v>64</v>
      </c>
      <c r="F3059" t="s">
        <v>89</v>
      </c>
      <c r="G3059">
        <v>24500</v>
      </c>
      <c r="H3059">
        <v>19600</v>
      </c>
      <c r="I3059" s="13">
        <v>0.7142857142857143</v>
      </c>
      <c r="J3059" t="s">
        <v>6207</v>
      </c>
      <c r="K3059">
        <v>1</v>
      </c>
      <c r="L3059">
        <v>0</v>
      </c>
      <c r="M3059" t="s">
        <v>0</v>
      </c>
      <c r="N3059" s="2">
        <v>0.53</v>
      </c>
      <c r="O3059" s="2">
        <v>0.47</v>
      </c>
      <c r="P3059">
        <v>15</v>
      </c>
      <c r="Q3059">
        <v>17</v>
      </c>
      <c r="R3059">
        <v>7</v>
      </c>
      <c r="S3059">
        <v>3</v>
      </c>
      <c r="T3059">
        <v>13</v>
      </c>
      <c r="U3059">
        <v>10</v>
      </c>
      <c r="V3059">
        <v>3</v>
      </c>
      <c r="W3059">
        <v>4</v>
      </c>
      <c r="X3059">
        <v>0</v>
      </c>
      <c r="Y3059">
        <v>0</v>
      </c>
      <c r="Z3059">
        <v>0</v>
      </c>
    </row>
    <row r="3060" spans="1:26" x14ac:dyDescent="0.2">
      <c r="A3060" t="s">
        <v>3178</v>
      </c>
      <c r="B3060" t="s">
        <v>61</v>
      </c>
      <c r="C3060">
        <v>2017</v>
      </c>
      <c r="D3060" t="s">
        <v>51</v>
      </c>
      <c r="E3060" t="s">
        <v>18</v>
      </c>
      <c r="F3060" t="s">
        <v>20</v>
      </c>
      <c r="G3060">
        <v>36284</v>
      </c>
      <c r="H3060">
        <v>29027.200000000001</v>
      </c>
      <c r="I3060" s="13">
        <v>0.7142857142857143</v>
      </c>
      <c r="J3060" t="s">
        <v>6207</v>
      </c>
      <c r="K3060">
        <v>1</v>
      </c>
      <c r="L3060">
        <v>2</v>
      </c>
      <c r="M3060" t="s">
        <v>1</v>
      </c>
      <c r="N3060" s="2">
        <v>0.68</v>
      </c>
      <c r="O3060" s="2">
        <v>0.32</v>
      </c>
      <c r="P3060">
        <v>20</v>
      </c>
      <c r="Q3060">
        <v>14</v>
      </c>
      <c r="R3060">
        <v>14</v>
      </c>
      <c r="S3060">
        <v>3</v>
      </c>
      <c r="T3060">
        <v>14</v>
      </c>
      <c r="U3060">
        <v>21</v>
      </c>
      <c r="V3060">
        <v>4</v>
      </c>
      <c r="W3060">
        <v>3</v>
      </c>
      <c r="X3060">
        <v>0</v>
      </c>
      <c r="Y3060">
        <v>0</v>
      </c>
      <c r="Z3060">
        <v>0</v>
      </c>
    </row>
    <row r="3061" spans="1:26" x14ac:dyDescent="0.2">
      <c r="A3061" t="s">
        <v>3179</v>
      </c>
      <c r="B3061" t="s">
        <v>77</v>
      </c>
      <c r="C3061">
        <v>2017</v>
      </c>
      <c r="D3061" t="s">
        <v>40</v>
      </c>
      <c r="E3061" t="s">
        <v>45</v>
      </c>
      <c r="F3061" t="s">
        <v>49</v>
      </c>
      <c r="G3061">
        <v>53400</v>
      </c>
      <c r="H3061">
        <v>42720</v>
      </c>
      <c r="I3061" s="13">
        <v>0.2857142857142857</v>
      </c>
      <c r="J3061" t="s">
        <v>6207</v>
      </c>
      <c r="K3061">
        <v>1</v>
      </c>
      <c r="L3061">
        <v>1</v>
      </c>
      <c r="M3061" t="s">
        <v>58</v>
      </c>
      <c r="N3061" s="2">
        <v>0.65</v>
      </c>
      <c r="O3061" s="2">
        <v>0.35</v>
      </c>
      <c r="P3061">
        <v>12</v>
      </c>
      <c r="Q3061">
        <v>7</v>
      </c>
      <c r="R3061">
        <v>7</v>
      </c>
      <c r="S3061">
        <v>1</v>
      </c>
      <c r="T3061">
        <v>7</v>
      </c>
      <c r="U3061">
        <v>9</v>
      </c>
      <c r="V3061">
        <v>2</v>
      </c>
      <c r="W3061">
        <v>3</v>
      </c>
      <c r="X3061">
        <v>1</v>
      </c>
      <c r="Y3061">
        <v>1</v>
      </c>
      <c r="Z3061">
        <v>0</v>
      </c>
    </row>
    <row r="3062" spans="1:26" x14ac:dyDescent="0.2">
      <c r="A3062" t="s">
        <v>3180</v>
      </c>
      <c r="B3062" t="s">
        <v>41</v>
      </c>
      <c r="C3062">
        <v>2017</v>
      </c>
      <c r="D3062" t="s">
        <v>86</v>
      </c>
      <c r="E3062" t="s">
        <v>40</v>
      </c>
      <c r="F3062" t="s">
        <v>86</v>
      </c>
      <c r="G3062">
        <v>11364</v>
      </c>
      <c r="H3062">
        <v>9091.2000000000007</v>
      </c>
      <c r="I3062" s="13">
        <v>0.54545454545454541</v>
      </c>
      <c r="J3062" t="s">
        <v>6207</v>
      </c>
      <c r="K3062">
        <v>1</v>
      </c>
      <c r="L3062">
        <v>2</v>
      </c>
      <c r="M3062" t="s">
        <v>1</v>
      </c>
      <c r="N3062" s="2">
        <v>0.3</v>
      </c>
      <c r="O3062" s="2">
        <v>0.7</v>
      </c>
      <c r="P3062">
        <v>17</v>
      </c>
      <c r="Q3062">
        <v>13</v>
      </c>
      <c r="R3062">
        <v>2</v>
      </c>
      <c r="S3062">
        <v>5</v>
      </c>
      <c r="T3062">
        <v>13</v>
      </c>
      <c r="U3062">
        <v>14</v>
      </c>
      <c r="V3062">
        <v>5</v>
      </c>
      <c r="W3062">
        <v>5</v>
      </c>
      <c r="X3062">
        <v>0</v>
      </c>
      <c r="Y3062">
        <v>1</v>
      </c>
      <c r="Z3062">
        <v>0</v>
      </c>
    </row>
    <row r="3063" spans="1:26" x14ac:dyDescent="0.2">
      <c r="A3063" t="s">
        <v>3181</v>
      </c>
      <c r="B3063" t="s">
        <v>83</v>
      </c>
      <c r="C3063">
        <v>2017</v>
      </c>
      <c r="D3063" t="s">
        <v>85</v>
      </c>
      <c r="E3063" t="s">
        <v>90</v>
      </c>
      <c r="F3063" t="s">
        <v>85</v>
      </c>
      <c r="G3063">
        <v>22220</v>
      </c>
      <c r="H3063">
        <v>17776</v>
      </c>
      <c r="I3063" s="13">
        <v>0.5</v>
      </c>
      <c r="J3063" t="s">
        <v>6208</v>
      </c>
      <c r="K3063">
        <v>0</v>
      </c>
      <c r="L3063">
        <v>0</v>
      </c>
      <c r="M3063" t="s">
        <v>58</v>
      </c>
      <c r="N3063" s="2">
        <v>0.42</v>
      </c>
      <c r="O3063" s="2">
        <v>0.57999999999999996</v>
      </c>
      <c r="P3063">
        <v>23</v>
      </c>
      <c r="Q3063">
        <v>7</v>
      </c>
      <c r="R3063">
        <v>3</v>
      </c>
      <c r="S3063">
        <v>11</v>
      </c>
      <c r="T3063">
        <v>7</v>
      </c>
      <c r="U3063">
        <v>18</v>
      </c>
      <c r="V3063">
        <v>0</v>
      </c>
      <c r="W3063">
        <v>1</v>
      </c>
      <c r="X3063">
        <v>1</v>
      </c>
      <c r="Y3063">
        <v>0</v>
      </c>
      <c r="Z3063">
        <v>0</v>
      </c>
    </row>
    <row r="3064" spans="1:26" x14ac:dyDescent="0.2">
      <c r="A3064" t="s">
        <v>3182</v>
      </c>
      <c r="B3064" t="s">
        <v>67</v>
      </c>
      <c r="C3064">
        <v>2017</v>
      </c>
      <c r="D3064" t="s">
        <v>64</v>
      </c>
      <c r="E3064" t="s">
        <v>23</v>
      </c>
      <c r="F3064" t="s">
        <v>64</v>
      </c>
      <c r="G3064">
        <v>52264</v>
      </c>
      <c r="H3064">
        <v>41811.200000000004</v>
      </c>
      <c r="I3064" s="13">
        <v>1</v>
      </c>
      <c r="J3064" t="s">
        <v>6207</v>
      </c>
      <c r="K3064">
        <v>3</v>
      </c>
      <c r="L3064">
        <v>0</v>
      </c>
      <c r="M3064" t="s">
        <v>0</v>
      </c>
      <c r="N3064" s="2">
        <v>0.37</v>
      </c>
      <c r="O3064" s="2">
        <v>0.63</v>
      </c>
      <c r="P3064">
        <v>13</v>
      </c>
      <c r="Q3064">
        <v>17</v>
      </c>
      <c r="R3064">
        <v>7</v>
      </c>
      <c r="S3064">
        <v>5</v>
      </c>
      <c r="T3064">
        <v>17</v>
      </c>
      <c r="U3064">
        <v>11</v>
      </c>
      <c r="V3064">
        <v>1</v>
      </c>
      <c r="W3064">
        <v>3</v>
      </c>
      <c r="X3064">
        <v>0</v>
      </c>
      <c r="Y3064">
        <v>0</v>
      </c>
      <c r="Z3064">
        <v>0</v>
      </c>
    </row>
    <row r="3065" spans="1:26" x14ac:dyDescent="0.2">
      <c r="A3065" t="s">
        <v>3183</v>
      </c>
      <c r="B3065" t="s">
        <v>59</v>
      </c>
      <c r="C3065">
        <v>2017</v>
      </c>
      <c r="D3065" t="s">
        <v>89</v>
      </c>
      <c r="E3065" t="s">
        <v>73</v>
      </c>
      <c r="F3065" t="s">
        <v>89</v>
      </c>
      <c r="G3065">
        <v>24500</v>
      </c>
      <c r="H3065">
        <v>19600</v>
      </c>
      <c r="I3065" s="13">
        <v>1</v>
      </c>
      <c r="J3065" t="s">
        <v>6206</v>
      </c>
      <c r="K3065">
        <v>0</v>
      </c>
      <c r="L3065">
        <v>0</v>
      </c>
      <c r="M3065" t="s">
        <v>58</v>
      </c>
      <c r="N3065" s="2">
        <v>0.45</v>
      </c>
      <c r="O3065" s="2">
        <v>0.55000000000000004</v>
      </c>
      <c r="P3065">
        <v>13</v>
      </c>
      <c r="Q3065">
        <v>10</v>
      </c>
      <c r="R3065">
        <v>5</v>
      </c>
      <c r="S3065">
        <v>4</v>
      </c>
      <c r="T3065">
        <v>10</v>
      </c>
      <c r="U3065">
        <v>10</v>
      </c>
      <c r="V3065">
        <v>0</v>
      </c>
      <c r="W3065">
        <v>1</v>
      </c>
      <c r="X3065">
        <v>0</v>
      </c>
      <c r="Y3065">
        <v>0</v>
      </c>
      <c r="Z3065">
        <v>0</v>
      </c>
    </row>
    <row r="3066" spans="1:26" x14ac:dyDescent="0.2">
      <c r="A3066" t="s">
        <v>3184</v>
      </c>
      <c r="B3066" t="s">
        <v>37</v>
      </c>
      <c r="C3066">
        <v>2017</v>
      </c>
      <c r="D3066" t="s">
        <v>79</v>
      </c>
      <c r="E3066" t="s">
        <v>71</v>
      </c>
      <c r="F3066" t="s">
        <v>20</v>
      </c>
      <c r="G3066">
        <v>25486</v>
      </c>
      <c r="H3066">
        <v>20388.800000000003</v>
      </c>
      <c r="I3066" s="13">
        <v>0.6</v>
      </c>
      <c r="J3066" t="s">
        <v>6206</v>
      </c>
      <c r="K3066">
        <v>0</v>
      </c>
      <c r="L3066">
        <v>2</v>
      </c>
      <c r="M3066" t="s">
        <v>1</v>
      </c>
      <c r="N3066" s="2">
        <v>0.53</v>
      </c>
      <c r="O3066" s="2">
        <v>0.47</v>
      </c>
      <c r="P3066">
        <v>9</v>
      </c>
      <c r="Q3066">
        <v>9</v>
      </c>
      <c r="R3066">
        <v>1</v>
      </c>
      <c r="S3066">
        <v>1</v>
      </c>
      <c r="T3066">
        <v>9</v>
      </c>
      <c r="U3066">
        <v>6</v>
      </c>
      <c r="V3066">
        <v>4</v>
      </c>
      <c r="W3066">
        <v>1</v>
      </c>
      <c r="X3066">
        <v>0</v>
      </c>
      <c r="Y3066">
        <v>0</v>
      </c>
      <c r="Z3066">
        <v>0</v>
      </c>
    </row>
    <row r="3067" spans="1:26" x14ac:dyDescent="0.2">
      <c r="A3067" t="s">
        <v>3185</v>
      </c>
      <c r="B3067" t="s">
        <v>66</v>
      </c>
      <c r="C3067">
        <v>2017</v>
      </c>
      <c r="D3067" t="s">
        <v>48</v>
      </c>
      <c r="E3067" t="s">
        <v>80</v>
      </c>
      <c r="F3067" t="s">
        <v>49</v>
      </c>
      <c r="G3067">
        <v>74197</v>
      </c>
      <c r="H3067">
        <v>59357.600000000006</v>
      </c>
      <c r="I3067" s="13">
        <v>0.66666666666666663</v>
      </c>
      <c r="J3067" t="s">
        <v>6207</v>
      </c>
      <c r="K3067">
        <v>2</v>
      </c>
      <c r="L3067">
        <v>0</v>
      </c>
      <c r="M3067" t="s">
        <v>0</v>
      </c>
      <c r="N3067" s="2">
        <v>0.69</v>
      </c>
      <c r="O3067" s="2">
        <v>0.31</v>
      </c>
      <c r="P3067">
        <v>9</v>
      </c>
      <c r="Q3067">
        <v>10</v>
      </c>
      <c r="R3067">
        <v>9</v>
      </c>
      <c r="S3067">
        <v>3</v>
      </c>
      <c r="T3067">
        <v>8</v>
      </c>
      <c r="U3067">
        <v>7</v>
      </c>
      <c r="V3067">
        <v>1</v>
      </c>
      <c r="W3067">
        <v>2</v>
      </c>
      <c r="X3067">
        <v>0</v>
      </c>
      <c r="Y3067">
        <v>0</v>
      </c>
      <c r="Z3067">
        <v>1</v>
      </c>
    </row>
    <row r="3068" spans="1:26" x14ac:dyDescent="0.2">
      <c r="A3068" t="s">
        <v>3186</v>
      </c>
      <c r="B3068" t="s">
        <v>61</v>
      </c>
      <c r="C3068">
        <v>2017</v>
      </c>
      <c r="D3068" t="s">
        <v>63</v>
      </c>
      <c r="E3068" t="s">
        <v>27</v>
      </c>
      <c r="F3068" t="s">
        <v>65</v>
      </c>
      <c r="G3068">
        <v>26804</v>
      </c>
      <c r="H3068">
        <v>21443.200000000001</v>
      </c>
      <c r="I3068" s="13">
        <v>0.75</v>
      </c>
      <c r="J3068" t="s">
        <v>6207</v>
      </c>
      <c r="K3068">
        <v>1</v>
      </c>
      <c r="L3068">
        <v>1</v>
      </c>
      <c r="M3068" t="s">
        <v>58</v>
      </c>
      <c r="N3068" s="2">
        <v>0.43</v>
      </c>
      <c r="O3068" s="2">
        <v>0.56999999999999995</v>
      </c>
      <c r="P3068">
        <v>9</v>
      </c>
      <c r="Q3068">
        <v>12</v>
      </c>
      <c r="R3068">
        <v>10</v>
      </c>
      <c r="S3068">
        <v>4</v>
      </c>
      <c r="T3068">
        <v>10</v>
      </c>
      <c r="U3068">
        <v>9</v>
      </c>
      <c r="V3068">
        <v>2</v>
      </c>
      <c r="W3068">
        <v>2</v>
      </c>
      <c r="X3068">
        <v>0</v>
      </c>
      <c r="Y3068">
        <v>0</v>
      </c>
      <c r="Z3068">
        <v>0</v>
      </c>
    </row>
    <row r="3069" spans="1:26" x14ac:dyDescent="0.2">
      <c r="A3069" t="s">
        <v>3187</v>
      </c>
      <c r="B3069" t="s">
        <v>68</v>
      </c>
      <c r="C3069">
        <v>2017</v>
      </c>
      <c r="D3069" t="s">
        <v>18</v>
      </c>
      <c r="E3069" t="s">
        <v>45</v>
      </c>
      <c r="F3069" t="s">
        <v>20</v>
      </c>
      <c r="G3069">
        <v>40341</v>
      </c>
      <c r="H3069">
        <v>32272.800000000003</v>
      </c>
      <c r="I3069" s="13">
        <v>0.75</v>
      </c>
      <c r="J3069" t="s">
        <v>6207</v>
      </c>
      <c r="K3069">
        <v>2</v>
      </c>
      <c r="L3069">
        <v>0</v>
      </c>
      <c r="M3069" t="s">
        <v>0</v>
      </c>
      <c r="N3069" s="2">
        <v>0.56999999999999995</v>
      </c>
      <c r="O3069" s="2">
        <v>0.43</v>
      </c>
      <c r="P3069">
        <v>7</v>
      </c>
      <c r="Q3069">
        <v>12</v>
      </c>
      <c r="R3069">
        <v>6</v>
      </c>
      <c r="S3069">
        <v>3</v>
      </c>
      <c r="T3069">
        <v>12</v>
      </c>
      <c r="U3069">
        <v>7</v>
      </c>
      <c r="V3069">
        <v>2</v>
      </c>
      <c r="W3069">
        <v>2</v>
      </c>
      <c r="X3069">
        <v>0</v>
      </c>
      <c r="Y3069">
        <v>0</v>
      </c>
      <c r="Z3069">
        <v>0</v>
      </c>
    </row>
    <row r="3070" spans="1:26" x14ac:dyDescent="0.2">
      <c r="A3070" t="s">
        <v>3188</v>
      </c>
      <c r="B3070" t="s">
        <v>50</v>
      </c>
      <c r="C3070">
        <v>2017</v>
      </c>
      <c r="D3070" t="s">
        <v>51</v>
      </c>
      <c r="E3070" t="s">
        <v>28</v>
      </c>
      <c r="F3070" t="s">
        <v>20</v>
      </c>
      <c r="G3070">
        <v>36284</v>
      </c>
      <c r="H3070">
        <v>29027.200000000001</v>
      </c>
      <c r="I3070" s="13">
        <v>0</v>
      </c>
      <c r="J3070" t="s">
        <v>6207</v>
      </c>
      <c r="K3070">
        <v>1</v>
      </c>
      <c r="L3070">
        <v>1</v>
      </c>
      <c r="M3070" t="s">
        <v>58</v>
      </c>
      <c r="N3070" s="2">
        <v>0.67</v>
      </c>
      <c r="O3070" s="2">
        <v>0.33</v>
      </c>
      <c r="P3070">
        <v>15</v>
      </c>
      <c r="Q3070">
        <v>10</v>
      </c>
      <c r="R3070">
        <v>10</v>
      </c>
      <c r="S3070">
        <v>7</v>
      </c>
      <c r="T3070">
        <v>9</v>
      </c>
      <c r="U3070">
        <v>9</v>
      </c>
      <c r="V3070">
        <v>0</v>
      </c>
      <c r="W3070">
        <v>0</v>
      </c>
      <c r="X3070">
        <v>0</v>
      </c>
      <c r="Y3070">
        <v>0</v>
      </c>
      <c r="Z3070">
        <v>0</v>
      </c>
    </row>
    <row r="3071" spans="1:26" x14ac:dyDescent="0.2">
      <c r="A3071" t="s">
        <v>3189</v>
      </c>
      <c r="B3071" t="s">
        <v>76</v>
      </c>
      <c r="C3071">
        <v>2017</v>
      </c>
      <c r="D3071" t="s">
        <v>26</v>
      </c>
      <c r="E3071" t="s">
        <v>46</v>
      </c>
      <c r="F3071" t="s">
        <v>26</v>
      </c>
      <c r="G3071">
        <v>61276</v>
      </c>
      <c r="H3071">
        <v>49020.800000000003</v>
      </c>
      <c r="I3071" s="13">
        <v>0.66666666666666663</v>
      </c>
      <c r="J3071" t="s">
        <v>6207</v>
      </c>
      <c r="K3071">
        <v>4</v>
      </c>
      <c r="L3071">
        <v>0</v>
      </c>
      <c r="M3071" t="s">
        <v>0</v>
      </c>
      <c r="N3071" s="2">
        <v>0.49</v>
      </c>
      <c r="O3071" s="2">
        <v>0.51</v>
      </c>
      <c r="P3071">
        <v>13</v>
      </c>
      <c r="Q3071">
        <v>9</v>
      </c>
      <c r="R3071">
        <v>4</v>
      </c>
      <c r="S3071">
        <v>3</v>
      </c>
      <c r="T3071">
        <v>6</v>
      </c>
      <c r="U3071">
        <v>9</v>
      </c>
      <c r="V3071">
        <v>2</v>
      </c>
      <c r="W3071">
        <v>4</v>
      </c>
      <c r="X3071">
        <v>0</v>
      </c>
      <c r="Y3071">
        <v>0</v>
      </c>
      <c r="Z3071">
        <v>0</v>
      </c>
    </row>
    <row r="3072" spans="1:26" x14ac:dyDescent="0.2">
      <c r="A3072" t="s">
        <v>3190</v>
      </c>
      <c r="B3072" t="s">
        <v>68</v>
      </c>
      <c r="C3072">
        <v>2017</v>
      </c>
      <c r="D3072" t="s">
        <v>40</v>
      </c>
      <c r="E3072" t="s">
        <v>26</v>
      </c>
      <c r="F3072" t="s">
        <v>49</v>
      </c>
      <c r="G3072">
        <v>53400</v>
      </c>
      <c r="H3072">
        <v>42720</v>
      </c>
      <c r="I3072" s="13">
        <v>0.8</v>
      </c>
      <c r="J3072" t="s">
        <v>6207</v>
      </c>
      <c r="K3072">
        <v>5</v>
      </c>
      <c r="L3072">
        <v>0</v>
      </c>
      <c r="M3072" t="s">
        <v>0</v>
      </c>
      <c r="N3072" s="2">
        <v>0.66</v>
      </c>
      <c r="O3072" s="2">
        <v>0.34</v>
      </c>
      <c r="P3072">
        <v>11</v>
      </c>
      <c r="Q3072">
        <v>14</v>
      </c>
      <c r="R3072">
        <v>8</v>
      </c>
      <c r="S3072">
        <v>3</v>
      </c>
      <c r="T3072">
        <v>10</v>
      </c>
      <c r="U3072">
        <v>9</v>
      </c>
      <c r="V3072">
        <v>2</v>
      </c>
      <c r="W3072">
        <v>2</v>
      </c>
      <c r="X3072">
        <v>0</v>
      </c>
      <c r="Y3072">
        <v>1</v>
      </c>
      <c r="Z3072">
        <v>0</v>
      </c>
    </row>
    <row r="3073" spans="1:26" x14ac:dyDescent="0.2">
      <c r="A3073" t="s">
        <v>3191</v>
      </c>
      <c r="B3073" t="s">
        <v>54</v>
      </c>
      <c r="C3073">
        <v>2017</v>
      </c>
      <c r="D3073" t="s">
        <v>73</v>
      </c>
      <c r="E3073" t="s">
        <v>85</v>
      </c>
      <c r="F3073" t="s">
        <v>73</v>
      </c>
      <c r="G3073">
        <v>32384</v>
      </c>
      <c r="H3073">
        <v>25907.200000000001</v>
      </c>
      <c r="I3073" s="13">
        <v>0</v>
      </c>
      <c r="J3073" t="s">
        <v>6206</v>
      </c>
      <c r="K3073">
        <v>0</v>
      </c>
      <c r="L3073">
        <v>2</v>
      </c>
      <c r="M3073" t="s">
        <v>1</v>
      </c>
      <c r="N3073" s="2">
        <v>0.52</v>
      </c>
      <c r="O3073" s="2">
        <v>0.48</v>
      </c>
      <c r="P3073">
        <v>12</v>
      </c>
      <c r="Q3073">
        <v>10</v>
      </c>
      <c r="R3073">
        <v>7</v>
      </c>
      <c r="S3073">
        <v>4</v>
      </c>
      <c r="T3073">
        <v>8</v>
      </c>
      <c r="U3073">
        <v>11</v>
      </c>
      <c r="V3073">
        <v>0</v>
      </c>
      <c r="W3073">
        <v>0</v>
      </c>
      <c r="X3073">
        <v>0</v>
      </c>
      <c r="Y3073">
        <v>0</v>
      </c>
      <c r="Z3073">
        <v>0</v>
      </c>
    </row>
    <row r="3074" spans="1:26" x14ac:dyDescent="0.2">
      <c r="A3074" t="s">
        <v>3192</v>
      </c>
      <c r="B3074" t="s">
        <v>50</v>
      </c>
      <c r="C3074">
        <v>2017</v>
      </c>
      <c r="D3074" t="s">
        <v>80</v>
      </c>
      <c r="E3074" t="s">
        <v>18</v>
      </c>
      <c r="F3074" t="s">
        <v>80</v>
      </c>
      <c r="G3074">
        <v>32261</v>
      </c>
      <c r="H3074">
        <v>25808.800000000003</v>
      </c>
      <c r="I3074" s="13">
        <v>1</v>
      </c>
      <c r="J3074" t="s">
        <v>6207</v>
      </c>
      <c r="K3074">
        <v>1</v>
      </c>
      <c r="L3074">
        <v>2</v>
      </c>
      <c r="M3074" t="s">
        <v>1</v>
      </c>
      <c r="N3074" s="2">
        <v>0.4</v>
      </c>
      <c r="O3074" s="2">
        <v>0.6</v>
      </c>
      <c r="P3074">
        <v>10</v>
      </c>
      <c r="Q3074">
        <v>12</v>
      </c>
      <c r="R3074">
        <v>2</v>
      </c>
      <c r="S3074">
        <v>9</v>
      </c>
      <c r="T3074">
        <v>11</v>
      </c>
      <c r="U3074">
        <v>8</v>
      </c>
      <c r="V3074">
        <v>1</v>
      </c>
      <c r="W3074">
        <v>0</v>
      </c>
      <c r="X3074">
        <v>0</v>
      </c>
      <c r="Y3074">
        <v>0</v>
      </c>
      <c r="Z3074">
        <v>1</v>
      </c>
    </row>
    <row r="3075" spans="1:26" x14ac:dyDescent="0.2">
      <c r="A3075" t="s">
        <v>3193</v>
      </c>
      <c r="B3075" t="s">
        <v>83</v>
      </c>
      <c r="C3075">
        <v>2017</v>
      </c>
      <c r="D3075" t="s">
        <v>45</v>
      </c>
      <c r="E3075" t="s">
        <v>51</v>
      </c>
      <c r="F3075" t="s">
        <v>26</v>
      </c>
      <c r="G3075">
        <v>39572</v>
      </c>
      <c r="H3075">
        <v>31657.600000000002</v>
      </c>
      <c r="I3075" s="13">
        <v>0.5</v>
      </c>
      <c r="J3075" t="s">
        <v>6208</v>
      </c>
      <c r="K3075">
        <v>0</v>
      </c>
      <c r="L3075">
        <v>3</v>
      </c>
      <c r="M3075" t="s">
        <v>1</v>
      </c>
      <c r="N3075" s="2">
        <v>0.51</v>
      </c>
      <c r="O3075" s="2">
        <v>0.49</v>
      </c>
      <c r="P3075">
        <v>16</v>
      </c>
      <c r="Q3075">
        <v>19</v>
      </c>
      <c r="R3075">
        <v>7</v>
      </c>
      <c r="S3075">
        <v>3</v>
      </c>
      <c r="T3075">
        <v>14</v>
      </c>
      <c r="U3075">
        <v>14</v>
      </c>
      <c r="V3075">
        <v>3</v>
      </c>
      <c r="W3075">
        <v>1</v>
      </c>
      <c r="X3075">
        <v>0</v>
      </c>
      <c r="Y3075">
        <v>0</v>
      </c>
      <c r="Z3075">
        <v>0</v>
      </c>
    </row>
    <row r="3076" spans="1:26" x14ac:dyDescent="0.2">
      <c r="A3076" t="s">
        <v>3194</v>
      </c>
      <c r="B3076" t="s">
        <v>88</v>
      </c>
      <c r="C3076">
        <v>2017</v>
      </c>
      <c r="D3076" t="s">
        <v>90</v>
      </c>
      <c r="E3076" t="s">
        <v>63</v>
      </c>
      <c r="F3076" t="s">
        <v>91</v>
      </c>
      <c r="G3076">
        <v>31876</v>
      </c>
      <c r="H3076">
        <v>25500.800000000003</v>
      </c>
      <c r="I3076" s="13">
        <v>0</v>
      </c>
      <c r="J3076" t="s">
        <v>6207</v>
      </c>
      <c r="K3076">
        <v>3</v>
      </c>
      <c r="L3076">
        <v>1</v>
      </c>
      <c r="M3076" t="s">
        <v>0</v>
      </c>
      <c r="N3076" s="2">
        <v>0.49</v>
      </c>
      <c r="O3076" s="2">
        <v>0.51</v>
      </c>
      <c r="P3076">
        <v>5</v>
      </c>
      <c r="Q3076">
        <v>10</v>
      </c>
      <c r="R3076">
        <v>2</v>
      </c>
      <c r="S3076">
        <v>6</v>
      </c>
      <c r="T3076">
        <v>9</v>
      </c>
      <c r="U3076">
        <v>4</v>
      </c>
      <c r="V3076">
        <v>2</v>
      </c>
      <c r="W3076">
        <v>0</v>
      </c>
      <c r="X3076">
        <v>0</v>
      </c>
      <c r="Y3076">
        <v>0</v>
      </c>
      <c r="Z3076">
        <v>0</v>
      </c>
    </row>
    <row r="3077" spans="1:26" x14ac:dyDescent="0.2">
      <c r="A3077" t="s">
        <v>3195</v>
      </c>
      <c r="B3077" t="s">
        <v>61</v>
      </c>
      <c r="C3077">
        <v>2017</v>
      </c>
      <c r="D3077" t="s">
        <v>46</v>
      </c>
      <c r="E3077" t="s">
        <v>86</v>
      </c>
      <c r="F3077" t="s">
        <v>20</v>
      </c>
      <c r="G3077">
        <v>60704</v>
      </c>
      <c r="H3077">
        <v>48563.200000000004</v>
      </c>
      <c r="I3077" s="13">
        <v>0</v>
      </c>
      <c r="J3077" t="s">
        <v>6207</v>
      </c>
      <c r="K3077">
        <v>3</v>
      </c>
      <c r="L3077">
        <v>0</v>
      </c>
      <c r="M3077" t="s">
        <v>0</v>
      </c>
      <c r="N3077" s="2">
        <v>0.59</v>
      </c>
      <c r="O3077" s="2">
        <v>0.41</v>
      </c>
      <c r="P3077">
        <v>10</v>
      </c>
      <c r="Q3077">
        <v>18</v>
      </c>
      <c r="R3077">
        <v>10</v>
      </c>
      <c r="S3077">
        <v>3</v>
      </c>
      <c r="T3077">
        <v>14</v>
      </c>
      <c r="U3077">
        <v>10</v>
      </c>
      <c r="V3077">
        <v>0</v>
      </c>
      <c r="W3077">
        <v>1</v>
      </c>
      <c r="X3077">
        <v>0</v>
      </c>
      <c r="Y3077">
        <v>0</v>
      </c>
      <c r="Z3077">
        <v>0</v>
      </c>
    </row>
    <row r="3078" spans="1:26" x14ac:dyDescent="0.2">
      <c r="A3078" t="s">
        <v>3196</v>
      </c>
      <c r="B3078" t="s">
        <v>67</v>
      </c>
      <c r="C3078">
        <v>2017</v>
      </c>
      <c r="D3078" t="s">
        <v>27</v>
      </c>
      <c r="E3078" t="s">
        <v>48</v>
      </c>
      <c r="F3078" t="s">
        <v>27</v>
      </c>
      <c r="G3078">
        <v>30089</v>
      </c>
      <c r="H3078">
        <v>24071.200000000001</v>
      </c>
      <c r="I3078" s="13">
        <v>0</v>
      </c>
      <c r="J3078" t="s">
        <v>6207</v>
      </c>
      <c r="K3078">
        <v>2</v>
      </c>
      <c r="L3078">
        <v>2</v>
      </c>
      <c r="M3078" t="s">
        <v>58</v>
      </c>
      <c r="N3078" s="2">
        <v>0.37</v>
      </c>
      <c r="O3078" s="2">
        <v>0.63</v>
      </c>
      <c r="P3078">
        <v>14</v>
      </c>
      <c r="Q3078">
        <v>10</v>
      </c>
      <c r="R3078">
        <v>5</v>
      </c>
      <c r="S3078">
        <v>11</v>
      </c>
      <c r="T3078">
        <v>10</v>
      </c>
      <c r="U3078">
        <v>10</v>
      </c>
      <c r="V3078">
        <v>0</v>
      </c>
      <c r="W3078">
        <v>0</v>
      </c>
      <c r="X3078">
        <v>0</v>
      </c>
      <c r="Y3078">
        <v>0</v>
      </c>
      <c r="Z3078">
        <v>0</v>
      </c>
    </row>
    <row r="3079" spans="1:26" x14ac:dyDescent="0.2">
      <c r="A3079" t="s">
        <v>3197</v>
      </c>
      <c r="B3079" t="s">
        <v>66</v>
      </c>
      <c r="C3079">
        <v>2017</v>
      </c>
      <c r="D3079" t="s">
        <v>28</v>
      </c>
      <c r="E3079" t="s">
        <v>79</v>
      </c>
      <c r="F3079" t="s">
        <v>28</v>
      </c>
      <c r="G3079">
        <v>21944</v>
      </c>
      <c r="H3079">
        <v>17555.2</v>
      </c>
      <c r="I3079" s="13">
        <v>1</v>
      </c>
      <c r="J3079" t="s">
        <v>6207</v>
      </c>
      <c r="K3079">
        <v>1</v>
      </c>
      <c r="L3079">
        <v>0</v>
      </c>
      <c r="M3079" t="s">
        <v>0</v>
      </c>
      <c r="N3079" s="2">
        <v>0.35</v>
      </c>
      <c r="O3079" s="2">
        <v>0.65</v>
      </c>
      <c r="P3079">
        <v>14</v>
      </c>
      <c r="Q3079">
        <v>14</v>
      </c>
      <c r="R3079">
        <v>3</v>
      </c>
      <c r="S3079">
        <v>13</v>
      </c>
      <c r="T3079">
        <v>7</v>
      </c>
      <c r="U3079">
        <v>14</v>
      </c>
      <c r="V3079">
        <v>1</v>
      </c>
      <c r="W3079">
        <v>1</v>
      </c>
      <c r="X3079">
        <v>0</v>
      </c>
      <c r="Y3079">
        <v>0</v>
      </c>
      <c r="Z3079">
        <v>0</v>
      </c>
    </row>
    <row r="3080" spans="1:26" x14ac:dyDescent="0.2">
      <c r="A3080" t="s">
        <v>3198</v>
      </c>
      <c r="B3080" t="s">
        <v>53</v>
      </c>
      <c r="C3080">
        <v>2017</v>
      </c>
      <c r="D3080" t="s">
        <v>71</v>
      </c>
      <c r="E3080" t="s">
        <v>64</v>
      </c>
      <c r="F3080" t="s">
        <v>71</v>
      </c>
      <c r="G3080">
        <v>21088</v>
      </c>
      <c r="H3080">
        <v>16870.400000000001</v>
      </c>
      <c r="I3080" s="13">
        <v>0.4</v>
      </c>
      <c r="J3080" t="s">
        <v>6207</v>
      </c>
      <c r="K3080">
        <v>0</v>
      </c>
      <c r="L3080">
        <v>1</v>
      </c>
      <c r="M3080" t="s">
        <v>1</v>
      </c>
      <c r="N3080" s="2">
        <v>0.62</v>
      </c>
      <c r="O3080" s="2">
        <v>0.38</v>
      </c>
      <c r="P3080">
        <v>15</v>
      </c>
      <c r="Q3080">
        <v>12</v>
      </c>
      <c r="R3080">
        <v>7</v>
      </c>
      <c r="S3080">
        <v>5</v>
      </c>
      <c r="T3080">
        <v>11</v>
      </c>
      <c r="U3080">
        <v>15</v>
      </c>
      <c r="V3080">
        <v>2</v>
      </c>
      <c r="W3080">
        <v>3</v>
      </c>
      <c r="X3080">
        <v>0</v>
      </c>
      <c r="Y3080">
        <v>0</v>
      </c>
      <c r="Z3080">
        <v>0</v>
      </c>
    </row>
    <row r="3081" spans="1:26" x14ac:dyDescent="0.2">
      <c r="A3081" t="s">
        <v>3199</v>
      </c>
      <c r="B3081" t="s">
        <v>60</v>
      </c>
      <c r="C3081">
        <v>2017</v>
      </c>
      <c r="D3081" t="s">
        <v>23</v>
      </c>
      <c r="E3081" t="s">
        <v>89</v>
      </c>
      <c r="F3081" t="s">
        <v>20</v>
      </c>
      <c r="G3081">
        <v>62500</v>
      </c>
      <c r="H3081">
        <v>50000</v>
      </c>
      <c r="I3081" s="13">
        <v>1</v>
      </c>
      <c r="J3081" t="s">
        <v>6208</v>
      </c>
      <c r="K3081">
        <v>2</v>
      </c>
      <c r="L3081">
        <v>0</v>
      </c>
      <c r="M3081" t="s">
        <v>0</v>
      </c>
      <c r="N3081" s="2">
        <v>0.43</v>
      </c>
      <c r="O3081" s="2">
        <v>0.56999999999999995</v>
      </c>
      <c r="P3081">
        <v>15</v>
      </c>
      <c r="Q3081">
        <v>11</v>
      </c>
      <c r="R3081">
        <v>10</v>
      </c>
      <c r="S3081">
        <v>3</v>
      </c>
      <c r="T3081">
        <v>11</v>
      </c>
      <c r="U3081">
        <v>14</v>
      </c>
      <c r="V3081">
        <v>1</v>
      </c>
      <c r="W3081">
        <v>2</v>
      </c>
      <c r="X3081">
        <v>0</v>
      </c>
      <c r="Y3081">
        <v>0</v>
      </c>
      <c r="Z3081">
        <v>0</v>
      </c>
    </row>
    <row r="3082" spans="1:26" x14ac:dyDescent="0.2">
      <c r="A3082" t="s">
        <v>3200</v>
      </c>
      <c r="B3082" t="s">
        <v>76</v>
      </c>
      <c r="C3082">
        <v>2017</v>
      </c>
      <c r="D3082" t="s">
        <v>86</v>
      </c>
      <c r="E3082" t="s">
        <v>90</v>
      </c>
      <c r="F3082" t="s">
        <v>86</v>
      </c>
      <c r="G3082">
        <v>11364</v>
      </c>
      <c r="H3082">
        <v>9091.2000000000007</v>
      </c>
      <c r="I3082" s="13">
        <v>0</v>
      </c>
      <c r="J3082" t="s">
        <v>6207</v>
      </c>
      <c r="K3082">
        <v>2</v>
      </c>
      <c r="L3082">
        <v>1</v>
      </c>
      <c r="M3082" t="s">
        <v>0</v>
      </c>
      <c r="N3082" s="2">
        <v>0.63</v>
      </c>
      <c r="O3082" s="2">
        <v>0.37</v>
      </c>
      <c r="P3082">
        <v>13</v>
      </c>
      <c r="Q3082">
        <v>6</v>
      </c>
      <c r="R3082">
        <v>6</v>
      </c>
      <c r="S3082">
        <v>4</v>
      </c>
      <c r="T3082">
        <v>5</v>
      </c>
      <c r="U3082">
        <v>11</v>
      </c>
      <c r="V3082">
        <v>0</v>
      </c>
      <c r="W3082">
        <v>0</v>
      </c>
      <c r="X3082">
        <v>0</v>
      </c>
      <c r="Y3082">
        <v>0</v>
      </c>
      <c r="Z3082">
        <v>0</v>
      </c>
    </row>
    <row r="3083" spans="1:26" x14ac:dyDescent="0.2">
      <c r="A3083" t="s">
        <v>3201</v>
      </c>
      <c r="B3083" t="s">
        <v>77</v>
      </c>
      <c r="C3083">
        <v>2017</v>
      </c>
      <c r="D3083" t="s">
        <v>79</v>
      </c>
      <c r="E3083" t="s">
        <v>73</v>
      </c>
      <c r="F3083" t="s">
        <v>20</v>
      </c>
      <c r="G3083">
        <v>25486</v>
      </c>
      <c r="H3083">
        <v>20388.800000000003</v>
      </c>
      <c r="I3083" s="13">
        <v>0.33333333333333331</v>
      </c>
      <c r="J3083" t="s">
        <v>6207</v>
      </c>
      <c r="K3083">
        <v>0</v>
      </c>
      <c r="L3083">
        <v>1</v>
      </c>
      <c r="M3083" t="s">
        <v>1</v>
      </c>
      <c r="N3083" s="2">
        <v>0.45</v>
      </c>
      <c r="O3083" s="2">
        <v>0.55000000000000004</v>
      </c>
      <c r="P3083">
        <v>14</v>
      </c>
      <c r="Q3083">
        <v>14</v>
      </c>
      <c r="R3083">
        <v>5</v>
      </c>
      <c r="S3083">
        <v>5</v>
      </c>
      <c r="T3083">
        <v>14</v>
      </c>
      <c r="U3083">
        <v>13</v>
      </c>
      <c r="V3083">
        <v>5</v>
      </c>
      <c r="W3083">
        <v>1</v>
      </c>
      <c r="X3083">
        <v>0</v>
      </c>
      <c r="Y3083">
        <v>0</v>
      </c>
      <c r="Z3083">
        <v>0</v>
      </c>
    </row>
    <row r="3084" spans="1:26" x14ac:dyDescent="0.2">
      <c r="A3084" t="s">
        <v>3202</v>
      </c>
      <c r="B3084" t="s">
        <v>81</v>
      </c>
      <c r="C3084">
        <v>2017</v>
      </c>
      <c r="D3084" t="s">
        <v>63</v>
      </c>
      <c r="E3084" t="s">
        <v>23</v>
      </c>
      <c r="F3084" t="s">
        <v>65</v>
      </c>
      <c r="G3084">
        <v>26804</v>
      </c>
      <c r="H3084">
        <v>21443.200000000001</v>
      </c>
      <c r="I3084" s="13">
        <v>0.75</v>
      </c>
      <c r="J3084" t="s">
        <v>6207</v>
      </c>
      <c r="K3084">
        <v>0</v>
      </c>
      <c r="L3084">
        <v>0</v>
      </c>
      <c r="M3084" t="s">
        <v>58</v>
      </c>
      <c r="N3084" s="2">
        <v>0.37</v>
      </c>
      <c r="O3084" s="2">
        <v>0.63</v>
      </c>
      <c r="P3084">
        <v>10</v>
      </c>
      <c r="Q3084">
        <v>18</v>
      </c>
      <c r="R3084">
        <v>2</v>
      </c>
      <c r="S3084">
        <v>3</v>
      </c>
      <c r="T3084">
        <v>15</v>
      </c>
      <c r="U3084">
        <v>7</v>
      </c>
      <c r="V3084">
        <v>2</v>
      </c>
      <c r="W3084">
        <v>2</v>
      </c>
      <c r="X3084">
        <v>0</v>
      </c>
      <c r="Y3084">
        <v>0</v>
      </c>
      <c r="Z3084">
        <v>0</v>
      </c>
    </row>
    <row r="3085" spans="1:26" x14ac:dyDescent="0.2">
      <c r="A3085" t="s">
        <v>3203</v>
      </c>
      <c r="B3085" t="s">
        <v>61</v>
      </c>
      <c r="C3085">
        <v>2017</v>
      </c>
      <c r="D3085" t="s">
        <v>85</v>
      </c>
      <c r="E3085" t="s">
        <v>40</v>
      </c>
      <c r="F3085" t="s">
        <v>85</v>
      </c>
      <c r="G3085">
        <v>22220</v>
      </c>
      <c r="H3085">
        <v>17776</v>
      </c>
      <c r="I3085" s="13">
        <v>1</v>
      </c>
      <c r="J3085" t="s">
        <v>6207</v>
      </c>
      <c r="K3085">
        <v>0</v>
      </c>
      <c r="L3085">
        <v>6</v>
      </c>
      <c r="M3085" t="s">
        <v>1</v>
      </c>
      <c r="N3085" s="2">
        <v>0.33</v>
      </c>
      <c r="O3085" s="2">
        <v>0.67</v>
      </c>
      <c r="P3085">
        <v>6</v>
      </c>
      <c r="Q3085">
        <v>9</v>
      </c>
      <c r="R3085">
        <v>3</v>
      </c>
      <c r="S3085">
        <v>11</v>
      </c>
      <c r="T3085">
        <v>8</v>
      </c>
      <c r="U3085">
        <v>6</v>
      </c>
      <c r="V3085">
        <v>2</v>
      </c>
      <c r="W3085">
        <v>0</v>
      </c>
      <c r="X3085">
        <v>0</v>
      </c>
      <c r="Y3085">
        <v>0</v>
      </c>
      <c r="Z3085">
        <v>1</v>
      </c>
    </row>
    <row r="3086" spans="1:26" x14ac:dyDescent="0.2">
      <c r="A3086" t="s">
        <v>3204</v>
      </c>
      <c r="B3086" t="s">
        <v>59</v>
      </c>
      <c r="C3086">
        <v>2017</v>
      </c>
      <c r="D3086" t="s">
        <v>64</v>
      </c>
      <c r="E3086" t="s">
        <v>27</v>
      </c>
      <c r="F3086" t="s">
        <v>64</v>
      </c>
      <c r="G3086">
        <v>52264</v>
      </c>
      <c r="H3086">
        <v>41811.200000000004</v>
      </c>
      <c r="I3086" s="13">
        <v>1</v>
      </c>
      <c r="J3086" t="s">
        <v>6206</v>
      </c>
      <c r="K3086">
        <v>2</v>
      </c>
      <c r="L3086">
        <v>1</v>
      </c>
      <c r="M3086" t="s">
        <v>0</v>
      </c>
      <c r="N3086" s="2">
        <v>0.42</v>
      </c>
      <c r="O3086" s="2">
        <v>0.57999999999999996</v>
      </c>
      <c r="P3086">
        <v>12</v>
      </c>
      <c r="Q3086">
        <v>14</v>
      </c>
      <c r="R3086">
        <v>7</v>
      </c>
      <c r="S3086">
        <v>5</v>
      </c>
      <c r="T3086">
        <v>13</v>
      </c>
      <c r="U3086">
        <v>11</v>
      </c>
      <c r="V3086">
        <v>3</v>
      </c>
      <c r="W3086">
        <v>1</v>
      </c>
      <c r="X3086">
        <v>0</v>
      </c>
      <c r="Y3086">
        <v>0</v>
      </c>
      <c r="Z3086">
        <v>0</v>
      </c>
    </row>
    <row r="3087" spans="1:26" x14ac:dyDescent="0.2">
      <c r="A3087" t="s">
        <v>3205</v>
      </c>
      <c r="B3087" t="s">
        <v>74</v>
      </c>
      <c r="C3087">
        <v>2017</v>
      </c>
      <c r="D3087" t="s">
        <v>26</v>
      </c>
      <c r="E3087" t="s">
        <v>28</v>
      </c>
      <c r="F3087" t="s">
        <v>26</v>
      </c>
      <c r="G3087">
        <v>61276</v>
      </c>
      <c r="H3087">
        <v>49020.800000000003</v>
      </c>
      <c r="I3087" s="13">
        <v>0.33333333333333331</v>
      </c>
      <c r="J3087" t="s">
        <v>6208</v>
      </c>
      <c r="K3087">
        <v>1</v>
      </c>
      <c r="L3087">
        <v>1</v>
      </c>
      <c r="M3087" t="s">
        <v>58</v>
      </c>
      <c r="N3087" s="2">
        <v>0.71</v>
      </c>
      <c r="O3087" s="2">
        <v>0.28999999999999998</v>
      </c>
      <c r="P3087">
        <v>14</v>
      </c>
      <c r="Q3087">
        <v>8</v>
      </c>
      <c r="R3087">
        <v>12</v>
      </c>
      <c r="S3087">
        <v>2</v>
      </c>
      <c r="T3087">
        <v>7</v>
      </c>
      <c r="U3087">
        <v>9</v>
      </c>
      <c r="V3087">
        <v>1</v>
      </c>
      <c r="W3087">
        <v>2</v>
      </c>
      <c r="X3087">
        <v>0</v>
      </c>
      <c r="Y3087">
        <v>0</v>
      </c>
      <c r="Z3087">
        <v>0</v>
      </c>
    </row>
    <row r="3088" spans="1:26" x14ac:dyDescent="0.2">
      <c r="A3088" t="s">
        <v>3206</v>
      </c>
      <c r="B3088" t="s">
        <v>68</v>
      </c>
      <c r="C3088">
        <v>2017</v>
      </c>
      <c r="D3088" t="s">
        <v>89</v>
      </c>
      <c r="E3088" t="s">
        <v>80</v>
      </c>
      <c r="F3088" t="s">
        <v>89</v>
      </c>
      <c r="G3088">
        <v>24500</v>
      </c>
      <c r="H3088">
        <v>19600</v>
      </c>
      <c r="I3088" s="13">
        <v>1</v>
      </c>
      <c r="J3088" t="s">
        <v>6207</v>
      </c>
      <c r="K3088">
        <v>1</v>
      </c>
      <c r="L3088">
        <v>1</v>
      </c>
      <c r="M3088" t="s">
        <v>58</v>
      </c>
      <c r="N3088" s="2">
        <v>0.6</v>
      </c>
      <c r="O3088" s="2">
        <v>0.4</v>
      </c>
      <c r="P3088">
        <v>7</v>
      </c>
      <c r="Q3088">
        <v>8</v>
      </c>
      <c r="R3088">
        <v>8</v>
      </c>
      <c r="S3088">
        <v>4</v>
      </c>
      <c r="T3088">
        <v>6</v>
      </c>
      <c r="U3088">
        <v>6</v>
      </c>
      <c r="V3088">
        <v>1</v>
      </c>
      <c r="W3088">
        <v>1</v>
      </c>
      <c r="X3088">
        <v>0</v>
      </c>
      <c r="Y3088">
        <v>0</v>
      </c>
      <c r="Z3088">
        <v>1</v>
      </c>
    </row>
    <row r="3089" spans="1:26" x14ac:dyDescent="0.2">
      <c r="A3089" t="s">
        <v>3207</v>
      </c>
      <c r="B3089" t="s">
        <v>41</v>
      </c>
      <c r="C3089">
        <v>2017</v>
      </c>
      <c r="D3089" t="s">
        <v>51</v>
      </c>
      <c r="E3089" t="s">
        <v>71</v>
      </c>
      <c r="F3089" t="s">
        <v>20</v>
      </c>
      <c r="G3089">
        <v>36284</v>
      </c>
      <c r="H3089">
        <v>29027.200000000001</v>
      </c>
      <c r="I3089" s="13">
        <v>0.5</v>
      </c>
      <c r="J3089" t="s">
        <v>6207</v>
      </c>
      <c r="K3089">
        <v>0</v>
      </c>
      <c r="L3089">
        <v>0</v>
      </c>
      <c r="M3089" t="s">
        <v>58</v>
      </c>
      <c r="N3089" s="2">
        <v>0.75</v>
      </c>
      <c r="O3089" s="2">
        <v>0.25</v>
      </c>
      <c r="P3089">
        <v>9</v>
      </c>
      <c r="Q3089">
        <v>11</v>
      </c>
      <c r="R3089">
        <v>11</v>
      </c>
      <c r="S3089">
        <v>1</v>
      </c>
      <c r="T3089">
        <v>11</v>
      </c>
      <c r="U3089">
        <v>9</v>
      </c>
      <c r="V3089">
        <v>1</v>
      </c>
      <c r="W3089">
        <v>3</v>
      </c>
      <c r="X3089">
        <v>0</v>
      </c>
      <c r="Y3089">
        <v>0</v>
      </c>
      <c r="Z3089">
        <v>0</v>
      </c>
    </row>
    <row r="3090" spans="1:26" x14ac:dyDescent="0.2">
      <c r="A3090" t="s">
        <v>3208</v>
      </c>
      <c r="B3090" t="s">
        <v>66</v>
      </c>
      <c r="C3090">
        <v>2017</v>
      </c>
      <c r="D3090" t="s">
        <v>18</v>
      </c>
      <c r="E3090" t="s">
        <v>46</v>
      </c>
      <c r="F3090" t="s">
        <v>20</v>
      </c>
      <c r="G3090">
        <v>40341</v>
      </c>
      <c r="H3090">
        <v>32272.800000000003</v>
      </c>
      <c r="I3090" s="13">
        <v>0.83333333333333337</v>
      </c>
      <c r="J3090" t="s">
        <v>6207</v>
      </c>
      <c r="K3090">
        <v>0</v>
      </c>
      <c r="L3090">
        <v>0</v>
      </c>
      <c r="M3090" t="s">
        <v>58</v>
      </c>
      <c r="N3090" s="2">
        <v>0.51</v>
      </c>
      <c r="O3090" s="2">
        <v>0.49</v>
      </c>
      <c r="P3090">
        <v>17</v>
      </c>
      <c r="Q3090">
        <v>14</v>
      </c>
      <c r="R3090">
        <v>5</v>
      </c>
      <c r="S3090">
        <v>1</v>
      </c>
      <c r="T3090">
        <v>11</v>
      </c>
      <c r="U3090">
        <v>15</v>
      </c>
      <c r="V3090">
        <v>2</v>
      </c>
      <c r="W3090">
        <v>3</v>
      </c>
      <c r="X3090">
        <v>1</v>
      </c>
      <c r="Y3090">
        <v>0</v>
      </c>
      <c r="Z3090">
        <v>0</v>
      </c>
    </row>
    <row r="3091" spans="1:26" x14ac:dyDescent="0.2">
      <c r="A3091" t="s">
        <v>3209</v>
      </c>
      <c r="B3091" t="s">
        <v>37</v>
      </c>
      <c r="C3091">
        <v>2017</v>
      </c>
      <c r="D3091" t="s">
        <v>48</v>
      </c>
      <c r="E3091" t="s">
        <v>45</v>
      </c>
      <c r="F3091" t="s">
        <v>49</v>
      </c>
      <c r="G3091">
        <v>74197</v>
      </c>
      <c r="H3091">
        <v>59357.600000000006</v>
      </c>
      <c r="I3091" s="13">
        <v>0.5</v>
      </c>
      <c r="J3091" t="s">
        <v>6206</v>
      </c>
      <c r="K3091">
        <v>4</v>
      </c>
      <c r="L3091">
        <v>0</v>
      </c>
      <c r="M3091" t="s">
        <v>0</v>
      </c>
      <c r="N3091" s="2">
        <v>0.49</v>
      </c>
      <c r="O3091" s="2">
        <v>0.51</v>
      </c>
      <c r="P3091">
        <v>16</v>
      </c>
      <c r="Q3091">
        <v>17</v>
      </c>
      <c r="R3091">
        <v>4</v>
      </c>
      <c r="S3091">
        <v>1</v>
      </c>
      <c r="T3091">
        <v>15</v>
      </c>
      <c r="U3091">
        <v>14</v>
      </c>
      <c r="V3091">
        <v>1</v>
      </c>
      <c r="W3091">
        <v>1</v>
      </c>
      <c r="X3091">
        <v>0</v>
      </c>
      <c r="Y3091">
        <v>0</v>
      </c>
      <c r="Z3091">
        <v>1</v>
      </c>
    </row>
    <row r="3092" spans="1:26" x14ac:dyDescent="0.2">
      <c r="A3092" t="s">
        <v>3210</v>
      </c>
      <c r="B3092" t="s">
        <v>66</v>
      </c>
      <c r="C3092">
        <v>2017</v>
      </c>
      <c r="D3092" t="s">
        <v>23</v>
      </c>
      <c r="E3092" t="s">
        <v>51</v>
      </c>
      <c r="F3092" t="s">
        <v>20</v>
      </c>
      <c r="G3092">
        <v>62500</v>
      </c>
      <c r="H3092">
        <v>50000</v>
      </c>
      <c r="I3092" s="13">
        <v>0.625</v>
      </c>
      <c r="J3092" t="s">
        <v>6207</v>
      </c>
      <c r="K3092">
        <v>2</v>
      </c>
      <c r="L3092">
        <v>3</v>
      </c>
      <c r="M3092" t="s">
        <v>1</v>
      </c>
      <c r="N3092" s="2">
        <v>0.49</v>
      </c>
      <c r="O3092" s="2">
        <v>0.51</v>
      </c>
      <c r="P3092">
        <v>25</v>
      </c>
      <c r="Q3092">
        <v>16</v>
      </c>
      <c r="R3092">
        <v>4</v>
      </c>
      <c r="S3092">
        <v>3</v>
      </c>
      <c r="T3092">
        <v>10</v>
      </c>
      <c r="U3092">
        <v>20</v>
      </c>
      <c r="V3092">
        <v>4</v>
      </c>
      <c r="W3092">
        <v>3</v>
      </c>
      <c r="X3092">
        <v>0</v>
      </c>
      <c r="Y3092">
        <v>1</v>
      </c>
      <c r="Z3092">
        <v>0</v>
      </c>
    </row>
    <row r="3093" spans="1:26" x14ac:dyDescent="0.2">
      <c r="A3093" t="s">
        <v>3211</v>
      </c>
      <c r="B3093" t="s">
        <v>50</v>
      </c>
      <c r="C3093">
        <v>2017</v>
      </c>
      <c r="D3093" t="s">
        <v>71</v>
      </c>
      <c r="E3093" t="s">
        <v>85</v>
      </c>
      <c r="F3093" t="s">
        <v>71</v>
      </c>
      <c r="G3093">
        <v>21088</v>
      </c>
      <c r="H3093">
        <v>16870.400000000001</v>
      </c>
      <c r="I3093" s="13">
        <v>1</v>
      </c>
      <c r="J3093" t="s">
        <v>6207</v>
      </c>
      <c r="K3093">
        <v>1</v>
      </c>
      <c r="L3093">
        <v>2</v>
      </c>
      <c r="M3093" t="s">
        <v>1</v>
      </c>
      <c r="N3093" s="2">
        <v>0.51</v>
      </c>
      <c r="O3093" s="2">
        <v>0.49</v>
      </c>
      <c r="P3093">
        <v>19</v>
      </c>
      <c r="Q3093">
        <v>9</v>
      </c>
      <c r="R3093">
        <v>5</v>
      </c>
      <c r="S3093">
        <v>4</v>
      </c>
      <c r="T3093">
        <v>9</v>
      </c>
      <c r="U3093">
        <v>16</v>
      </c>
      <c r="V3093">
        <v>1</v>
      </c>
      <c r="W3093">
        <v>3</v>
      </c>
      <c r="X3093">
        <v>0</v>
      </c>
      <c r="Y3093">
        <v>0</v>
      </c>
      <c r="Z3093">
        <v>0</v>
      </c>
    </row>
    <row r="3094" spans="1:26" x14ac:dyDescent="0.2">
      <c r="A3094" t="s">
        <v>3212</v>
      </c>
      <c r="B3094" t="s">
        <v>41</v>
      </c>
      <c r="C3094">
        <v>2017</v>
      </c>
      <c r="D3094" t="s">
        <v>27</v>
      </c>
      <c r="E3094" t="s">
        <v>18</v>
      </c>
      <c r="F3094" t="s">
        <v>27</v>
      </c>
      <c r="G3094">
        <v>30089</v>
      </c>
      <c r="H3094">
        <v>24071.200000000001</v>
      </c>
      <c r="I3094" s="13">
        <v>0.75</v>
      </c>
      <c r="J3094" t="s">
        <v>6207</v>
      </c>
      <c r="K3094">
        <v>0</v>
      </c>
      <c r="L3094">
        <v>4</v>
      </c>
      <c r="M3094" t="s">
        <v>1</v>
      </c>
      <c r="N3094" s="2">
        <v>0.44</v>
      </c>
      <c r="O3094" s="2">
        <v>0.56000000000000005</v>
      </c>
      <c r="P3094">
        <v>15</v>
      </c>
      <c r="Q3094">
        <v>5</v>
      </c>
      <c r="R3094">
        <v>5</v>
      </c>
      <c r="S3094">
        <v>0</v>
      </c>
      <c r="T3094">
        <v>5</v>
      </c>
      <c r="U3094">
        <v>14</v>
      </c>
      <c r="V3094">
        <v>2</v>
      </c>
      <c r="W3094">
        <v>2</v>
      </c>
      <c r="X3094">
        <v>0</v>
      </c>
      <c r="Y3094">
        <v>0</v>
      </c>
      <c r="Z3094">
        <v>0</v>
      </c>
    </row>
    <row r="3095" spans="1:26" x14ac:dyDescent="0.2">
      <c r="A3095" t="s">
        <v>3213</v>
      </c>
      <c r="B3095" t="s">
        <v>76</v>
      </c>
      <c r="C3095">
        <v>2017</v>
      </c>
      <c r="D3095" t="s">
        <v>73</v>
      </c>
      <c r="E3095" t="s">
        <v>48</v>
      </c>
      <c r="F3095" t="s">
        <v>73</v>
      </c>
      <c r="G3095">
        <v>32384</v>
      </c>
      <c r="H3095">
        <v>25907.200000000001</v>
      </c>
      <c r="I3095" s="13">
        <v>0.8</v>
      </c>
      <c r="J3095" t="s">
        <v>6207</v>
      </c>
      <c r="K3095">
        <v>0</v>
      </c>
      <c r="L3095">
        <v>1</v>
      </c>
      <c r="M3095" t="s">
        <v>1</v>
      </c>
      <c r="N3095" s="2">
        <v>0.61</v>
      </c>
      <c r="O3095" s="2">
        <v>0.39</v>
      </c>
      <c r="P3095">
        <v>12</v>
      </c>
      <c r="Q3095">
        <v>14</v>
      </c>
      <c r="R3095">
        <v>8</v>
      </c>
      <c r="S3095">
        <v>4</v>
      </c>
      <c r="T3095">
        <v>12</v>
      </c>
      <c r="U3095">
        <v>9</v>
      </c>
      <c r="V3095">
        <v>1</v>
      </c>
      <c r="W3095">
        <v>4</v>
      </c>
      <c r="X3095">
        <v>0</v>
      </c>
      <c r="Y3095">
        <v>0</v>
      </c>
      <c r="Z3095">
        <v>0</v>
      </c>
    </row>
    <row r="3096" spans="1:26" x14ac:dyDescent="0.2">
      <c r="A3096" t="s">
        <v>3214</v>
      </c>
      <c r="B3096" t="s">
        <v>67</v>
      </c>
      <c r="C3096">
        <v>2017</v>
      </c>
      <c r="D3096" t="s">
        <v>40</v>
      </c>
      <c r="E3096" t="s">
        <v>79</v>
      </c>
      <c r="F3096" t="s">
        <v>49</v>
      </c>
      <c r="G3096">
        <v>53400</v>
      </c>
      <c r="H3096">
        <v>42720</v>
      </c>
      <c r="I3096" s="13">
        <v>1</v>
      </c>
      <c r="J3096" t="s">
        <v>6207</v>
      </c>
      <c r="K3096">
        <v>5</v>
      </c>
      <c r="L3096">
        <v>0</v>
      </c>
      <c r="M3096" t="s">
        <v>0</v>
      </c>
      <c r="N3096" s="2">
        <v>0.72</v>
      </c>
      <c r="O3096" s="2">
        <v>0.28000000000000003</v>
      </c>
      <c r="P3096">
        <v>8</v>
      </c>
      <c r="Q3096">
        <v>6</v>
      </c>
      <c r="R3096">
        <v>8</v>
      </c>
      <c r="S3096">
        <v>2</v>
      </c>
      <c r="T3096">
        <v>6</v>
      </c>
      <c r="U3096">
        <v>7</v>
      </c>
      <c r="V3096">
        <v>3</v>
      </c>
      <c r="W3096">
        <v>1</v>
      </c>
      <c r="X3096">
        <v>0</v>
      </c>
      <c r="Y3096">
        <v>0</v>
      </c>
      <c r="Z3096">
        <v>0</v>
      </c>
    </row>
    <row r="3097" spans="1:26" x14ac:dyDescent="0.2">
      <c r="A3097" t="s">
        <v>3215</v>
      </c>
      <c r="B3097" t="s">
        <v>32</v>
      </c>
      <c r="C3097">
        <v>2017</v>
      </c>
      <c r="D3097" t="s">
        <v>45</v>
      </c>
      <c r="E3097" t="s">
        <v>86</v>
      </c>
      <c r="F3097" t="s">
        <v>26</v>
      </c>
      <c r="G3097">
        <v>39572</v>
      </c>
      <c r="H3097">
        <v>31657.600000000002</v>
      </c>
      <c r="I3097" s="13">
        <v>0.5</v>
      </c>
      <c r="J3097" t="s">
        <v>6207</v>
      </c>
      <c r="K3097">
        <v>2</v>
      </c>
      <c r="L3097">
        <v>1</v>
      </c>
      <c r="M3097" t="s">
        <v>0</v>
      </c>
      <c r="N3097" s="2">
        <v>0.51</v>
      </c>
      <c r="O3097" s="2">
        <v>0.49</v>
      </c>
      <c r="P3097">
        <v>12</v>
      </c>
      <c r="Q3097">
        <v>14</v>
      </c>
      <c r="R3097">
        <v>4</v>
      </c>
      <c r="S3097">
        <v>6</v>
      </c>
      <c r="T3097">
        <v>12</v>
      </c>
      <c r="U3097">
        <v>11</v>
      </c>
      <c r="V3097">
        <v>3</v>
      </c>
      <c r="W3097">
        <v>1</v>
      </c>
      <c r="X3097">
        <v>0</v>
      </c>
      <c r="Y3097">
        <v>0</v>
      </c>
      <c r="Z3097">
        <v>0</v>
      </c>
    </row>
    <row r="3098" spans="1:26" x14ac:dyDescent="0.2">
      <c r="A3098" t="s">
        <v>3216</v>
      </c>
      <c r="B3098" t="s">
        <v>88</v>
      </c>
      <c r="C3098">
        <v>2017</v>
      </c>
      <c r="D3098" t="s">
        <v>28</v>
      </c>
      <c r="E3098" t="s">
        <v>89</v>
      </c>
      <c r="F3098" t="s">
        <v>28</v>
      </c>
      <c r="G3098">
        <v>21944</v>
      </c>
      <c r="H3098">
        <v>17555.2</v>
      </c>
      <c r="I3098" s="13">
        <v>0.6</v>
      </c>
      <c r="J3098" t="s">
        <v>6207</v>
      </c>
      <c r="K3098">
        <v>0</v>
      </c>
      <c r="L3098">
        <v>0</v>
      </c>
      <c r="M3098" t="s">
        <v>58</v>
      </c>
      <c r="N3098" s="2">
        <v>0.52</v>
      </c>
      <c r="O3098" s="2">
        <v>0.48</v>
      </c>
      <c r="P3098">
        <v>16</v>
      </c>
      <c r="Q3098">
        <v>14</v>
      </c>
      <c r="R3098">
        <v>3</v>
      </c>
      <c r="S3098">
        <v>4</v>
      </c>
      <c r="T3098">
        <v>9</v>
      </c>
      <c r="U3098">
        <v>14</v>
      </c>
      <c r="V3098">
        <v>3</v>
      </c>
      <c r="W3098">
        <v>2</v>
      </c>
      <c r="X3098">
        <v>0</v>
      </c>
      <c r="Y3098">
        <v>0</v>
      </c>
      <c r="Z3098">
        <v>0</v>
      </c>
    </row>
    <row r="3099" spans="1:26" x14ac:dyDescent="0.2">
      <c r="A3099" t="s">
        <v>3217</v>
      </c>
      <c r="B3099" t="s">
        <v>61</v>
      </c>
      <c r="C3099">
        <v>2017</v>
      </c>
      <c r="D3099" t="s">
        <v>80</v>
      </c>
      <c r="E3099" t="s">
        <v>26</v>
      </c>
      <c r="F3099" t="s">
        <v>80</v>
      </c>
      <c r="G3099">
        <v>32261</v>
      </c>
      <c r="H3099">
        <v>25808.800000000003</v>
      </c>
      <c r="I3099" s="13">
        <v>0.66666666666666663</v>
      </c>
      <c r="J3099" t="s">
        <v>6207</v>
      </c>
      <c r="K3099">
        <v>2</v>
      </c>
      <c r="L3099">
        <v>3</v>
      </c>
      <c r="M3099" t="s">
        <v>1</v>
      </c>
      <c r="N3099" s="2">
        <v>0.43</v>
      </c>
      <c r="O3099" s="2">
        <v>0.56999999999999995</v>
      </c>
      <c r="P3099">
        <v>14</v>
      </c>
      <c r="Q3099">
        <v>16</v>
      </c>
      <c r="R3099">
        <v>3</v>
      </c>
      <c r="S3099">
        <v>6</v>
      </c>
      <c r="T3099">
        <v>13</v>
      </c>
      <c r="U3099">
        <v>14</v>
      </c>
      <c r="V3099">
        <v>3</v>
      </c>
      <c r="W3099">
        <v>3</v>
      </c>
      <c r="X3099">
        <v>0</v>
      </c>
      <c r="Y3099">
        <v>0</v>
      </c>
      <c r="Z3099">
        <v>1</v>
      </c>
    </row>
    <row r="3100" spans="1:26" x14ac:dyDescent="0.2">
      <c r="A3100" t="s">
        <v>3218</v>
      </c>
      <c r="B3100" t="s">
        <v>37</v>
      </c>
      <c r="C3100">
        <v>2017</v>
      </c>
      <c r="D3100" t="s">
        <v>90</v>
      </c>
      <c r="E3100" t="s">
        <v>64</v>
      </c>
      <c r="F3100" t="s">
        <v>91</v>
      </c>
      <c r="G3100">
        <v>31876</v>
      </c>
      <c r="H3100">
        <v>25500.800000000003</v>
      </c>
      <c r="I3100" s="13">
        <v>0.66666666666666663</v>
      </c>
      <c r="J3100" t="s">
        <v>6206</v>
      </c>
      <c r="K3100">
        <v>1</v>
      </c>
      <c r="L3100">
        <v>0</v>
      </c>
      <c r="M3100" t="s">
        <v>0</v>
      </c>
      <c r="N3100" s="2">
        <v>0.49</v>
      </c>
      <c r="O3100" s="2">
        <v>0.51</v>
      </c>
      <c r="P3100">
        <v>8</v>
      </c>
      <c r="Q3100">
        <v>7</v>
      </c>
      <c r="R3100">
        <v>2</v>
      </c>
      <c r="S3100">
        <v>8</v>
      </c>
      <c r="T3100">
        <v>6</v>
      </c>
      <c r="U3100">
        <v>8</v>
      </c>
      <c r="V3100">
        <v>2</v>
      </c>
      <c r="W3100">
        <v>1</v>
      </c>
      <c r="X3100">
        <v>0</v>
      </c>
      <c r="Y3100">
        <v>0</v>
      </c>
      <c r="Z3100">
        <v>0</v>
      </c>
    </row>
    <row r="3101" spans="1:26" x14ac:dyDescent="0.2">
      <c r="A3101" t="s">
        <v>3219</v>
      </c>
      <c r="B3101" t="s">
        <v>77</v>
      </c>
      <c r="C3101">
        <v>2017</v>
      </c>
      <c r="D3101" t="s">
        <v>46</v>
      </c>
      <c r="E3101" t="s">
        <v>63</v>
      </c>
      <c r="F3101" t="s">
        <v>20</v>
      </c>
      <c r="G3101">
        <v>60704</v>
      </c>
      <c r="H3101">
        <v>48563.200000000004</v>
      </c>
      <c r="I3101" s="13">
        <v>0.6</v>
      </c>
      <c r="J3101" t="s">
        <v>6207</v>
      </c>
      <c r="K3101">
        <v>2</v>
      </c>
      <c r="L3101">
        <v>0</v>
      </c>
      <c r="M3101" t="s">
        <v>0</v>
      </c>
      <c r="N3101" s="2">
        <v>0.69</v>
      </c>
      <c r="O3101" s="2">
        <v>0.31</v>
      </c>
      <c r="P3101">
        <v>16</v>
      </c>
      <c r="Q3101">
        <v>8</v>
      </c>
      <c r="R3101">
        <v>7</v>
      </c>
      <c r="S3101">
        <v>4</v>
      </c>
      <c r="T3101">
        <v>8</v>
      </c>
      <c r="U3101">
        <v>17</v>
      </c>
      <c r="V3101">
        <v>1</v>
      </c>
      <c r="W3101">
        <v>4</v>
      </c>
      <c r="X3101">
        <v>0</v>
      </c>
      <c r="Y3101">
        <v>0</v>
      </c>
      <c r="Z3101">
        <v>1</v>
      </c>
    </row>
    <row r="3102" spans="1:26" x14ac:dyDescent="0.2">
      <c r="A3102" t="s">
        <v>3220</v>
      </c>
      <c r="B3102" t="s">
        <v>67</v>
      </c>
      <c r="C3102">
        <v>2017</v>
      </c>
      <c r="D3102" t="s">
        <v>89</v>
      </c>
      <c r="E3102" t="s">
        <v>51</v>
      </c>
      <c r="F3102" t="s">
        <v>89</v>
      </c>
      <c r="G3102">
        <v>24500</v>
      </c>
      <c r="H3102">
        <v>19600</v>
      </c>
      <c r="I3102" s="13">
        <v>0.5</v>
      </c>
      <c r="J3102" t="s">
        <v>6207</v>
      </c>
      <c r="K3102">
        <v>0</v>
      </c>
      <c r="L3102">
        <v>4</v>
      </c>
      <c r="M3102" t="s">
        <v>1</v>
      </c>
      <c r="N3102" s="2">
        <v>0.41</v>
      </c>
      <c r="O3102" s="2">
        <v>0.59</v>
      </c>
      <c r="P3102">
        <v>6</v>
      </c>
      <c r="Q3102">
        <v>11</v>
      </c>
      <c r="R3102">
        <v>4</v>
      </c>
      <c r="S3102">
        <v>7</v>
      </c>
      <c r="T3102">
        <v>7</v>
      </c>
      <c r="U3102">
        <v>4</v>
      </c>
      <c r="V3102">
        <v>1</v>
      </c>
      <c r="W3102">
        <v>1</v>
      </c>
      <c r="X3102">
        <v>0</v>
      </c>
      <c r="Y3102">
        <v>0</v>
      </c>
      <c r="Z3102">
        <v>0</v>
      </c>
    </row>
    <row r="3103" spans="1:26" x14ac:dyDescent="0.2">
      <c r="A3103" t="s">
        <v>3221</v>
      </c>
      <c r="B3103" t="s">
        <v>74</v>
      </c>
      <c r="C3103">
        <v>2017</v>
      </c>
      <c r="D3103" t="s">
        <v>23</v>
      </c>
      <c r="E3103" t="s">
        <v>71</v>
      </c>
      <c r="F3103" t="s">
        <v>20</v>
      </c>
      <c r="G3103">
        <v>62500</v>
      </c>
      <c r="H3103">
        <v>50000</v>
      </c>
      <c r="I3103" s="13">
        <v>0.6</v>
      </c>
      <c r="J3103" t="s">
        <v>6208</v>
      </c>
      <c r="K3103">
        <v>1</v>
      </c>
      <c r="L3103">
        <v>0</v>
      </c>
      <c r="M3103" t="s">
        <v>0</v>
      </c>
      <c r="N3103" s="2">
        <v>0.43</v>
      </c>
      <c r="O3103" s="2">
        <v>0.56999999999999995</v>
      </c>
      <c r="P3103">
        <v>13</v>
      </c>
      <c r="Q3103">
        <v>16</v>
      </c>
      <c r="R3103">
        <v>2</v>
      </c>
      <c r="S3103">
        <v>1</v>
      </c>
      <c r="T3103">
        <v>15</v>
      </c>
      <c r="U3103">
        <v>13</v>
      </c>
      <c r="V3103">
        <v>3</v>
      </c>
      <c r="W3103">
        <v>2</v>
      </c>
      <c r="X3103">
        <v>0</v>
      </c>
      <c r="Y3103">
        <v>0</v>
      </c>
      <c r="Z3103">
        <v>0</v>
      </c>
    </row>
    <row r="3104" spans="1:26" x14ac:dyDescent="0.2">
      <c r="A3104" t="s">
        <v>3222</v>
      </c>
      <c r="B3104" t="s">
        <v>66</v>
      </c>
      <c r="C3104">
        <v>2017</v>
      </c>
      <c r="D3104" t="s">
        <v>63</v>
      </c>
      <c r="E3104" t="s">
        <v>85</v>
      </c>
      <c r="F3104" t="s">
        <v>65</v>
      </c>
      <c r="G3104">
        <v>26804</v>
      </c>
      <c r="H3104">
        <v>21443.200000000001</v>
      </c>
      <c r="I3104" s="13">
        <v>0.33333333333333331</v>
      </c>
      <c r="J3104" t="s">
        <v>6207</v>
      </c>
      <c r="K3104">
        <v>2</v>
      </c>
      <c r="L3104">
        <v>2</v>
      </c>
      <c r="M3104" t="s">
        <v>58</v>
      </c>
      <c r="N3104" s="2">
        <v>0.34</v>
      </c>
      <c r="O3104" s="2">
        <v>0.66</v>
      </c>
      <c r="P3104">
        <v>12</v>
      </c>
      <c r="Q3104">
        <v>13</v>
      </c>
      <c r="R3104">
        <v>7</v>
      </c>
      <c r="S3104">
        <v>6</v>
      </c>
      <c r="T3104">
        <v>12</v>
      </c>
      <c r="U3104">
        <v>11</v>
      </c>
      <c r="V3104">
        <v>3</v>
      </c>
      <c r="W3104">
        <v>0</v>
      </c>
      <c r="X3104">
        <v>0</v>
      </c>
      <c r="Y3104">
        <v>0</v>
      </c>
      <c r="Z3104">
        <v>0</v>
      </c>
    </row>
    <row r="3105" spans="1:26" x14ac:dyDescent="0.2">
      <c r="A3105" t="s">
        <v>3223</v>
      </c>
      <c r="B3105" t="s">
        <v>53</v>
      </c>
      <c r="C3105">
        <v>2017</v>
      </c>
      <c r="D3105" t="s">
        <v>27</v>
      </c>
      <c r="E3105" t="s">
        <v>73</v>
      </c>
      <c r="F3105" t="s">
        <v>27</v>
      </c>
      <c r="G3105">
        <v>30089</v>
      </c>
      <c r="H3105">
        <v>24071.200000000001</v>
      </c>
      <c r="I3105" s="13">
        <v>0.66666666666666663</v>
      </c>
      <c r="J3105" t="s">
        <v>6207</v>
      </c>
      <c r="K3105">
        <v>2</v>
      </c>
      <c r="L3105">
        <v>1</v>
      </c>
      <c r="M3105" t="s">
        <v>0</v>
      </c>
      <c r="N3105" s="2">
        <v>0.3</v>
      </c>
      <c r="O3105" s="2">
        <v>0.7</v>
      </c>
      <c r="P3105">
        <v>12</v>
      </c>
      <c r="Q3105">
        <v>12</v>
      </c>
      <c r="R3105">
        <v>5</v>
      </c>
      <c r="S3105">
        <v>6</v>
      </c>
      <c r="T3105">
        <v>11</v>
      </c>
      <c r="U3105">
        <v>10</v>
      </c>
      <c r="V3105">
        <v>1</v>
      </c>
      <c r="W3105">
        <v>2</v>
      </c>
      <c r="X3105">
        <v>0</v>
      </c>
      <c r="Y3105">
        <v>0</v>
      </c>
      <c r="Z3105">
        <v>1</v>
      </c>
    </row>
    <row r="3106" spans="1:26" x14ac:dyDescent="0.2">
      <c r="A3106" t="s">
        <v>3224</v>
      </c>
      <c r="B3106" t="s">
        <v>41</v>
      </c>
      <c r="C3106">
        <v>2017</v>
      </c>
      <c r="D3106" t="s">
        <v>48</v>
      </c>
      <c r="E3106" t="s">
        <v>79</v>
      </c>
      <c r="F3106" t="s">
        <v>49</v>
      </c>
      <c r="G3106">
        <v>74197</v>
      </c>
      <c r="H3106">
        <v>59357.600000000006</v>
      </c>
      <c r="I3106" s="13">
        <v>0</v>
      </c>
      <c r="J3106" t="s">
        <v>6207</v>
      </c>
      <c r="K3106">
        <v>4</v>
      </c>
      <c r="L3106">
        <v>0</v>
      </c>
      <c r="M3106" t="s">
        <v>0</v>
      </c>
      <c r="N3106" s="2">
        <v>0.6</v>
      </c>
      <c r="O3106" s="2">
        <v>0.4</v>
      </c>
      <c r="P3106">
        <v>10</v>
      </c>
      <c r="Q3106">
        <v>8</v>
      </c>
      <c r="R3106">
        <v>6</v>
      </c>
      <c r="S3106">
        <v>5</v>
      </c>
      <c r="T3106">
        <v>6</v>
      </c>
      <c r="U3106">
        <v>9</v>
      </c>
      <c r="V3106">
        <v>0</v>
      </c>
      <c r="W3106">
        <v>0</v>
      </c>
      <c r="X3106">
        <v>0</v>
      </c>
      <c r="Y3106">
        <v>0</v>
      </c>
      <c r="Z3106">
        <v>0</v>
      </c>
    </row>
    <row r="3107" spans="1:26" x14ac:dyDescent="0.2">
      <c r="A3107" t="s">
        <v>3225</v>
      </c>
      <c r="B3107" t="s">
        <v>83</v>
      </c>
      <c r="C3107">
        <v>2017</v>
      </c>
      <c r="D3107" t="s">
        <v>86</v>
      </c>
      <c r="E3107" t="s">
        <v>80</v>
      </c>
      <c r="F3107" t="s">
        <v>86</v>
      </c>
      <c r="G3107">
        <v>11364</v>
      </c>
      <c r="H3107">
        <v>9091.2000000000007</v>
      </c>
      <c r="I3107" s="13">
        <v>0</v>
      </c>
      <c r="J3107" t="s">
        <v>6208</v>
      </c>
      <c r="K3107">
        <v>0</v>
      </c>
      <c r="L3107">
        <v>0</v>
      </c>
      <c r="M3107" t="s">
        <v>58</v>
      </c>
      <c r="N3107" s="2">
        <v>0.61</v>
      </c>
      <c r="O3107" s="2">
        <v>0.39</v>
      </c>
      <c r="P3107">
        <v>13</v>
      </c>
      <c r="Q3107">
        <v>7</v>
      </c>
      <c r="R3107">
        <v>7</v>
      </c>
      <c r="S3107">
        <v>5</v>
      </c>
      <c r="T3107">
        <v>6</v>
      </c>
      <c r="U3107">
        <v>10</v>
      </c>
      <c r="V3107">
        <v>1</v>
      </c>
      <c r="W3107">
        <v>0</v>
      </c>
      <c r="X3107">
        <v>0</v>
      </c>
      <c r="Y3107">
        <v>0</v>
      </c>
      <c r="Z3107">
        <v>0</v>
      </c>
    </row>
    <row r="3108" spans="1:26" x14ac:dyDescent="0.2">
      <c r="A3108" t="s">
        <v>3226</v>
      </c>
      <c r="B3108" t="s">
        <v>32</v>
      </c>
      <c r="C3108">
        <v>2017</v>
      </c>
      <c r="D3108" t="s">
        <v>18</v>
      </c>
      <c r="E3108" t="s">
        <v>40</v>
      </c>
      <c r="F3108" t="s">
        <v>20</v>
      </c>
      <c r="G3108">
        <v>40341</v>
      </c>
      <c r="H3108">
        <v>32272.800000000003</v>
      </c>
      <c r="I3108" s="13">
        <v>1</v>
      </c>
      <c r="J3108" t="s">
        <v>6207</v>
      </c>
      <c r="K3108">
        <v>0</v>
      </c>
      <c r="L3108">
        <v>1</v>
      </c>
      <c r="M3108" t="s">
        <v>1</v>
      </c>
      <c r="N3108" s="2">
        <v>0.38</v>
      </c>
      <c r="O3108" s="2">
        <v>0.62</v>
      </c>
      <c r="P3108">
        <v>13</v>
      </c>
      <c r="Q3108">
        <v>16</v>
      </c>
      <c r="R3108">
        <v>4</v>
      </c>
      <c r="S3108">
        <v>8</v>
      </c>
      <c r="T3108">
        <v>8</v>
      </c>
      <c r="U3108">
        <v>13</v>
      </c>
      <c r="V3108">
        <v>0</v>
      </c>
      <c r="W3108">
        <v>2</v>
      </c>
      <c r="X3108">
        <v>0</v>
      </c>
      <c r="Y3108">
        <v>0</v>
      </c>
      <c r="Z3108">
        <v>0</v>
      </c>
    </row>
    <row r="3109" spans="1:26" x14ac:dyDescent="0.2">
      <c r="A3109" t="s">
        <v>3227</v>
      </c>
      <c r="B3109" t="s">
        <v>60</v>
      </c>
      <c r="C3109">
        <v>2017</v>
      </c>
      <c r="D3109" t="s">
        <v>46</v>
      </c>
      <c r="E3109" t="s">
        <v>90</v>
      </c>
      <c r="F3109" t="s">
        <v>20</v>
      </c>
      <c r="G3109">
        <v>60704</v>
      </c>
      <c r="H3109">
        <v>48563.200000000004</v>
      </c>
      <c r="I3109" s="13">
        <v>1</v>
      </c>
      <c r="J3109" t="s">
        <v>6208</v>
      </c>
      <c r="K3109">
        <v>2</v>
      </c>
      <c r="L3109">
        <v>0</v>
      </c>
      <c r="M3109" t="s">
        <v>0</v>
      </c>
      <c r="N3109" s="2">
        <v>0.65</v>
      </c>
      <c r="O3109" s="2">
        <v>0.35</v>
      </c>
      <c r="P3109">
        <v>11</v>
      </c>
      <c r="Q3109">
        <v>9</v>
      </c>
      <c r="R3109">
        <v>6</v>
      </c>
      <c r="S3109">
        <v>5</v>
      </c>
      <c r="T3109">
        <v>7</v>
      </c>
      <c r="U3109">
        <v>8</v>
      </c>
      <c r="V3109">
        <v>0</v>
      </c>
      <c r="W3109">
        <v>2</v>
      </c>
      <c r="X3109">
        <v>0</v>
      </c>
      <c r="Y3109">
        <v>0</v>
      </c>
      <c r="Z3109">
        <v>0</v>
      </c>
    </row>
    <row r="3110" spans="1:26" x14ac:dyDescent="0.2">
      <c r="A3110" t="s">
        <v>3228</v>
      </c>
      <c r="B3110" t="s">
        <v>68</v>
      </c>
      <c r="C3110">
        <v>2017</v>
      </c>
      <c r="D3110" t="s">
        <v>45</v>
      </c>
      <c r="E3110" t="s">
        <v>28</v>
      </c>
      <c r="F3110" t="s">
        <v>26</v>
      </c>
      <c r="G3110">
        <v>39572</v>
      </c>
      <c r="H3110">
        <v>31657.600000000002</v>
      </c>
      <c r="I3110" s="13">
        <v>0.5</v>
      </c>
      <c r="J3110" t="s">
        <v>6207</v>
      </c>
      <c r="K3110">
        <v>0</v>
      </c>
      <c r="L3110">
        <v>1</v>
      </c>
      <c r="M3110" t="s">
        <v>1</v>
      </c>
      <c r="N3110" s="2">
        <v>0.63</v>
      </c>
      <c r="O3110" s="2">
        <v>0.37</v>
      </c>
      <c r="P3110">
        <v>8</v>
      </c>
      <c r="Q3110">
        <v>16</v>
      </c>
      <c r="R3110">
        <v>9</v>
      </c>
      <c r="S3110">
        <v>3</v>
      </c>
      <c r="T3110">
        <v>14</v>
      </c>
      <c r="U3110">
        <v>7</v>
      </c>
      <c r="V3110">
        <v>2</v>
      </c>
      <c r="W3110">
        <v>2</v>
      </c>
      <c r="X3110">
        <v>0</v>
      </c>
      <c r="Y3110">
        <v>0</v>
      </c>
      <c r="Z3110">
        <v>0</v>
      </c>
    </row>
    <row r="3111" spans="1:26" x14ac:dyDescent="0.2">
      <c r="A3111" t="s">
        <v>3229</v>
      </c>
      <c r="B3111" t="s">
        <v>76</v>
      </c>
      <c r="C3111">
        <v>2017</v>
      </c>
      <c r="D3111" t="s">
        <v>64</v>
      </c>
      <c r="E3111" t="s">
        <v>26</v>
      </c>
      <c r="F3111" t="s">
        <v>64</v>
      </c>
      <c r="G3111">
        <v>52264</v>
      </c>
      <c r="H3111">
        <v>41811.200000000004</v>
      </c>
      <c r="I3111" s="13">
        <v>1</v>
      </c>
      <c r="J3111" t="s">
        <v>6207</v>
      </c>
      <c r="K3111">
        <v>1</v>
      </c>
      <c r="L3111">
        <v>1</v>
      </c>
      <c r="M3111" t="s">
        <v>58</v>
      </c>
      <c r="N3111" s="2">
        <v>0.32</v>
      </c>
      <c r="O3111" s="2">
        <v>0.68</v>
      </c>
      <c r="P3111">
        <v>7</v>
      </c>
      <c r="Q3111">
        <v>13</v>
      </c>
      <c r="R3111">
        <v>1</v>
      </c>
      <c r="S3111">
        <v>5</v>
      </c>
      <c r="T3111">
        <v>11</v>
      </c>
      <c r="U3111">
        <v>6</v>
      </c>
      <c r="V3111">
        <v>1</v>
      </c>
      <c r="W3111">
        <v>1</v>
      </c>
      <c r="X3111">
        <v>0</v>
      </c>
      <c r="Y3111">
        <v>0</v>
      </c>
      <c r="Z3111">
        <v>0</v>
      </c>
    </row>
    <row r="3112" spans="1:26" x14ac:dyDescent="0.2">
      <c r="A3112" t="s">
        <v>3230</v>
      </c>
      <c r="B3112" t="s">
        <v>32</v>
      </c>
      <c r="C3112">
        <v>2017</v>
      </c>
      <c r="D3112" t="s">
        <v>26</v>
      </c>
      <c r="E3112" t="s">
        <v>48</v>
      </c>
      <c r="F3112" t="s">
        <v>26</v>
      </c>
      <c r="G3112">
        <v>61276</v>
      </c>
      <c r="H3112">
        <v>49020.800000000003</v>
      </c>
      <c r="I3112" s="13">
        <v>0</v>
      </c>
      <c r="J3112" t="s">
        <v>6207</v>
      </c>
      <c r="K3112">
        <v>0</v>
      </c>
      <c r="L3112">
        <v>0</v>
      </c>
      <c r="M3112" t="s">
        <v>58</v>
      </c>
      <c r="N3112" s="2">
        <v>0.62</v>
      </c>
      <c r="O3112" s="2">
        <v>0.38</v>
      </c>
      <c r="P3112">
        <v>14</v>
      </c>
      <c r="Q3112">
        <v>10</v>
      </c>
      <c r="R3112">
        <v>7</v>
      </c>
      <c r="S3112">
        <v>3</v>
      </c>
      <c r="T3112">
        <v>7</v>
      </c>
      <c r="U3112">
        <v>13</v>
      </c>
      <c r="V3112">
        <v>0</v>
      </c>
      <c r="W3112">
        <v>2</v>
      </c>
      <c r="X3112">
        <v>0</v>
      </c>
      <c r="Y3112">
        <v>0</v>
      </c>
      <c r="Z3112">
        <v>0</v>
      </c>
    </row>
    <row r="3113" spans="1:26" x14ac:dyDescent="0.2">
      <c r="A3113" t="s">
        <v>3231</v>
      </c>
      <c r="B3113" t="s">
        <v>77</v>
      </c>
      <c r="C3113">
        <v>2017</v>
      </c>
      <c r="D3113" t="s">
        <v>51</v>
      </c>
      <c r="E3113" t="s">
        <v>86</v>
      </c>
      <c r="F3113" t="s">
        <v>20</v>
      </c>
      <c r="G3113">
        <v>36284</v>
      </c>
      <c r="H3113">
        <v>29027.200000000001</v>
      </c>
      <c r="I3113" s="13">
        <v>0.5</v>
      </c>
      <c r="J3113" t="s">
        <v>6207</v>
      </c>
      <c r="K3113">
        <v>1</v>
      </c>
      <c r="L3113">
        <v>0</v>
      </c>
      <c r="M3113" t="s">
        <v>0</v>
      </c>
      <c r="N3113" s="2">
        <v>0.73</v>
      </c>
      <c r="O3113" s="2">
        <v>0.27</v>
      </c>
      <c r="P3113">
        <v>8</v>
      </c>
      <c r="Q3113">
        <v>12</v>
      </c>
      <c r="R3113">
        <v>9</v>
      </c>
      <c r="S3113">
        <v>5</v>
      </c>
      <c r="T3113">
        <v>9</v>
      </c>
      <c r="U3113">
        <v>7</v>
      </c>
      <c r="V3113">
        <v>1</v>
      </c>
      <c r="W3113">
        <v>3</v>
      </c>
      <c r="X3113">
        <v>0</v>
      </c>
      <c r="Y3113">
        <v>0</v>
      </c>
      <c r="Z3113">
        <v>0</v>
      </c>
    </row>
    <row r="3114" spans="1:26" x14ac:dyDescent="0.2">
      <c r="A3114" t="s">
        <v>3232</v>
      </c>
      <c r="B3114" t="s">
        <v>81</v>
      </c>
      <c r="C3114">
        <v>2017</v>
      </c>
      <c r="D3114" t="s">
        <v>71</v>
      </c>
      <c r="E3114" t="s">
        <v>89</v>
      </c>
      <c r="F3114" t="s">
        <v>71</v>
      </c>
      <c r="G3114">
        <v>21088</v>
      </c>
      <c r="H3114">
        <v>16870.400000000001</v>
      </c>
      <c r="I3114" s="13">
        <v>0.66666666666666663</v>
      </c>
      <c r="J3114" t="s">
        <v>6207</v>
      </c>
      <c r="K3114">
        <v>2</v>
      </c>
      <c r="L3114">
        <v>0</v>
      </c>
      <c r="M3114" t="s">
        <v>0</v>
      </c>
      <c r="N3114" s="2">
        <v>0.4</v>
      </c>
      <c r="O3114" s="2">
        <v>0.6</v>
      </c>
      <c r="P3114">
        <v>17</v>
      </c>
      <c r="Q3114">
        <v>13</v>
      </c>
      <c r="R3114">
        <v>5</v>
      </c>
      <c r="S3114">
        <v>3</v>
      </c>
      <c r="T3114">
        <v>12</v>
      </c>
      <c r="U3114">
        <v>16</v>
      </c>
      <c r="V3114">
        <v>1</v>
      </c>
      <c r="W3114">
        <v>5</v>
      </c>
      <c r="X3114">
        <v>0</v>
      </c>
      <c r="Y3114">
        <v>0</v>
      </c>
      <c r="Z3114">
        <v>0</v>
      </c>
    </row>
    <row r="3115" spans="1:26" x14ac:dyDescent="0.2">
      <c r="A3115" t="s">
        <v>3233</v>
      </c>
      <c r="B3115" t="s">
        <v>76</v>
      </c>
      <c r="C3115">
        <v>2017</v>
      </c>
      <c r="D3115" t="s">
        <v>40</v>
      </c>
      <c r="E3115" t="s">
        <v>27</v>
      </c>
      <c r="F3115" t="s">
        <v>49</v>
      </c>
      <c r="G3115">
        <v>53400</v>
      </c>
      <c r="H3115">
        <v>42720</v>
      </c>
      <c r="I3115" s="13">
        <v>1</v>
      </c>
      <c r="J3115" t="s">
        <v>6207</v>
      </c>
      <c r="K3115">
        <v>7</v>
      </c>
      <c r="L3115">
        <v>2</v>
      </c>
      <c r="M3115" t="s">
        <v>0</v>
      </c>
      <c r="N3115" s="2">
        <v>0.79</v>
      </c>
      <c r="O3115" s="2">
        <v>0.21</v>
      </c>
      <c r="P3115">
        <v>9</v>
      </c>
      <c r="Q3115">
        <v>7</v>
      </c>
      <c r="R3115">
        <v>5</v>
      </c>
      <c r="S3115">
        <v>0</v>
      </c>
      <c r="T3115">
        <v>5</v>
      </c>
      <c r="U3115">
        <v>8</v>
      </c>
      <c r="V3115">
        <v>0</v>
      </c>
      <c r="W3115">
        <v>1</v>
      </c>
      <c r="X3115">
        <v>0</v>
      </c>
      <c r="Y3115">
        <v>0</v>
      </c>
      <c r="Z3115">
        <v>0</v>
      </c>
    </row>
    <row r="3116" spans="1:26" x14ac:dyDescent="0.2">
      <c r="A3116" t="s">
        <v>3234</v>
      </c>
      <c r="B3116" t="s">
        <v>37</v>
      </c>
      <c r="C3116">
        <v>2017</v>
      </c>
      <c r="D3116" t="s">
        <v>79</v>
      </c>
      <c r="E3116" t="s">
        <v>18</v>
      </c>
      <c r="F3116" t="s">
        <v>20</v>
      </c>
      <c r="G3116">
        <v>25486</v>
      </c>
      <c r="H3116">
        <v>20388.800000000003</v>
      </c>
      <c r="I3116" s="13">
        <v>0.66666666666666663</v>
      </c>
      <c r="J3116" t="s">
        <v>6206</v>
      </c>
      <c r="K3116">
        <v>2</v>
      </c>
      <c r="L3116">
        <v>1</v>
      </c>
      <c r="M3116" t="s">
        <v>0</v>
      </c>
      <c r="N3116" s="2">
        <v>0.43</v>
      </c>
      <c r="O3116" s="2">
        <v>0.56999999999999995</v>
      </c>
      <c r="P3116">
        <v>12</v>
      </c>
      <c r="Q3116">
        <v>8</v>
      </c>
      <c r="R3116">
        <v>5</v>
      </c>
      <c r="S3116">
        <v>8</v>
      </c>
      <c r="T3116">
        <v>7</v>
      </c>
      <c r="U3116">
        <v>6</v>
      </c>
      <c r="V3116">
        <v>2</v>
      </c>
      <c r="W3116">
        <v>1</v>
      </c>
      <c r="X3116">
        <v>0</v>
      </c>
      <c r="Y3116">
        <v>0</v>
      </c>
      <c r="Z3116">
        <v>0</v>
      </c>
    </row>
    <row r="3117" spans="1:26" x14ac:dyDescent="0.2">
      <c r="A3117" t="s">
        <v>3235</v>
      </c>
      <c r="B3117" t="s">
        <v>59</v>
      </c>
      <c r="C3117">
        <v>2017</v>
      </c>
      <c r="D3117" t="s">
        <v>28</v>
      </c>
      <c r="E3117" t="s">
        <v>23</v>
      </c>
      <c r="F3117" t="s">
        <v>28</v>
      </c>
      <c r="G3117">
        <v>21944</v>
      </c>
      <c r="H3117">
        <v>17555.2</v>
      </c>
      <c r="I3117" s="13">
        <v>0.66666666666666663</v>
      </c>
      <c r="J3117" t="s">
        <v>6206</v>
      </c>
      <c r="K3117">
        <v>1</v>
      </c>
      <c r="L3117">
        <v>1</v>
      </c>
      <c r="M3117" t="s">
        <v>58</v>
      </c>
      <c r="N3117" s="2">
        <v>0.62</v>
      </c>
      <c r="O3117" s="2">
        <v>0.38</v>
      </c>
      <c r="P3117">
        <v>15</v>
      </c>
      <c r="Q3117">
        <v>12</v>
      </c>
      <c r="R3117">
        <v>7</v>
      </c>
      <c r="S3117">
        <v>4</v>
      </c>
      <c r="T3117">
        <v>11</v>
      </c>
      <c r="U3117">
        <v>14</v>
      </c>
      <c r="V3117">
        <v>2</v>
      </c>
      <c r="W3117">
        <v>3</v>
      </c>
      <c r="X3117">
        <v>0</v>
      </c>
      <c r="Y3117">
        <v>1</v>
      </c>
      <c r="Z3117">
        <v>0</v>
      </c>
    </row>
    <row r="3118" spans="1:26" x14ac:dyDescent="0.2">
      <c r="A3118" t="s">
        <v>3236</v>
      </c>
      <c r="B3118" t="s">
        <v>67</v>
      </c>
      <c r="C3118">
        <v>2017</v>
      </c>
      <c r="D3118" t="s">
        <v>85</v>
      </c>
      <c r="E3118" t="s">
        <v>46</v>
      </c>
      <c r="F3118" t="s">
        <v>85</v>
      </c>
      <c r="G3118">
        <v>22220</v>
      </c>
      <c r="H3118">
        <v>17776</v>
      </c>
      <c r="I3118" s="13">
        <v>1</v>
      </c>
      <c r="J3118" t="s">
        <v>6207</v>
      </c>
      <c r="K3118">
        <v>2</v>
      </c>
      <c r="L3118">
        <v>1</v>
      </c>
      <c r="M3118" t="s">
        <v>0</v>
      </c>
      <c r="N3118" s="2">
        <v>0.46</v>
      </c>
      <c r="O3118" s="2">
        <v>0.54</v>
      </c>
      <c r="P3118">
        <v>9</v>
      </c>
      <c r="Q3118">
        <v>8</v>
      </c>
      <c r="R3118">
        <v>2</v>
      </c>
      <c r="S3118">
        <v>5</v>
      </c>
      <c r="T3118">
        <v>8</v>
      </c>
      <c r="U3118">
        <v>10</v>
      </c>
      <c r="V3118">
        <v>1</v>
      </c>
      <c r="W3118">
        <v>0</v>
      </c>
      <c r="X3118">
        <v>0</v>
      </c>
      <c r="Y3118">
        <v>0</v>
      </c>
      <c r="Z3118">
        <v>1</v>
      </c>
    </row>
    <row r="3119" spans="1:26" x14ac:dyDescent="0.2">
      <c r="A3119" t="s">
        <v>3237</v>
      </c>
      <c r="B3119" t="s">
        <v>66</v>
      </c>
      <c r="C3119">
        <v>2017</v>
      </c>
      <c r="D3119" t="s">
        <v>90</v>
      </c>
      <c r="E3119" t="s">
        <v>45</v>
      </c>
      <c r="F3119" t="s">
        <v>91</v>
      </c>
      <c r="G3119">
        <v>31876</v>
      </c>
      <c r="H3119">
        <v>25500.800000000003</v>
      </c>
      <c r="I3119" s="13">
        <v>0.6</v>
      </c>
      <c r="J3119" t="s">
        <v>6207</v>
      </c>
      <c r="K3119">
        <v>1</v>
      </c>
      <c r="L3119">
        <v>1</v>
      </c>
      <c r="M3119" t="s">
        <v>58</v>
      </c>
      <c r="N3119" s="2">
        <v>0.47</v>
      </c>
      <c r="O3119" s="2">
        <v>0.53</v>
      </c>
      <c r="P3119">
        <v>11</v>
      </c>
      <c r="Q3119">
        <v>16</v>
      </c>
      <c r="R3119">
        <v>7</v>
      </c>
      <c r="S3119">
        <v>1</v>
      </c>
      <c r="T3119">
        <v>12</v>
      </c>
      <c r="U3119">
        <v>10</v>
      </c>
      <c r="V3119">
        <v>4</v>
      </c>
      <c r="W3119">
        <v>1</v>
      </c>
      <c r="X3119">
        <v>0</v>
      </c>
      <c r="Y3119">
        <v>0</v>
      </c>
      <c r="Z3119">
        <v>1</v>
      </c>
    </row>
    <row r="3120" spans="1:26" x14ac:dyDescent="0.2">
      <c r="A3120" t="s">
        <v>3238</v>
      </c>
      <c r="B3120" t="s">
        <v>60</v>
      </c>
      <c r="C3120">
        <v>2017</v>
      </c>
      <c r="D3120" t="s">
        <v>73</v>
      </c>
      <c r="E3120" t="s">
        <v>64</v>
      </c>
      <c r="F3120" t="s">
        <v>73</v>
      </c>
      <c r="G3120">
        <v>32384</v>
      </c>
      <c r="H3120">
        <v>25907.200000000001</v>
      </c>
      <c r="I3120" s="13">
        <v>1</v>
      </c>
      <c r="J3120" t="s">
        <v>6208</v>
      </c>
      <c r="K3120">
        <v>2</v>
      </c>
      <c r="L3120">
        <v>2</v>
      </c>
      <c r="M3120" t="s">
        <v>58</v>
      </c>
      <c r="N3120" s="2">
        <v>0.62</v>
      </c>
      <c r="O3120" s="2">
        <v>0.38</v>
      </c>
      <c r="P3120">
        <v>10</v>
      </c>
      <c r="Q3120">
        <v>12</v>
      </c>
      <c r="R3120">
        <v>3</v>
      </c>
      <c r="S3120">
        <v>8</v>
      </c>
      <c r="T3120">
        <v>11</v>
      </c>
      <c r="U3120">
        <v>12</v>
      </c>
      <c r="V3120">
        <v>1</v>
      </c>
      <c r="W3120">
        <v>2</v>
      </c>
      <c r="X3120">
        <v>0</v>
      </c>
      <c r="Y3120">
        <v>0</v>
      </c>
      <c r="Z3120">
        <v>1</v>
      </c>
    </row>
    <row r="3121" spans="1:26" x14ac:dyDescent="0.2">
      <c r="A3121" t="s">
        <v>3239</v>
      </c>
      <c r="B3121" t="s">
        <v>41</v>
      </c>
      <c r="C3121">
        <v>2017</v>
      </c>
      <c r="D3121" t="s">
        <v>80</v>
      </c>
      <c r="E3121" t="s">
        <v>63</v>
      </c>
      <c r="F3121" t="s">
        <v>80</v>
      </c>
      <c r="G3121">
        <v>32261</v>
      </c>
      <c r="H3121">
        <v>25808.800000000003</v>
      </c>
      <c r="I3121" s="13">
        <v>0.5</v>
      </c>
      <c r="J3121" t="s">
        <v>6207</v>
      </c>
      <c r="K3121">
        <v>1</v>
      </c>
      <c r="L3121">
        <v>1</v>
      </c>
      <c r="M3121" t="s">
        <v>58</v>
      </c>
      <c r="N3121" s="2">
        <v>0.56999999999999995</v>
      </c>
      <c r="O3121" s="2">
        <v>0.43</v>
      </c>
      <c r="P3121">
        <v>7</v>
      </c>
      <c r="Q3121">
        <v>14</v>
      </c>
      <c r="R3121">
        <v>4</v>
      </c>
      <c r="S3121">
        <v>1</v>
      </c>
      <c r="T3121">
        <v>13</v>
      </c>
      <c r="U3121">
        <v>6</v>
      </c>
      <c r="V3121">
        <v>2</v>
      </c>
      <c r="W3121">
        <v>2</v>
      </c>
      <c r="X3121">
        <v>0</v>
      </c>
      <c r="Y3121">
        <v>0</v>
      </c>
      <c r="Z3121">
        <v>0</v>
      </c>
    </row>
    <row r="3122" spans="1:26" x14ac:dyDescent="0.2">
      <c r="A3122" t="s">
        <v>3240</v>
      </c>
      <c r="B3122" t="s">
        <v>32</v>
      </c>
      <c r="C3122">
        <v>2017</v>
      </c>
      <c r="D3122" t="s">
        <v>23</v>
      </c>
      <c r="E3122" t="s">
        <v>90</v>
      </c>
      <c r="F3122" t="s">
        <v>20</v>
      </c>
      <c r="G3122">
        <v>62500</v>
      </c>
      <c r="H3122">
        <v>50000</v>
      </c>
      <c r="I3122" s="13">
        <v>1</v>
      </c>
      <c r="J3122" t="s">
        <v>6207</v>
      </c>
      <c r="K3122">
        <v>0</v>
      </c>
      <c r="L3122">
        <v>3</v>
      </c>
      <c r="M3122" t="s">
        <v>1</v>
      </c>
      <c r="N3122" s="2">
        <v>0.65</v>
      </c>
      <c r="O3122" s="2">
        <v>0.35</v>
      </c>
      <c r="P3122">
        <v>14</v>
      </c>
      <c r="Q3122">
        <v>7</v>
      </c>
      <c r="R3122">
        <v>10</v>
      </c>
      <c r="S3122">
        <v>3</v>
      </c>
      <c r="T3122">
        <v>5</v>
      </c>
      <c r="U3122">
        <v>13</v>
      </c>
      <c r="V3122">
        <v>1</v>
      </c>
      <c r="W3122">
        <v>0</v>
      </c>
      <c r="X3122">
        <v>0</v>
      </c>
      <c r="Y3122">
        <v>0</v>
      </c>
      <c r="Z3122">
        <v>1</v>
      </c>
    </row>
    <row r="3123" spans="1:26" x14ac:dyDescent="0.2">
      <c r="A3123" t="s">
        <v>3241</v>
      </c>
      <c r="B3123" t="s">
        <v>68</v>
      </c>
      <c r="C3123">
        <v>2017</v>
      </c>
      <c r="D3123" t="s">
        <v>18</v>
      </c>
      <c r="E3123" t="s">
        <v>85</v>
      </c>
      <c r="F3123" t="s">
        <v>20</v>
      </c>
      <c r="G3123">
        <v>40341</v>
      </c>
      <c r="H3123">
        <v>32272.800000000003</v>
      </c>
      <c r="I3123" s="13">
        <v>1</v>
      </c>
      <c r="J3123" t="s">
        <v>6207</v>
      </c>
      <c r="K3123">
        <v>4</v>
      </c>
      <c r="L3123">
        <v>2</v>
      </c>
      <c r="M3123" t="s">
        <v>0</v>
      </c>
      <c r="N3123" s="2">
        <v>0.53</v>
      </c>
      <c r="O3123" s="2">
        <v>0.47</v>
      </c>
      <c r="P3123">
        <v>19</v>
      </c>
      <c r="Q3123">
        <v>19</v>
      </c>
      <c r="R3123">
        <v>6</v>
      </c>
      <c r="S3123">
        <v>6</v>
      </c>
      <c r="T3123">
        <v>13</v>
      </c>
      <c r="U3123">
        <v>16</v>
      </c>
      <c r="V3123">
        <v>2</v>
      </c>
      <c r="W3123">
        <v>3</v>
      </c>
      <c r="X3123">
        <v>0</v>
      </c>
      <c r="Y3123">
        <v>0</v>
      </c>
      <c r="Z3123">
        <v>0</v>
      </c>
    </row>
    <row r="3124" spans="1:26" x14ac:dyDescent="0.2">
      <c r="A3124" t="s">
        <v>3242</v>
      </c>
      <c r="B3124" t="s">
        <v>66</v>
      </c>
      <c r="C3124">
        <v>2017</v>
      </c>
      <c r="D3124" t="s">
        <v>71</v>
      </c>
      <c r="E3124" t="s">
        <v>80</v>
      </c>
      <c r="F3124" t="s">
        <v>71</v>
      </c>
      <c r="G3124">
        <v>21088</v>
      </c>
      <c r="H3124">
        <v>16870.400000000001</v>
      </c>
      <c r="I3124" s="13">
        <v>1</v>
      </c>
      <c r="J3124" t="s">
        <v>6207</v>
      </c>
      <c r="K3124">
        <v>1</v>
      </c>
      <c r="L3124">
        <v>2</v>
      </c>
      <c r="M3124" t="s">
        <v>1</v>
      </c>
      <c r="N3124" s="2">
        <v>0.56000000000000005</v>
      </c>
      <c r="O3124" s="2">
        <v>0.44</v>
      </c>
      <c r="P3124">
        <v>12</v>
      </c>
      <c r="Q3124">
        <v>6</v>
      </c>
      <c r="R3124">
        <v>7</v>
      </c>
      <c r="S3124">
        <v>6</v>
      </c>
      <c r="T3124">
        <v>6</v>
      </c>
      <c r="U3124">
        <v>9</v>
      </c>
      <c r="V3124">
        <v>0</v>
      </c>
      <c r="W3124">
        <v>1</v>
      </c>
      <c r="X3124">
        <v>0</v>
      </c>
      <c r="Y3124">
        <v>0</v>
      </c>
      <c r="Z3124">
        <v>0</v>
      </c>
    </row>
    <row r="3125" spans="1:26" x14ac:dyDescent="0.2">
      <c r="A3125" t="s">
        <v>3243</v>
      </c>
      <c r="B3125" t="s">
        <v>54</v>
      </c>
      <c r="C3125">
        <v>2017</v>
      </c>
      <c r="D3125" t="s">
        <v>27</v>
      </c>
      <c r="E3125" t="s">
        <v>86</v>
      </c>
      <c r="F3125" t="s">
        <v>27</v>
      </c>
      <c r="G3125">
        <v>30089</v>
      </c>
      <c r="H3125">
        <v>24071.200000000001</v>
      </c>
      <c r="I3125" s="13">
        <v>0</v>
      </c>
      <c r="J3125" t="s">
        <v>6206</v>
      </c>
      <c r="K3125">
        <v>1</v>
      </c>
      <c r="L3125">
        <v>2</v>
      </c>
      <c r="M3125" t="s">
        <v>1</v>
      </c>
      <c r="N3125" s="2">
        <v>0.52</v>
      </c>
      <c r="O3125" s="2">
        <v>0.48</v>
      </c>
      <c r="P3125">
        <v>11</v>
      </c>
      <c r="Q3125">
        <v>21</v>
      </c>
      <c r="R3125">
        <v>8</v>
      </c>
      <c r="S3125">
        <v>3</v>
      </c>
      <c r="T3125">
        <v>17</v>
      </c>
      <c r="U3125">
        <v>10</v>
      </c>
      <c r="V3125">
        <v>0</v>
      </c>
      <c r="W3125">
        <v>1</v>
      </c>
      <c r="X3125">
        <v>0</v>
      </c>
      <c r="Y3125">
        <v>0</v>
      </c>
      <c r="Z3125">
        <v>1</v>
      </c>
    </row>
    <row r="3126" spans="1:26" x14ac:dyDescent="0.2">
      <c r="A3126" t="s">
        <v>3244</v>
      </c>
      <c r="B3126" t="s">
        <v>59</v>
      </c>
      <c r="C3126">
        <v>2017</v>
      </c>
      <c r="D3126" t="s">
        <v>64</v>
      </c>
      <c r="E3126" t="s">
        <v>79</v>
      </c>
      <c r="F3126" t="s">
        <v>64</v>
      </c>
      <c r="G3126">
        <v>52264</v>
      </c>
      <c r="H3126">
        <v>41811.200000000004</v>
      </c>
      <c r="I3126" s="13">
        <v>0.66666666666666663</v>
      </c>
      <c r="J3126" t="s">
        <v>6206</v>
      </c>
      <c r="K3126">
        <v>1</v>
      </c>
      <c r="L3126">
        <v>0</v>
      </c>
      <c r="M3126" t="s">
        <v>0</v>
      </c>
      <c r="N3126" s="2">
        <v>0.55000000000000004</v>
      </c>
      <c r="O3126" s="2">
        <v>0.45</v>
      </c>
      <c r="P3126">
        <v>15</v>
      </c>
      <c r="Q3126">
        <v>12</v>
      </c>
      <c r="R3126">
        <v>3</v>
      </c>
      <c r="S3126">
        <v>5</v>
      </c>
      <c r="T3126">
        <v>12</v>
      </c>
      <c r="U3126">
        <v>14</v>
      </c>
      <c r="V3126">
        <v>4</v>
      </c>
      <c r="W3126">
        <v>2</v>
      </c>
      <c r="X3126">
        <v>0</v>
      </c>
      <c r="Y3126">
        <v>0</v>
      </c>
      <c r="Z3126">
        <v>0</v>
      </c>
    </row>
    <row r="3127" spans="1:26" x14ac:dyDescent="0.2">
      <c r="A3127" t="s">
        <v>3245</v>
      </c>
      <c r="B3127" t="s">
        <v>74</v>
      </c>
      <c r="C3127">
        <v>2017</v>
      </c>
      <c r="D3127" t="s">
        <v>40</v>
      </c>
      <c r="E3127" t="s">
        <v>28</v>
      </c>
      <c r="F3127" t="s">
        <v>49</v>
      </c>
      <c r="G3127">
        <v>53400</v>
      </c>
      <c r="H3127">
        <v>42720</v>
      </c>
      <c r="I3127" s="13">
        <v>0.4</v>
      </c>
      <c r="J3127" t="s">
        <v>6208</v>
      </c>
      <c r="K3127">
        <v>3</v>
      </c>
      <c r="L3127">
        <v>0</v>
      </c>
      <c r="M3127" t="s">
        <v>0</v>
      </c>
      <c r="N3127" s="2">
        <v>0.78</v>
      </c>
      <c r="O3127" s="2">
        <v>0.22</v>
      </c>
      <c r="P3127">
        <v>7</v>
      </c>
      <c r="Q3127">
        <v>11</v>
      </c>
      <c r="R3127">
        <v>4</v>
      </c>
      <c r="S3127">
        <v>5</v>
      </c>
      <c r="T3127">
        <v>10</v>
      </c>
      <c r="U3127">
        <v>6</v>
      </c>
      <c r="V3127">
        <v>2</v>
      </c>
      <c r="W3127">
        <v>3</v>
      </c>
      <c r="X3127">
        <v>0</v>
      </c>
      <c r="Y3127">
        <v>0</v>
      </c>
      <c r="Z3127">
        <v>1</v>
      </c>
    </row>
    <row r="3128" spans="1:26" x14ac:dyDescent="0.2">
      <c r="A3128" t="s">
        <v>3246</v>
      </c>
      <c r="B3128" t="s">
        <v>50</v>
      </c>
      <c r="C3128">
        <v>2017</v>
      </c>
      <c r="D3128" t="s">
        <v>89</v>
      </c>
      <c r="E3128" t="s">
        <v>48</v>
      </c>
      <c r="F3128" t="s">
        <v>89</v>
      </c>
      <c r="G3128">
        <v>24500</v>
      </c>
      <c r="H3128">
        <v>19600</v>
      </c>
      <c r="I3128" s="13">
        <v>0.66666666666666663</v>
      </c>
      <c r="J3128" t="s">
        <v>6207</v>
      </c>
      <c r="K3128">
        <v>2</v>
      </c>
      <c r="L3128">
        <v>1</v>
      </c>
      <c r="M3128" t="s">
        <v>0</v>
      </c>
      <c r="N3128" s="2">
        <v>0.22</v>
      </c>
      <c r="O3128" s="2">
        <v>0.78</v>
      </c>
      <c r="P3128">
        <v>15</v>
      </c>
      <c r="Q3128">
        <v>12</v>
      </c>
      <c r="R3128">
        <v>4</v>
      </c>
      <c r="S3128">
        <v>7</v>
      </c>
      <c r="T3128">
        <v>10</v>
      </c>
      <c r="U3128">
        <v>12</v>
      </c>
      <c r="V3128">
        <v>4</v>
      </c>
      <c r="W3128">
        <v>2</v>
      </c>
      <c r="X3128">
        <v>0</v>
      </c>
      <c r="Y3128">
        <v>0</v>
      </c>
      <c r="Z3128">
        <v>0</v>
      </c>
    </row>
    <row r="3129" spans="1:26" x14ac:dyDescent="0.2">
      <c r="A3129" t="s">
        <v>3247</v>
      </c>
      <c r="B3129" t="s">
        <v>83</v>
      </c>
      <c r="C3129">
        <v>2017</v>
      </c>
      <c r="D3129" t="s">
        <v>73</v>
      </c>
      <c r="E3129" t="s">
        <v>63</v>
      </c>
      <c r="F3129" t="s">
        <v>73</v>
      </c>
      <c r="G3129">
        <v>32384</v>
      </c>
      <c r="H3129">
        <v>25907.200000000001</v>
      </c>
      <c r="I3129" s="13">
        <v>1</v>
      </c>
      <c r="J3129" t="s">
        <v>6208</v>
      </c>
      <c r="K3129">
        <v>1</v>
      </c>
      <c r="L3129">
        <v>0</v>
      </c>
      <c r="M3129" t="s">
        <v>0</v>
      </c>
      <c r="N3129" s="2">
        <v>0.66</v>
      </c>
      <c r="O3129" s="2">
        <v>0.34</v>
      </c>
      <c r="P3129">
        <v>9</v>
      </c>
      <c r="Q3129">
        <v>12</v>
      </c>
      <c r="R3129">
        <v>8</v>
      </c>
      <c r="S3129">
        <v>3</v>
      </c>
      <c r="T3129">
        <v>10</v>
      </c>
      <c r="U3129">
        <v>8</v>
      </c>
      <c r="V3129">
        <v>0</v>
      </c>
      <c r="W3129">
        <v>1</v>
      </c>
      <c r="X3129">
        <v>0</v>
      </c>
      <c r="Y3129">
        <v>0</v>
      </c>
      <c r="Z3129">
        <v>0</v>
      </c>
    </row>
    <row r="3130" spans="1:26" x14ac:dyDescent="0.2">
      <c r="A3130" t="s">
        <v>3248</v>
      </c>
      <c r="B3130" t="s">
        <v>76</v>
      </c>
      <c r="C3130">
        <v>2017</v>
      </c>
      <c r="D3130" t="s">
        <v>45</v>
      </c>
      <c r="E3130" t="s">
        <v>46</v>
      </c>
      <c r="F3130" t="s">
        <v>26</v>
      </c>
      <c r="G3130">
        <v>39572</v>
      </c>
      <c r="H3130">
        <v>31657.600000000002</v>
      </c>
      <c r="I3130" s="13">
        <v>0.5</v>
      </c>
      <c r="J3130" t="s">
        <v>6207</v>
      </c>
      <c r="K3130">
        <v>2</v>
      </c>
      <c r="L3130">
        <v>5</v>
      </c>
      <c r="M3130" t="s">
        <v>1</v>
      </c>
      <c r="N3130" s="2">
        <v>0.32</v>
      </c>
      <c r="O3130" s="2">
        <v>0.68</v>
      </c>
      <c r="P3130">
        <v>15</v>
      </c>
      <c r="Q3130">
        <v>16</v>
      </c>
      <c r="R3130">
        <v>0</v>
      </c>
      <c r="S3130">
        <v>7</v>
      </c>
      <c r="T3130">
        <v>14</v>
      </c>
      <c r="U3130">
        <v>14</v>
      </c>
      <c r="V3130">
        <v>2</v>
      </c>
      <c r="W3130">
        <v>1</v>
      </c>
      <c r="X3130">
        <v>1</v>
      </c>
      <c r="Y3130">
        <v>0</v>
      </c>
      <c r="Z3130">
        <v>0</v>
      </c>
    </row>
    <row r="3131" spans="1:26" x14ac:dyDescent="0.2">
      <c r="A3131" t="s">
        <v>3249</v>
      </c>
      <c r="B3131" t="s">
        <v>37</v>
      </c>
      <c r="C3131">
        <v>2017</v>
      </c>
      <c r="D3131" t="s">
        <v>51</v>
      </c>
      <c r="E3131" t="s">
        <v>26</v>
      </c>
      <c r="F3131" t="s">
        <v>20</v>
      </c>
      <c r="G3131">
        <v>36284</v>
      </c>
      <c r="H3131">
        <v>29027.200000000001</v>
      </c>
      <c r="I3131" s="13">
        <v>1</v>
      </c>
      <c r="J3131" t="s">
        <v>6206</v>
      </c>
      <c r="K3131">
        <v>4</v>
      </c>
      <c r="L3131">
        <v>1</v>
      </c>
      <c r="M3131" t="s">
        <v>0</v>
      </c>
      <c r="N3131" s="2">
        <v>0.36</v>
      </c>
      <c r="O3131" s="2">
        <v>0.64</v>
      </c>
      <c r="P3131">
        <v>10</v>
      </c>
      <c r="Q3131">
        <v>2</v>
      </c>
      <c r="R3131">
        <v>3</v>
      </c>
      <c r="S3131">
        <v>5</v>
      </c>
      <c r="T3131">
        <v>2</v>
      </c>
      <c r="U3131">
        <v>8</v>
      </c>
      <c r="V3131">
        <v>0</v>
      </c>
      <c r="W3131">
        <v>1</v>
      </c>
      <c r="X3131">
        <v>0</v>
      </c>
      <c r="Y3131">
        <v>0</v>
      </c>
      <c r="Z3131">
        <v>0</v>
      </c>
    </row>
    <row r="3132" spans="1:26" x14ac:dyDescent="0.2">
      <c r="A3132" t="s">
        <v>3250</v>
      </c>
      <c r="B3132" t="s">
        <v>68</v>
      </c>
      <c r="C3132">
        <v>2017</v>
      </c>
      <c r="D3132" t="s">
        <v>48</v>
      </c>
      <c r="E3132" t="s">
        <v>51</v>
      </c>
      <c r="F3132" t="s">
        <v>49</v>
      </c>
      <c r="G3132">
        <v>74197</v>
      </c>
      <c r="H3132">
        <v>59357.600000000006</v>
      </c>
      <c r="I3132" s="13">
        <v>1</v>
      </c>
      <c r="J3132" t="s">
        <v>6207</v>
      </c>
      <c r="K3132">
        <v>1</v>
      </c>
      <c r="L3132">
        <v>0</v>
      </c>
      <c r="M3132" t="s">
        <v>0</v>
      </c>
      <c r="N3132" s="2">
        <v>0.45</v>
      </c>
      <c r="O3132" s="2">
        <v>0.55000000000000004</v>
      </c>
      <c r="P3132">
        <v>15</v>
      </c>
      <c r="Q3132">
        <v>14</v>
      </c>
      <c r="R3132">
        <v>6</v>
      </c>
      <c r="S3132">
        <v>3</v>
      </c>
      <c r="T3132">
        <v>12</v>
      </c>
      <c r="U3132">
        <v>14</v>
      </c>
      <c r="V3132">
        <v>1</v>
      </c>
      <c r="W3132">
        <v>0</v>
      </c>
      <c r="X3132">
        <v>0</v>
      </c>
      <c r="Y3132">
        <v>0</v>
      </c>
      <c r="Z3132">
        <v>0</v>
      </c>
    </row>
    <row r="3133" spans="1:26" x14ac:dyDescent="0.2">
      <c r="A3133" t="s">
        <v>3251</v>
      </c>
      <c r="B3133" t="s">
        <v>53</v>
      </c>
      <c r="C3133">
        <v>2017</v>
      </c>
      <c r="D3133" t="s">
        <v>63</v>
      </c>
      <c r="E3133" t="s">
        <v>40</v>
      </c>
      <c r="F3133" t="s">
        <v>65</v>
      </c>
      <c r="G3133">
        <v>26804</v>
      </c>
      <c r="H3133">
        <v>21443.200000000001</v>
      </c>
      <c r="I3133" s="13">
        <v>0.6</v>
      </c>
      <c r="J3133" t="s">
        <v>6207</v>
      </c>
      <c r="K3133">
        <v>2</v>
      </c>
      <c r="L3133">
        <v>3</v>
      </c>
      <c r="M3133" t="s">
        <v>1</v>
      </c>
      <c r="N3133" s="2">
        <v>0.22</v>
      </c>
      <c r="O3133" s="2">
        <v>0.78</v>
      </c>
      <c r="P3133">
        <v>8</v>
      </c>
      <c r="Q3133">
        <v>15</v>
      </c>
      <c r="R3133">
        <v>1</v>
      </c>
      <c r="S3133">
        <v>2</v>
      </c>
      <c r="T3133">
        <v>10</v>
      </c>
      <c r="U3133">
        <v>7</v>
      </c>
      <c r="V3133">
        <v>2</v>
      </c>
      <c r="W3133">
        <v>3</v>
      </c>
      <c r="X3133">
        <v>0</v>
      </c>
      <c r="Y3133">
        <v>0</v>
      </c>
      <c r="Z3133">
        <v>0</v>
      </c>
    </row>
    <row r="3134" spans="1:26" x14ac:dyDescent="0.2">
      <c r="A3134" t="s">
        <v>3252</v>
      </c>
      <c r="B3134" t="s">
        <v>66</v>
      </c>
      <c r="C3134">
        <v>2017</v>
      </c>
      <c r="D3134" t="s">
        <v>85</v>
      </c>
      <c r="E3134" t="s">
        <v>27</v>
      </c>
      <c r="F3134" t="s">
        <v>85</v>
      </c>
      <c r="G3134">
        <v>22220</v>
      </c>
      <c r="H3134">
        <v>17776</v>
      </c>
      <c r="I3134" s="13">
        <v>0.75</v>
      </c>
      <c r="J3134" t="s">
        <v>6207</v>
      </c>
      <c r="K3134">
        <v>0</v>
      </c>
      <c r="L3134">
        <v>1</v>
      </c>
      <c r="M3134" t="s">
        <v>1</v>
      </c>
      <c r="N3134" s="2">
        <v>0.7</v>
      </c>
      <c r="O3134" s="2">
        <v>0.3</v>
      </c>
      <c r="P3134">
        <v>11</v>
      </c>
      <c r="Q3134">
        <v>13</v>
      </c>
      <c r="R3134">
        <v>8</v>
      </c>
      <c r="S3134">
        <v>1</v>
      </c>
      <c r="T3134">
        <v>10</v>
      </c>
      <c r="U3134">
        <v>9</v>
      </c>
      <c r="V3134">
        <v>4</v>
      </c>
      <c r="W3134">
        <v>4</v>
      </c>
      <c r="X3134">
        <v>0</v>
      </c>
      <c r="Y3134">
        <v>0</v>
      </c>
      <c r="Z3134">
        <v>0</v>
      </c>
    </row>
    <row r="3135" spans="1:26" x14ac:dyDescent="0.2">
      <c r="A3135" t="s">
        <v>3253</v>
      </c>
      <c r="B3135" t="s">
        <v>60</v>
      </c>
      <c r="C3135">
        <v>2017</v>
      </c>
      <c r="D3135" t="s">
        <v>26</v>
      </c>
      <c r="E3135" t="s">
        <v>89</v>
      </c>
      <c r="F3135" t="s">
        <v>26</v>
      </c>
      <c r="G3135">
        <v>61276</v>
      </c>
      <c r="H3135">
        <v>49020.800000000003</v>
      </c>
      <c r="I3135" s="13">
        <v>0</v>
      </c>
      <c r="J3135" t="s">
        <v>6208</v>
      </c>
      <c r="K3135">
        <v>3</v>
      </c>
      <c r="L3135">
        <v>0</v>
      </c>
      <c r="M3135" t="s">
        <v>0</v>
      </c>
      <c r="N3135" s="2">
        <v>0.73</v>
      </c>
      <c r="O3135" s="2">
        <v>0.27</v>
      </c>
      <c r="P3135">
        <v>8</v>
      </c>
      <c r="Q3135">
        <v>10</v>
      </c>
      <c r="R3135">
        <v>9</v>
      </c>
      <c r="S3135">
        <v>2</v>
      </c>
      <c r="T3135">
        <v>10</v>
      </c>
      <c r="U3135">
        <v>8</v>
      </c>
      <c r="V3135">
        <v>0</v>
      </c>
      <c r="W3135">
        <v>1</v>
      </c>
      <c r="X3135">
        <v>0</v>
      </c>
      <c r="Y3135">
        <v>0</v>
      </c>
      <c r="Z3135">
        <v>1</v>
      </c>
    </row>
    <row r="3136" spans="1:26" x14ac:dyDescent="0.2">
      <c r="A3136" t="s">
        <v>3254</v>
      </c>
      <c r="B3136" t="s">
        <v>77</v>
      </c>
      <c r="C3136">
        <v>2017</v>
      </c>
      <c r="D3136" t="s">
        <v>79</v>
      </c>
      <c r="E3136" t="s">
        <v>23</v>
      </c>
      <c r="F3136" t="s">
        <v>20</v>
      </c>
      <c r="G3136">
        <v>25486</v>
      </c>
      <c r="H3136">
        <v>20388.800000000003</v>
      </c>
      <c r="I3136" s="13">
        <v>0.66666666666666663</v>
      </c>
      <c r="J3136" t="s">
        <v>6207</v>
      </c>
      <c r="K3136">
        <v>2</v>
      </c>
      <c r="L3136">
        <v>2</v>
      </c>
      <c r="M3136" t="s">
        <v>58</v>
      </c>
      <c r="N3136" s="2">
        <v>0.56999999999999995</v>
      </c>
      <c r="O3136" s="2">
        <v>0.43</v>
      </c>
      <c r="P3136">
        <v>15</v>
      </c>
      <c r="Q3136">
        <v>20</v>
      </c>
      <c r="R3136">
        <v>11</v>
      </c>
      <c r="S3136">
        <v>2</v>
      </c>
      <c r="T3136">
        <v>18</v>
      </c>
      <c r="U3136">
        <v>15</v>
      </c>
      <c r="V3136">
        <v>1</v>
      </c>
      <c r="W3136">
        <v>2</v>
      </c>
      <c r="X3136">
        <v>0</v>
      </c>
      <c r="Y3136">
        <v>0</v>
      </c>
      <c r="Z3136">
        <v>1</v>
      </c>
    </row>
    <row r="3137" spans="1:26" x14ac:dyDescent="0.2">
      <c r="A3137" t="s">
        <v>3255</v>
      </c>
      <c r="B3137" t="s">
        <v>50</v>
      </c>
      <c r="C3137">
        <v>2017</v>
      </c>
      <c r="D3137" t="s">
        <v>46</v>
      </c>
      <c r="E3137" t="s">
        <v>71</v>
      </c>
      <c r="F3137" t="s">
        <v>20</v>
      </c>
      <c r="G3137">
        <v>60704</v>
      </c>
      <c r="H3137">
        <v>48563.200000000004</v>
      </c>
      <c r="I3137" s="13">
        <v>0</v>
      </c>
      <c r="J3137" t="s">
        <v>6207</v>
      </c>
      <c r="K3137">
        <v>2</v>
      </c>
      <c r="L3137">
        <v>1</v>
      </c>
      <c r="M3137" t="s">
        <v>0</v>
      </c>
      <c r="N3137" s="2">
        <v>0.73</v>
      </c>
      <c r="O3137" s="2">
        <v>0.27</v>
      </c>
      <c r="P3137">
        <v>10</v>
      </c>
      <c r="Q3137">
        <v>11</v>
      </c>
      <c r="R3137">
        <v>5</v>
      </c>
      <c r="S3137">
        <v>2</v>
      </c>
      <c r="T3137">
        <v>9</v>
      </c>
      <c r="U3137">
        <v>9</v>
      </c>
      <c r="V3137">
        <v>0</v>
      </c>
      <c r="W3137">
        <v>0</v>
      </c>
      <c r="X3137">
        <v>0</v>
      </c>
      <c r="Y3137">
        <v>0</v>
      </c>
      <c r="Z3137">
        <v>0</v>
      </c>
    </row>
    <row r="3138" spans="1:26" x14ac:dyDescent="0.2">
      <c r="A3138" t="s">
        <v>3256</v>
      </c>
      <c r="B3138" t="s">
        <v>76</v>
      </c>
      <c r="C3138">
        <v>2017</v>
      </c>
      <c r="D3138" t="s">
        <v>86</v>
      </c>
      <c r="E3138" t="s">
        <v>18</v>
      </c>
      <c r="F3138" t="s">
        <v>86</v>
      </c>
      <c r="G3138">
        <v>11364</v>
      </c>
      <c r="H3138">
        <v>9091.2000000000007</v>
      </c>
      <c r="I3138" s="13">
        <v>0</v>
      </c>
      <c r="J3138" t="s">
        <v>6207</v>
      </c>
      <c r="K3138">
        <v>0</v>
      </c>
      <c r="L3138">
        <v>1</v>
      </c>
      <c r="M3138" t="s">
        <v>1</v>
      </c>
      <c r="N3138" s="2">
        <v>0.42</v>
      </c>
      <c r="O3138" s="2">
        <v>0.57999999999999996</v>
      </c>
      <c r="P3138">
        <v>10</v>
      </c>
      <c r="Q3138">
        <v>5</v>
      </c>
      <c r="R3138">
        <v>5</v>
      </c>
      <c r="S3138">
        <v>5</v>
      </c>
      <c r="T3138">
        <v>5</v>
      </c>
      <c r="U3138">
        <v>5</v>
      </c>
      <c r="V3138">
        <v>2</v>
      </c>
      <c r="W3138">
        <v>0</v>
      </c>
      <c r="X3138">
        <v>0</v>
      </c>
      <c r="Y3138">
        <v>0</v>
      </c>
      <c r="Z3138">
        <v>0</v>
      </c>
    </row>
    <row r="3139" spans="1:26" x14ac:dyDescent="0.2">
      <c r="A3139" t="s">
        <v>3257</v>
      </c>
      <c r="B3139" t="s">
        <v>67</v>
      </c>
      <c r="C3139">
        <v>2017</v>
      </c>
      <c r="D3139" t="s">
        <v>90</v>
      </c>
      <c r="E3139" t="s">
        <v>73</v>
      </c>
      <c r="F3139" t="s">
        <v>91</v>
      </c>
      <c r="G3139">
        <v>31876</v>
      </c>
      <c r="H3139">
        <v>25500.800000000003</v>
      </c>
      <c r="I3139" s="13">
        <v>0.75</v>
      </c>
      <c r="J3139" t="s">
        <v>6207</v>
      </c>
      <c r="K3139">
        <v>1</v>
      </c>
      <c r="L3139">
        <v>1</v>
      </c>
      <c r="M3139" t="s">
        <v>58</v>
      </c>
      <c r="N3139" s="2">
        <v>0.52</v>
      </c>
      <c r="O3139" s="2">
        <v>0.48</v>
      </c>
      <c r="P3139">
        <v>11</v>
      </c>
      <c r="Q3139">
        <v>9</v>
      </c>
      <c r="R3139">
        <v>2</v>
      </c>
      <c r="S3139">
        <v>7</v>
      </c>
      <c r="T3139">
        <v>9</v>
      </c>
      <c r="U3139">
        <v>10</v>
      </c>
      <c r="V3139">
        <v>3</v>
      </c>
      <c r="W3139">
        <v>1</v>
      </c>
      <c r="X3139">
        <v>0</v>
      </c>
      <c r="Y3139">
        <v>0</v>
      </c>
      <c r="Z3139">
        <v>0</v>
      </c>
    </row>
    <row r="3140" spans="1:26" x14ac:dyDescent="0.2">
      <c r="A3140" t="s">
        <v>3258</v>
      </c>
      <c r="B3140" t="s">
        <v>37</v>
      </c>
      <c r="C3140">
        <v>2017</v>
      </c>
      <c r="D3140" t="s">
        <v>80</v>
      </c>
      <c r="E3140" t="s">
        <v>45</v>
      </c>
      <c r="F3140" t="s">
        <v>80</v>
      </c>
      <c r="G3140">
        <v>32261</v>
      </c>
      <c r="H3140">
        <v>25808.800000000003</v>
      </c>
      <c r="I3140" s="13">
        <v>0.5</v>
      </c>
      <c r="J3140" t="s">
        <v>6206</v>
      </c>
      <c r="K3140">
        <v>2</v>
      </c>
      <c r="L3140">
        <v>0</v>
      </c>
      <c r="M3140" t="s">
        <v>0</v>
      </c>
      <c r="N3140" s="2">
        <v>0.4</v>
      </c>
      <c r="O3140" s="2">
        <v>0.6</v>
      </c>
      <c r="P3140">
        <v>11</v>
      </c>
      <c r="Q3140">
        <v>10</v>
      </c>
      <c r="R3140">
        <v>3</v>
      </c>
      <c r="S3140">
        <v>10</v>
      </c>
      <c r="T3140">
        <v>6</v>
      </c>
      <c r="U3140">
        <v>10</v>
      </c>
      <c r="V3140">
        <v>0</v>
      </c>
      <c r="W3140">
        <v>2</v>
      </c>
      <c r="X3140">
        <v>0</v>
      </c>
      <c r="Y3140">
        <v>0</v>
      </c>
      <c r="Z3140">
        <v>0</v>
      </c>
    </row>
    <row r="3141" spans="1:26" x14ac:dyDescent="0.2">
      <c r="A3141" t="s">
        <v>3259</v>
      </c>
      <c r="B3141" t="s">
        <v>41</v>
      </c>
      <c r="C3141">
        <v>2017</v>
      </c>
      <c r="D3141" t="s">
        <v>28</v>
      </c>
      <c r="E3141" t="s">
        <v>64</v>
      </c>
      <c r="F3141" t="s">
        <v>28</v>
      </c>
      <c r="G3141">
        <v>21944</v>
      </c>
      <c r="H3141">
        <v>17555.2</v>
      </c>
      <c r="I3141" s="13">
        <v>0.33333333333333331</v>
      </c>
      <c r="J3141" t="s">
        <v>6207</v>
      </c>
      <c r="K3141">
        <v>1</v>
      </c>
      <c r="L3141">
        <v>0</v>
      </c>
      <c r="M3141" t="s">
        <v>0</v>
      </c>
      <c r="N3141" s="2">
        <v>0.47</v>
      </c>
      <c r="O3141" s="2">
        <v>0.53</v>
      </c>
      <c r="P3141">
        <v>11</v>
      </c>
      <c r="Q3141">
        <v>13</v>
      </c>
      <c r="R3141">
        <v>5</v>
      </c>
      <c r="S3141">
        <v>3</v>
      </c>
      <c r="T3141">
        <v>9</v>
      </c>
      <c r="U3141">
        <v>10</v>
      </c>
      <c r="V3141">
        <v>3</v>
      </c>
      <c r="W3141">
        <v>0</v>
      </c>
      <c r="X3141">
        <v>0</v>
      </c>
      <c r="Y3141">
        <v>0</v>
      </c>
      <c r="Z3141">
        <v>0</v>
      </c>
    </row>
    <row r="3142" spans="1:26" x14ac:dyDescent="0.2">
      <c r="A3142" t="s">
        <v>3260</v>
      </c>
      <c r="B3142" t="s">
        <v>77</v>
      </c>
      <c r="C3142">
        <v>2017</v>
      </c>
      <c r="D3142" t="s">
        <v>27</v>
      </c>
      <c r="E3142" t="s">
        <v>80</v>
      </c>
      <c r="F3142" t="s">
        <v>27</v>
      </c>
      <c r="G3142">
        <v>30089</v>
      </c>
      <c r="H3142">
        <v>24071.200000000001</v>
      </c>
      <c r="I3142" s="13">
        <v>0</v>
      </c>
      <c r="J3142" t="s">
        <v>6207</v>
      </c>
      <c r="K3142">
        <v>2</v>
      </c>
      <c r="L3142">
        <v>2</v>
      </c>
      <c r="M3142" t="s">
        <v>58</v>
      </c>
      <c r="N3142" s="2">
        <v>0.47</v>
      </c>
      <c r="O3142" s="2">
        <v>0.53</v>
      </c>
      <c r="P3142">
        <v>13</v>
      </c>
      <c r="Q3142">
        <v>12</v>
      </c>
      <c r="R3142">
        <v>4</v>
      </c>
      <c r="S3142">
        <v>10</v>
      </c>
      <c r="T3142">
        <v>12</v>
      </c>
      <c r="U3142">
        <v>8</v>
      </c>
      <c r="V3142">
        <v>0</v>
      </c>
      <c r="W3142">
        <v>0</v>
      </c>
      <c r="X3142">
        <v>0</v>
      </c>
      <c r="Y3142">
        <v>0</v>
      </c>
      <c r="Z3142">
        <v>0</v>
      </c>
    </row>
    <row r="3143" spans="1:26" x14ac:dyDescent="0.2">
      <c r="A3143" t="s">
        <v>3261</v>
      </c>
      <c r="B3143" t="s">
        <v>41</v>
      </c>
      <c r="C3143">
        <v>2017</v>
      </c>
      <c r="D3143" t="s">
        <v>71</v>
      </c>
      <c r="E3143" t="s">
        <v>90</v>
      </c>
      <c r="F3143" t="s">
        <v>71</v>
      </c>
      <c r="G3143">
        <v>21088</v>
      </c>
      <c r="H3143">
        <v>16870.400000000001</v>
      </c>
      <c r="I3143" s="13">
        <v>0.33333333333333331</v>
      </c>
      <c r="J3143" t="s">
        <v>6207</v>
      </c>
      <c r="K3143">
        <v>0</v>
      </c>
      <c r="L3143">
        <v>1</v>
      </c>
      <c r="M3143" t="s">
        <v>1</v>
      </c>
      <c r="N3143" s="2">
        <v>0.56000000000000005</v>
      </c>
      <c r="O3143" s="2">
        <v>0.44</v>
      </c>
      <c r="P3143">
        <v>17</v>
      </c>
      <c r="Q3143">
        <v>13</v>
      </c>
      <c r="R3143">
        <v>8</v>
      </c>
      <c r="S3143">
        <v>7</v>
      </c>
      <c r="T3143">
        <v>13</v>
      </c>
      <c r="U3143">
        <v>12</v>
      </c>
      <c r="V3143">
        <v>2</v>
      </c>
      <c r="W3143">
        <v>1</v>
      </c>
      <c r="X3143">
        <v>0</v>
      </c>
      <c r="Y3143">
        <v>0</v>
      </c>
      <c r="Z3143">
        <v>0</v>
      </c>
    </row>
    <row r="3144" spans="1:26" x14ac:dyDescent="0.2">
      <c r="A3144" t="s">
        <v>3262</v>
      </c>
      <c r="B3144" t="s">
        <v>54</v>
      </c>
      <c r="C3144">
        <v>2017</v>
      </c>
      <c r="D3144" t="s">
        <v>73</v>
      </c>
      <c r="E3144" t="s">
        <v>28</v>
      </c>
      <c r="F3144" t="s">
        <v>73</v>
      </c>
      <c r="G3144">
        <v>32384</v>
      </c>
      <c r="H3144">
        <v>25907.200000000001</v>
      </c>
      <c r="I3144" s="13">
        <v>0</v>
      </c>
      <c r="J3144" t="s">
        <v>6206</v>
      </c>
      <c r="K3144">
        <v>0</v>
      </c>
      <c r="L3144">
        <v>1</v>
      </c>
      <c r="M3144" t="s">
        <v>1</v>
      </c>
      <c r="N3144" s="2">
        <v>0.63</v>
      </c>
      <c r="O3144" s="2">
        <v>0.37</v>
      </c>
      <c r="P3144">
        <v>5</v>
      </c>
      <c r="Q3144">
        <v>5</v>
      </c>
      <c r="R3144">
        <v>9</v>
      </c>
      <c r="S3144">
        <v>1</v>
      </c>
      <c r="T3144">
        <v>4</v>
      </c>
      <c r="U3144">
        <v>4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1:26" x14ac:dyDescent="0.2">
      <c r="A3145" t="s">
        <v>3263</v>
      </c>
      <c r="B3145" t="s">
        <v>81</v>
      </c>
      <c r="C3145">
        <v>2017</v>
      </c>
      <c r="D3145" t="s">
        <v>64</v>
      </c>
      <c r="E3145" t="s">
        <v>86</v>
      </c>
      <c r="F3145" t="s">
        <v>64</v>
      </c>
      <c r="G3145">
        <v>52264</v>
      </c>
      <c r="H3145">
        <v>41811.200000000004</v>
      </c>
      <c r="I3145" s="13">
        <v>0.25</v>
      </c>
      <c r="J3145" t="s">
        <v>6207</v>
      </c>
      <c r="K3145">
        <v>0</v>
      </c>
      <c r="L3145">
        <v>1</v>
      </c>
      <c r="M3145" t="s">
        <v>1</v>
      </c>
      <c r="N3145" s="2">
        <v>0.48</v>
      </c>
      <c r="O3145" s="2">
        <v>0.52</v>
      </c>
      <c r="P3145">
        <v>13</v>
      </c>
      <c r="Q3145">
        <v>17</v>
      </c>
      <c r="R3145">
        <v>11</v>
      </c>
      <c r="S3145">
        <v>9</v>
      </c>
      <c r="T3145">
        <v>11</v>
      </c>
      <c r="U3145">
        <v>12</v>
      </c>
      <c r="V3145">
        <v>2</v>
      </c>
      <c r="W3145">
        <v>2</v>
      </c>
      <c r="X3145">
        <v>0</v>
      </c>
      <c r="Y3145">
        <v>0</v>
      </c>
      <c r="Z3145">
        <v>0</v>
      </c>
    </row>
    <row r="3146" spans="1:26" x14ac:dyDescent="0.2">
      <c r="A3146" t="s">
        <v>3264</v>
      </c>
      <c r="B3146" t="s">
        <v>74</v>
      </c>
      <c r="C3146">
        <v>2017</v>
      </c>
      <c r="D3146" t="s">
        <v>89</v>
      </c>
      <c r="E3146" t="s">
        <v>63</v>
      </c>
      <c r="F3146" t="s">
        <v>89</v>
      </c>
      <c r="G3146">
        <v>24500</v>
      </c>
      <c r="H3146">
        <v>19600</v>
      </c>
      <c r="I3146" s="13">
        <v>0.7142857142857143</v>
      </c>
      <c r="J3146" t="s">
        <v>6208</v>
      </c>
      <c r="K3146">
        <v>1</v>
      </c>
      <c r="L3146">
        <v>0</v>
      </c>
      <c r="M3146" t="s">
        <v>0</v>
      </c>
      <c r="N3146" s="2">
        <v>0.5</v>
      </c>
      <c r="O3146" s="2">
        <v>0.5</v>
      </c>
      <c r="P3146">
        <v>18</v>
      </c>
      <c r="Q3146">
        <v>12</v>
      </c>
      <c r="R3146">
        <v>3</v>
      </c>
      <c r="S3146">
        <v>5</v>
      </c>
      <c r="T3146">
        <v>8</v>
      </c>
      <c r="U3146">
        <v>15</v>
      </c>
      <c r="V3146">
        <v>2</v>
      </c>
      <c r="W3146">
        <v>4</v>
      </c>
      <c r="X3146">
        <v>1</v>
      </c>
      <c r="Y3146">
        <v>0</v>
      </c>
      <c r="Z3146">
        <v>0</v>
      </c>
    </row>
    <row r="3147" spans="1:26" x14ac:dyDescent="0.2">
      <c r="A3147" t="s">
        <v>3265</v>
      </c>
      <c r="B3147" t="s">
        <v>67</v>
      </c>
      <c r="C3147">
        <v>2017</v>
      </c>
      <c r="D3147" t="s">
        <v>23</v>
      </c>
      <c r="E3147" t="s">
        <v>26</v>
      </c>
      <c r="F3147" t="s">
        <v>20</v>
      </c>
      <c r="G3147">
        <v>62500</v>
      </c>
      <c r="H3147">
        <v>50000</v>
      </c>
      <c r="I3147" s="13">
        <v>0.66666666666666663</v>
      </c>
      <c r="J3147" t="s">
        <v>6207</v>
      </c>
      <c r="K3147">
        <v>1</v>
      </c>
      <c r="L3147">
        <v>4</v>
      </c>
      <c r="M3147" t="s">
        <v>1</v>
      </c>
      <c r="N3147" s="2">
        <v>0.48</v>
      </c>
      <c r="O3147" s="2">
        <v>0.52</v>
      </c>
      <c r="P3147">
        <v>14</v>
      </c>
      <c r="Q3147">
        <v>14</v>
      </c>
      <c r="R3147">
        <v>2</v>
      </c>
      <c r="S3147">
        <v>3</v>
      </c>
      <c r="T3147">
        <v>9</v>
      </c>
      <c r="U3147">
        <v>13</v>
      </c>
      <c r="V3147">
        <v>3</v>
      </c>
      <c r="W3147">
        <v>0</v>
      </c>
      <c r="X3147">
        <v>0</v>
      </c>
      <c r="Y3147">
        <v>0</v>
      </c>
      <c r="Z3147">
        <v>0</v>
      </c>
    </row>
    <row r="3148" spans="1:26" x14ac:dyDescent="0.2">
      <c r="A3148" t="s">
        <v>3266</v>
      </c>
      <c r="B3148" t="s">
        <v>60</v>
      </c>
      <c r="C3148">
        <v>2017</v>
      </c>
      <c r="D3148" t="s">
        <v>51</v>
      </c>
      <c r="E3148" t="s">
        <v>79</v>
      </c>
      <c r="F3148" t="s">
        <v>20</v>
      </c>
      <c r="G3148">
        <v>36284</v>
      </c>
      <c r="H3148">
        <v>29027.200000000001</v>
      </c>
      <c r="I3148" s="13">
        <v>1</v>
      </c>
      <c r="J3148" t="s">
        <v>6208</v>
      </c>
      <c r="K3148">
        <v>1</v>
      </c>
      <c r="L3148">
        <v>0</v>
      </c>
      <c r="M3148" t="s">
        <v>0</v>
      </c>
      <c r="N3148" s="2">
        <v>0.68</v>
      </c>
      <c r="O3148" s="2">
        <v>0.32</v>
      </c>
      <c r="P3148">
        <v>11</v>
      </c>
      <c r="Q3148">
        <v>9</v>
      </c>
      <c r="R3148">
        <v>10</v>
      </c>
      <c r="S3148">
        <v>9</v>
      </c>
      <c r="T3148">
        <v>6</v>
      </c>
      <c r="U3148">
        <v>7</v>
      </c>
      <c r="V3148">
        <v>0</v>
      </c>
      <c r="W3148">
        <v>2</v>
      </c>
      <c r="X3148">
        <v>0</v>
      </c>
      <c r="Y3148">
        <v>0</v>
      </c>
      <c r="Z3148">
        <v>0</v>
      </c>
    </row>
    <row r="3149" spans="1:26" x14ac:dyDescent="0.2">
      <c r="A3149" t="s">
        <v>3267</v>
      </c>
      <c r="B3149" t="s">
        <v>66</v>
      </c>
      <c r="C3149">
        <v>2017</v>
      </c>
      <c r="D3149" t="s">
        <v>40</v>
      </c>
      <c r="E3149" t="s">
        <v>46</v>
      </c>
      <c r="F3149" t="s">
        <v>49</v>
      </c>
      <c r="G3149">
        <v>53400</v>
      </c>
      <c r="H3149">
        <v>42720</v>
      </c>
      <c r="I3149" s="13">
        <v>1</v>
      </c>
      <c r="J3149" t="s">
        <v>6207</v>
      </c>
      <c r="K3149">
        <v>3</v>
      </c>
      <c r="L3149">
        <v>1</v>
      </c>
      <c r="M3149" t="s">
        <v>0</v>
      </c>
      <c r="N3149" s="2">
        <v>0.57999999999999996</v>
      </c>
      <c r="O3149" s="2">
        <v>0.42</v>
      </c>
      <c r="P3149">
        <v>17</v>
      </c>
      <c r="Q3149">
        <v>18</v>
      </c>
      <c r="R3149">
        <v>5</v>
      </c>
      <c r="S3149">
        <v>5</v>
      </c>
      <c r="T3149">
        <v>15</v>
      </c>
      <c r="U3149">
        <v>15</v>
      </c>
      <c r="V3149">
        <v>1</v>
      </c>
      <c r="W3149">
        <v>6</v>
      </c>
      <c r="X3149">
        <v>0</v>
      </c>
      <c r="Y3149">
        <v>0</v>
      </c>
      <c r="Z3149">
        <v>1</v>
      </c>
    </row>
    <row r="3150" spans="1:26" x14ac:dyDescent="0.2">
      <c r="A3150" t="s">
        <v>3268</v>
      </c>
      <c r="B3150" t="s">
        <v>83</v>
      </c>
      <c r="C3150">
        <v>2017</v>
      </c>
      <c r="D3150" t="s">
        <v>45</v>
      </c>
      <c r="E3150" t="s">
        <v>85</v>
      </c>
      <c r="F3150" t="s">
        <v>26</v>
      </c>
      <c r="G3150">
        <v>39572</v>
      </c>
      <c r="H3150">
        <v>31657.600000000002</v>
      </c>
      <c r="I3150" s="13">
        <v>1</v>
      </c>
      <c r="J3150" t="s">
        <v>6208</v>
      </c>
      <c r="K3150">
        <v>3</v>
      </c>
      <c r="L3150">
        <v>2</v>
      </c>
      <c r="M3150" t="s">
        <v>0</v>
      </c>
      <c r="N3150" s="2">
        <v>0.38</v>
      </c>
      <c r="O3150" s="2">
        <v>0.62</v>
      </c>
      <c r="P3150">
        <v>12</v>
      </c>
      <c r="Q3150">
        <v>18</v>
      </c>
      <c r="R3150">
        <v>2</v>
      </c>
      <c r="S3150">
        <v>5</v>
      </c>
      <c r="T3150">
        <v>14</v>
      </c>
      <c r="U3150">
        <v>12</v>
      </c>
      <c r="V3150">
        <v>0</v>
      </c>
      <c r="W3150">
        <v>2</v>
      </c>
      <c r="X3150">
        <v>0</v>
      </c>
      <c r="Y3150">
        <v>0</v>
      </c>
      <c r="Z3150">
        <v>2</v>
      </c>
    </row>
    <row r="3151" spans="1:26" x14ac:dyDescent="0.2">
      <c r="A3151" t="s">
        <v>3269</v>
      </c>
      <c r="B3151" t="s">
        <v>61</v>
      </c>
      <c r="C3151">
        <v>2017</v>
      </c>
      <c r="D3151" t="s">
        <v>18</v>
      </c>
      <c r="E3151" t="s">
        <v>48</v>
      </c>
      <c r="F3151" t="s">
        <v>20</v>
      </c>
      <c r="G3151">
        <v>40341</v>
      </c>
      <c r="H3151">
        <v>32272.800000000003</v>
      </c>
      <c r="I3151" s="13">
        <v>0.75</v>
      </c>
      <c r="J3151" t="s">
        <v>6207</v>
      </c>
      <c r="K3151">
        <v>1</v>
      </c>
      <c r="L3151">
        <v>0</v>
      </c>
      <c r="M3151" t="s">
        <v>0</v>
      </c>
      <c r="N3151" s="2">
        <v>0.54</v>
      </c>
      <c r="O3151" s="2">
        <v>0.46</v>
      </c>
      <c r="P3151">
        <v>20</v>
      </c>
      <c r="Q3151">
        <v>16</v>
      </c>
      <c r="R3151">
        <v>4</v>
      </c>
      <c r="S3151">
        <v>7</v>
      </c>
      <c r="T3151">
        <v>16</v>
      </c>
      <c r="U3151">
        <v>20</v>
      </c>
      <c r="V3151">
        <v>1</v>
      </c>
      <c r="W3151">
        <v>3</v>
      </c>
      <c r="X3151">
        <v>0</v>
      </c>
      <c r="Y3151">
        <v>0</v>
      </c>
      <c r="Z3151">
        <v>0</v>
      </c>
    </row>
    <row r="3152" spans="1:26" x14ac:dyDescent="0.2">
      <c r="A3152" t="s">
        <v>3270</v>
      </c>
      <c r="B3152" t="s">
        <v>41</v>
      </c>
      <c r="C3152">
        <v>2017</v>
      </c>
      <c r="D3152" t="s">
        <v>46</v>
      </c>
      <c r="E3152" t="s">
        <v>51</v>
      </c>
      <c r="F3152" t="s">
        <v>20</v>
      </c>
      <c r="G3152">
        <v>60704</v>
      </c>
      <c r="H3152">
        <v>48563.200000000004</v>
      </c>
      <c r="I3152" s="13">
        <v>0.8</v>
      </c>
      <c r="J3152" t="s">
        <v>6207</v>
      </c>
      <c r="K3152">
        <v>2</v>
      </c>
      <c r="L3152">
        <v>0</v>
      </c>
      <c r="M3152" t="s">
        <v>0</v>
      </c>
      <c r="N3152" s="2">
        <v>0.42</v>
      </c>
      <c r="O3152" s="2">
        <v>0.57999999999999996</v>
      </c>
      <c r="P3152">
        <v>17</v>
      </c>
      <c r="Q3152">
        <v>19</v>
      </c>
      <c r="R3152">
        <v>7</v>
      </c>
      <c r="S3152">
        <v>4</v>
      </c>
      <c r="T3152">
        <v>11</v>
      </c>
      <c r="U3152">
        <v>16</v>
      </c>
      <c r="V3152">
        <v>4</v>
      </c>
      <c r="W3152">
        <v>1</v>
      </c>
      <c r="X3152">
        <v>0</v>
      </c>
      <c r="Y3152">
        <v>0</v>
      </c>
      <c r="Z3152">
        <v>0</v>
      </c>
    </row>
    <row r="3153" spans="1:26" x14ac:dyDescent="0.2">
      <c r="A3153" t="s">
        <v>3271</v>
      </c>
      <c r="B3153" t="s">
        <v>68</v>
      </c>
      <c r="C3153">
        <v>2017</v>
      </c>
      <c r="D3153" t="s">
        <v>63</v>
      </c>
      <c r="E3153" t="s">
        <v>18</v>
      </c>
      <c r="F3153" t="s">
        <v>65</v>
      </c>
      <c r="G3153">
        <v>26804</v>
      </c>
      <c r="H3153">
        <v>21443.200000000001</v>
      </c>
      <c r="I3153" s="13">
        <v>1</v>
      </c>
      <c r="J3153" t="s">
        <v>6207</v>
      </c>
      <c r="K3153">
        <v>0</v>
      </c>
      <c r="L3153">
        <v>4</v>
      </c>
      <c r="M3153" t="s">
        <v>1</v>
      </c>
      <c r="N3153" s="2">
        <v>0.39</v>
      </c>
      <c r="O3153" s="2">
        <v>0.61</v>
      </c>
      <c r="P3153">
        <v>13</v>
      </c>
      <c r="Q3153">
        <v>16</v>
      </c>
      <c r="R3153">
        <v>3</v>
      </c>
      <c r="S3153">
        <v>4</v>
      </c>
      <c r="T3153">
        <v>13</v>
      </c>
      <c r="U3153">
        <v>12</v>
      </c>
      <c r="V3153">
        <v>2</v>
      </c>
      <c r="W3153">
        <v>3</v>
      </c>
      <c r="X3153">
        <v>0</v>
      </c>
      <c r="Y3153">
        <v>0</v>
      </c>
      <c r="Z3153">
        <v>0</v>
      </c>
    </row>
    <row r="3154" spans="1:26" x14ac:dyDescent="0.2">
      <c r="A3154" t="s">
        <v>3272</v>
      </c>
      <c r="B3154" t="s">
        <v>53</v>
      </c>
      <c r="C3154">
        <v>2017</v>
      </c>
      <c r="D3154" t="s">
        <v>26</v>
      </c>
      <c r="E3154" t="s">
        <v>73</v>
      </c>
      <c r="F3154" t="s">
        <v>26</v>
      </c>
      <c r="G3154">
        <v>61276</v>
      </c>
      <c r="H3154">
        <v>49020.800000000003</v>
      </c>
      <c r="I3154" s="13">
        <v>1</v>
      </c>
      <c r="J3154" t="s">
        <v>6207</v>
      </c>
      <c r="K3154">
        <v>3</v>
      </c>
      <c r="L3154">
        <v>0</v>
      </c>
      <c r="M3154" t="s">
        <v>0</v>
      </c>
      <c r="N3154" s="2">
        <v>0.61</v>
      </c>
      <c r="O3154" s="2">
        <v>0.39</v>
      </c>
      <c r="P3154">
        <v>11</v>
      </c>
      <c r="Q3154">
        <v>17</v>
      </c>
      <c r="R3154">
        <v>10</v>
      </c>
      <c r="S3154">
        <v>2</v>
      </c>
      <c r="T3154">
        <v>15</v>
      </c>
      <c r="U3154">
        <v>9</v>
      </c>
      <c r="V3154">
        <v>1</v>
      </c>
      <c r="W3154">
        <v>1</v>
      </c>
      <c r="X3154">
        <v>0</v>
      </c>
      <c r="Y3154">
        <v>0</v>
      </c>
      <c r="Z3154">
        <v>0</v>
      </c>
    </row>
    <row r="3155" spans="1:26" x14ac:dyDescent="0.2">
      <c r="A3155" t="s">
        <v>3273</v>
      </c>
      <c r="B3155" t="s">
        <v>83</v>
      </c>
      <c r="C3155">
        <v>2017</v>
      </c>
      <c r="D3155" t="s">
        <v>80</v>
      </c>
      <c r="E3155" t="s">
        <v>40</v>
      </c>
      <c r="F3155" t="s">
        <v>80</v>
      </c>
      <c r="G3155">
        <v>32261</v>
      </c>
      <c r="H3155">
        <v>25808.800000000003</v>
      </c>
      <c r="I3155" s="13">
        <v>0.5</v>
      </c>
      <c r="J3155" t="s">
        <v>6208</v>
      </c>
      <c r="K3155">
        <v>0</v>
      </c>
      <c r="L3155">
        <v>2</v>
      </c>
      <c r="M3155" t="s">
        <v>1</v>
      </c>
      <c r="N3155" s="2">
        <v>0.25</v>
      </c>
      <c r="O3155" s="2">
        <v>0.75</v>
      </c>
      <c r="P3155">
        <v>11</v>
      </c>
      <c r="Q3155">
        <v>11</v>
      </c>
      <c r="R3155">
        <v>1</v>
      </c>
      <c r="S3155">
        <v>7</v>
      </c>
      <c r="T3155">
        <v>8</v>
      </c>
      <c r="U3155">
        <v>10</v>
      </c>
      <c r="V3155">
        <v>1</v>
      </c>
      <c r="W3155">
        <v>1</v>
      </c>
      <c r="X3155">
        <v>0</v>
      </c>
      <c r="Y3155">
        <v>0</v>
      </c>
      <c r="Z3155">
        <v>0</v>
      </c>
    </row>
    <row r="3156" spans="1:26" x14ac:dyDescent="0.2">
      <c r="A3156" t="s">
        <v>3274</v>
      </c>
      <c r="B3156" t="s">
        <v>61</v>
      </c>
      <c r="C3156">
        <v>2017</v>
      </c>
      <c r="D3156" t="s">
        <v>79</v>
      </c>
      <c r="E3156" t="s">
        <v>45</v>
      </c>
      <c r="F3156" t="s">
        <v>20</v>
      </c>
      <c r="G3156">
        <v>25486</v>
      </c>
      <c r="H3156">
        <v>20388.800000000003</v>
      </c>
      <c r="I3156" s="13">
        <v>0.6</v>
      </c>
      <c r="J3156" t="s">
        <v>6207</v>
      </c>
      <c r="K3156">
        <v>2</v>
      </c>
      <c r="L3156">
        <v>2</v>
      </c>
      <c r="M3156" t="s">
        <v>58</v>
      </c>
      <c r="N3156" s="2">
        <v>0.69</v>
      </c>
      <c r="O3156" s="2">
        <v>0.31</v>
      </c>
      <c r="P3156">
        <v>25</v>
      </c>
      <c r="Q3156">
        <v>10</v>
      </c>
      <c r="R3156">
        <v>9</v>
      </c>
      <c r="S3156">
        <v>4</v>
      </c>
      <c r="T3156">
        <v>9</v>
      </c>
      <c r="U3156">
        <v>26</v>
      </c>
      <c r="V3156">
        <v>2</v>
      </c>
      <c r="W3156">
        <v>3</v>
      </c>
      <c r="X3156">
        <v>0</v>
      </c>
      <c r="Y3156">
        <v>0</v>
      </c>
      <c r="Z3156">
        <v>1</v>
      </c>
    </row>
    <row r="3157" spans="1:26" x14ac:dyDescent="0.2">
      <c r="A3157" t="s">
        <v>3275</v>
      </c>
      <c r="B3157" t="s">
        <v>32</v>
      </c>
      <c r="C3157">
        <v>2017</v>
      </c>
      <c r="D3157" t="s">
        <v>28</v>
      </c>
      <c r="E3157" t="s">
        <v>71</v>
      </c>
      <c r="F3157" t="s">
        <v>28</v>
      </c>
      <c r="G3157">
        <v>21944</v>
      </c>
      <c r="H3157">
        <v>17555.2</v>
      </c>
      <c r="I3157" s="13">
        <v>0.5</v>
      </c>
      <c r="J3157" t="s">
        <v>6207</v>
      </c>
      <c r="K3157">
        <v>2</v>
      </c>
      <c r="L3157">
        <v>0</v>
      </c>
      <c r="M3157" t="s">
        <v>0</v>
      </c>
      <c r="N3157" s="2">
        <v>0.39</v>
      </c>
      <c r="O3157" s="2">
        <v>0.61</v>
      </c>
      <c r="P3157">
        <v>13</v>
      </c>
      <c r="Q3157">
        <v>15</v>
      </c>
      <c r="R3157">
        <v>8</v>
      </c>
      <c r="S3157">
        <v>6</v>
      </c>
      <c r="T3157">
        <v>12</v>
      </c>
      <c r="U3157">
        <v>12</v>
      </c>
      <c r="V3157">
        <v>1</v>
      </c>
      <c r="W3157">
        <v>1</v>
      </c>
      <c r="X3157">
        <v>0</v>
      </c>
      <c r="Y3157">
        <v>0</v>
      </c>
      <c r="Z3157">
        <v>0</v>
      </c>
    </row>
    <row r="3158" spans="1:26" x14ac:dyDescent="0.2">
      <c r="A3158" t="s">
        <v>3276</v>
      </c>
      <c r="B3158" t="s">
        <v>54</v>
      </c>
      <c r="C3158">
        <v>2017</v>
      </c>
      <c r="D3158" t="s">
        <v>86</v>
      </c>
      <c r="E3158" t="s">
        <v>89</v>
      </c>
      <c r="F3158" t="s">
        <v>86</v>
      </c>
      <c r="G3158">
        <v>11364</v>
      </c>
      <c r="H3158">
        <v>9091.2000000000007</v>
      </c>
      <c r="I3158" s="13">
        <v>0.42857142857142855</v>
      </c>
      <c r="J3158" t="s">
        <v>6206</v>
      </c>
      <c r="K3158">
        <v>4</v>
      </c>
      <c r="L3158">
        <v>0</v>
      </c>
      <c r="M3158" t="s">
        <v>0</v>
      </c>
      <c r="N3158" s="2">
        <v>0.31</v>
      </c>
      <c r="O3158" s="2">
        <v>0.69</v>
      </c>
      <c r="P3158">
        <v>10</v>
      </c>
      <c r="Q3158">
        <v>14</v>
      </c>
      <c r="R3158">
        <v>8</v>
      </c>
      <c r="S3158">
        <v>11</v>
      </c>
      <c r="T3158">
        <v>13</v>
      </c>
      <c r="U3158">
        <v>10</v>
      </c>
      <c r="V3158">
        <v>4</v>
      </c>
      <c r="W3158">
        <v>2</v>
      </c>
      <c r="X3158">
        <v>1</v>
      </c>
      <c r="Y3158">
        <v>0</v>
      </c>
      <c r="Z3158">
        <v>0</v>
      </c>
    </row>
    <row r="3159" spans="1:26" x14ac:dyDescent="0.2">
      <c r="A3159" t="s">
        <v>3277</v>
      </c>
      <c r="B3159" t="s">
        <v>76</v>
      </c>
      <c r="C3159">
        <v>2017</v>
      </c>
      <c r="D3159" t="s">
        <v>48</v>
      </c>
      <c r="E3159" t="s">
        <v>64</v>
      </c>
      <c r="F3159" t="s">
        <v>49</v>
      </c>
      <c r="G3159">
        <v>74197</v>
      </c>
      <c r="H3159">
        <v>59357.600000000006</v>
      </c>
      <c r="I3159" s="13">
        <v>0.5</v>
      </c>
      <c r="J3159" t="s">
        <v>6207</v>
      </c>
      <c r="K3159">
        <v>4</v>
      </c>
      <c r="L3159">
        <v>1</v>
      </c>
      <c r="M3159" t="s">
        <v>0</v>
      </c>
      <c r="N3159" s="2">
        <v>0.65</v>
      </c>
      <c r="O3159" s="2">
        <v>0.35</v>
      </c>
      <c r="P3159">
        <v>10</v>
      </c>
      <c r="Q3159">
        <v>11</v>
      </c>
      <c r="R3159">
        <v>11</v>
      </c>
      <c r="S3159">
        <v>4</v>
      </c>
      <c r="T3159">
        <v>10</v>
      </c>
      <c r="U3159">
        <v>9</v>
      </c>
      <c r="V3159">
        <v>1</v>
      </c>
      <c r="W3159">
        <v>1</v>
      </c>
      <c r="X3159">
        <v>0</v>
      </c>
      <c r="Y3159">
        <v>0</v>
      </c>
      <c r="Z3159">
        <v>0</v>
      </c>
    </row>
    <row r="3160" spans="1:26" x14ac:dyDescent="0.2">
      <c r="A3160" t="s">
        <v>3278</v>
      </c>
      <c r="B3160" t="s">
        <v>37</v>
      </c>
      <c r="C3160">
        <v>2017</v>
      </c>
      <c r="D3160" t="s">
        <v>85</v>
      </c>
      <c r="E3160" t="s">
        <v>23</v>
      </c>
      <c r="F3160" t="s">
        <v>85</v>
      </c>
      <c r="G3160">
        <v>22220</v>
      </c>
      <c r="H3160">
        <v>17776</v>
      </c>
      <c r="I3160" s="13">
        <v>0.6</v>
      </c>
      <c r="J3160" t="s">
        <v>6206</v>
      </c>
      <c r="K3160">
        <v>2</v>
      </c>
      <c r="L3160">
        <v>0</v>
      </c>
      <c r="M3160" t="s">
        <v>0</v>
      </c>
      <c r="N3160" s="2">
        <v>0.59</v>
      </c>
      <c r="O3160" s="2">
        <v>0.41</v>
      </c>
      <c r="P3160">
        <v>13</v>
      </c>
      <c r="Q3160">
        <v>13</v>
      </c>
      <c r="R3160">
        <v>3</v>
      </c>
      <c r="S3160">
        <v>1</v>
      </c>
      <c r="T3160">
        <v>13</v>
      </c>
      <c r="U3160">
        <v>10</v>
      </c>
      <c r="V3160">
        <v>1</v>
      </c>
      <c r="W3160">
        <v>4</v>
      </c>
      <c r="X3160">
        <v>0</v>
      </c>
      <c r="Y3160">
        <v>0</v>
      </c>
      <c r="Z3160">
        <v>0</v>
      </c>
    </row>
    <row r="3161" spans="1:26" x14ac:dyDescent="0.2">
      <c r="A3161" t="s">
        <v>3279</v>
      </c>
      <c r="B3161" t="s">
        <v>50</v>
      </c>
      <c r="C3161">
        <v>2017</v>
      </c>
      <c r="D3161" t="s">
        <v>90</v>
      </c>
      <c r="E3161" t="s">
        <v>27</v>
      </c>
      <c r="F3161" t="s">
        <v>91</v>
      </c>
      <c r="G3161">
        <v>31876</v>
      </c>
      <c r="H3161">
        <v>25500.800000000003</v>
      </c>
      <c r="I3161" s="13">
        <v>0</v>
      </c>
      <c r="J3161" t="s">
        <v>6207</v>
      </c>
      <c r="K3161">
        <v>2</v>
      </c>
      <c r="L3161">
        <v>2</v>
      </c>
      <c r="M3161" t="s">
        <v>58</v>
      </c>
      <c r="N3161" s="2">
        <v>0.54</v>
      </c>
      <c r="O3161" s="2">
        <v>0.46</v>
      </c>
      <c r="P3161">
        <v>7</v>
      </c>
      <c r="Q3161">
        <v>15</v>
      </c>
      <c r="R3161">
        <v>6</v>
      </c>
      <c r="S3161">
        <v>7</v>
      </c>
      <c r="T3161">
        <v>13</v>
      </c>
      <c r="U3161">
        <v>6</v>
      </c>
      <c r="V3161">
        <v>1</v>
      </c>
      <c r="W3161">
        <v>0</v>
      </c>
      <c r="X3161">
        <v>0</v>
      </c>
      <c r="Y3161">
        <v>0</v>
      </c>
      <c r="Z3161">
        <v>0</v>
      </c>
    </row>
    <row r="3162" spans="1:26" x14ac:dyDescent="0.2">
      <c r="A3162" t="s">
        <v>3280</v>
      </c>
      <c r="B3162" t="s">
        <v>32</v>
      </c>
      <c r="C3162">
        <v>2017</v>
      </c>
      <c r="D3162" t="s">
        <v>23</v>
      </c>
      <c r="E3162" t="s">
        <v>80</v>
      </c>
      <c r="F3162" t="s">
        <v>20</v>
      </c>
      <c r="G3162">
        <v>62500</v>
      </c>
      <c r="H3162">
        <v>50000</v>
      </c>
      <c r="I3162" s="13">
        <v>1</v>
      </c>
      <c r="J3162" t="s">
        <v>6207</v>
      </c>
      <c r="K3162">
        <v>1</v>
      </c>
      <c r="L3162">
        <v>1</v>
      </c>
      <c r="M3162" t="s">
        <v>58</v>
      </c>
      <c r="N3162" s="2">
        <v>0.49</v>
      </c>
      <c r="O3162" s="2">
        <v>0.51</v>
      </c>
      <c r="P3162">
        <v>13</v>
      </c>
      <c r="Q3162">
        <v>9</v>
      </c>
      <c r="R3162">
        <v>5</v>
      </c>
      <c r="S3162">
        <v>5</v>
      </c>
      <c r="T3162">
        <v>9</v>
      </c>
      <c r="U3162">
        <v>12</v>
      </c>
      <c r="V3162">
        <v>1</v>
      </c>
      <c r="W3162">
        <v>1</v>
      </c>
      <c r="X3162">
        <v>0</v>
      </c>
      <c r="Y3162">
        <v>0</v>
      </c>
      <c r="Z3162">
        <v>0</v>
      </c>
    </row>
    <row r="3163" spans="1:26" x14ac:dyDescent="0.2">
      <c r="A3163" t="s">
        <v>3281</v>
      </c>
      <c r="B3163" t="s">
        <v>53</v>
      </c>
      <c r="C3163">
        <v>2017</v>
      </c>
      <c r="D3163" t="s">
        <v>51</v>
      </c>
      <c r="E3163" t="s">
        <v>63</v>
      </c>
      <c r="F3163" t="s">
        <v>20</v>
      </c>
      <c r="G3163">
        <v>36284</v>
      </c>
      <c r="H3163">
        <v>29027.200000000001</v>
      </c>
      <c r="I3163" s="13">
        <v>0.2</v>
      </c>
      <c r="J3163" t="s">
        <v>6207</v>
      </c>
      <c r="K3163">
        <v>1</v>
      </c>
      <c r="L3163">
        <v>1</v>
      </c>
      <c r="M3163" t="s">
        <v>58</v>
      </c>
      <c r="N3163" s="2">
        <v>0.73</v>
      </c>
      <c r="O3163" s="2">
        <v>0.27</v>
      </c>
      <c r="P3163">
        <v>18</v>
      </c>
      <c r="Q3163">
        <v>12</v>
      </c>
      <c r="R3163">
        <v>8</v>
      </c>
      <c r="S3163">
        <v>0</v>
      </c>
      <c r="T3163">
        <v>10</v>
      </c>
      <c r="U3163">
        <v>13</v>
      </c>
      <c r="V3163">
        <v>1</v>
      </c>
      <c r="W3163">
        <v>4</v>
      </c>
      <c r="X3163">
        <v>0</v>
      </c>
      <c r="Y3163">
        <v>0</v>
      </c>
      <c r="Z3163">
        <v>0</v>
      </c>
    </row>
    <row r="3164" spans="1:26" x14ac:dyDescent="0.2">
      <c r="A3164" t="s">
        <v>3282</v>
      </c>
      <c r="B3164" t="s">
        <v>59</v>
      </c>
      <c r="C3164">
        <v>2017</v>
      </c>
      <c r="D3164" t="s">
        <v>71</v>
      </c>
      <c r="E3164" t="s">
        <v>86</v>
      </c>
      <c r="F3164" t="s">
        <v>71</v>
      </c>
      <c r="G3164">
        <v>21088</v>
      </c>
      <c r="H3164">
        <v>16870.400000000001</v>
      </c>
      <c r="I3164" s="13">
        <v>0.66666666666666663</v>
      </c>
      <c r="J3164" t="s">
        <v>6206</v>
      </c>
      <c r="K3164">
        <v>0</v>
      </c>
      <c r="L3164">
        <v>0</v>
      </c>
      <c r="M3164" t="s">
        <v>58</v>
      </c>
      <c r="N3164" s="2">
        <v>0.48</v>
      </c>
      <c r="O3164" s="2">
        <v>0.52</v>
      </c>
      <c r="P3164">
        <v>8</v>
      </c>
      <c r="Q3164">
        <v>21</v>
      </c>
      <c r="R3164">
        <v>4</v>
      </c>
      <c r="S3164">
        <v>5</v>
      </c>
      <c r="T3164">
        <v>18</v>
      </c>
      <c r="U3164">
        <v>6</v>
      </c>
      <c r="V3164">
        <v>4</v>
      </c>
      <c r="W3164">
        <v>2</v>
      </c>
      <c r="X3164">
        <v>0</v>
      </c>
      <c r="Y3164">
        <v>0</v>
      </c>
      <c r="Z3164">
        <v>0</v>
      </c>
    </row>
    <row r="3165" spans="1:26" x14ac:dyDescent="0.2">
      <c r="A3165" t="s">
        <v>3283</v>
      </c>
      <c r="B3165" t="s">
        <v>88</v>
      </c>
      <c r="C3165">
        <v>2017</v>
      </c>
      <c r="D3165" t="s">
        <v>64</v>
      </c>
      <c r="E3165" t="s">
        <v>85</v>
      </c>
      <c r="F3165" t="s">
        <v>64</v>
      </c>
      <c r="G3165">
        <v>52264</v>
      </c>
      <c r="H3165">
        <v>41811.200000000004</v>
      </c>
      <c r="I3165" s="13">
        <v>0.66666666666666663</v>
      </c>
      <c r="J3165" t="s">
        <v>6207</v>
      </c>
      <c r="K3165">
        <v>0</v>
      </c>
      <c r="L3165">
        <v>3</v>
      </c>
      <c r="M3165" t="s">
        <v>1</v>
      </c>
      <c r="N3165" s="2">
        <v>0.53</v>
      </c>
      <c r="O3165" s="2">
        <v>0.47</v>
      </c>
      <c r="P3165">
        <v>14</v>
      </c>
      <c r="Q3165">
        <v>12</v>
      </c>
      <c r="R3165">
        <v>6</v>
      </c>
      <c r="S3165">
        <v>3</v>
      </c>
      <c r="T3165">
        <v>8</v>
      </c>
      <c r="U3165">
        <v>13</v>
      </c>
      <c r="V3165">
        <v>1</v>
      </c>
      <c r="W3165">
        <v>2</v>
      </c>
      <c r="X3165">
        <v>0</v>
      </c>
      <c r="Y3165">
        <v>0</v>
      </c>
      <c r="Z3165">
        <v>0</v>
      </c>
    </row>
    <row r="3166" spans="1:26" x14ac:dyDescent="0.2">
      <c r="A3166" t="s">
        <v>3284</v>
      </c>
      <c r="B3166" t="s">
        <v>67</v>
      </c>
      <c r="C3166">
        <v>2017</v>
      </c>
      <c r="D3166" t="s">
        <v>48</v>
      </c>
      <c r="E3166" t="s">
        <v>90</v>
      </c>
      <c r="F3166" t="s">
        <v>49</v>
      </c>
      <c r="G3166">
        <v>74197</v>
      </c>
      <c r="H3166">
        <v>59357.600000000006</v>
      </c>
      <c r="I3166" s="13">
        <v>0.5</v>
      </c>
      <c r="J3166" t="s">
        <v>6207</v>
      </c>
      <c r="K3166">
        <v>1</v>
      </c>
      <c r="L3166">
        <v>0</v>
      </c>
      <c r="M3166" t="s">
        <v>0</v>
      </c>
      <c r="N3166" s="2">
        <v>0.57999999999999996</v>
      </c>
      <c r="O3166" s="2">
        <v>0.42</v>
      </c>
      <c r="P3166">
        <v>10</v>
      </c>
      <c r="Q3166">
        <v>11</v>
      </c>
      <c r="R3166">
        <v>5</v>
      </c>
      <c r="S3166">
        <v>0</v>
      </c>
      <c r="T3166">
        <v>9</v>
      </c>
      <c r="U3166">
        <v>9</v>
      </c>
      <c r="V3166">
        <v>0</v>
      </c>
      <c r="W3166">
        <v>2</v>
      </c>
      <c r="X3166">
        <v>0</v>
      </c>
      <c r="Y3166">
        <v>0</v>
      </c>
      <c r="Z3166">
        <v>0</v>
      </c>
    </row>
    <row r="3167" spans="1:26" x14ac:dyDescent="0.2">
      <c r="A3167" t="s">
        <v>3285</v>
      </c>
      <c r="B3167" t="s">
        <v>41</v>
      </c>
      <c r="C3167">
        <v>2017</v>
      </c>
      <c r="D3167" t="s">
        <v>79</v>
      </c>
      <c r="E3167" t="s">
        <v>27</v>
      </c>
      <c r="F3167" t="s">
        <v>20</v>
      </c>
      <c r="G3167">
        <v>25486</v>
      </c>
      <c r="H3167">
        <v>20388.800000000003</v>
      </c>
      <c r="I3167" s="13">
        <v>0.5</v>
      </c>
      <c r="J3167" t="s">
        <v>6207</v>
      </c>
      <c r="K3167">
        <v>2</v>
      </c>
      <c r="L3167">
        <v>1</v>
      </c>
      <c r="M3167" t="s">
        <v>0</v>
      </c>
      <c r="N3167" s="2">
        <v>0.54</v>
      </c>
      <c r="O3167" s="2">
        <v>0.46</v>
      </c>
      <c r="P3167">
        <v>7</v>
      </c>
      <c r="Q3167">
        <v>11</v>
      </c>
      <c r="R3167">
        <v>5</v>
      </c>
      <c r="S3167">
        <v>2</v>
      </c>
      <c r="T3167">
        <v>9</v>
      </c>
      <c r="U3167">
        <v>6</v>
      </c>
      <c r="V3167">
        <v>1</v>
      </c>
      <c r="W3167">
        <v>1</v>
      </c>
      <c r="X3167">
        <v>0</v>
      </c>
      <c r="Y3167">
        <v>0</v>
      </c>
      <c r="Z3167">
        <v>0</v>
      </c>
    </row>
    <row r="3168" spans="1:26" x14ac:dyDescent="0.2">
      <c r="A3168" t="s">
        <v>3286</v>
      </c>
      <c r="B3168" t="s">
        <v>66</v>
      </c>
      <c r="C3168">
        <v>2017</v>
      </c>
      <c r="D3168" t="s">
        <v>26</v>
      </c>
      <c r="E3168" t="s">
        <v>18</v>
      </c>
      <c r="F3168" t="s">
        <v>26</v>
      </c>
      <c r="G3168">
        <v>61276</v>
      </c>
      <c r="H3168">
        <v>49020.800000000003</v>
      </c>
      <c r="I3168" s="13">
        <v>0</v>
      </c>
      <c r="J3168" t="s">
        <v>6207</v>
      </c>
      <c r="K3168">
        <v>1</v>
      </c>
      <c r="L3168">
        <v>1</v>
      </c>
      <c r="M3168" t="s">
        <v>58</v>
      </c>
      <c r="N3168" s="2">
        <v>0.53</v>
      </c>
      <c r="O3168" s="2">
        <v>0.47</v>
      </c>
      <c r="P3168">
        <v>12</v>
      </c>
      <c r="Q3168">
        <v>10</v>
      </c>
      <c r="R3168">
        <v>7</v>
      </c>
      <c r="S3168">
        <v>8</v>
      </c>
      <c r="T3168">
        <v>10</v>
      </c>
      <c r="U3168">
        <v>7</v>
      </c>
      <c r="V3168">
        <v>0</v>
      </c>
      <c r="W3168">
        <v>0</v>
      </c>
      <c r="X3168">
        <v>0</v>
      </c>
      <c r="Y3168">
        <v>0</v>
      </c>
      <c r="Z3168">
        <v>0</v>
      </c>
    </row>
    <row r="3169" spans="1:26" x14ac:dyDescent="0.2">
      <c r="A3169" t="s">
        <v>3287</v>
      </c>
      <c r="B3169" t="s">
        <v>60</v>
      </c>
      <c r="C3169">
        <v>2017</v>
      </c>
      <c r="D3169" t="s">
        <v>73</v>
      </c>
      <c r="E3169" t="s">
        <v>45</v>
      </c>
      <c r="F3169" t="s">
        <v>73</v>
      </c>
      <c r="G3169">
        <v>32384</v>
      </c>
      <c r="H3169">
        <v>25907.200000000001</v>
      </c>
      <c r="I3169" s="13">
        <v>0</v>
      </c>
      <c r="J3169" t="s">
        <v>6208</v>
      </c>
      <c r="K3169">
        <v>4</v>
      </c>
      <c r="L3169">
        <v>1</v>
      </c>
      <c r="M3169" t="s">
        <v>0</v>
      </c>
      <c r="N3169" s="2">
        <v>0.67</v>
      </c>
      <c r="O3169" s="2">
        <v>0.33</v>
      </c>
      <c r="P3169">
        <v>13</v>
      </c>
      <c r="Q3169">
        <v>6</v>
      </c>
      <c r="R3169">
        <v>7</v>
      </c>
      <c r="S3169">
        <v>2</v>
      </c>
      <c r="T3169">
        <v>6</v>
      </c>
      <c r="U3169">
        <v>13</v>
      </c>
      <c r="V3169">
        <v>0</v>
      </c>
      <c r="W3169">
        <v>0</v>
      </c>
      <c r="X3169">
        <v>0</v>
      </c>
      <c r="Y3169">
        <v>0</v>
      </c>
      <c r="Z3169">
        <v>0</v>
      </c>
    </row>
    <row r="3170" spans="1:26" x14ac:dyDescent="0.2">
      <c r="A3170" t="s">
        <v>3288</v>
      </c>
      <c r="B3170" t="s">
        <v>50</v>
      </c>
      <c r="C3170">
        <v>2017</v>
      </c>
      <c r="D3170" t="s">
        <v>28</v>
      </c>
      <c r="E3170" t="s">
        <v>46</v>
      </c>
      <c r="F3170" t="s">
        <v>28</v>
      </c>
      <c r="G3170">
        <v>21944</v>
      </c>
      <c r="H3170">
        <v>17555.2</v>
      </c>
      <c r="I3170" s="13">
        <v>1</v>
      </c>
      <c r="J3170" t="s">
        <v>6207</v>
      </c>
      <c r="K3170">
        <v>0</v>
      </c>
      <c r="L3170">
        <v>1</v>
      </c>
      <c r="M3170" t="s">
        <v>1</v>
      </c>
      <c r="N3170" s="2">
        <v>0.36</v>
      </c>
      <c r="O3170" s="2">
        <v>0.64</v>
      </c>
      <c r="P3170">
        <v>18</v>
      </c>
      <c r="Q3170">
        <v>11</v>
      </c>
      <c r="R3170">
        <v>5</v>
      </c>
      <c r="S3170">
        <v>5</v>
      </c>
      <c r="T3170">
        <v>8</v>
      </c>
      <c r="U3170">
        <v>14</v>
      </c>
      <c r="V3170">
        <v>2</v>
      </c>
      <c r="W3170">
        <v>0</v>
      </c>
      <c r="X3170">
        <v>0</v>
      </c>
      <c r="Y3170">
        <v>0</v>
      </c>
      <c r="Z3170">
        <v>1</v>
      </c>
    </row>
    <row r="3171" spans="1:26" x14ac:dyDescent="0.2">
      <c r="A3171" t="s">
        <v>3289</v>
      </c>
      <c r="B3171" t="s">
        <v>76</v>
      </c>
      <c r="C3171">
        <v>2017</v>
      </c>
      <c r="D3171" t="s">
        <v>89</v>
      </c>
      <c r="E3171" t="s">
        <v>40</v>
      </c>
      <c r="F3171" t="s">
        <v>89</v>
      </c>
      <c r="G3171">
        <v>24500</v>
      </c>
      <c r="H3171">
        <v>19600</v>
      </c>
      <c r="I3171" s="13">
        <v>0.66666666666666663</v>
      </c>
      <c r="J3171" t="s">
        <v>6207</v>
      </c>
      <c r="K3171">
        <v>1</v>
      </c>
      <c r="L3171">
        <v>2</v>
      </c>
      <c r="M3171" t="s">
        <v>1</v>
      </c>
      <c r="N3171" s="2">
        <v>0.21</v>
      </c>
      <c r="O3171" s="2">
        <v>0.79</v>
      </c>
      <c r="P3171">
        <v>13</v>
      </c>
      <c r="Q3171">
        <v>12</v>
      </c>
      <c r="R3171">
        <v>3</v>
      </c>
      <c r="S3171">
        <v>7</v>
      </c>
      <c r="T3171">
        <v>10</v>
      </c>
      <c r="U3171">
        <v>10</v>
      </c>
      <c r="V3171">
        <v>2</v>
      </c>
      <c r="W3171">
        <v>3</v>
      </c>
      <c r="X3171">
        <v>1</v>
      </c>
      <c r="Y3171">
        <v>0</v>
      </c>
      <c r="Z3171">
        <v>1</v>
      </c>
    </row>
    <row r="3172" spans="1:26" x14ac:dyDescent="0.2">
      <c r="A3172" t="s">
        <v>3290</v>
      </c>
      <c r="B3172" t="s">
        <v>61</v>
      </c>
      <c r="C3172">
        <v>2017</v>
      </c>
      <c r="D3172" t="s">
        <v>80</v>
      </c>
      <c r="E3172" t="s">
        <v>51</v>
      </c>
      <c r="F3172" t="s">
        <v>80</v>
      </c>
      <c r="G3172">
        <v>32261</v>
      </c>
      <c r="H3172">
        <v>25808.800000000003</v>
      </c>
      <c r="I3172" s="13">
        <v>1</v>
      </c>
      <c r="J3172" t="s">
        <v>6207</v>
      </c>
      <c r="K3172">
        <v>2</v>
      </c>
      <c r="L3172">
        <v>1</v>
      </c>
      <c r="M3172" t="s">
        <v>0</v>
      </c>
      <c r="N3172" s="2">
        <v>0.37</v>
      </c>
      <c r="O3172" s="2">
        <v>0.63</v>
      </c>
      <c r="P3172">
        <v>10</v>
      </c>
      <c r="Q3172">
        <v>9</v>
      </c>
      <c r="R3172">
        <v>4</v>
      </c>
      <c r="S3172">
        <v>9</v>
      </c>
      <c r="T3172">
        <v>7</v>
      </c>
      <c r="U3172">
        <v>10</v>
      </c>
      <c r="V3172">
        <v>1</v>
      </c>
      <c r="W3172">
        <v>2</v>
      </c>
      <c r="X3172">
        <v>0</v>
      </c>
      <c r="Y3172">
        <v>0</v>
      </c>
      <c r="Z3172">
        <v>0</v>
      </c>
    </row>
    <row r="3173" spans="1:26" x14ac:dyDescent="0.2">
      <c r="A3173" t="s">
        <v>3291</v>
      </c>
      <c r="B3173" t="s">
        <v>37</v>
      </c>
      <c r="C3173">
        <v>2017</v>
      </c>
      <c r="D3173" t="s">
        <v>90</v>
      </c>
      <c r="E3173" t="s">
        <v>79</v>
      </c>
      <c r="F3173" t="s">
        <v>91</v>
      </c>
      <c r="G3173">
        <v>31876</v>
      </c>
      <c r="H3173">
        <v>25500.800000000003</v>
      </c>
      <c r="I3173" s="13">
        <v>0.5</v>
      </c>
      <c r="J3173" t="s">
        <v>6206</v>
      </c>
      <c r="K3173">
        <v>0</v>
      </c>
      <c r="L3173">
        <v>0</v>
      </c>
      <c r="M3173" t="s">
        <v>58</v>
      </c>
      <c r="N3173" s="2">
        <v>0.53</v>
      </c>
      <c r="O3173" s="2">
        <v>0.47</v>
      </c>
      <c r="P3173">
        <v>8</v>
      </c>
      <c r="Q3173">
        <v>18</v>
      </c>
      <c r="R3173">
        <v>10</v>
      </c>
      <c r="S3173">
        <v>5</v>
      </c>
      <c r="T3173">
        <v>13</v>
      </c>
      <c r="U3173">
        <v>8</v>
      </c>
      <c r="V3173">
        <v>2</v>
      </c>
      <c r="W3173">
        <v>0</v>
      </c>
      <c r="X3173">
        <v>0</v>
      </c>
      <c r="Y3173">
        <v>0</v>
      </c>
      <c r="Z3173">
        <v>0</v>
      </c>
    </row>
    <row r="3174" spans="1:26" x14ac:dyDescent="0.2">
      <c r="A3174" t="s">
        <v>3292</v>
      </c>
      <c r="B3174" t="s">
        <v>54</v>
      </c>
      <c r="C3174">
        <v>2017</v>
      </c>
      <c r="D3174" t="s">
        <v>63</v>
      </c>
      <c r="E3174" t="s">
        <v>64</v>
      </c>
      <c r="F3174" t="s">
        <v>65</v>
      </c>
      <c r="G3174">
        <v>26804</v>
      </c>
      <c r="H3174">
        <v>21443.200000000001</v>
      </c>
      <c r="I3174" s="13">
        <v>0</v>
      </c>
      <c r="J3174" t="s">
        <v>6206</v>
      </c>
      <c r="K3174">
        <v>2</v>
      </c>
      <c r="L3174">
        <v>2</v>
      </c>
      <c r="M3174" t="s">
        <v>58</v>
      </c>
      <c r="N3174" s="2">
        <v>0.48</v>
      </c>
      <c r="O3174" s="2">
        <v>0.52</v>
      </c>
      <c r="P3174">
        <v>14</v>
      </c>
      <c r="Q3174">
        <v>13</v>
      </c>
      <c r="R3174">
        <v>1</v>
      </c>
      <c r="S3174">
        <v>6</v>
      </c>
      <c r="T3174">
        <v>13</v>
      </c>
      <c r="U3174">
        <v>12</v>
      </c>
      <c r="V3174">
        <v>0</v>
      </c>
      <c r="W3174">
        <v>0</v>
      </c>
      <c r="X3174">
        <v>0</v>
      </c>
      <c r="Y3174">
        <v>0</v>
      </c>
      <c r="Z3174">
        <v>0</v>
      </c>
    </row>
    <row r="3175" spans="1:26" x14ac:dyDescent="0.2">
      <c r="A3175" t="s">
        <v>3293</v>
      </c>
      <c r="B3175" t="s">
        <v>68</v>
      </c>
      <c r="C3175">
        <v>2017</v>
      </c>
      <c r="D3175" t="s">
        <v>85</v>
      </c>
      <c r="E3175" t="s">
        <v>48</v>
      </c>
      <c r="F3175" t="s">
        <v>85</v>
      </c>
      <c r="G3175">
        <v>22220</v>
      </c>
      <c r="H3175">
        <v>17776</v>
      </c>
      <c r="I3175" s="13">
        <v>1</v>
      </c>
      <c r="J3175" t="s">
        <v>6207</v>
      </c>
      <c r="K3175">
        <v>2</v>
      </c>
      <c r="L3175">
        <v>4</v>
      </c>
      <c r="M3175" t="s">
        <v>1</v>
      </c>
      <c r="N3175" s="2">
        <v>0.59</v>
      </c>
      <c r="O3175" s="2">
        <v>0.41</v>
      </c>
      <c r="P3175">
        <v>12</v>
      </c>
      <c r="Q3175">
        <v>12</v>
      </c>
      <c r="R3175">
        <v>5</v>
      </c>
      <c r="S3175">
        <v>5</v>
      </c>
      <c r="T3175">
        <v>12</v>
      </c>
      <c r="U3175">
        <v>10</v>
      </c>
      <c r="V3175">
        <v>2</v>
      </c>
      <c r="W3175">
        <v>1</v>
      </c>
      <c r="X3175">
        <v>0</v>
      </c>
      <c r="Y3175">
        <v>0</v>
      </c>
      <c r="Z3175">
        <v>1</v>
      </c>
    </row>
    <row r="3176" spans="1:26" x14ac:dyDescent="0.2">
      <c r="A3176" t="s">
        <v>3294</v>
      </c>
      <c r="B3176" t="s">
        <v>67</v>
      </c>
      <c r="C3176">
        <v>2017</v>
      </c>
      <c r="D3176" t="s">
        <v>18</v>
      </c>
      <c r="E3176" t="s">
        <v>71</v>
      </c>
      <c r="F3176" t="s">
        <v>20</v>
      </c>
      <c r="G3176">
        <v>40341</v>
      </c>
      <c r="H3176">
        <v>32272.800000000003</v>
      </c>
      <c r="I3176" s="13">
        <v>1</v>
      </c>
      <c r="J3176" t="s">
        <v>6207</v>
      </c>
      <c r="K3176">
        <v>1</v>
      </c>
      <c r="L3176">
        <v>0</v>
      </c>
      <c r="M3176" t="s">
        <v>0</v>
      </c>
      <c r="N3176" s="2">
        <v>0.61</v>
      </c>
      <c r="O3176" s="2">
        <v>0.39</v>
      </c>
      <c r="P3176">
        <v>9</v>
      </c>
      <c r="Q3176">
        <v>10</v>
      </c>
      <c r="R3176">
        <v>15</v>
      </c>
      <c r="S3176">
        <v>1</v>
      </c>
      <c r="T3176">
        <v>10</v>
      </c>
      <c r="U3176">
        <v>7</v>
      </c>
      <c r="V3176">
        <v>1</v>
      </c>
      <c r="W3176">
        <v>0</v>
      </c>
      <c r="X3176">
        <v>0</v>
      </c>
      <c r="Y3176">
        <v>0</v>
      </c>
      <c r="Z3176">
        <v>0</v>
      </c>
    </row>
    <row r="3177" spans="1:26" x14ac:dyDescent="0.2">
      <c r="A3177" t="s">
        <v>3295</v>
      </c>
      <c r="B3177" t="s">
        <v>74</v>
      </c>
      <c r="C3177">
        <v>2017</v>
      </c>
      <c r="D3177" t="s">
        <v>86</v>
      </c>
      <c r="E3177" t="s">
        <v>28</v>
      </c>
      <c r="F3177" t="s">
        <v>86</v>
      </c>
      <c r="G3177">
        <v>11364</v>
      </c>
      <c r="H3177">
        <v>9091.2000000000007</v>
      </c>
      <c r="I3177" s="13">
        <v>0</v>
      </c>
      <c r="J3177" t="s">
        <v>6208</v>
      </c>
      <c r="K3177">
        <v>1</v>
      </c>
      <c r="L3177">
        <v>2</v>
      </c>
      <c r="M3177" t="s">
        <v>1</v>
      </c>
      <c r="N3177" s="2">
        <v>0.62</v>
      </c>
      <c r="O3177" s="2">
        <v>0.38</v>
      </c>
      <c r="P3177">
        <v>12</v>
      </c>
      <c r="Q3177">
        <v>9</v>
      </c>
      <c r="R3177">
        <v>4</v>
      </c>
      <c r="S3177">
        <v>6</v>
      </c>
      <c r="T3177">
        <v>9</v>
      </c>
      <c r="U3177">
        <v>11</v>
      </c>
      <c r="V3177">
        <v>0</v>
      </c>
      <c r="W3177">
        <v>1</v>
      </c>
      <c r="X3177">
        <v>0</v>
      </c>
      <c r="Y3177">
        <v>0</v>
      </c>
      <c r="Z3177">
        <v>0</v>
      </c>
    </row>
    <row r="3178" spans="1:26" x14ac:dyDescent="0.2">
      <c r="A3178" t="s">
        <v>3296</v>
      </c>
      <c r="B3178" t="s">
        <v>83</v>
      </c>
      <c r="C3178">
        <v>2017</v>
      </c>
      <c r="D3178" t="s">
        <v>46</v>
      </c>
      <c r="E3178" t="s">
        <v>89</v>
      </c>
      <c r="F3178" t="s">
        <v>20</v>
      </c>
      <c r="G3178">
        <v>60704</v>
      </c>
      <c r="H3178">
        <v>48563.200000000004</v>
      </c>
      <c r="I3178" s="13">
        <v>1</v>
      </c>
      <c r="J3178" t="s">
        <v>6208</v>
      </c>
      <c r="K3178">
        <v>5</v>
      </c>
      <c r="L3178">
        <v>0</v>
      </c>
      <c r="M3178" t="s">
        <v>0</v>
      </c>
      <c r="N3178" s="2">
        <v>0.7</v>
      </c>
      <c r="O3178" s="2">
        <v>0.3</v>
      </c>
      <c r="P3178">
        <v>15</v>
      </c>
      <c r="Q3178">
        <v>12</v>
      </c>
      <c r="R3178">
        <v>7</v>
      </c>
      <c r="S3178">
        <v>2</v>
      </c>
      <c r="T3178">
        <v>10</v>
      </c>
      <c r="U3178">
        <v>12</v>
      </c>
      <c r="V3178">
        <v>0</v>
      </c>
      <c r="W3178">
        <v>1</v>
      </c>
      <c r="X3178">
        <v>0</v>
      </c>
      <c r="Y3178">
        <v>0</v>
      </c>
      <c r="Z3178">
        <v>0</v>
      </c>
    </row>
    <row r="3179" spans="1:26" x14ac:dyDescent="0.2">
      <c r="A3179" t="s">
        <v>3297</v>
      </c>
      <c r="B3179" t="s">
        <v>32</v>
      </c>
      <c r="C3179">
        <v>2017</v>
      </c>
      <c r="D3179" t="s">
        <v>27</v>
      </c>
      <c r="E3179" t="s">
        <v>26</v>
      </c>
      <c r="F3179" t="s">
        <v>27</v>
      </c>
      <c r="G3179">
        <v>30089</v>
      </c>
      <c r="H3179">
        <v>24071.200000000001</v>
      </c>
      <c r="I3179" s="13">
        <v>0.83333333333333337</v>
      </c>
      <c r="J3179" t="s">
        <v>6207</v>
      </c>
      <c r="K3179">
        <v>0</v>
      </c>
      <c r="L3179">
        <v>3</v>
      </c>
      <c r="M3179" t="s">
        <v>1</v>
      </c>
      <c r="N3179" s="2">
        <v>0.39</v>
      </c>
      <c r="O3179" s="2">
        <v>0.61</v>
      </c>
      <c r="P3179">
        <v>12</v>
      </c>
      <c r="Q3179">
        <v>11</v>
      </c>
      <c r="R3179">
        <v>5</v>
      </c>
      <c r="S3179">
        <v>9</v>
      </c>
      <c r="T3179">
        <v>8</v>
      </c>
      <c r="U3179">
        <v>10</v>
      </c>
      <c r="V3179">
        <v>1</v>
      </c>
      <c r="W3179">
        <v>5</v>
      </c>
      <c r="X3179">
        <v>0</v>
      </c>
      <c r="Y3179">
        <v>0</v>
      </c>
      <c r="Z3179">
        <v>0</v>
      </c>
    </row>
    <row r="3180" spans="1:26" x14ac:dyDescent="0.2">
      <c r="A3180" t="s">
        <v>3298</v>
      </c>
      <c r="B3180" t="s">
        <v>81</v>
      </c>
      <c r="C3180">
        <v>2017</v>
      </c>
      <c r="D3180" t="s">
        <v>40</v>
      </c>
      <c r="E3180" t="s">
        <v>73</v>
      </c>
      <c r="F3180" t="s">
        <v>49</v>
      </c>
      <c r="G3180">
        <v>53400</v>
      </c>
      <c r="H3180">
        <v>42720</v>
      </c>
      <c r="I3180" s="13">
        <v>1</v>
      </c>
      <c r="J3180" t="s">
        <v>6207</v>
      </c>
      <c r="K3180">
        <v>2</v>
      </c>
      <c r="L3180">
        <v>1</v>
      </c>
      <c r="M3180" t="s">
        <v>0</v>
      </c>
      <c r="N3180" s="2">
        <v>0.75</v>
      </c>
      <c r="O3180" s="2">
        <v>0.25</v>
      </c>
      <c r="P3180">
        <v>13</v>
      </c>
      <c r="Q3180">
        <v>13</v>
      </c>
      <c r="R3180">
        <v>6</v>
      </c>
      <c r="S3180">
        <v>5</v>
      </c>
      <c r="T3180">
        <v>12</v>
      </c>
      <c r="U3180">
        <v>11</v>
      </c>
      <c r="V3180">
        <v>1</v>
      </c>
      <c r="W3180">
        <v>1</v>
      </c>
      <c r="X3180">
        <v>0</v>
      </c>
      <c r="Y3180">
        <v>0</v>
      </c>
      <c r="Z3180">
        <v>0</v>
      </c>
    </row>
    <row r="3181" spans="1:26" x14ac:dyDescent="0.2">
      <c r="A3181" t="s">
        <v>3299</v>
      </c>
      <c r="B3181" t="s">
        <v>66</v>
      </c>
      <c r="C3181">
        <v>2017</v>
      </c>
      <c r="D3181" t="s">
        <v>45</v>
      </c>
      <c r="E3181" t="s">
        <v>23</v>
      </c>
      <c r="F3181" t="s">
        <v>26</v>
      </c>
      <c r="G3181">
        <v>39572</v>
      </c>
      <c r="H3181">
        <v>31657.600000000002</v>
      </c>
      <c r="I3181" s="13">
        <v>0.66666666666666663</v>
      </c>
      <c r="J3181" t="s">
        <v>6207</v>
      </c>
      <c r="K3181">
        <v>4</v>
      </c>
      <c r="L3181">
        <v>0</v>
      </c>
      <c r="M3181" t="s">
        <v>0</v>
      </c>
      <c r="N3181" s="2">
        <v>0.44</v>
      </c>
      <c r="O3181" s="2">
        <v>0.56000000000000005</v>
      </c>
      <c r="P3181">
        <v>6</v>
      </c>
      <c r="Q3181">
        <v>17</v>
      </c>
      <c r="R3181">
        <v>2</v>
      </c>
      <c r="S3181">
        <v>6</v>
      </c>
      <c r="T3181">
        <v>16</v>
      </c>
      <c r="U3181">
        <v>6</v>
      </c>
      <c r="V3181">
        <v>2</v>
      </c>
      <c r="W3181">
        <v>1</v>
      </c>
      <c r="X3181">
        <v>0</v>
      </c>
      <c r="Y3181">
        <v>0</v>
      </c>
      <c r="Z3181">
        <v>2</v>
      </c>
    </row>
    <row r="3182" spans="1:26" x14ac:dyDescent="0.2">
      <c r="A3182" t="s">
        <v>3300</v>
      </c>
      <c r="B3182" t="s">
        <v>60</v>
      </c>
      <c r="C3182">
        <v>2017</v>
      </c>
      <c r="D3182" t="s">
        <v>18</v>
      </c>
      <c r="E3182" t="s">
        <v>64</v>
      </c>
      <c r="F3182" t="s">
        <v>20</v>
      </c>
      <c r="G3182">
        <v>40341</v>
      </c>
      <c r="H3182">
        <v>32272.800000000003</v>
      </c>
      <c r="I3182" s="13">
        <v>1</v>
      </c>
      <c r="J3182" t="s">
        <v>6208</v>
      </c>
      <c r="K3182">
        <v>3</v>
      </c>
      <c r="L3182">
        <v>1</v>
      </c>
      <c r="M3182" t="s">
        <v>0</v>
      </c>
      <c r="N3182" s="2">
        <v>0.66</v>
      </c>
      <c r="O3182" s="2">
        <v>0.34</v>
      </c>
      <c r="P3182">
        <v>13</v>
      </c>
      <c r="Q3182">
        <v>10</v>
      </c>
      <c r="R3182">
        <v>11</v>
      </c>
      <c r="S3182">
        <v>4</v>
      </c>
      <c r="T3182">
        <v>8</v>
      </c>
      <c r="U3182">
        <v>13</v>
      </c>
      <c r="V3182">
        <v>0</v>
      </c>
      <c r="W3182">
        <v>1</v>
      </c>
      <c r="X3182">
        <v>0</v>
      </c>
      <c r="Y3182">
        <v>0</v>
      </c>
      <c r="Z3182">
        <v>1</v>
      </c>
    </row>
    <row r="3183" spans="1:26" x14ac:dyDescent="0.2">
      <c r="A3183" t="s">
        <v>3301</v>
      </c>
      <c r="B3183" t="s">
        <v>66</v>
      </c>
      <c r="C3183">
        <v>2017</v>
      </c>
      <c r="D3183" t="s">
        <v>63</v>
      </c>
      <c r="E3183" t="s">
        <v>79</v>
      </c>
      <c r="F3183" t="s">
        <v>65</v>
      </c>
      <c r="G3183">
        <v>26804</v>
      </c>
      <c r="H3183">
        <v>21443.200000000001</v>
      </c>
      <c r="I3183" s="13">
        <v>0.25</v>
      </c>
      <c r="J3183" t="s">
        <v>6207</v>
      </c>
      <c r="K3183">
        <v>0</v>
      </c>
      <c r="L3183">
        <v>0</v>
      </c>
      <c r="M3183" t="s">
        <v>58</v>
      </c>
      <c r="N3183" s="2">
        <v>0.51</v>
      </c>
      <c r="O3183" s="2">
        <v>0.49</v>
      </c>
      <c r="P3183">
        <v>12</v>
      </c>
      <c r="Q3183">
        <v>14</v>
      </c>
      <c r="R3183">
        <v>3</v>
      </c>
      <c r="S3183">
        <v>7</v>
      </c>
      <c r="T3183">
        <v>11</v>
      </c>
      <c r="U3183">
        <v>10</v>
      </c>
      <c r="V3183">
        <v>3</v>
      </c>
      <c r="W3183">
        <v>1</v>
      </c>
      <c r="X3183">
        <v>0</v>
      </c>
      <c r="Y3183">
        <v>0</v>
      </c>
      <c r="Z3183">
        <v>0</v>
      </c>
    </row>
    <row r="3184" spans="1:26" x14ac:dyDescent="0.2">
      <c r="A3184" t="s">
        <v>3302</v>
      </c>
      <c r="B3184" t="s">
        <v>32</v>
      </c>
      <c r="C3184">
        <v>2017</v>
      </c>
      <c r="D3184" t="s">
        <v>85</v>
      </c>
      <c r="E3184" t="s">
        <v>51</v>
      </c>
      <c r="F3184" t="s">
        <v>85</v>
      </c>
      <c r="G3184">
        <v>22220</v>
      </c>
      <c r="H3184">
        <v>17776</v>
      </c>
      <c r="I3184" s="13">
        <v>0.83333333333333337</v>
      </c>
      <c r="J3184" t="s">
        <v>6207</v>
      </c>
      <c r="K3184">
        <v>1</v>
      </c>
      <c r="L3184">
        <v>1</v>
      </c>
      <c r="M3184" t="s">
        <v>58</v>
      </c>
      <c r="N3184" s="2">
        <v>0.5</v>
      </c>
      <c r="O3184" s="2">
        <v>0.5</v>
      </c>
      <c r="P3184">
        <v>18</v>
      </c>
      <c r="Q3184">
        <v>17</v>
      </c>
      <c r="R3184">
        <v>7</v>
      </c>
      <c r="S3184">
        <v>2</v>
      </c>
      <c r="T3184">
        <v>16</v>
      </c>
      <c r="U3184">
        <v>8</v>
      </c>
      <c r="V3184">
        <v>4</v>
      </c>
      <c r="W3184">
        <v>1</v>
      </c>
      <c r="X3184">
        <v>0</v>
      </c>
      <c r="Y3184">
        <v>1</v>
      </c>
      <c r="Z3184">
        <v>0</v>
      </c>
    </row>
    <row r="3185" spans="1:26" x14ac:dyDescent="0.2">
      <c r="A3185" t="s">
        <v>3303</v>
      </c>
      <c r="B3185" t="s">
        <v>76</v>
      </c>
      <c r="C3185">
        <v>2017</v>
      </c>
      <c r="D3185" t="s">
        <v>27</v>
      </c>
      <c r="E3185" t="s">
        <v>71</v>
      </c>
      <c r="F3185" t="s">
        <v>27</v>
      </c>
      <c r="G3185">
        <v>30089</v>
      </c>
      <c r="H3185">
        <v>24071.200000000001</v>
      </c>
      <c r="I3185" s="13">
        <v>1</v>
      </c>
      <c r="J3185" t="s">
        <v>6207</v>
      </c>
      <c r="K3185">
        <v>2</v>
      </c>
      <c r="L3185">
        <v>1</v>
      </c>
      <c r="M3185" t="s">
        <v>0</v>
      </c>
      <c r="N3185" s="2">
        <v>0.44</v>
      </c>
      <c r="O3185" s="2">
        <v>0.56000000000000005</v>
      </c>
      <c r="P3185">
        <v>11</v>
      </c>
      <c r="Q3185">
        <v>15</v>
      </c>
      <c r="R3185">
        <v>2</v>
      </c>
      <c r="S3185">
        <v>6</v>
      </c>
      <c r="T3185">
        <v>12</v>
      </c>
      <c r="U3185">
        <v>10</v>
      </c>
      <c r="V3185">
        <v>2</v>
      </c>
      <c r="W3185">
        <v>0</v>
      </c>
      <c r="X3185">
        <v>0</v>
      </c>
      <c r="Y3185">
        <v>0</v>
      </c>
      <c r="Z3185">
        <v>0</v>
      </c>
    </row>
    <row r="3186" spans="1:26" x14ac:dyDescent="0.2">
      <c r="A3186" t="s">
        <v>3304</v>
      </c>
      <c r="B3186" t="s">
        <v>81</v>
      </c>
      <c r="C3186">
        <v>2017</v>
      </c>
      <c r="D3186" t="s">
        <v>80</v>
      </c>
      <c r="E3186" t="s">
        <v>28</v>
      </c>
      <c r="F3186" t="s">
        <v>80</v>
      </c>
      <c r="G3186">
        <v>32261</v>
      </c>
      <c r="H3186">
        <v>25808.800000000003</v>
      </c>
      <c r="I3186" s="13">
        <v>0</v>
      </c>
      <c r="J3186" t="s">
        <v>6207</v>
      </c>
      <c r="K3186">
        <v>1</v>
      </c>
      <c r="L3186">
        <v>0</v>
      </c>
      <c r="M3186" t="s">
        <v>0</v>
      </c>
      <c r="N3186" s="2">
        <v>0.52</v>
      </c>
      <c r="O3186" s="2">
        <v>0.48</v>
      </c>
      <c r="P3186">
        <v>17</v>
      </c>
      <c r="Q3186">
        <v>4</v>
      </c>
      <c r="R3186">
        <v>10</v>
      </c>
      <c r="S3186">
        <v>7</v>
      </c>
      <c r="T3186">
        <v>3</v>
      </c>
      <c r="U3186">
        <v>11</v>
      </c>
      <c r="V3186">
        <v>0</v>
      </c>
      <c r="W3186">
        <v>2</v>
      </c>
      <c r="X3186">
        <v>0</v>
      </c>
      <c r="Y3186">
        <v>0</v>
      </c>
      <c r="Z3186">
        <v>0</v>
      </c>
    </row>
    <row r="3187" spans="1:26" x14ac:dyDescent="0.2">
      <c r="A3187" t="s">
        <v>3305</v>
      </c>
      <c r="B3187" t="s">
        <v>88</v>
      </c>
      <c r="C3187">
        <v>2017</v>
      </c>
      <c r="D3187" t="s">
        <v>45</v>
      </c>
      <c r="E3187" t="s">
        <v>89</v>
      </c>
      <c r="F3187" t="s">
        <v>26</v>
      </c>
      <c r="G3187">
        <v>39572</v>
      </c>
      <c r="H3187">
        <v>31657.600000000002</v>
      </c>
      <c r="I3187" s="13">
        <v>0</v>
      </c>
      <c r="J3187" t="s">
        <v>6207</v>
      </c>
      <c r="K3187">
        <v>2</v>
      </c>
      <c r="L3187">
        <v>0</v>
      </c>
      <c r="M3187" t="s">
        <v>0</v>
      </c>
      <c r="N3187" s="2">
        <v>0.47</v>
      </c>
      <c r="O3187" s="2">
        <v>0.53</v>
      </c>
      <c r="P3187">
        <v>9</v>
      </c>
      <c r="Q3187">
        <v>13</v>
      </c>
      <c r="R3187">
        <v>2</v>
      </c>
      <c r="S3187">
        <v>5</v>
      </c>
      <c r="T3187">
        <v>12</v>
      </c>
      <c r="U3187">
        <v>9</v>
      </c>
      <c r="V3187">
        <v>2</v>
      </c>
      <c r="W3187">
        <v>1</v>
      </c>
      <c r="X3187">
        <v>0</v>
      </c>
      <c r="Y3187">
        <v>0</v>
      </c>
      <c r="Z3187">
        <v>0</v>
      </c>
    </row>
    <row r="3188" spans="1:26" x14ac:dyDescent="0.2">
      <c r="A3188" t="s">
        <v>3306</v>
      </c>
      <c r="B3188" t="s">
        <v>83</v>
      </c>
      <c r="C3188">
        <v>2017</v>
      </c>
      <c r="D3188" t="s">
        <v>90</v>
      </c>
      <c r="E3188" t="s">
        <v>26</v>
      </c>
      <c r="F3188" t="s">
        <v>91</v>
      </c>
      <c r="G3188">
        <v>31876</v>
      </c>
      <c r="H3188">
        <v>25500.800000000003</v>
      </c>
      <c r="I3188" s="13">
        <v>0</v>
      </c>
      <c r="J3188" t="s">
        <v>6208</v>
      </c>
      <c r="K3188">
        <v>1</v>
      </c>
      <c r="L3188">
        <v>5</v>
      </c>
      <c r="M3188" t="s">
        <v>1</v>
      </c>
      <c r="N3188" s="2">
        <v>0.43</v>
      </c>
      <c r="O3188" s="2">
        <v>0.56999999999999995</v>
      </c>
      <c r="P3188">
        <v>8</v>
      </c>
      <c r="Q3188">
        <v>8</v>
      </c>
      <c r="R3188">
        <v>2</v>
      </c>
      <c r="S3188">
        <v>2</v>
      </c>
      <c r="T3188">
        <v>8</v>
      </c>
      <c r="U3188">
        <v>7</v>
      </c>
      <c r="V3188">
        <v>1</v>
      </c>
      <c r="W3188">
        <v>0</v>
      </c>
      <c r="X3188">
        <v>0</v>
      </c>
      <c r="Y3188">
        <v>0</v>
      </c>
      <c r="Z3188">
        <v>1</v>
      </c>
    </row>
    <row r="3189" spans="1:26" x14ac:dyDescent="0.2">
      <c r="A3189" t="s">
        <v>3307</v>
      </c>
      <c r="B3189" t="s">
        <v>37</v>
      </c>
      <c r="C3189">
        <v>2017</v>
      </c>
      <c r="D3189" t="s">
        <v>46</v>
      </c>
      <c r="E3189" t="s">
        <v>48</v>
      </c>
      <c r="F3189" t="s">
        <v>20</v>
      </c>
      <c r="G3189">
        <v>60704</v>
      </c>
      <c r="H3189">
        <v>48563.200000000004</v>
      </c>
      <c r="I3189" s="13">
        <v>1</v>
      </c>
      <c r="J3189" t="s">
        <v>6206</v>
      </c>
      <c r="K3189">
        <v>1</v>
      </c>
      <c r="L3189">
        <v>3</v>
      </c>
      <c r="M3189" t="s">
        <v>1</v>
      </c>
      <c r="N3189" s="2">
        <v>0.75</v>
      </c>
      <c r="O3189" s="2">
        <v>0.25</v>
      </c>
      <c r="P3189">
        <v>10</v>
      </c>
      <c r="Q3189">
        <v>15</v>
      </c>
      <c r="R3189">
        <v>12</v>
      </c>
      <c r="S3189">
        <v>1</v>
      </c>
      <c r="T3189">
        <v>11</v>
      </c>
      <c r="U3189">
        <v>10</v>
      </c>
      <c r="V3189">
        <v>3</v>
      </c>
      <c r="W3189">
        <v>2</v>
      </c>
      <c r="X3189">
        <v>0</v>
      </c>
      <c r="Y3189">
        <v>1</v>
      </c>
      <c r="Z3189">
        <v>0</v>
      </c>
    </row>
    <row r="3190" spans="1:26" x14ac:dyDescent="0.2">
      <c r="A3190" t="s">
        <v>3308</v>
      </c>
      <c r="B3190" t="s">
        <v>68</v>
      </c>
      <c r="C3190">
        <v>2017</v>
      </c>
      <c r="D3190" t="s">
        <v>86</v>
      </c>
      <c r="E3190" t="s">
        <v>73</v>
      </c>
      <c r="F3190" t="s">
        <v>86</v>
      </c>
      <c r="G3190">
        <v>11364</v>
      </c>
      <c r="H3190">
        <v>9091.2000000000007</v>
      </c>
      <c r="I3190" s="13">
        <v>0.33333333333333331</v>
      </c>
      <c r="J3190" t="s">
        <v>6207</v>
      </c>
      <c r="K3190">
        <v>1</v>
      </c>
      <c r="L3190">
        <v>1</v>
      </c>
      <c r="M3190" t="s">
        <v>58</v>
      </c>
      <c r="N3190" s="2">
        <v>0.48</v>
      </c>
      <c r="O3190" s="2">
        <v>0.52</v>
      </c>
      <c r="P3190">
        <v>19</v>
      </c>
      <c r="Q3190">
        <v>6</v>
      </c>
      <c r="R3190">
        <v>5</v>
      </c>
      <c r="S3190">
        <v>4</v>
      </c>
      <c r="T3190">
        <v>6</v>
      </c>
      <c r="U3190">
        <v>12</v>
      </c>
      <c r="V3190">
        <v>2</v>
      </c>
      <c r="W3190">
        <v>1</v>
      </c>
      <c r="X3190">
        <v>0</v>
      </c>
      <c r="Y3190">
        <v>0</v>
      </c>
      <c r="Z3190">
        <v>0</v>
      </c>
    </row>
    <row r="3191" spans="1:26" x14ac:dyDescent="0.2">
      <c r="A3191" t="s">
        <v>3309</v>
      </c>
      <c r="B3191" t="s">
        <v>41</v>
      </c>
      <c r="C3191">
        <v>2017</v>
      </c>
      <c r="D3191" t="s">
        <v>40</v>
      </c>
      <c r="E3191" t="s">
        <v>23</v>
      </c>
      <c r="F3191" t="s">
        <v>49</v>
      </c>
      <c r="G3191">
        <v>53400</v>
      </c>
      <c r="H3191">
        <v>42720</v>
      </c>
      <c r="I3191" s="13">
        <v>0.75</v>
      </c>
      <c r="J3191" t="s">
        <v>6207</v>
      </c>
      <c r="K3191">
        <v>2</v>
      </c>
      <c r="L3191">
        <v>1</v>
      </c>
      <c r="M3191" t="s">
        <v>0</v>
      </c>
      <c r="N3191" s="2">
        <v>0.77</v>
      </c>
      <c r="O3191" s="2">
        <v>0.23</v>
      </c>
      <c r="P3191">
        <v>10</v>
      </c>
      <c r="Q3191">
        <v>7</v>
      </c>
      <c r="R3191">
        <v>10</v>
      </c>
      <c r="S3191">
        <v>4</v>
      </c>
      <c r="T3191">
        <v>5</v>
      </c>
      <c r="U3191">
        <v>7</v>
      </c>
      <c r="V3191">
        <v>2</v>
      </c>
      <c r="W3191">
        <v>2</v>
      </c>
      <c r="X3191">
        <v>0</v>
      </c>
      <c r="Y3191">
        <v>0</v>
      </c>
      <c r="Z3191">
        <v>0</v>
      </c>
    </row>
    <row r="3192" spans="1:26" x14ac:dyDescent="0.2">
      <c r="A3192" t="s">
        <v>3310</v>
      </c>
      <c r="B3192" t="s">
        <v>61</v>
      </c>
      <c r="C3192">
        <v>2017</v>
      </c>
      <c r="D3192" t="s">
        <v>23</v>
      </c>
      <c r="E3192" t="s">
        <v>18</v>
      </c>
      <c r="F3192" t="s">
        <v>20</v>
      </c>
      <c r="G3192">
        <v>62500</v>
      </c>
      <c r="H3192">
        <v>50000</v>
      </c>
      <c r="I3192" s="13">
        <v>0.8571428571428571</v>
      </c>
      <c r="J3192" t="s">
        <v>6207</v>
      </c>
      <c r="K3192">
        <v>1</v>
      </c>
      <c r="L3192">
        <v>0</v>
      </c>
      <c r="M3192" t="s">
        <v>0</v>
      </c>
      <c r="N3192" s="2">
        <v>0.31</v>
      </c>
      <c r="O3192" s="2">
        <v>0.69</v>
      </c>
      <c r="P3192">
        <v>12</v>
      </c>
      <c r="Q3192">
        <v>13</v>
      </c>
      <c r="R3192">
        <v>4</v>
      </c>
      <c r="S3192">
        <v>3</v>
      </c>
      <c r="T3192">
        <v>10</v>
      </c>
      <c r="U3192">
        <v>10</v>
      </c>
      <c r="V3192">
        <v>6</v>
      </c>
      <c r="W3192">
        <v>1</v>
      </c>
      <c r="X3192">
        <v>0</v>
      </c>
      <c r="Y3192">
        <v>0</v>
      </c>
      <c r="Z3192">
        <v>0</v>
      </c>
    </row>
    <row r="3193" spans="1:26" x14ac:dyDescent="0.2">
      <c r="A3193" t="s">
        <v>3311</v>
      </c>
      <c r="B3193" t="s">
        <v>74</v>
      </c>
      <c r="C3193">
        <v>2017</v>
      </c>
      <c r="D3193" t="s">
        <v>51</v>
      </c>
      <c r="E3193" t="s">
        <v>27</v>
      </c>
      <c r="F3193" t="s">
        <v>20</v>
      </c>
      <c r="G3193">
        <v>36284</v>
      </c>
      <c r="H3193">
        <v>29027.200000000001</v>
      </c>
      <c r="I3193" s="13">
        <v>1</v>
      </c>
      <c r="J3193" t="s">
        <v>6208</v>
      </c>
      <c r="K3193">
        <v>5</v>
      </c>
      <c r="L3193">
        <v>1</v>
      </c>
      <c r="M3193" t="s">
        <v>0</v>
      </c>
      <c r="N3193" s="2">
        <v>0.71</v>
      </c>
      <c r="O3193" s="2">
        <v>0.28999999999999998</v>
      </c>
      <c r="P3193">
        <v>10</v>
      </c>
      <c r="Q3193">
        <v>19</v>
      </c>
      <c r="R3193">
        <v>12</v>
      </c>
      <c r="S3193">
        <v>6</v>
      </c>
      <c r="T3193">
        <v>12</v>
      </c>
      <c r="U3193">
        <v>9</v>
      </c>
      <c r="V3193">
        <v>1</v>
      </c>
      <c r="W3193">
        <v>0</v>
      </c>
      <c r="X3193">
        <v>0</v>
      </c>
      <c r="Y3193">
        <v>0</v>
      </c>
      <c r="Z3193">
        <v>0</v>
      </c>
    </row>
    <row r="3194" spans="1:26" x14ac:dyDescent="0.2">
      <c r="A3194" t="s">
        <v>3312</v>
      </c>
      <c r="B3194" t="s">
        <v>41</v>
      </c>
      <c r="C3194">
        <v>2017</v>
      </c>
      <c r="D3194" t="s">
        <v>71</v>
      </c>
      <c r="E3194" t="s">
        <v>63</v>
      </c>
      <c r="F3194" t="s">
        <v>71</v>
      </c>
      <c r="G3194">
        <v>21088</v>
      </c>
      <c r="H3194">
        <v>16870.400000000001</v>
      </c>
      <c r="I3194" s="13">
        <v>0.2857142857142857</v>
      </c>
      <c r="J3194" t="s">
        <v>6207</v>
      </c>
      <c r="K3194">
        <v>1</v>
      </c>
      <c r="L3194">
        <v>0</v>
      </c>
      <c r="M3194" t="s">
        <v>0</v>
      </c>
      <c r="N3194" s="2">
        <v>0.54</v>
      </c>
      <c r="O3194" s="2">
        <v>0.46</v>
      </c>
      <c r="P3194">
        <v>20</v>
      </c>
      <c r="Q3194">
        <v>10</v>
      </c>
      <c r="R3194">
        <v>6</v>
      </c>
      <c r="S3194">
        <v>3</v>
      </c>
      <c r="T3194">
        <v>8</v>
      </c>
      <c r="U3194">
        <v>18</v>
      </c>
      <c r="V3194">
        <v>2</v>
      </c>
      <c r="W3194">
        <v>5</v>
      </c>
      <c r="X3194">
        <v>0</v>
      </c>
      <c r="Y3194">
        <v>0</v>
      </c>
      <c r="Z3194">
        <v>0</v>
      </c>
    </row>
    <row r="3195" spans="1:26" x14ac:dyDescent="0.2">
      <c r="A3195" t="s">
        <v>3313</v>
      </c>
      <c r="B3195" t="s">
        <v>59</v>
      </c>
      <c r="C3195">
        <v>2017</v>
      </c>
      <c r="D3195" t="s">
        <v>89</v>
      </c>
      <c r="E3195" t="s">
        <v>90</v>
      </c>
      <c r="F3195" t="s">
        <v>89</v>
      </c>
      <c r="G3195">
        <v>24500</v>
      </c>
      <c r="H3195">
        <v>19600</v>
      </c>
      <c r="I3195" s="13">
        <v>0</v>
      </c>
      <c r="J3195" t="s">
        <v>6206</v>
      </c>
      <c r="K3195">
        <v>2</v>
      </c>
      <c r="L3195">
        <v>0</v>
      </c>
      <c r="M3195" t="s">
        <v>0</v>
      </c>
      <c r="N3195" s="2">
        <v>0.59</v>
      </c>
      <c r="O3195" s="2">
        <v>0.41</v>
      </c>
      <c r="P3195">
        <v>16</v>
      </c>
      <c r="Q3195">
        <v>7</v>
      </c>
      <c r="R3195">
        <v>8</v>
      </c>
      <c r="S3195">
        <v>1</v>
      </c>
      <c r="T3195">
        <v>6</v>
      </c>
      <c r="U3195">
        <v>10</v>
      </c>
      <c r="V3195">
        <v>0</v>
      </c>
      <c r="W3195">
        <v>0</v>
      </c>
      <c r="X3195">
        <v>0</v>
      </c>
      <c r="Y3195">
        <v>0</v>
      </c>
      <c r="Z3195">
        <v>0</v>
      </c>
    </row>
    <row r="3196" spans="1:26" x14ac:dyDescent="0.2">
      <c r="A3196" t="s">
        <v>3314</v>
      </c>
      <c r="B3196" t="s">
        <v>60</v>
      </c>
      <c r="C3196">
        <v>2017</v>
      </c>
      <c r="D3196" t="s">
        <v>79</v>
      </c>
      <c r="E3196" t="s">
        <v>86</v>
      </c>
      <c r="F3196" t="s">
        <v>20</v>
      </c>
      <c r="G3196">
        <v>25486</v>
      </c>
      <c r="H3196">
        <v>20388.800000000003</v>
      </c>
      <c r="I3196" s="13">
        <v>0.5714285714285714</v>
      </c>
      <c r="J3196" t="s">
        <v>6208</v>
      </c>
      <c r="K3196">
        <v>2</v>
      </c>
      <c r="L3196">
        <v>2</v>
      </c>
      <c r="M3196" t="s">
        <v>58</v>
      </c>
      <c r="N3196" s="2">
        <v>0.45</v>
      </c>
      <c r="O3196" s="2">
        <v>0.55000000000000004</v>
      </c>
      <c r="P3196">
        <v>15</v>
      </c>
      <c r="Q3196">
        <v>19</v>
      </c>
      <c r="R3196">
        <v>6</v>
      </c>
      <c r="S3196">
        <v>3</v>
      </c>
      <c r="T3196">
        <v>14</v>
      </c>
      <c r="U3196">
        <v>14</v>
      </c>
      <c r="V3196">
        <v>5</v>
      </c>
      <c r="W3196">
        <v>2</v>
      </c>
      <c r="X3196">
        <v>0</v>
      </c>
      <c r="Y3196">
        <v>0</v>
      </c>
      <c r="Z3196">
        <v>2</v>
      </c>
    </row>
    <row r="3197" spans="1:26" x14ac:dyDescent="0.2">
      <c r="A3197" t="s">
        <v>3315</v>
      </c>
      <c r="B3197" t="s">
        <v>54</v>
      </c>
      <c r="C3197">
        <v>2017</v>
      </c>
      <c r="D3197" t="s">
        <v>28</v>
      </c>
      <c r="E3197" t="s">
        <v>85</v>
      </c>
      <c r="F3197" t="s">
        <v>28</v>
      </c>
      <c r="G3197">
        <v>21944</v>
      </c>
      <c r="H3197">
        <v>17555.2</v>
      </c>
      <c r="I3197" s="13">
        <v>0.5</v>
      </c>
      <c r="J3197" t="s">
        <v>6206</v>
      </c>
      <c r="K3197">
        <v>1</v>
      </c>
      <c r="L3197">
        <v>0</v>
      </c>
      <c r="M3197" t="s">
        <v>0</v>
      </c>
      <c r="N3197" s="2">
        <v>0.49</v>
      </c>
      <c r="O3197" s="2">
        <v>0.51</v>
      </c>
      <c r="P3197">
        <v>15</v>
      </c>
      <c r="Q3197">
        <v>15</v>
      </c>
      <c r="R3197">
        <v>3</v>
      </c>
      <c r="S3197">
        <v>5</v>
      </c>
      <c r="T3197">
        <v>10</v>
      </c>
      <c r="U3197">
        <v>12</v>
      </c>
      <c r="V3197">
        <v>1</v>
      </c>
      <c r="W3197">
        <v>0</v>
      </c>
      <c r="X3197">
        <v>0</v>
      </c>
      <c r="Y3197">
        <v>1</v>
      </c>
      <c r="Z3197">
        <v>0</v>
      </c>
    </row>
    <row r="3198" spans="1:26" x14ac:dyDescent="0.2">
      <c r="A3198" t="s">
        <v>3316</v>
      </c>
      <c r="B3198" t="s">
        <v>67</v>
      </c>
      <c r="C3198">
        <v>2017</v>
      </c>
      <c r="D3198" t="s">
        <v>64</v>
      </c>
      <c r="E3198" t="s">
        <v>80</v>
      </c>
      <c r="F3198" t="s">
        <v>64</v>
      </c>
      <c r="G3198">
        <v>52264</v>
      </c>
      <c r="H3198">
        <v>41811.200000000004</v>
      </c>
      <c r="I3198" s="13">
        <v>1</v>
      </c>
      <c r="J3198" t="s">
        <v>6207</v>
      </c>
      <c r="K3198">
        <v>2</v>
      </c>
      <c r="L3198">
        <v>3</v>
      </c>
      <c r="M3198" t="s">
        <v>1</v>
      </c>
      <c r="N3198" s="2">
        <v>0.38</v>
      </c>
      <c r="O3198" s="2">
        <v>0.62</v>
      </c>
      <c r="P3198">
        <v>10</v>
      </c>
      <c r="Q3198">
        <v>10</v>
      </c>
      <c r="R3198">
        <v>6</v>
      </c>
      <c r="S3198">
        <v>5</v>
      </c>
      <c r="T3198">
        <v>10</v>
      </c>
      <c r="U3198">
        <v>9</v>
      </c>
      <c r="V3198">
        <v>2</v>
      </c>
      <c r="W3198">
        <v>1</v>
      </c>
      <c r="X3198">
        <v>0</v>
      </c>
      <c r="Y3198">
        <v>0</v>
      </c>
      <c r="Z3198">
        <v>0</v>
      </c>
    </row>
    <row r="3199" spans="1:26" x14ac:dyDescent="0.2">
      <c r="A3199" t="s">
        <v>3317</v>
      </c>
      <c r="B3199" t="s">
        <v>77</v>
      </c>
      <c r="C3199">
        <v>2017</v>
      </c>
      <c r="D3199" t="s">
        <v>73</v>
      </c>
      <c r="E3199" t="s">
        <v>46</v>
      </c>
      <c r="F3199" t="s">
        <v>73</v>
      </c>
      <c r="G3199">
        <v>32384</v>
      </c>
      <c r="H3199">
        <v>25907.200000000001</v>
      </c>
      <c r="I3199" s="13">
        <v>0.5</v>
      </c>
      <c r="J3199" t="s">
        <v>6207</v>
      </c>
      <c r="K3199">
        <v>1</v>
      </c>
      <c r="L3199">
        <v>1</v>
      </c>
      <c r="M3199" t="s">
        <v>58</v>
      </c>
      <c r="N3199" s="2">
        <v>0.33</v>
      </c>
      <c r="O3199" s="2">
        <v>0.67</v>
      </c>
      <c r="P3199">
        <v>11</v>
      </c>
      <c r="Q3199">
        <v>16</v>
      </c>
      <c r="R3199">
        <v>4</v>
      </c>
      <c r="S3199">
        <v>5</v>
      </c>
      <c r="T3199">
        <v>12</v>
      </c>
      <c r="U3199">
        <v>10</v>
      </c>
      <c r="V3199">
        <v>2</v>
      </c>
      <c r="W3199">
        <v>2</v>
      </c>
      <c r="X3199">
        <v>0</v>
      </c>
      <c r="Y3199">
        <v>0</v>
      </c>
      <c r="Z3199">
        <v>0</v>
      </c>
    </row>
    <row r="3200" spans="1:26" x14ac:dyDescent="0.2">
      <c r="A3200" t="s">
        <v>3318</v>
      </c>
      <c r="B3200" t="s">
        <v>76</v>
      </c>
      <c r="C3200">
        <v>2017</v>
      </c>
      <c r="D3200" t="s">
        <v>26</v>
      </c>
      <c r="E3200" t="s">
        <v>45</v>
      </c>
      <c r="F3200" t="s">
        <v>26</v>
      </c>
      <c r="G3200">
        <v>61276</v>
      </c>
      <c r="H3200">
        <v>49020.800000000003</v>
      </c>
      <c r="I3200" s="13">
        <v>1</v>
      </c>
      <c r="J3200" t="s">
        <v>6207</v>
      </c>
      <c r="K3200">
        <v>1</v>
      </c>
      <c r="L3200">
        <v>1</v>
      </c>
      <c r="M3200" t="s">
        <v>58</v>
      </c>
      <c r="N3200" s="2">
        <v>0.79</v>
      </c>
      <c r="O3200" s="2">
        <v>0.21</v>
      </c>
      <c r="P3200">
        <v>11</v>
      </c>
      <c r="Q3200">
        <v>8</v>
      </c>
      <c r="R3200">
        <v>12</v>
      </c>
      <c r="S3200">
        <v>1</v>
      </c>
      <c r="T3200">
        <v>8</v>
      </c>
      <c r="U3200">
        <v>11</v>
      </c>
      <c r="V3200">
        <v>1</v>
      </c>
      <c r="W3200">
        <v>3</v>
      </c>
      <c r="X3200">
        <v>0</v>
      </c>
      <c r="Y3200">
        <v>0</v>
      </c>
      <c r="Z3200">
        <v>1</v>
      </c>
    </row>
    <row r="3201" spans="1:26" x14ac:dyDescent="0.2">
      <c r="A3201" t="s">
        <v>3319</v>
      </c>
      <c r="B3201" t="s">
        <v>66</v>
      </c>
      <c r="C3201">
        <v>2017</v>
      </c>
      <c r="D3201" t="s">
        <v>48</v>
      </c>
      <c r="E3201" t="s">
        <v>40</v>
      </c>
      <c r="F3201" t="s">
        <v>49</v>
      </c>
      <c r="G3201">
        <v>74197</v>
      </c>
      <c r="H3201">
        <v>59357.600000000006</v>
      </c>
      <c r="I3201" s="13">
        <v>0.5</v>
      </c>
      <c r="J3201" t="s">
        <v>6207</v>
      </c>
      <c r="K3201">
        <v>1</v>
      </c>
      <c r="L3201">
        <v>2</v>
      </c>
      <c r="M3201" t="s">
        <v>1</v>
      </c>
      <c r="N3201" s="2">
        <v>0.35</v>
      </c>
      <c r="O3201" s="2">
        <v>0.65</v>
      </c>
      <c r="P3201">
        <v>10</v>
      </c>
      <c r="Q3201">
        <v>20</v>
      </c>
      <c r="R3201">
        <v>2</v>
      </c>
      <c r="S3201">
        <v>8</v>
      </c>
      <c r="T3201">
        <v>16</v>
      </c>
      <c r="U3201">
        <v>10</v>
      </c>
      <c r="V3201">
        <v>4</v>
      </c>
      <c r="W3201">
        <v>2</v>
      </c>
      <c r="X3201">
        <v>0</v>
      </c>
      <c r="Y3201">
        <v>0</v>
      </c>
      <c r="Z3201">
        <v>0</v>
      </c>
    </row>
    <row r="3202" spans="1:26" x14ac:dyDescent="0.2">
      <c r="A3202" t="s">
        <v>3320</v>
      </c>
      <c r="B3202" t="s">
        <v>53</v>
      </c>
      <c r="C3202">
        <v>2017</v>
      </c>
      <c r="D3202" t="s">
        <v>28</v>
      </c>
      <c r="E3202" t="s">
        <v>27</v>
      </c>
      <c r="F3202" t="s">
        <v>28</v>
      </c>
      <c r="G3202">
        <v>21944</v>
      </c>
      <c r="H3202">
        <v>17555.2</v>
      </c>
      <c r="I3202" s="13">
        <v>0</v>
      </c>
      <c r="J3202" t="s">
        <v>6207</v>
      </c>
      <c r="K3202">
        <v>1</v>
      </c>
      <c r="L3202">
        <v>0</v>
      </c>
      <c r="M3202" t="s">
        <v>0</v>
      </c>
      <c r="N3202" s="2">
        <v>0.51</v>
      </c>
      <c r="O3202" s="2">
        <v>0.49</v>
      </c>
      <c r="P3202">
        <v>16</v>
      </c>
      <c r="Q3202">
        <v>11</v>
      </c>
      <c r="R3202">
        <v>6</v>
      </c>
      <c r="S3202">
        <v>4</v>
      </c>
      <c r="T3202">
        <v>6</v>
      </c>
      <c r="U3202">
        <v>14</v>
      </c>
      <c r="V3202">
        <v>0</v>
      </c>
      <c r="W3202">
        <v>0</v>
      </c>
      <c r="X3202">
        <v>0</v>
      </c>
      <c r="Y3202">
        <v>0</v>
      </c>
      <c r="Z3202">
        <v>0</v>
      </c>
    </row>
    <row r="3203" spans="1:26" x14ac:dyDescent="0.2">
      <c r="A3203" t="s">
        <v>3321</v>
      </c>
      <c r="B3203" t="s">
        <v>37</v>
      </c>
      <c r="C3203">
        <v>2017</v>
      </c>
      <c r="D3203" t="s">
        <v>89</v>
      </c>
      <c r="E3203" t="s">
        <v>18</v>
      </c>
      <c r="F3203" t="s">
        <v>89</v>
      </c>
      <c r="G3203">
        <v>24500</v>
      </c>
      <c r="H3203">
        <v>19600</v>
      </c>
      <c r="I3203" s="13">
        <v>0</v>
      </c>
      <c r="J3203" t="s">
        <v>6206</v>
      </c>
      <c r="K3203">
        <v>1</v>
      </c>
      <c r="L3203">
        <v>3</v>
      </c>
      <c r="M3203" t="s">
        <v>1</v>
      </c>
      <c r="N3203" s="2">
        <v>0.36</v>
      </c>
      <c r="O3203" s="2">
        <v>0.64</v>
      </c>
      <c r="P3203">
        <v>13</v>
      </c>
      <c r="Q3203">
        <v>13</v>
      </c>
      <c r="R3203">
        <v>1</v>
      </c>
      <c r="S3203">
        <v>3</v>
      </c>
      <c r="T3203">
        <v>11</v>
      </c>
      <c r="U3203">
        <v>4</v>
      </c>
      <c r="V3203">
        <v>0</v>
      </c>
      <c r="W3203">
        <v>0</v>
      </c>
      <c r="X3203">
        <v>0</v>
      </c>
      <c r="Y3203">
        <v>0</v>
      </c>
      <c r="Z3203">
        <v>0</v>
      </c>
    </row>
    <row r="3204" spans="1:26" x14ac:dyDescent="0.2">
      <c r="A3204" t="s">
        <v>3322</v>
      </c>
      <c r="B3204" t="s">
        <v>50</v>
      </c>
      <c r="C3204">
        <v>2017</v>
      </c>
      <c r="D3204" t="s">
        <v>79</v>
      </c>
      <c r="E3204" t="s">
        <v>85</v>
      </c>
      <c r="F3204" t="s">
        <v>20</v>
      </c>
      <c r="G3204">
        <v>25486</v>
      </c>
      <c r="H3204">
        <v>20388.800000000003</v>
      </c>
      <c r="I3204" s="13">
        <v>0.4</v>
      </c>
      <c r="J3204" t="s">
        <v>6207</v>
      </c>
      <c r="K3204">
        <v>2</v>
      </c>
      <c r="L3204">
        <v>1</v>
      </c>
      <c r="M3204" t="s">
        <v>0</v>
      </c>
      <c r="N3204" s="2">
        <v>0.53</v>
      </c>
      <c r="O3204" s="2">
        <v>0.47</v>
      </c>
      <c r="P3204">
        <v>18</v>
      </c>
      <c r="Q3204">
        <v>17</v>
      </c>
      <c r="R3204">
        <v>4</v>
      </c>
      <c r="S3204">
        <v>6</v>
      </c>
      <c r="T3204">
        <v>14</v>
      </c>
      <c r="U3204">
        <v>18</v>
      </c>
      <c r="V3204">
        <v>2</v>
      </c>
      <c r="W3204">
        <v>2</v>
      </c>
      <c r="X3204">
        <v>0</v>
      </c>
      <c r="Y3204">
        <v>1</v>
      </c>
      <c r="Z3204">
        <v>0</v>
      </c>
    </row>
    <row r="3205" spans="1:26" x14ac:dyDescent="0.2">
      <c r="A3205" t="s">
        <v>3323</v>
      </c>
      <c r="B3205" t="s">
        <v>61</v>
      </c>
      <c r="C3205">
        <v>2017</v>
      </c>
      <c r="D3205" t="s">
        <v>71</v>
      </c>
      <c r="E3205" t="s">
        <v>40</v>
      </c>
      <c r="F3205" t="s">
        <v>71</v>
      </c>
      <c r="G3205">
        <v>21088</v>
      </c>
      <c r="H3205">
        <v>16870.400000000001</v>
      </c>
      <c r="I3205" s="13">
        <v>0</v>
      </c>
      <c r="J3205" t="s">
        <v>6207</v>
      </c>
      <c r="K3205">
        <v>0</v>
      </c>
      <c r="L3205">
        <v>4</v>
      </c>
      <c r="M3205" t="s">
        <v>1</v>
      </c>
      <c r="N3205" s="2">
        <v>0.22</v>
      </c>
      <c r="O3205" s="2">
        <v>0.78</v>
      </c>
      <c r="P3205">
        <v>7</v>
      </c>
      <c r="Q3205">
        <v>14</v>
      </c>
      <c r="R3205">
        <v>2</v>
      </c>
      <c r="S3205">
        <v>5</v>
      </c>
      <c r="T3205">
        <v>12</v>
      </c>
      <c r="U3205">
        <v>6</v>
      </c>
      <c r="V3205">
        <v>0</v>
      </c>
      <c r="W3205">
        <v>0</v>
      </c>
      <c r="X3205">
        <v>0</v>
      </c>
      <c r="Y3205">
        <v>0</v>
      </c>
      <c r="Z3205">
        <v>0</v>
      </c>
    </row>
    <row r="3206" spans="1:26" x14ac:dyDescent="0.2">
      <c r="A3206" t="s">
        <v>3324</v>
      </c>
      <c r="B3206" t="s">
        <v>88</v>
      </c>
      <c r="C3206">
        <v>2017</v>
      </c>
      <c r="D3206" t="s">
        <v>73</v>
      </c>
      <c r="E3206" t="s">
        <v>80</v>
      </c>
      <c r="F3206" t="s">
        <v>73</v>
      </c>
      <c r="G3206">
        <v>32384</v>
      </c>
      <c r="H3206">
        <v>25907.200000000001</v>
      </c>
      <c r="I3206" s="13">
        <v>0</v>
      </c>
      <c r="J3206" t="s">
        <v>6207</v>
      </c>
      <c r="K3206">
        <v>1</v>
      </c>
      <c r="L3206">
        <v>4</v>
      </c>
      <c r="M3206" t="s">
        <v>1</v>
      </c>
      <c r="N3206" s="2">
        <v>0.54</v>
      </c>
      <c r="O3206" s="2">
        <v>0.46</v>
      </c>
      <c r="P3206">
        <v>11</v>
      </c>
      <c r="Q3206">
        <v>16</v>
      </c>
      <c r="R3206">
        <v>9</v>
      </c>
      <c r="S3206">
        <v>9</v>
      </c>
      <c r="T3206">
        <v>13</v>
      </c>
      <c r="U3206">
        <v>9</v>
      </c>
      <c r="V3206">
        <v>1</v>
      </c>
      <c r="W3206">
        <v>0</v>
      </c>
      <c r="X3206">
        <v>0</v>
      </c>
      <c r="Y3206">
        <v>0</v>
      </c>
      <c r="Z3206">
        <v>0</v>
      </c>
    </row>
    <row r="3207" spans="1:26" x14ac:dyDescent="0.2">
      <c r="A3207" t="s">
        <v>3325</v>
      </c>
      <c r="B3207" t="s">
        <v>32</v>
      </c>
      <c r="C3207">
        <v>2017</v>
      </c>
      <c r="D3207" t="s">
        <v>64</v>
      </c>
      <c r="E3207" t="s">
        <v>45</v>
      </c>
      <c r="F3207" t="s">
        <v>64</v>
      </c>
      <c r="G3207">
        <v>52264</v>
      </c>
      <c r="H3207">
        <v>41811.200000000004</v>
      </c>
      <c r="I3207" s="13">
        <v>0.4</v>
      </c>
      <c r="J3207" t="s">
        <v>6207</v>
      </c>
      <c r="K3207">
        <v>0</v>
      </c>
      <c r="L3207">
        <v>1</v>
      </c>
      <c r="M3207" t="s">
        <v>1</v>
      </c>
      <c r="N3207" s="2">
        <v>0.55000000000000004</v>
      </c>
      <c r="O3207" s="2">
        <v>0.45</v>
      </c>
      <c r="P3207">
        <v>13</v>
      </c>
      <c r="Q3207">
        <v>12</v>
      </c>
      <c r="R3207">
        <v>4</v>
      </c>
      <c r="S3207">
        <v>1</v>
      </c>
      <c r="T3207">
        <v>10</v>
      </c>
      <c r="U3207">
        <v>11</v>
      </c>
      <c r="V3207">
        <v>2</v>
      </c>
      <c r="W3207">
        <v>2</v>
      </c>
      <c r="X3207">
        <v>1</v>
      </c>
      <c r="Y3207">
        <v>0</v>
      </c>
      <c r="Z3207">
        <v>0</v>
      </c>
    </row>
    <row r="3208" spans="1:26" x14ac:dyDescent="0.2">
      <c r="A3208" t="s">
        <v>3326</v>
      </c>
      <c r="B3208" t="s">
        <v>68</v>
      </c>
      <c r="C3208">
        <v>2017</v>
      </c>
      <c r="D3208" t="s">
        <v>23</v>
      </c>
      <c r="E3208" t="s">
        <v>46</v>
      </c>
      <c r="F3208" t="s">
        <v>20</v>
      </c>
      <c r="G3208">
        <v>62500</v>
      </c>
      <c r="H3208">
        <v>50000</v>
      </c>
      <c r="I3208" s="13">
        <v>1</v>
      </c>
      <c r="J3208" t="s">
        <v>6207</v>
      </c>
      <c r="K3208">
        <v>0</v>
      </c>
      <c r="L3208">
        <v>0</v>
      </c>
      <c r="M3208" t="s">
        <v>58</v>
      </c>
      <c r="N3208" s="2">
        <v>0.3</v>
      </c>
      <c r="O3208" s="2">
        <v>0.7</v>
      </c>
      <c r="P3208">
        <v>10</v>
      </c>
      <c r="Q3208">
        <v>13</v>
      </c>
      <c r="R3208">
        <v>1</v>
      </c>
      <c r="S3208">
        <v>7</v>
      </c>
      <c r="T3208">
        <v>9</v>
      </c>
      <c r="U3208">
        <v>9</v>
      </c>
      <c r="V3208">
        <v>2</v>
      </c>
      <c r="W3208">
        <v>0</v>
      </c>
      <c r="X3208">
        <v>0</v>
      </c>
      <c r="Y3208">
        <v>0</v>
      </c>
      <c r="Z3208">
        <v>0</v>
      </c>
    </row>
    <row r="3209" spans="1:26" x14ac:dyDescent="0.2">
      <c r="A3209" t="s">
        <v>3327</v>
      </c>
      <c r="B3209" t="s">
        <v>77</v>
      </c>
      <c r="C3209">
        <v>2017</v>
      </c>
      <c r="D3209" t="s">
        <v>51</v>
      </c>
      <c r="E3209" t="s">
        <v>90</v>
      </c>
      <c r="F3209" t="s">
        <v>20</v>
      </c>
      <c r="G3209">
        <v>36284</v>
      </c>
      <c r="H3209">
        <v>29027.200000000001</v>
      </c>
      <c r="I3209" s="13">
        <v>0.5</v>
      </c>
      <c r="J3209" t="s">
        <v>6207</v>
      </c>
      <c r="K3209">
        <v>2</v>
      </c>
      <c r="L3209">
        <v>0</v>
      </c>
      <c r="M3209" t="s">
        <v>0</v>
      </c>
      <c r="N3209" s="2">
        <v>0.75</v>
      </c>
      <c r="O3209" s="2">
        <v>0.25</v>
      </c>
      <c r="P3209">
        <v>11</v>
      </c>
      <c r="Q3209">
        <v>7</v>
      </c>
      <c r="R3209">
        <v>10</v>
      </c>
      <c r="S3209">
        <v>2</v>
      </c>
      <c r="T3209">
        <v>5</v>
      </c>
      <c r="U3209">
        <v>10</v>
      </c>
      <c r="V3209">
        <v>1</v>
      </c>
      <c r="W3209">
        <v>1</v>
      </c>
      <c r="X3209">
        <v>0</v>
      </c>
      <c r="Y3209">
        <v>0</v>
      </c>
      <c r="Z3209">
        <v>0</v>
      </c>
    </row>
    <row r="3210" spans="1:26" x14ac:dyDescent="0.2">
      <c r="A3210" t="s">
        <v>3328</v>
      </c>
      <c r="B3210" t="s">
        <v>83</v>
      </c>
      <c r="C3210">
        <v>2017</v>
      </c>
      <c r="D3210" t="s">
        <v>48</v>
      </c>
      <c r="E3210" t="s">
        <v>86</v>
      </c>
      <c r="F3210" t="s">
        <v>49</v>
      </c>
      <c r="G3210">
        <v>74197</v>
      </c>
      <c r="H3210">
        <v>59357.600000000006</v>
      </c>
      <c r="I3210" s="13">
        <v>0.66666666666666663</v>
      </c>
      <c r="J3210" t="s">
        <v>6208</v>
      </c>
      <c r="K3210">
        <v>1</v>
      </c>
      <c r="L3210">
        <v>0</v>
      </c>
      <c r="M3210" t="s">
        <v>0</v>
      </c>
      <c r="N3210" s="2">
        <v>0.56000000000000005</v>
      </c>
      <c r="O3210" s="2">
        <v>0.44</v>
      </c>
      <c r="P3210">
        <v>12</v>
      </c>
      <c r="Q3210">
        <v>16</v>
      </c>
      <c r="R3210">
        <v>4</v>
      </c>
      <c r="S3210">
        <v>9</v>
      </c>
      <c r="T3210">
        <v>14</v>
      </c>
      <c r="U3210">
        <v>12</v>
      </c>
      <c r="V3210">
        <v>1</v>
      </c>
      <c r="W3210">
        <v>2</v>
      </c>
      <c r="X3210">
        <v>0</v>
      </c>
      <c r="Y3210">
        <v>0</v>
      </c>
      <c r="Z3210">
        <v>0</v>
      </c>
    </row>
    <row r="3211" spans="1:26" x14ac:dyDescent="0.2">
      <c r="A3211" t="s">
        <v>3329</v>
      </c>
      <c r="B3211" t="s">
        <v>81</v>
      </c>
      <c r="C3211">
        <v>2017</v>
      </c>
      <c r="D3211" t="s">
        <v>26</v>
      </c>
      <c r="E3211" t="s">
        <v>63</v>
      </c>
      <c r="F3211" t="s">
        <v>26</v>
      </c>
      <c r="G3211">
        <v>61276</v>
      </c>
      <c r="H3211">
        <v>49020.800000000003</v>
      </c>
      <c r="I3211" s="13">
        <v>0.5</v>
      </c>
      <c r="J3211" t="s">
        <v>6207</v>
      </c>
      <c r="K3211">
        <v>0</v>
      </c>
      <c r="L3211">
        <v>0</v>
      </c>
      <c r="M3211" t="s">
        <v>58</v>
      </c>
      <c r="N3211" s="2">
        <v>0.71</v>
      </c>
      <c r="O3211" s="2">
        <v>0.28999999999999998</v>
      </c>
      <c r="P3211">
        <v>10</v>
      </c>
      <c r="Q3211">
        <v>17</v>
      </c>
      <c r="R3211">
        <v>5</v>
      </c>
      <c r="S3211">
        <v>7</v>
      </c>
      <c r="T3211">
        <v>16</v>
      </c>
      <c r="U3211">
        <v>6</v>
      </c>
      <c r="V3211">
        <v>1</v>
      </c>
      <c r="W3211">
        <v>1</v>
      </c>
      <c r="X3211">
        <v>0</v>
      </c>
      <c r="Y3211">
        <v>0</v>
      </c>
      <c r="Z3211">
        <v>0</v>
      </c>
    </row>
    <row r="3212" spans="1:26" x14ac:dyDescent="0.2">
      <c r="A3212" t="s">
        <v>3330</v>
      </c>
      <c r="B3212" t="s">
        <v>32</v>
      </c>
      <c r="C3212">
        <v>2017</v>
      </c>
      <c r="D3212" t="s">
        <v>80</v>
      </c>
      <c r="E3212" t="s">
        <v>79</v>
      </c>
      <c r="F3212" t="s">
        <v>80</v>
      </c>
      <c r="G3212">
        <v>32261</v>
      </c>
      <c r="H3212">
        <v>25808.800000000003</v>
      </c>
      <c r="I3212" s="13">
        <v>0.5</v>
      </c>
      <c r="J3212" t="s">
        <v>6207</v>
      </c>
      <c r="K3212">
        <v>0</v>
      </c>
      <c r="L3212">
        <v>3</v>
      </c>
      <c r="M3212" t="s">
        <v>1</v>
      </c>
      <c r="N3212" s="2">
        <v>0.56000000000000005</v>
      </c>
      <c r="O3212" s="2">
        <v>0.44</v>
      </c>
      <c r="P3212">
        <v>13</v>
      </c>
      <c r="Q3212">
        <v>12</v>
      </c>
      <c r="R3212">
        <v>6</v>
      </c>
      <c r="S3212">
        <v>4</v>
      </c>
      <c r="T3212">
        <v>12</v>
      </c>
      <c r="U3212">
        <v>13</v>
      </c>
      <c r="V3212">
        <v>3</v>
      </c>
      <c r="W3212">
        <v>2</v>
      </c>
      <c r="X3212">
        <v>1</v>
      </c>
      <c r="Y3212">
        <v>0</v>
      </c>
      <c r="Z3212">
        <v>0</v>
      </c>
    </row>
    <row r="3213" spans="1:26" x14ac:dyDescent="0.2">
      <c r="A3213" t="s">
        <v>3331</v>
      </c>
      <c r="B3213" t="s">
        <v>66</v>
      </c>
      <c r="C3213">
        <v>2017</v>
      </c>
      <c r="D3213" t="s">
        <v>85</v>
      </c>
      <c r="E3213" t="s">
        <v>89</v>
      </c>
      <c r="F3213" t="s">
        <v>85</v>
      </c>
      <c r="G3213">
        <v>22220</v>
      </c>
      <c r="H3213">
        <v>17776</v>
      </c>
      <c r="I3213" s="13">
        <v>0.5</v>
      </c>
      <c r="J3213" t="s">
        <v>6207</v>
      </c>
      <c r="K3213">
        <v>1</v>
      </c>
      <c r="L3213">
        <v>4</v>
      </c>
      <c r="M3213" t="s">
        <v>1</v>
      </c>
      <c r="N3213" s="2">
        <v>0.59</v>
      </c>
      <c r="O3213" s="2">
        <v>0.41</v>
      </c>
      <c r="P3213">
        <v>20</v>
      </c>
      <c r="Q3213">
        <v>14</v>
      </c>
      <c r="R3213">
        <v>8</v>
      </c>
      <c r="S3213">
        <v>7</v>
      </c>
      <c r="T3213">
        <v>12</v>
      </c>
      <c r="U3213">
        <v>17</v>
      </c>
      <c r="V3213">
        <v>2</v>
      </c>
      <c r="W3213">
        <v>2</v>
      </c>
      <c r="X3213">
        <v>1</v>
      </c>
      <c r="Y3213">
        <v>1</v>
      </c>
      <c r="Z3213">
        <v>1</v>
      </c>
    </row>
    <row r="3214" spans="1:26" x14ac:dyDescent="0.2">
      <c r="A3214" t="s">
        <v>3332</v>
      </c>
      <c r="B3214" t="s">
        <v>74</v>
      </c>
      <c r="C3214">
        <v>2017</v>
      </c>
      <c r="D3214" t="s">
        <v>18</v>
      </c>
      <c r="E3214" t="s">
        <v>73</v>
      </c>
      <c r="F3214" t="s">
        <v>20</v>
      </c>
      <c r="G3214">
        <v>40341</v>
      </c>
      <c r="H3214">
        <v>32272.800000000003</v>
      </c>
      <c r="I3214" s="13">
        <v>0.5</v>
      </c>
      <c r="J3214" t="s">
        <v>6208</v>
      </c>
      <c r="K3214">
        <v>1</v>
      </c>
      <c r="L3214">
        <v>0</v>
      </c>
      <c r="M3214" t="s">
        <v>0</v>
      </c>
      <c r="N3214" s="2">
        <v>0.54</v>
      </c>
      <c r="O3214" s="2">
        <v>0.46</v>
      </c>
      <c r="P3214">
        <v>18</v>
      </c>
      <c r="Q3214">
        <v>11</v>
      </c>
      <c r="R3214">
        <v>8</v>
      </c>
      <c r="S3214">
        <v>4</v>
      </c>
      <c r="T3214">
        <v>8</v>
      </c>
      <c r="U3214">
        <v>16</v>
      </c>
      <c r="V3214">
        <v>1</v>
      </c>
      <c r="W3214">
        <v>3</v>
      </c>
      <c r="X3214">
        <v>0</v>
      </c>
      <c r="Y3214">
        <v>0</v>
      </c>
      <c r="Z3214">
        <v>0</v>
      </c>
    </row>
    <row r="3215" spans="1:26" x14ac:dyDescent="0.2">
      <c r="A3215" t="s">
        <v>3333</v>
      </c>
      <c r="B3215" t="s">
        <v>88</v>
      </c>
      <c r="C3215">
        <v>2017</v>
      </c>
      <c r="D3215" t="s">
        <v>90</v>
      </c>
      <c r="E3215" t="s">
        <v>28</v>
      </c>
      <c r="F3215" t="s">
        <v>91</v>
      </c>
      <c r="G3215">
        <v>31876</v>
      </c>
      <c r="H3215">
        <v>25500.800000000003</v>
      </c>
      <c r="I3215" s="13">
        <v>0.16666666666666666</v>
      </c>
      <c r="J3215" t="s">
        <v>6207</v>
      </c>
      <c r="K3215">
        <v>0</v>
      </c>
      <c r="L3215">
        <v>0</v>
      </c>
      <c r="M3215" t="s">
        <v>58</v>
      </c>
      <c r="N3215" s="2">
        <v>0.57999999999999996</v>
      </c>
      <c r="O3215" s="2">
        <v>0.42</v>
      </c>
      <c r="P3215">
        <v>14</v>
      </c>
      <c r="Q3215">
        <v>15</v>
      </c>
      <c r="R3215">
        <v>8</v>
      </c>
      <c r="S3215">
        <v>2</v>
      </c>
      <c r="T3215">
        <v>13</v>
      </c>
      <c r="U3215">
        <v>13</v>
      </c>
      <c r="V3215">
        <v>4</v>
      </c>
      <c r="W3215">
        <v>2</v>
      </c>
      <c r="X3215">
        <v>0</v>
      </c>
      <c r="Y3215">
        <v>0</v>
      </c>
      <c r="Z3215">
        <v>1</v>
      </c>
    </row>
    <row r="3216" spans="1:26" x14ac:dyDescent="0.2">
      <c r="A3216" t="s">
        <v>3334</v>
      </c>
      <c r="B3216" t="s">
        <v>59</v>
      </c>
      <c r="C3216">
        <v>2017</v>
      </c>
      <c r="D3216" t="s">
        <v>46</v>
      </c>
      <c r="E3216" t="s">
        <v>64</v>
      </c>
      <c r="F3216" t="s">
        <v>20</v>
      </c>
      <c r="G3216">
        <v>60704</v>
      </c>
      <c r="H3216">
        <v>48563.200000000004</v>
      </c>
      <c r="I3216" s="13">
        <v>1</v>
      </c>
      <c r="J3216" t="s">
        <v>6206</v>
      </c>
      <c r="K3216">
        <v>1</v>
      </c>
      <c r="L3216">
        <v>0</v>
      </c>
      <c r="M3216" t="s">
        <v>0</v>
      </c>
      <c r="N3216" s="2">
        <v>0.71</v>
      </c>
      <c r="O3216" s="2">
        <v>0.28999999999999998</v>
      </c>
      <c r="P3216">
        <v>11</v>
      </c>
      <c r="Q3216">
        <v>14</v>
      </c>
      <c r="R3216">
        <v>7</v>
      </c>
      <c r="S3216">
        <v>5</v>
      </c>
      <c r="T3216">
        <v>13</v>
      </c>
      <c r="U3216">
        <v>9</v>
      </c>
      <c r="V3216">
        <v>2</v>
      </c>
      <c r="W3216">
        <v>1</v>
      </c>
      <c r="X3216">
        <v>0</v>
      </c>
      <c r="Y3216">
        <v>0</v>
      </c>
      <c r="Z3216">
        <v>0</v>
      </c>
    </row>
    <row r="3217" spans="1:26" x14ac:dyDescent="0.2">
      <c r="A3217" t="s">
        <v>3335</v>
      </c>
      <c r="B3217" t="s">
        <v>83</v>
      </c>
      <c r="C3217">
        <v>2017</v>
      </c>
      <c r="D3217" t="s">
        <v>27</v>
      </c>
      <c r="E3217" t="s">
        <v>23</v>
      </c>
      <c r="F3217" t="s">
        <v>27</v>
      </c>
      <c r="G3217">
        <v>30089</v>
      </c>
      <c r="H3217">
        <v>24071.200000000001</v>
      </c>
      <c r="I3217" s="13">
        <v>0.66666666666666663</v>
      </c>
      <c r="J3217" t="s">
        <v>6208</v>
      </c>
      <c r="K3217">
        <v>0</v>
      </c>
      <c r="L3217">
        <v>3</v>
      </c>
      <c r="M3217" t="s">
        <v>1</v>
      </c>
      <c r="N3217" s="2">
        <v>0.54</v>
      </c>
      <c r="O3217" s="2">
        <v>0.46</v>
      </c>
      <c r="P3217">
        <v>14</v>
      </c>
      <c r="Q3217">
        <v>12</v>
      </c>
      <c r="R3217">
        <v>7</v>
      </c>
      <c r="S3217">
        <v>9</v>
      </c>
      <c r="T3217">
        <v>12</v>
      </c>
      <c r="U3217">
        <v>13</v>
      </c>
      <c r="V3217">
        <v>2</v>
      </c>
      <c r="W3217">
        <v>1</v>
      </c>
      <c r="X3217">
        <v>0</v>
      </c>
      <c r="Y3217">
        <v>0</v>
      </c>
      <c r="Z3217">
        <v>1</v>
      </c>
    </row>
    <row r="3218" spans="1:26" x14ac:dyDescent="0.2">
      <c r="A3218" t="s">
        <v>3336</v>
      </c>
      <c r="B3218" t="s">
        <v>76</v>
      </c>
      <c r="C3218">
        <v>2017</v>
      </c>
      <c r="D3218" t="s">
        <v>40</v>
      </c>
      <c r="E3218" t="s">
        <v>51</v>
      </c>
      <c r="F3218" t="s">
        <v>49</v>
      </c>
      <c r="G3218">
        <v>53400</v>
      </c>
      <c r="H3218">
        <v>42720</v>
      </c>
      <c r="I3218" s="13">
        <v>0.5</v>
      </c>
      <c r="J3218" t="s">
        <v>6207</v>
      </c>
      <c r="K3218">
        <v>4</v>
      </c>
      <c r="L3218">
        <v>1</v>
      </c>
      <c r="M3218" t="s">
        <v>0</v>
      </c>
      <c r="N3218" s="2">
        <v>0.53</v>
      </c>
      <c r="O3218" s="2">
        <v>0.47</v>
      </c>
      <c r="P3218">
        <v>21</v>
      </c>
      <c r="Q3218">
        <v>16</v>
      </c>
      <c r="R3218">
        <v>5</v>
      </c>
      <c r="S3218">
        <v>1</v>
      </c>
      <c r="T3218">
        <v>13</v>
      </c>
      <c r="U3218">
        <v>20</v>
      </c>
      <c r="V3218">
        <v>2</v>
      </c>
      <c r="W3218">
        <v>4</v>
      </c>
      <c r="X3218">
        <v>0</v>
      </c>
      <c r="Y3218">
        <v>0</v>
      </c>
      <c r="Z3218">
        <v>1</v>
      </c>
    </row>
    <row r="3219" spans="1:26" x14ac:dyDescent="0.2">
      <c r="A3219" t="s">
        <v>3337</v>
      </c>
      <c r="B3219" t="s">
        <v>61</v>
      </c>
      <c r="C3219">
        <v>2017</v>
      </c>
      <c r="D3219" t="s">
        <v>63</v>
      </c>
      <c r="E3219" t="s">
        <v>48</v>
      </c>
      <c r="F3219" t="s">
        <v>65</v>
      </c>
      <c r="G3219">
        <v>26804</v>
      </c>
      <c r="H3219">
        <v>21443.200000000001</v>
      </c>
      <c r="I3219" s="13">
        <v>0.75</v>
      </c>
      <c r="J3219" t="s">
        <v>6207</v>
      </c>
      <c r="K3219">
        <v>1</v>
      </c>
      <c r="L3219">
        <v>2</v>
      </c>
      <c r="M3219" t="s">
        <v>1</v>
      </c>
      <c r="N3219" s="2">
        <v>0.43</v>
      </c>
      <c r="O3219" s="2">
        <v>0.56999999999999995</v>
      </c>
      <c r="P3219">
        <v>8</v>
      </c>
      <c r="Q3219">
        <v>15</v>
      </c>
      <c r="R3219">
        <v>6</v>
      </c>
      <c r="S3219">
        <v>3</v>
      </c>
      <c r="T3219">
        <v>14</v>
      </c>
      <c r="U3219">
        <v>7</v>
      </c>
      <c r="V3219">
        <v>1</v>
      </c>
      <c r="W3219">
        <v>3</v>
      </c>
      <c r="X3219">
        <v>0</v>
      </c>
      <c r="Y3219">
        <v>0</v>
      </c>
      <c r="Z3219">
        <v>0</v>
      </c>
    </row>
    <row r="3220" spans="1:26" x14ac:dyDescent="0.2">
      <c r="A3220" t="s">
        <v>3338</v>
      </c>
      <c r="B3220" t="s">
        <v>37</v>
      </c>
      <c r="C3220">
        <v>2017</v>
      </c>
      <c r="D3220" t="s">
        <v>86</v>
      </c>
      <c r="E3220" t="s">
        <v>26</v>
      </c>
      <c r="F3220" t="s">
        <v>86</v>
      </c>
      <c r="G3220">
        <v>11364</v>
      </c>
      <c r="H3220">
        <v>9091.2000000000007</v>
      </c>
      <c r="I3220" s="13">
        <v>0.5</v>
      </c>
      <c r="J3220" t="s">
        <v>6206</v>
      </c>
      <c r="K3220">
        <v>0</v>
      </c>
      <c r="L3220">
        <v>4</v>
      </c>
      <c r="M3220" t="s">
        <v>1</v>
      </c>
      <c r="N3220" s="2">
        <v>0.44</v>
      </c>
      <c r="O3220" s="2">
        <v>0.56000000000000005</v>
      </c>
      <c r="P3220">
        <v>14</v>
      </c>
      <c r="Q3220">
        <v>7</v>
      </c>
      <c r="R3220">
        <v>2</v>
      </c>
      <c r="S3220">
        <v>3</v>
      </c>
      <c r="T3220">
        <v>5</v>
      </c>
      <c r="U3220">
        <v>10</v>
      </c>
      <c r="V3220">
        <v>1</v>
      </c>
      <c r="W3220">
        <v>1</v>
      </c>
      <c r="X3220">
        <v>0</v>
      </c>
      <c r="Y3220">
        <v>0</v>
      </c>
      <c r="Z3220">
        <v>0</v>
      </c>
    </row>
    <row r="3221" spans="1:26" x14ac:dyDescent="0.2">
      <c r="A3221" t="s">
        <v>3339</v>
      </c>
      <c r="B3221" t="s">
        <v>68</v>
      </c>
      <c r="C3221">
        <v>2017</v>
      </c>
      <c r="D3221" t="s">
        <v>45</v>
      </c>
      <c r="E3221" t="s">
        <v>71</v>
      </c>
      <c r="F3221" t="s">
        <v>26</v>
      </c>
      <c r="G3221">
        <v>39572</v>
      </c>
      <c r="H3221">
        <v>31657.600000000002</v>
      </c>
      <c r="I3221" s="13">
        <v>0.6</v>
      </c>
      <c r="J3221" t="s">
        <v>6207</v>
      </c>
      <c r="K3221">
        <v>3</v>
      </c>
      <c r="L3221">
        <v>1</v>
      </c>
      <c r="M3221" t="s">
        <v>0</v>
      </c>
      <c r="N3221" s="2">
        <v>0.51</v>
      </c>
      <c r="O3221" s="2">
        <v>0.49</v>
      </c>
      <c r="P3221">
        <v>10</v>
      </c>
      <c r="Q3221">
        <v>13</v>
      </c>
      <c r="R3221">
        <v>6</v>
      </c>
      <c r="S3221">
        <v>3</v>
      </c>
      <c r="T3221">
        <v>12</v>
      </c>
      <c r="U3221">
        <v>12</v>
      </c>
      <c r="V3221">
        <v>2</v>
      </c>
      <c r="W3221">
        <v>3</v>
      </c>
      <c r="X3221">
        <v>0</v>
      </c>
      <c r="Y3221">
        <v>0</v>
      </c>
      <c r="Z3221">
        <v>2</v>
      </c>
    </row>
    <row r="3222" spans="1:26" x14ac:dyDescent="0.2">
      <c r="A3222" t="s">
        <v>3340</v>
      </c>
      <c r="B3222" t="s">
        <v>32</v>
      </c>
      <c r="C3222">
        <v>2017</v>
      </c>
      <c r="D3222" t="s">
        <v>46</v>
      </c>
      <c r="E3222" t="s">
        <v>26</v>
      </c>
      <c r="F3222" t="s">
        <v>20</v>
      </c>
      <c r="G3222">
        <v>60704</v>
      </c>
      <c r="H3222">
        <v>48563.200000000004</v>
      </c>
      <c r="I3222" s="13">
        <v>1</v>
      </c>
      <c r="J3222" t="s">
        <v>6207</v>
      </c>
      <c r="K3222">
        <v>3</v>
      </c>
      <c r="L3222">
        <v>3</v>
      </c>
      <c r="M3222" t="s">
        <v>58</v>
      </c>
      <c r="N3222" s="2">
        <v>0.54</v>
      </c>
      <c r="O3222" s="2">
        <v>0.46</v>
      </c>
      <c r="P3222">
        <v>12</v>
      </c>
      <c r="Q3222">
        <v>12</v>
      </c>
      <c r="R3222">
        <v>7</v>
      </c>
      <c r="S3222">
        <v>8</v>
      </c>
      <c r="T3222">
        <v>9</v>
      </c>
      <c r="U3222">
        <v>11</v>
      </c>
      <c r="V3222">
        <v>1</v>
      </c>
      <c r="W3222">
        <v>0</v>
      </c>
      <c r="X3222">
        <v>0</v>
      </c>
      <c r="Y3222">
        <v>0</v>
      </c>
      <c r="Z3222">
        <v>0</v>
      </c>
    </row>
    <row r="3223" spans="1:26" x14ac:dyDescent="0.2">
      <c r="A3223" t="s">
        <v>3341</v>
      </c>
      <c r="B3223" t="s">
        <v>77</v>
      </c>
      <c r="C3223">
        <v>2017</v>
      </c>
      <c r="D3223" t="s">
        <v>45</v>
      </c>
      <c r="E3223" t="s">
        <v>18</v>
      </c>
      <c r="F3223" t="s">
        <v>26</v>
      </c>
      <c r="G3223">
        <v>39572</v>
      </c>
      <c r="H3223">
        <v>31657.600000000002</v>
      </c>
      <c r="I3223" s="13">
        <v>0.33333333333333331</v>
      </c>
      <c r="J3223" t="s">
        <v>6207</v>
      </c>
      <c r="K3223">
        <v>0</v>
      </c>
      <c r="L3223">
        <v>0</v>
      </c>
      <c r="M3223" t="s">
        <v>58</v>
      </c>
      <c r="N3223" s="2">
        <v>0.32</v>
      </c>
      <c r="O3223" s="2">
        <v>0.68</v>
      </c>
      <c r="P3223">
        <v>8</v>
      </c>
      <c r="Q3223">
        <v>10</v>
      </c>
      <c r="R3223">
        <v>2</v>
      </c>
      <c r="S3223">
        <v>7</v>
      </c>
      <c r="T3223">
        <v>8</v>
      </c>
      <c r="U3223">
        <v>4</v>
      </c>
      <c r="V3223">
        <v>3</v>
      </c>
      <c r="W3223">
        <v>0</v>
      </c>
      <c r="X3223">
        <v>0</v>
      </c>
      <c r="Y3223">
        <v>0</v>
      </c>
      <c r="Z3223">
        <v>0</v>
      </c>
    </row>
    <row r="3224" spans="1:26" x14ac:dyDescent="0.2">
      <c r="A3224" t="s">
        <v>3342</v>
      </c>
      <c r="B3224" t="s">
        <v>50</v>
      </c>
      <c r="C3224">
        <v>2017</v>
      </c>
      <c r="D3224" t="s">
        <v>23</v>
      </c>
      <c r="E3224" t="s">
        <v>64</v>
      </c>
      <c r="F3224" t="s">
        <v>20</v>
      </c>
      <c r="G3224">
        <v>62500</v>
      </c>
      <c r="H3224">
        <v>50000</v>
      </c>
      <c r="I3224" s="13">
        <v>1</v>
      </c>
      <c r="J3224" t="s">
        <v>6207</v>
      </c>
      <c r="K3224">
        <v>2</v>
      </c>
      <c r="L3224">
        <v>3</v>
      </c>
      <c r="M3224" t="s">
        <v>1</v>
      </c>
      <c r="N3224" s="2">
        <v>0.63</v>
      </c>
      <c r="O3224" s="2">
        <v>0.37</v>
      </c>
      <c r="P3224">
        <v>11</v>
      </c>
      <c r="Q3224">
        <v>13</v>
      </c>
      <c r="R3224">
        <v>6</v>
      </c>
      <c r="S3224">
        <v>3</v>
      </c>
      <c r="T3224">
        <v>9</v>
      </c>
      <c r="U3224">
        <v>12</v>
      </c>
      <c r="V3224">
        <v>1</v>
      </c>
      <c r="W3224">
        <v>1</v>
      </c>
      <c r="X3224">
        <v>0</v>
      </c>
      <c r="Y3224">
        <v>0</v>
      </c>
      <c r="Z3224">
        <v>1</v>
      </c>
    </row>
    <row r="3225" spans="1:26" x14ac:dyDescent="0.2">
      <c r="A3225" t="s">
        <v>3343</v>
      </c>
      <c r="B3225" t="s">
        <v>76</v>
      </c>
      <c r="C3225">
        <v>2017</v>
      </c>
      <c r="D3225" t="s">
        <v>71</v>
      </c>
      <c r="E3225" t="s">
        <v>79</v>
      </c>
      <c r="F3225" t="s">
        <v>71</v>
      </c>
      <c r="G3225">
        <v>21088</v>
      </c>
      <c r="H3225">
        <v>16870.400000000001</v>
      </c>
      <c r="I3225" s="13">
        <v>0.8</v>
      </c>
      <c r="J3225" t="s">
        <v>6207</v>
      </c>
      <c r="K3225">
        <v>1</v>
      </c>
      <c r="L3225">
        <v>1</v>
      </c>
      <c r="M3225" t="s">
        <v>58</v>
      </c>
      <c r="N3225" s="2">
        <v>0.64</v>
      </c>
      <c r="O3225" s="2">
        <v>0.36</v>
      </c>
      <c r="P3225">
        <v>12</v>
      </c>
      <c r="Q3225">
        <v>13</v>
      </c>
      <c r="R3225">
        <v>6</v>
      </c>
      <c r="S3225">
        <v>3</v>
      </c>
      <c r="T3225">
        <v>13</v>
      </c>
      <c r="U3225">
        <v>11</v>
      </c>
      <c r="V3225">
        <v>2</v>
      </c>
      <c r="W3225">
        <v>3</v>
      </c>
      <c r="X3225">
        <v>0</v>
      </c>
      <c r="Y3225">
        <v>0</v>
      </c>
      <c r="Z3225">
        <v>1</v>
      </c>
    </row>
    <row r="3226" spans="1:26" x14ac:dyDescent="0.2">
      <c r="A3226" t="s">
        <v>3344</v>
      </c>
      <c r="B3226" t="s">
        <v>67</v>
      </c>
      <c r="C3226">
        <v>2017</v>
      </c>
      <c r="D3226" t="s">
        <v>27</v>
      </c>
      <c r="E3226" t="s">
        <v>63</v>
      </c>
      <c r="F3226" t="s">
        <v>27</v>
      </c>
      <c r="G3226">
        <v>30089</v>
      </c>
      <c r="H3226">
        <v>24071.200000000001</v>
      </c>
      <c r="I3226" s="13">
        <v>1</v>
      </c>
      <c r="J3226" t="s">
        <v>6207</v>
      </c>
      <c r="K3226">
        <v>3</v>
      </c>
      <c r="L3226">
        <v>1</v>
      </c>
      <c r="M3226" t="s">
        <v>0</v>
      </c>
      <c r="N3226" s="2">
        <v>0.43</v>
      </c>
      <c r="O3226" s="2">
        <v>0.56999999999999995</v>
      </c>
      <c r="P3226">
        <v>13</v>
      </c>
      <c r="Q3226">
        <v>9</v>
      </c>
      <c r="R3226">
        <v>1</v>
      </c>
      <c r="S3226">
        <v>11</v>
      </c>
      <c r="T3226">
        <v>9</v>
      </c>
      <c r="U3226">
        <v>11</v>
      </c>
      <c r="V3226">
        <v>1</v>
      </c>
      <c r="W3226">
        <v>0</v>
      </c>
      <c r="X3226">
        <v>0</v>
      </c>
      <c r="Y3226">
        <v>0</v>
      </c>
      <c r="Z3226">
        <v>0</v>
      </c>
    </row>
    <row r="3227" spans="1:26" x14ac:dyDescent="0.2">
      <c r="A3227" t="s">
        <v>3345</v>
      </c>
      <c r="B3227" t="s">
        <v>54</v>
      </c>
      <c r="C3227">
        <v>2017</v>
      </c>
      <c r="D3227" t="s">
        <v>73</v>
      </c>
      <c r="E3227" t="s">
        <v>89</v>
      </c>
      <c r="F3227" t="s">
        <v>73</v>
      </c>
      <c r="G3227">
        <v>32384</v>
      </c>
      <c r="H3227">
        <v>25907.200000000001</v>
      </c>
      <c r="I3227" s="13">
        <v>0.66666666666666663</v>
      </c>
      <c r="J3227" t="s">
        <v>6206</v>
      </c>
      <c r="K3227">
        <v>1</v>
      </c>
      <c r="L3227">
        <v>1</v>
      </c>
      <c r="M3227" t="s">
        <v>58</v>
      </c>
      <c r="N3227" s="2">
        <v>0.53</v>
      </c>
      <c r="O3227" s="2">
        <v>0.47</v>
      </c>
      <c r="P3227">
        <v>13</v>
      </c>
      <c r="Q3227">
        <v>19</v>
      </c>
      <c r="R3227">
        <v>9</v>
      </c>
      <c r="S3227">
        <v>1</v>
      </c>
      <c r="T3227">
        <v>16</v>
      </c>
      <c r="U3227">
        <v>9</v>
      </c>
      <c r="V3227">
        <v>2</v>
      </c>
      <c r="W3227">
        <v>1</v>
      </c>
      <c r="X3227">
        <v>0</v>
      </c>
      <c r="Y3227">
        <v>0</v>
      </c>
      <c r="Z3227">
        <v>0</v>
      </c>
    </row>
    <row r="3228" spans="1:26" x14ac:dyDescent="0.2">
      <c r="A3228" t="s">
        <v>3346</v>
      </c>
      <c r="B3228" t="s">
        <v>53</v>
      </c>
      <c r="C3228">
        <v>2017</v>
      </c>
      <c r="D3228" t="s">
        <v>40</v>
      </c>
      <c r="E3228" t="s">
        <v>86</v>
      </c>
      <c r="F3228" t="s">
        <v>49</v>
      </c>
      <c r="G3228">
        <v>53400</v>
      </c>
      <c r="H3228">
        <v>42720</v>
      </c>
      <c r="I3228" s="13">
        <v>0</v>
      </c>
      <c r="J3228" t="s">
        <v>6207</v>
      </c>
      <c r="K3228">
        <v>4</v>
      </c>
      <c r="L3228">
        <v>0</v>
      </c>
      <c r="M3228" t="s">
        <v>0</v>
      </c>
      <c r="N3228" s="2">
        <v>0.79</v>
      </c>
      <c r="O3228" s="2">
        <v>0.21</v>
      </c>
      <c r="P3228">
        <v>9</v>
      </c>
      <c r="Q3228">
        <v>12</v>
      </c>
      <c r="R3228">
        <v>4</v>
      </c>
      <c r="S3228">
        <v>6</v>
      </c>
      <c r="T3228">
        <v>8</v>
      </c>
      <c r="U3228">
        <v>7</v>
      </c>
      <c r="V3228">
        <v>0</v>
      </c>
      <c r="W3228">
        <v>1</v>
      </c>
      <c r="X3228">
        <v>0</v>
      </c>
      <c r="Y3228">
        <v>0</v>
      </c>
      <c r="Z3228">
        <v>0</v>
      </c>
    </row>
    <row r="3229" spans="1:26" x14ac:dyDescent="0.2">
      <c r="A3229" t="s">
        <v>3347</v>
      </c>
      <c r="B3229" t="s">
        <v>81</v>
      </c>
      <c r="C3229">
        <v>2017</v>
      </c>
      <c r="D3229" t="s">
        <v>90</v>
      </c>
      <c r="E3229" t="s">
        <v>85</v>
      </c>
      <c r="F3229" t="s">
        <v>91</v>
      </c>
      <c r="G3229">
        <v>31876</v>
      </c>
      <c r="H3229">
        <v>25500.800000000003</v>
      </c>
      <c r="I3229" s="13">
        <v>0</v>
      </c>
      <c r="J3229" t="s">
        <v>6207</v>
      </c>
      <c r="K3229">
        <v>1</v>
      </c>
      <c r="L3229">
        <v>0</v>
      </c>
      <c r="M3229" t="s">
        <v>0</v>
      </c>
      <c r="N3229" s="2">
        <v>0.52</v>
      </c>
      <c r="O3229" s="2">
        <v>0.48</v>
      </c>
      <c r="P3229">
        <v>11</v>
      </c>
      <c r="Q3229">
        <v>14</v>
      </c>
      <c r="R3229">
        <v>6</v>
      </c>
      <c r="S3229">
        <v>4</v>
      </c>
      <c r="T3229">
        <v>8</v>
      </c>
      <c r="U3229">
        <v>11</v>
      </c>
      <c r="V3229">
        <v>0</v>
      </c>
      <c r="W3229">
        <v>0</v>
      </c>
      <c r="X3229">
        <v>0</v>
      </c>
      <c r="Y3229">
        <v>0</v>
      </c>
      <c r="Z3229">
        <v>0</v>
      </c>
    </row>
    <row r="3230" spans="1:26" x14ac:dyDescent="0.2">
      <c r="A3230" t="s">
        <v>3348</v>
      </c>
      <c r="B3230" t="s">
        <v>66</v>
      </c>
      <c r="C3230">
        <v>2017</v>
      </c>
      <c r="D3230" t="s">
        <v>28</v>
      </c>
      <c r="E3230" t="s">
        <v>51</v>
      </c>
      <c r="F3230" t="s">
        <v>28</v>
      </c>
      <c r="G3230">
        <v>21944</v>
      </c>
      <c r="H3230">
        <v>17555.2</v>
      </c>
      <c r="I3230" s="13">
        <v>0.66666666666666663</v>
      </c>
      <c r="J3230" t="s">
        <v>6207</v>
      </c>
      <c r="K3230">
        <v>0</v>
      </c>
      <c r="L3230">
        <v>3</v>
      </c>
      <c r="M3230" t="s">
        <v>1</v>
      </c>
      <c r="N3230" s="2">
        <v>0.4</v>
      </c>
      <c r="O3230" s="2">
        <v>0.6</v>
      </c>
      <c r="P3230">
        <v>11</v>
      </c>
      <c r="Q3230">
        <v>14</v>
      </c>
      <c r="R3230">
        <v>4</v>
      </c>
      <c r="S3230">
        <v>4</v>
      </c>
      <c r="T3230">
        <v>10</v>
      </c>
      <c r="U3230">
        <v>10</v>
      </c>
      <c r="V3230">
        <v>1</v>
      </c>
      <c r="W3230">
        <v>2</v>
      </c>
      <c r="X3230">
        <v>0</v>
      </c>
      <c r="Y3230">
        <v>0</v>
      </c>
      <c r="Z3230">
        <v>1</v>
      </c>
    </row>
    <row r="3231" spans="1:26" x14ac:dyDescent="0.2">
      <c r="A3231" t="s">
        <v>3349</v>
      </c>
      <c r="B3231" t="s">
        <v>68</v>
      </c>
      <c r="C3231">
        <v>2017</v>
      </c>
      <c r="D3231" t="s">
        <v>80</v>
      </c>
      <c r="E3231" t="s">
        <v>48</v>
      </c>
      <c r="F3231" t="s">
        <v>80</v>
      </c>
      <c r="G3231">
        <v>32261</v>
      </c>
      <c r="H3231">
        <v>25808.800000000003</v>
      </c>
      <c r="I3231" s="13">
        <v>0.66666666666666663</v>
      </c>
      <c r="J3231" t="s">
        <v>6207</v>
      </c>
      <c r="K3231">
        <v>2</v>
      </c>
      <c r="L3231">
        <v>2</v>
      </c>
      <c r="M3231" t="s">
        <v>58</v>
      </c>
      <c r="N3231" s="2">
        <v>0.5</v>
      </c>
      <c r="O3231" s="2">
        <v>0.5</v>
      </c>
      <c r="P3231">
        <v>13</v>
      </c>
      <c r="Q3231">
        <v>18</v>
      </c>
      <c r="R3231">
        <v>4</v>
      </c>
      <c r="S3231">
        <v>6</v>
      </c>
      <c r="T3231">
        <v>19</v>
      </c>
      <c r="U3231">
        <v>8</v>
      </c>
      <c r="V3231">
        <v>3</v>
      </c>
      <c r="W3231">
        <v>2</v>
      </c>
      <c r="X3231">
        <v>1</v>
      </c>
      <c r="Y3231">
        <v>0</v>
      </c>
      <c r="Z3231">
        <v>0</v>
      </c>
    </row>
    <row r="3232" spans="1:26" x14ac:dyDescent="0.2">
      <c r="A3232" t="s">
        <v>3350</v>
      </c>
      <c r="B3232" t="s">
        <v>83</v>
      </c>
      <c r="C3232">
        <v>2017</v>
      </c>
      <c r="D3232" t="s">
        <v>51</v>
      </c>
      <c r="E3232" t="s">
        <v>73</v>
      </c>
      <c r="F3232" t="s">
        <v>20</v>
      </c>
      <c r="G3232">
        <v>36284</v>
      </c>
      <c r="H3232">
        <v>29027.200000000001</v>
      </c>
      <c r="I3232" s="13">
        <v>1</v>
      </c>
      <c r="J3232" t="s">
        <v>6208</v>
      </c>
      <c r="K3232">
        <v>5</v>
      </c>
      <c r="L3232">
        <v>2</v>
      </c>
      <c r="M3232" t="s">
        <v>0</v>
      </c>
      <c r="N3232" s="2">
        <v>0.56999999999999995</v>
      </c>
      <c r="O3232" s="2">
        <v>0.43</v>
      </c>
      <c r="P3232">
        <v>16</v>
      </c>
      <c r="Q3232">
        <v>9</v>
      </c>
      <c r="R3232">
        <v>3</v>
      </c>
      <c r="S3232">
        <v>8</v>
      </c>
      <c r="T3232">
        <v>8</v>
      </c>
      <c r="U3232">
        <v>15</v>
      </c>
      <c r="V3232">
        <v>0</v>
      </c>
      <c r="W3232">
        <v>2</v>
      </c>
      <c r="X3232">
        <v>0</v>
      </c>
      <c r="Y3232">
        <v>0</v>
      </c>
      <c r="Z3232">
        <v>0</v>
      </c>
    </row>
    <row r="3233" spans="1:26" x14ac:dyDescent="0.2">
      <c r="A3233" t="s">
        <v>3351</v>
      </c>
      <c r="B3233" t="s">
        <v>74</v>
      </c>
      <c r="C3233">
        <v>2017</v>
      </c>
      <c r="D3233" t="s">
        <v>63</v>
      </c>
      <c r="E3233" t="s">
        <v>45</v>
      </c>
      <c r="F3233" t="s">
        <v>65</v>
      </c>
      <c r="G3233">
        <v>26804</v>
      </c>
      <c r="H3233">
        <v>21443.200000000001</v>
      </c>
      <c r="I3233" s="13">
        <v>0</v>
      </c>
      <c r="J3233" t="s">
        <v>6208</v>
      </c>
      <c r="K3233">
        <v>0</v>
      </c>
      <c r="L3233">
        <v>0</v>
      </c>
      <c r="M3233" t="s">
        <v>58</v>
      </c>
      <c r="N3233" s="2">
        <v>0.53</v>
      </c>
      <c r="O3233" s="2">
        <v>0.47</v>
      </c>
      <c r="P3233">
        <v>15</v>
      </c>
      <c r="Q3233">
        <v>15</v>
      </c>
      <c r="R3233">
        <v>10</v>
      </c>
      <c r="S3233">
        <v>2</v>
      </c>
      <c r="T3233">
        <v>14</v>
      </c>
      <c r="U3233">
        <v>13</v>
      </c>
      <c r="V3233">
        <v>2</v>
      </c>
      <c r="W3233">
        <v>0</v>
      </c>
      <c r="X3233">
        <v>0</v>
      </c>
      <c r="Y3233">
        <v>0</v>
      </c>
      <c r="Z3233">
        <v>0</v>
      </c>
    </row>
    <row r="3234" spans="1:26" x14ac:dyDescent="0.2">
      <c r="A3234" t="s">
        <v>3352</v>
      </c>
      <c r="B3234" t="s">
        <v>88</v>
      </c>
      <c r="C3234">
        <v>2017</v>
      </c>
      <c r="D3234" t="s">
        <v>85</v>
      </c>
      <c r="E3234" t="s">
        <v>80</v>
      </c>
      <c r="F3234" t="s">
        <v>85</v>
      </c>
      <c r="G3234">
        <v>22220</v>
      </c>
      <c r="H3234">
        <v>17776</v>
      </c>
      <c r="I3234" s="13">
        <v>0.5</v>
      </c>
      <c r="J3234" t="s">
        <v>6207</v>
      </c>
      <c r="K3234">
        <v>2</v>
      </c>
      <c r="L3234">
        <v>1</v>
      </c>
      <c r="M3234" t="s">
        <v>0</v>
      </c>
      <c r="N3234" s="2">
        <v>0.5</v>
      </c>
      <c r="O3234" s="2">
        <v>0.5</v>
      </c>
      <c r="P3234">
        <v>19</v>
      </c>
      <c r="Q3234">
        <v>11</v>
      </c>
      <c r="R3234">
        <v>8</v>
      </c>
      <c r="S3234">
        <v>8</v>
      </c>
      <c r="T3234">
        <v>7</v>
      </c>
      <c r="U3234">
        <v>13</v>
      </c>
      <c r="V3234">
        <v>3</v>
      </c>
      <c r="W3234">
        <v>3</v>
      </c>
      <c r="X3234">
        <v>0</v>
      </c>
      <c r="Y3234">
        <v>0</v>
      </c>
      <c r="Z3234">
        <v>0</v>
      </c>
    </row>
    <row r="3235" spans="1:26" x14ac:dyDescent="0.2">
      <c r="A3235" t="s">
        <v>3353</v>
      </c>
      <c r="B3235" t="s">
        <v>32</v>
      </c>
      <c r="C3235">
        <v>2017</v>
      </c>
      <c r="D3235" t="s">
        <v>48</v>
      </c>
      <c r="E3235" t="s">
        <v>28</v>
      </c>
      <c r="F3235" t="s">
        <v>49</v>
      </c>
      <c r="G3235">
        <v>74197</v>
      </c>
      <c r="H3235">
        <v>59357.600000000006</v>
      </c>
      <c r="I3235" s="13">
        <v>0.3</v>
      </c>
      <c r="J3235" t="s">
        <v>6207</v>
      </c>
      <c r="K3235">
        <v>2</v>
      </c>
      <c r="L3235">
        <v>2</v>
      </c>
      <c r="M3235" t="s">
        <v>58</v>
      </c>
      <c r="N3235" s="2">
        <v>0.71</v>
      </c>
      <c r="O3235" s="2">
        <v>0.28999999999999998</v>
      </c>
      <c r="P3235">
        <v>15</v>
      </c>
      <c r="Q3235">
        <v>10</v>
      </c>
      <c r="R3235">
        <v>12</v>
      </c>
      <c r="S3235">
        <v>2</v>
      </c>
      <c r="T3235">
        <v>10</v>
      </c>
      <c r="U3235">
        <v>14</v>
      </c>
      <c r="V3235">
        <v>3</v>
      </c>
      <c r="W3235">
        <v>7</v>
      </c>
      <c r="X3235">
        <v>0</v>
      </c>
      <c r="Y3235">
        <v>0</v>
      </c>
      <c r="Z3235">
        <v>0</v>
      </c>
    </row>
    <row r="3236" spans="1:26" x14ac:dyDescent="0.2">
      <c r="A3236" t="s">
        <v>3354</v>
      </c>
      <c r="B3236" t="s">
        <v>61</v>
      </c>
      <c r="C3236">
        <v>2017</v>
      </c>
      <c r="D3236" t="s">
        <v>89</v>
      </c>
      <c r="E3236" t="s">
        <v>27</v>
      </c>
      <c r="F3236" t="s">
        <v>89</v>
      </c>
      <c r="G3236">
        <v>24500</v>
      </c>
      <c r="H3236">
        <v>19600</v>
      </c>
      <c r="I3236" s="13">
        <v>1</v>
      </c>
      <c r="J3236" t="s">
        <v>6207</v>
      </c>
      <c r="K3236">
        <v>1</v>
      </c>
      <c r="L3236">
        <v>1</v>
      </c>
      <c r="M3236" t="s">
        <v>58</v>
      </c>
      <c r="N3236" s="2">
        <v>0.59</v>
      </c>
      <c r="O3236" s="2">
        <v>0.41</v>
      </c>
      <c r="P3236">
        <v>12</v>
      </c>
      <c r="Q3236">
        <v>11</v>
      </c>
      <c r="R3236">
        <v>8</v>
      </c>
      <c r="S3236">
        <v>5</v>
      </c>
      <c r="T3236">
        <v>9</v>
      </c>
      <c r="U3236">
        <v>12</v>
      </c>
      <c r="V3236">
        <v>2</v>
      </c>
      <c r="W3236">
        <v>4</v>
      </c>
      <c r="X3236">
        <v>0</v>
      </c>
      <c r="Y3236">
        <v>0</v>
      </c>
      <c r="Z3236">
        <v>0</v>
      </c>
    </row>
    <row r="3237" spans="1:26" x14ac:dyDescent="0.2">
      <c r="A3237" t="s">
        <v>3355</v>
      </c>
      <c r="B3237" t="s">
        <v>41</v>
      </c>
      <c r="C3237">
        <v>2017</v>
      </c>
      <c r="D3237" t="s">
        <v>18</v>
      </c>
      <c r="E3237" t="s">
        <v>90</v>
      </c>
      <c r="F3237" t="s">
        <v>20</v>
      </c>
      <c r="G3237">
        <v>40341</v>
      </c>
      <c r="H3237">
        <v>32272.800000000003</v>
      </c>
      <c r="I3237" s="13">
        <v>0</v>
      </c>
      <c r="J3237" t="s">
        <v>6207</v>
      </c>
      <c r="K3237">
        <v>2</v>
      </c>
      <c r="L3237">
        <v>0</v>
      </c>
      <c r="M3237" t="s">
        <v>0</v>
      </c>
      <c r="N3237" s="2">
        <v>0.67</v>
      </c>
      <c r="O3237" s="2">
        <v>0.33</v>
      </c>
      <c r="P3237">
        <v>10</v>
      </c>
      <c r="Q3237">
        <v>10</v>
      </c>
      <c r="R3237">
        <v>13</v>
      </c>
      <c r="S3237">
        <v>1</v>
      </c>
      <c r="T3237">
        <v>8</v>
      </c>
      <c r="U3237">
        <v>8</v>
      </c>
      <c r="V3237">
        <v>0</v>
      </c>
      <c r="W3237">
        <v>1</v>
      </c>
      <c r="X3237">
        <v>0</v>
      </c>
      <c r="Y3237">
        <v>0</v>
      </c>
      <c r="Z3237">
        <v>0</v>
      </c>
    </row>
    <row r="3238" spans="1:26" x14ac:dyDescent="0.2">
      <c r="A3238" t="s">
        <v>3356</v>
      </c>
      <c r="B3238" t="s">
        <v>59</v>
      </c>
      <c r="C3238">
        <v>2017</v>
      </c>
      <c r="D3238" t="s">
        <v>86</v>
      </c>
      <c r="E3238" t="s">
        <v>23</v>
      </c>
      <c r="F3238" t="s">
        <v>86</v>
      </c>
      <c r="G3238">
        <v>11364</v>
      </c>
      <c r="H3238">
        <v>9091.2000000000007</v>
      </c>
      <c r="I3238" s="13">
        <v>0.42857142857142855</v>
      </c>
      <c r="J3238" t="s">
        <v>6206</v>
      </c>
      <c r="K3238">
        <v>3</v>
      </c>
      <c r="L3238">
        <v>3</v>
      </c>
      <c r="M3238" t="s">
        <v>58</v>
      </c>
      <c r="N3238" s="2">
        <v>0.56000000000000005</v>
      </c>
      <c r="O3238" s="2">
        <v>0.44</v>
      </c>
      <c r="P3238">
        <v>16</v>
      </c>
      <c r="Q3238">
        <v>12</v>
      </c>
      <c r="R3238">
        <v>7</v>
      </c>
      <c r="S3238">
        <v>4</v>
      </c>
      <c r="T3238">
        <v>12</v>
      </c>
      <c r="U3238">
        <v>14</v>
      </c>
      <c r="V3238">
        <v>3</v>
      </c>
      <c r="W3238">
        <v>4</v>
      </c>
      <c r="X3238">
        <v>0</v>
      </c>
      <c r="Y3238">
        <v>0</v>
      </c>
      <c r="Z3238">
        <v>0</v>
      </c>
    </row>
    <row r="3239" spans="1:26" x14ac:dyDescent="0.2">
      <c r="A3239" t="s">
        <v>3357</v>
      </c>
      <c r="B3239" t="s">
        <v>60</v>
      </c>
      <c r="C3239">
        <v>2017</v>
      </c>
      <c r="D3239" t="s">
        <v>26</v>
      </c>
      <c r="E3239" t="s">
        <v>71</v>
      </c>
      <c r="F3239" t="s">
        <v>26</v>
      </c>
      <c r="G3239">
        <v>61276</v>
      </c>
      <c r="H3239">
        <v>49020.800000000003</v>
      </c>
      <c r="I3239" s="13">
        <v>1</v>
      </c>
      <c r="J3239" t="s">
        <v>6208</v>
      </c>
      <c r="K3239">
        <v>5</v>
      </c>
      <c r="L3239">
        <v>0</v>
      </c>
      <c r="M3239" t="s">
        <v>0</v>
      </c>
      <c r="N3239" s="2">
        <v>0.55000000000000004</v>
      </c>
      <c r="O3239" s="2">
        <v>0.45</v>
      </c>
      <c r="P3239">
        <v>8</v>
      </c>
      <c r="Q3239">
        <v>8</v>
      </c>
      <c r="R3239">
        <v>4</v>
      </c>
      <c r="S3239">
        <v>2</v>
      </c>
      <c r="T3239">
        <v>5</v>
      </c>
      <c r="U3239">
        <v>8</v>
      </c>
      <c r="V3239">
        <v>0</v>
      </c>
      <c r="W3239">
        <v>1</v>
      </c>
      <c r="X3239">
        <v>0</v>
      </c>
      <c r="Y3239">
        <v>0</v>
      </c>
      <c r="Z3239">
        <v>0</v>
      </c>
    </row>
    <row r="3240" spans="1:26" x14ac:dyDescent="0.2">
      <c r="A3240" t="s">
        <v>3358</v>
      </c>
      <c r="B3240" t="s">
        <v>37</v>
      </c>
      <c r="C3240">
        <v>2017</v>
      </c>
      <c r="D3240" t="s">
        <v>64</v>
      </c>
      <c r="E3240" t="s">
        <v>40</v>
      </c>
      <c r="F3240" t="s">
        <v>64</v>
      </c>
      <c r="G3240">
        <v>52264</v>
      </c>
      <c r="H3240">
        <v>41811.200000000004</v>
      </c>
      <c r="I3240" s="13">
        <v>0</v>
      </c>
      <c r="J3240" t="s">
        <v>6206</v>
      </c>
      <c r="K3240">
        <v>0</v>
      </c>
      <c r="L3240">
        <v>1</v>
      </c>
      <c r="M3240" t="s">
        <v>1</v>
      </c>
      <c r="N3240" s="2">
        <v>0.22</v>
      </c>
      <c r="O3240" s="2">
        <v>0.78</v>
      </c>
      <c r="P3240">
        <v>11</v>
      </c>
      <c r="Q3240">
        <v>15</v>
      </c>
      <c r="R3240">
        <v>3</v>
      </c>
      <c r="S3240">
        <v>8</v>
      </c>
      <c r="T3240">
        <v>11</v>
      </c>
      <c r="U3240">
        <v>6</v>
      </c>
      <c r="V3240">
        <v>1</v>
      </c>
      <c r="W3240">
        <v>0</v>
      </c>
      <c r="X3240">
        <v>0</v>
      </c>
      <c r="Y3240">
        <v>0</v>
      </c>
      <c r="Z3240">
        <v>0</v>
      </c>
    </row>
    <row r="3241" spans="1:26" x14ac:dyDescent="0.2">
      <c r="A3241" t="s">
        <v>3359</v>
      </c>
      <c r="B3241" t="s">
        <v>66</v>
      </c>
      <c r="C3241">
        <v>2017</v>
      </c>
      <c r="D3241" t="s">
        <v>79</v>
      </c>
      <c r="E3241" t="s">
        <v>46</v>
      </c>
      <c r="F3241" t="s">
        <v>20</v>
      </c>
      <c r="G3241">
        <v>25486</v>
      </c>
      <c r="H3241">
        <v>20388.800000000003</v>
      </c>
      <c r="I3241" s="13">
        <v>0.5</v>
      </c>
      <c r="J3241" t="s">
        <v>6207</v>
      </c>
      <c r="K3241">
        <v>2</v>
      </c>
      <c r="L3241">
        <v>3</v>
      </c>
      <c r="M3241" t="s">
        <v>1</v>
      </c>
      <c r="N3241" s="2">
        <v>0.35</v>
      </c>
      <c r="O3241" s="2">
        <v>0.65</v>
      </c>
      <c r="P3241">
        <v>10</v>
      </c>
      <c r="Q3241">
        <v>13</v>
      </c>
      <c r="R3241">
        <v>5</v>
      </c>
      <c r="S3241">
        <v>4</v>
      </c>
      <c r="T3241">
        <v>12</v>
      </c>
      <c r="U3241">
        <v>7</v>
      </c>
      <c r="V3241">
        <v>1</v>
      </c>
      <c r="W3241">
        <v>1</v>
      </c>
      <c r="X3241">
        <v>0</v>
      </c>
      <c r="Y3241">
        <v>0</v>
      </c>
      <c r="Z3241">
        <v>0</v>
      </c>
    </row>
    <row r="3242" spans="1:26" x14ac:dyDescent="0.2">
      <c r="A3242" t="s">
        <v>3360</v>
      </c>
      <c r="B3242" t="s">
        <v>32</v>
      </c>
      <c r="C3242">
        <v>2017</v>
      </c>
      <c r="D3242" t="s">
        <v>85</v>
      </c>
      <c r="E3242" t="s">
        <v>71</v>
      </c>
      <c r="F3242" t="s">
        <v>85</v>
      </c>
      <c r="G3242">
        <v>22220</v>
      </c>
      <c r="H3242">
        <v>17776</v>
      </c>
      <c r="I3242" s="13">
        <v>0.83333333333333337</v>
      </c>
      <c r="J3242" t="s">
        <v>6207</v>
      </c>
      <c r="K3242">
        <v>1</v>
      </c>
      <c r="L3242">
        <v>2</v>
      </c>
      <c r="M3242" t="s">
        <v>1</v>
      </c>
      <c r="N3242" s="2">
        <v>0.51</v>
      </c>
      <c r="O3242" s="2">
        <v>0.49</v>
      </c>
      <c r="P3242">
        <v>15</v>
      </c>
      <c r="Q3242">
        <v>17</v>
      </c>
      <c r="R3242">
        <v>1</v>
      </c>
      <c r="S3242">
        <v>8</v>
      </c>
      <c r="T3242">
        <v>14</v>
      </c>
      <c r="U3242">
        <v>13</v>
      </c>
      <c r="V3242">
        <v>4</v>
      </c>
      <c r="W3242">
        <v>2</v>
      </c>
      <c r="X3242">
        <v>0</v>
      </c>
      <c r="Y3242">
        <v>0</v>
      </c>
      <c r="Z3242">
        <v>0</v>
      </c>
    </row>
    <row r="3243" spans="1:26" x14ac:dyDescent="0.2">
      <c r="A3243" t="s">
        <v>3361</v>
      </c>
      <c r="B3243" t="s">
        <v>61</v>
      </c>
      <c r="C3243">
        <v>2017</v>
      </c>
      <c r="D3243" t="s">
        <v>64</v>
      </c>
      <c r="E3243" t="s">
        <v>90</v>
      </c>
      <c r="F3243" t="s">
        <v>64</v>
      </c>
      <c r="G3243">
        <v>52264</v>
      </c>
      <c r="H3243">
        <v>41811.200000000004</v>
      </c>
      <c r="I3243" s="13">
        <v>0.75</v>
      </c>
      <c r="J3243" t="s">
        <v>6207</v>
      </c>
      <c r="K3243">
        <v>0</v>
      </c>
      <c r="L3243">
        <v>0</v>
      </c>
      <c r="M3243" t="s">
        <v>58</v>
      </c>
      <c r="N3243" s="2">
        <v>0.45</v>
      </c>
      <c r="O3243" s="2">
        <v>0.55000000000000004</v>
      </c>
      <c r="P3243">
        <v>12</v>
      </c>
      <c r="Q3243">
        <v>11</v>
      </c>
      <c r="R3243">
        <v>3</v>
      </c>
      <c r="S3243">
        <v>6</v>
      </c>
      <c r="T3243">
        <v>11</v>
      </c>
      <c r="U3243">
        <v>10</v>
      </c>
      <c r="V3243">
        <v>2</v>
      </c>
      <c r="W3243">
        <v>2</v>
      </c>
      <c r="X3243">
        <v>0</v>
      </c>
      <c r="Y3243">
        <v>0</v>
      </c>
      <c r="Z3243">
        <v>0</v>
      </c>
    </row>
    <row r="3244" spans="1:26" x14ac:dyDescent="0.2">
      <c r="A3244" t="s">
        <v>3362</v>
      </c>
      <c r="B3244" t="s">
        <v>67</v>
      </c>
      <c r="C3244">
        <v>2017</v>
      </c>
      <c r="D3244" t="s">
        <v>26</v>
      </c>
      <c r="E3244" t="s">
        <v>80</v>
      </c>
      <c r="F3244" t="s">
        <v>26</v>
      </c>
      <c r="G3244">
        <v>61276</v>
      </c>
      <c r="H3244">
        <v>49020.800000000003</v>
      </c>
      <c r="I3244" s="13">
        <v>0.4</v>
      </c>
      <c r="J3244" t="s">
        <v>6207</v>
      </c>
      <c r="K3244">
        <v>2</v>
      </c>
      <c r="L3244">
        <v>1</v>
      </c>
      <c r="M3244" t="s">
        <v>0</v>
      </c>
      <c r="N3244" s="2">
        <v>0.6</v>
      </c>
      <c r="O3244" s="2">
        <v>0.4</v>
      </c>
      <c r="P3244">
        <v>7</v>
      </c>
      <c r="Q3244">
        <v>11</v>
      </c>
      <c r="R3244">
        <v>7</v>
      </c>
      <c r="S3244">
        <v>1</v>
      </c>
      <c r="T3244">
        <v>6</v>
      </c>
      <c r="U3244">
        <v>3</v>
      </c>
      <c r="V3244">
        <v>3</v>
      </c>
      <c r="W3244">
        <v>2</v>
      </c>
      <c r="X3244">
        <v>0</v>
      </c>
      <c r="Y3244">
        <v>0</v>
      </c>
      <c r="Z3244">
        <v>0</v>
      </c>
    </row>
    <row r="3245" spans="1:26" x14ac:dyDescent="0.2">
      <c r="A3245" t="s">
        <v>3363</v>
      </c>
      <c r="B3245" t="s">
        <v>81</v>
      </c>
      <c r="C3245">
        <v>2017</v>
      </c>
      <c r="D3245" t="s">
        <v>89</v>
      </c>
      <c r="E3245" t="s">
        <v>28</v>
      </c>
      <c r="F3245" t="s">
        <v>89</v>
      </c>
      <c r="G3245">
        <v>24500</v>
      </c>
      <c r="H3245">
        <v>19600</v>
      </c>
      <c r="I3245" s="13">
        <v>0.33333333333333331</v>
      </c>
      <c r="J3245" t="s">
        <v>6207</v>
      </c>
      <c r="K3245">
        <v>0</v>
      </c>
      <c r="L3245">
        <v>0</v>
      </c>
      <c r="M3245" t="s">
        <v>58</v>
      </c>
      <c r="N3245" s="2">
        <v>0.56999999999999995</v>
      </c>
      <c r="O3245" s="2">
        <v>0.43</v>
      </c>
      <c r="P3245">
        <v>17</v>
      </c>
      <c r="Q3245">
        <v>14</v>
      </c>
      <c r="R3245">
        <v>5</v>
      </c>
      <c r="S3245">
        <v>4</v>
      </c>
      <c r="T3245">
        <v>14</v>
      </c>
      <c r="U3245">
        <v>14</v>
      </c>
      <c r="V3245">
        <v>2</v>
      </c>
      <c r="W3245">
        <v>1</v>
      </c>
      <c r="X3245">
        <v>0</v>
      </c>
      <c r="Y3245">
        <v>0</v>
      </c>
      <c r="Z3245">
        <v>0</v>
      </c>
    </row>
    <row r="3246" spans="1:26" x14ac:dyDescent="0.2">
      <c r="A3246" t="s">
        <v>3364</v>
      </c>
      <c r="B3246" t="s">
        <v>60</v>
      </c>
      <c r="C3246">
        <v>2017</v>
      </c>
      <c r="D3246" t="s">
        <v>18</v>
      </c>
      <c r="E3246" t="s">
        <v>27</v>
      </c>
      <c r="F3246" t="s">
        <v>20</v>
      </c>
      <c r="G3246">
        <v>40341</v>
      </c>
      <c r="H3246">
        <v>32272.800000000003</v>
      </c>
      <c r="I3246" s="13">
        <v>1</v>
      </c>
      <c r="J3246" t="s">
        <v>6208</v>
      </c>
      <c r="K3246">
        <v>5</v>
      </c>
      <c r="L3246">
        <v>0</v>
      </c>
      <c r="M3246" t="s">
        <v>0</v>
      </c>
      <c r="N3246" s="2">
        <v>0.59</v>
      </c>
      <c r="O3246" s="2">
        <v>0.41</v>
      </c>
      <c r="P3246">
        <v>11</v>
      </c>
      <c r="Q3246">
        <v>8</v>
      </c>
      <c r="R3246">
        <v>7</v>
      </c>
      <c r="S3246">
        <v>0</v>
      </c>
      <c r="T3246">
        <v>5</v>
      </c>
      <c r="U3246">
        <v>10</v>
      </c>
      <c r="V3246">
        <v>1</v>
      </c>
      <c r="W3246">
        <v>1</v>
      </c>
      <c r="X3246">
        <v>0</v>
      </c>
      <c r="Y3246">
        <v>0</v>
      </c>
      <c r="Z3246">
        <v>1</v>
      </c>
    </row>
    <row r="3247" spans="1:26" x14ac:dyDescent="0.2">
      <c r="A3247" t="s">
        <v>3365</v>
      </c>
      <c r="B3247" t="s">
        <v>54</v>
      </c>
      <c r="C3247">
        <v>2017</v>
      </c>
      <c r="D3247" t="s">
        <v>86</v>
      </c>
      <c r="E3247" t="s">
        <v>45</v>
      </c>
      <c r="F3247" t="s">
        <v>86</v>
      </c>
      <c r="G3247">
        <v>11364</v>
      </c>
      <c r="H3247">
        <v>9091.2000000000007</v>
      </c>
      <c r="I3247" s="13">
        <v>0</v>
      </c>
      <c r="J3247" t="s">
        <v>6206</v>
      </c>
      <c r="K3247">
        <v>2</v>
      </c>
      <c r="L3247">
        <v>1</v>
      </c>
      <c r="M3247" t="s">
        <v>0</v>
      </c>
      <c r="N3247" s="2">
        <v>0.47</v>
      </c>
      <c r="O3247" s="2">
        <v>0.53</v>
      </c>
      <c r="P3247">
        <v>18</v>
      </c>
      <c r="Q3247">
        <v>8</v>
      </c>
      <c r="R3247">
        <v>4</v>
      </c>
      <c r="S3247">
        <v>4</v>
      </c>
      <c r="T3247">
        <v>8</v>
      </c>
      <c r="U3247">
        <v>13</v>
      </c>
      <c r="V3247">
        <v>0</v>
      </c>
      <c r="W3247">
        <v>0</v>
      </c>
      <c r="X3247">
        <v>0</v>
      </c>
      <c r="Y3247">
        <v>0</v>
      </c>
      <c r="Z3247">
        <v>0</v>
      </c>
    </row>
    <row r="3248" spans="1:26" x14ac:dyDescent="0.2">
      <c r="A3248" t="s">
        <v>3366</v>
      </c>
      <c r="B3248" t="s">
        <v>76</v>
      </c>
      <c r="C3248">
        <v>2017</v>
      </c>
      <c r="D3248" t="s">
        <v>48</v>
      </c>
      <c r="E3248" t="s">
        <v>73</v>
      </c>
      <c r="F3248" t="s">
        <v>49</v>
      </c>
      <c r="G3248">
        <v>74197</v>
      </c>
      <c r="H3248">
        <v>59357.600000000006</v>
      </c>
      <c r="I3248" s="13">
        <v>0.66666666666666663</v>
      </c>
      <c r="J3248" t="s">
        <v>6207</v>
      </c>
      <c r="K3248">
        <v>0</v>
      </c>
      <c r="L3248">
        <v>0</v>
      </c>
      <c r="M3248" t="s">
        <v>58</v>
      </c>
      <c r="N3248" s="2">
        <v>0.55000000000000004</v>
      </c>
      <c r="O3248" s="2">
        <v>0.45</v>
      </c>
      <c r="P3248">
        <v>15</v>
      </c>
      <c r="Q3248">
        <v>13</v>
      </c>
      <c r="R3248">
        <v>10</v>
      </c>
      <c r="S3248">
        <v>7</v>
      </c>
      <c r="T3248">
        <v>12</v>
      </c>
      <c r="U3248">
        <v>13</v>
      </c>
      <c r="V3248">
        <v>2</v>
      </c>
      <c r="W3248">
        <v>4</v>
      </c>
      <c r="X3248">
        <v>0</v>
      </c>
      <c r="Y3248">
        <v>0</v>
      </c>
      <c r="Z3248">
        <v>0</v>
      </c>
    </row>
    <row r="3249" spans="1:26" x14ac:dyDescent="0.2">
      <c r="A3249" t="s">
        <v>3367</v>
      </c>
      <c r="B3249" t="s">
        <v>68</v>
      </c>
      <c r="C3249">
        <v>2017</v>
      </c>
      <c r="D3249" t="s">
        <v>79</v>
      </c>
      <c r="E3249" t="s">
        <v>40</v>
      </c>
      <c r="F3249" t="s">
        <v>20</v>
      </c>
      <c r="G3249">
        <v>25486</v>
      </c>
      <c r="H3249">
        <v>20388.800000000003</v>
      </c>
      <c r="I3249" s="13">
        <v>0.55555555555555558</v>
      </c>
      <c r="J3249" t="s">
        <v>6207</v>
      </c>
      <c r="K3249">
        <v>0</v>
      </c>
      <c r="L3249">
        <v>0</v>
      </c>
      <c r="M3249" t="s">
        <v>58</v>
      </c>
      <c r="N3249" s="2">
        <v>0.26</v>
      </c>
      <c r="O3249" s="2">
        <v>0.74</v>
      </c>
      <c r="P3249">
        <v>13</v>
      </c>
      <c r="Q3249">
        <v>16</v>
      </c>
      <c r="R3249">
        <v>7</v>
      </c>
      <c r="S3249">
        <v>8</v>
      </c>
      <c r="T3249">
        <v>14</v>
      </c>
      <c r="U3249">
        <v>11</v>
      </c>
      <c r="V3249">
        <v>5</v>
      </c>
      <c r="W3249">
        <v>4</v>
      </c>
      <c r="X3249">
        <v>0</v>
      </c>
      <c r="Y3249">
        <v>0</v>
      </c>
      <c r="Z3249">
        <v>1</v>
      </c>
    </row>
    <row r="3250" spans="1:26" x14ac:dyDescent="0.2">
      <c r="A3250" t="s">
        <v>3368</v>
      </c>
      <c r="B3250" t="s">
        <v>41</v>
      </c>
      <c r="C3250">
        <v>2017</v>
      </c>
      <c r="D3250" t="s">
        <v>63</v>
      </c>
      <c r="E3250" t="s">
        <v>46</v>
      </c>
      <c r="F3250" t="s">
        <v>65</v>
      </c>
      <c r="G3250">
        <v>26804</v>
      </c>
      <c r="H3250">
        <v>21443.200000000001</v>
      </c>
      <c r="I3250" s="13">
        <v>0.33333333333333331</v>
      </c>
      <c r="J3250" t="s">
        <v>6207</v>
      </c>
      <c r="K3250">
        <v>1</v>
      </c>
      <c r="L3250">
        <v>1</v>
      </c>
      <c r="M3250" t="s">
        <v>58</v>
      </c>
      <c r="N3250" s="2">
        <v>0.35</v>
      </c>
      <c r="O3250" s="2">
        <v>0.65</v>
      </c>
      <c r="P3250">
        <v>10</v>
      </c>
      <c r="Q3250">
        <v>15</v>
      </c>
      <c r="R3250">
        <v>5</v>
      </c>
      <c r="S3250">
        <v>6</v>
      </c>
      <c r="T3250">
        <v>14</v>
      </c>
      <c r="U3250">
        <v>9</v>
      </c>
      <c r="V3250">
        <v>3</v>
      </c>
      <c r="W3250">
        <v>3</v>
      </c>
      <c r="X3250">
        <v>0</v>
      </c>
      <c r="Y3250">
        <v>0</v>
      </c>
      <c r="Z3250">
        <v>1</v>
      </c>
    </row>
    <row r="3251" spans="1:26" x14ac:dyDescent="0.2">
      <c r="A3251" t="s">
        <v>3369</v>
      </c>
      <c r="B3251" t="s">
        <v>66</v>
      </c>
      <c r="C3251">
        <v>2017</v>
      </c>
      <c r="D3251" t="s">
        <v>90</v>
      </c>
      <c r="E3251" t="s">
        <v>86</v>
      </c>
      <c r="F3251" t="s">
        <v>91</v>
      </c>
      <c r="G3251">
        <v>31876</v>
      </c>
      <c r="H3251">
        <v>25500.800000000003</v>
      </c>
      <c r="I3251" s="13">
        <v>0.33333333333333331</v>
      </c>
      <c r="J3251" t="s">
        <v>6207</v>
      </c>
      <c r="K3251">
        <v>2</v>
      </c>
      <c r="L3251">
        <v>2</v>
      </c>
      <c r="M3251" t="s">
        <v>58</v>
      </c>
      <c r="N3251" s="2">
        <v>0.49</v>
      </c>
      <c r="O3251" s="2">
        <v>0.51</v>
      </c>
      <c r="P3251">
        <v>9</v>
      </c>
      <c r="Q3251">
        <v>14</v>
      </c>
      <c r="R3251">
        <v>5</v>
      </c>
      <c r="S3251">
        <v>12</v>
      </c>
      <c r="T3251">
        <v>13</v>
      </c>
      <c r="U3251">
        <v>9</v>
      </c>
      <c r="V3251">
        <v>2</v>
      </c>
      <c r="W3251">
        <v>1</v>
      </c>
      <c r="X3251">
        <v>0</v>
      </c>
      <c r="Y3251">
        <v>0</v>
      </c>
      <c r="Z3251">
        <v>0</v>
      </c>
    </row>
    <row r="3252" spans="1:26" x14ac:dyDescent="0.2">
      <c r="A3252" t="s">
        <v>3370</v>
      </c>
      <c r="B3252" t="s">
        <v>88</v>
      </c>
      <c r="C3252">
        <v>2017</v>
      </c>
      <c r="D3252" t="s">
        <v>27</v>
      </c>
      <c r="E3252" t="s">
        <v>64</v>
      </c>
      <c r="F3252" t="s">
        <v>27</v>
      </c>
      <c r="G3252">
        <v>30089</v>
      </c>
      <c r="H3252">
        <v>24071.200000000001</v>
      </c>
      <c r="I3252" s="13">
        <v>0.75</v>
      </c>
      <c r="J3252" t="s">
        <v>6207</v>
      </c>
      <c r="K3252">
        <v>0</v>
      </c>
      <c r="L3252">
        <v>1</v>
      </c>
      <c r="M3252" t="s">
        <v>1</v>
      </c>
      <c r="N3252" s="2">
        <v>0.59</v>
      </c>
      <c r="O3252" s="2">
        <v>0.41</v>
      </c>
      <c r="P3252">
        <v>11</v>
      </c>
      <c r="Q3252">
        <v>12</v>
      </c>
      <c r="R3252">
        <v>10</v>
      </c>
      <c r="S3252">
        <v>5</v>
      </c>
      <c r="T3252">
        <v>10</v>
      </c>
      <c r="U3252">
        <v>11</v>
      </c>
      <c r="V3252">
        <v>3</v>
      </c>
      <c r="W3252">
        <v>1</v>
      </c>
      <c r="X3252">
        <v>0</v>
      </c>
      <c r="Y3252">
        <v>0</v>
      </c>
      <c r="Z3252">
        <v>0</v>
      </c>
    </row>
    <row r="3253" spans="1:26" x14ac:dyDescent="0.2">
      <c r="A3253" t="s">
        <v>3371</v>
      </c>
      <c r="B3253" t="s">
        <v>83</v>
      </c>
      <c r="C3253">
        <v>2017</v>
      </c>
      <c r="D3253" t="s">
        <v>80</v>
      </c>
      <c r="E3253" t="s">
        <v>89</v>
      </c>
      <c r="F3253" t="s">
        <v>80</v>
      </c>
      <c r="G3253">
        <v>32261</v>
      </c>
      <c r="H3253">
        <v>25808.800000000003</v>
      </c>
      <c r="I3253" s="13">
        <v>0.5</v>
      </c>
      <c r="J3253" t="s">
        <v>6208</v>
      </c>
      <c r="K3253">
        <v>3</v>
      </c>
      <c r="L3253">
        <v>0</v>
      </c>
      <c r="M3253" t="s">
        <v>0</v>
      </c>
      <c r="N3253" s="2">
        <v>0.51</v>
      </c>
      <c r="O3253" s="2">
        <v>0.49</v>
      </c>
      <c r="P3253">
        <v>10</v>
      </c>
      <c r="Q3253">
        <v>11</v>
      </c>
      <c r="R3253">
        <v>4</v>
      </c>
      <c r="S3253">
        <v>1</v>
      </c>
      <c r="T3253">
        <v>7</v>
      </c>
      <c r="U3253">
        <v>9</v>
      </c>
      <c r="V3253">
        <v>1</v>
      </c>
      <c r="W3253">
        <v>1</v>
      </c>
      <c r="X3253">
        <v>0</v>
      </c>
      <c r="Y3253">
        <v>0</v>
      </c>
      <c r="Z3253">
        <v>0</v>
      </c>
    </row>
    <row r="3254" spans="1:26" x14ac:dyDescent="0.2">
      <c r="A3254" t="s">
        <v>3372</v>
      </c>
      <c r="B3254" t="s">
        <v>74</v>
      </c>
      <c r="C3254">
        <v>2017</v>
      </c>
      <c r="D3254" t="s">
        <v>28</v>
      </c>
      <c r="E3254" t="s">
        <v>26</v>
      </c>
      <c r="F3254" t="s">
        <v>28</v>
      </c>
      <c r="G3254">
        <v>21944</v>
      </c>
      <c r="H3254">
        <v>17555.2</v>
      </c>
      <c r="I3254" s="13">
        <v>0</v>
      </c>
      <c r="J3254" t="s">
        <v>6208</v>
      </c>
      <c r="K3254">
        <v>1</v>
      </c>
      <c r="L3254">
        <v>2</v>
      </c>
      <c r="M3254" t="s">
        <v>1</v>
      </c>
      <c r="N3254" s="2">
        <v>0.42</v>
      </c>
      <c r="O3254" s="2">
        <v>0.57999999999999996</v>
      </c>
      <c r="P3254">
        <v>14</v>
      </c>
      <c r="Q3254">
        <v>5</v>
      </c>
      <c r="R3254">
        <v>3</v>
      </c>
      <c r="S3254">
        <v>9</v>
      </c>
      <c r="T3254">
        <v>4</v>
      </c>
      <c r="U3254">
        <v>12</v>
      </c>
      <c r="V3254">
        <v>0</v>
      </c>
      <c r="W3254">
        <v>0</v>
      </c>
      <c r="X3254">
        <v>0</v>
      </c>
      <c r="Y3254">
        <v>0</v>
      </c>
      <c r="Z3254">
        <v>0</v>
      </c>
    </row>
    <row r="3255" spans="1:26" x14ac:dyDescent="0.2">
      <c r="A3255" t="s">
        <v>3373</v>
      </c>
      <c r="B3255" t="s">
        <v>37</v>
      </c>
      <c r="C3255">
        <v>2017</v>
      </c>
      <c r="D3255" t="s">
        <v>45</v>
      </c>
      <c r="E3255" t="s">
        <v>48</v>
      </c>
      <c r="F3255" t="s">
        <v>26</v>
      </c>
      <c r="G3255">
        <v>39572</v>
      </c>
      <c r="H3255">
        <v>31657.600000000002</v>
      </c>
      <c r="I3255" s="13">
        <v>0.5</v>
      </c>
      <c r="J3255" t="s">
        <v>6206</v>
      </c>
      <c r="K3255">
        <v>0</v>
      </c>
      <c r="L3255">
        <v>2</v>
      </c>
      <c r="M3255" t="s">
        <v>1</v>
      </c>
      <c r="N3255" s="2">
        <v>0.4</v>
      </c>
      <c r="O3255" s="2">
        <v>0.6</v>
      </c>
      <c r="P3255">
        <v>11</v>
      </c>
      <c r="Q3255">
        <v>12</v>
      </c>
      <c r="R3255">
        <v>6</v>
      </c>
      <c r="S3255">
        <v>6</v>
      </c>
      <c r="T3255">
        <v>11</v>
      </c>
      <c r="U3255">
        <v>10</v>
      </c>
      <c r="V3255">
        <v>2</v>
      </c>
      <c r="W3255">
        <v>0</v>
      </c>
      <c r="X3255">
        <v>0</v>
      </c>
      <c r="Y3255">
        <v>0</v>
      </c>
      <c r="Z3255">
        <v>0</v>
      </c>
    </row>
    <row r="3256" spans="1:26" x14ac:dyDescent="0.2">
      <c r="A3256" t="s">
        <v>3374</v>
      </c>
      <c r="B3256" t="s">
        <v>53</v>
      </c>
      <c r="C3256">
        <v>2017</v>
      </c>
      <c r="D3256" t="s">
        <v>23</v>
      </c>
      <c r="E3256" t="s">
        <v>63</v>
      </c>
      <c r="F3256" t="s">
        <v>20</v>
      </c>
      <c r="G3256">
        <v>62500</v>
      </c>
      <c r="H3256">
        <v>50000</v>
      </c>
      <c r="I3256" s="13">
        <v>0.8</v>
      </c>
      <c r="J3256" t="s">
        <v>6207</v>
      </c>
      <c r="K3256">
        <v>2</v>
      </c>
      <c r="L3256">
        <v>1</v>
      </c>
      <c r="M3256" t="s">
        <v>0</v>
      </c>
      <c r="N3256" s="2">
        <v>0.53</v>
      </c>
      <c r="O3256" s="2">
        <v>0.47</v>
      </c>
      <c r="P3256">
        <v>13</v>
      </c>
      <c r="Q3256">
        <v>13</v>
      </c>
      <c r="R3256">
        <v>3</v>
      </c>
      <c r="S3256">
        <v>4</v>
      </c>
      <c r="T3256">
        <v>12</v>
      </c>
      <c r="U3256">
        <v>12</v>
      </c>
      <c r="V3256">
        <v>3</v>
      </c>
      <c r="W3256">
        <v>2</v>
      </c>
      <c r="X3256">
        <v>0</v>
      </c>
      <c r="Y3256">
        <v>0</v>
      </c>
      <c r="Z3256">
        <v>0</v>
      </c>
    </row>
    <row r="3257" spans="1:26" x14ac:dyDescent="0.2">
      <c r="A3257" t="s">
        <v>3375</v>
      </c>
      <c r="B3257" t="s">
        <v>77</v>
      </c>
      <c r="C3257">
        <v>2017</v>
      </c>
      <c r="D3257" t="s">
        <v>71</v>
      </c>
      <c r="E3257" t="s">
        <v>51</v>
      </c>
      <c r="F3257" t="s">
        <v>71</v>
      </c>
      <c r="G3257">
        <v>21088</v>
      </c>
      <c r="H3257">
        <v>16870.400000000001</v>
      </c>
      <c r="I3257" s="13">
        <v>1</v>
      </c>
      <c r="J3257" t="s">
        <v>6207</v>
      </c>
      <c r="K3257">
        <v>0</v>
      </c>
      <c r="L3257">
        <v>2</v>
      </c>
      <c r="M3257" t="s">
        <v>1</v>
      </c>
      <c r="N3257" s="2">
        <v>0.33</v>
      </c>
      <c r="O3257" s="2">
        <v>0.67</v>
      </c>
      <c r="P3257">
        <v>11</v>
      </c>
      <c r="Q3257">
        <v>16</v>
      </c>
      <c r="R3257">
        <v>6</v>
      </c>
      <c r="S3257">
        <v>5</v>
      </c>
      <c r="T3257">
        <v>12</v>
      </c>
      <c r="U3257">
        <v>9</v>
      </c>
      <c r="V3257">
        <v>2</v>
      </c>
      <c r="W3257">
        <v>2</v>
      </c>
      <c r="X3257">
        <v>0</v>
      </c>
      <c r="Y3257">
        <v>0</v>
      </c>
      <c r="Z3257">
        <v>0</v>
      </c>
    </row>
    <row r="3258" spans="1:26" x14ac:dyDescent="0.2">
      <c r="A3258" t="s">
        <v>3376</v>
      </c>
      <c r="B3258" t="s">
        <v>59</v>
      </c>
      <c r="C3258">
        <v>2017</v>
      </c>
      <c r="D3258" t="s">
        <v>73</v>
      </c>
      <c r="E3258" t="s">
        <v>79</v>
      </c>
      <c r="F3258" t="s">
        <v>73</v>
      </c>
      <c r="G3258">
        <v>32384</v>
      </c>
      <c r="H3258">
        <v>25907.200000000001</v>
      </c>
      <c r="I3258" s="13">
        <v>1</v>
      </c>
      <c r="J3258" t="s">
        <v>6206</v>
      </c>
      <c r="K3258">
        <v>1</v>
      </c>
      <c r="L3258">
        <v>2</v>
      </c>
      <c r="M3258" t="s">
        <v>1</v>
      </c>
      <c r="N3258" s="2">
        <v>0.61</v>
      </c>
      <c r="O3258" s="2">
        <v>0.39</v>
      </c>
      <c r="P3258">
        <v>11</v>
      </c>
      <c r="Q3258">
        <v>9</v>
      </c>
      <c r="R3258">
        <v>4</v>
      </c>
      <c r="S3258">
        <v>7</v>
      </c>
      <c r="T3258">
        <v>8</v>
      </c>
      <c r="U3258">
        <v>11</v>
      </c>
      <c r="V3258">
        <v>0</v>
      </c>
      <c r="W3258">
        <v>1</v>
      </c>
      <c r="X3258">
        <v>0</v>
      </c>
      <c r="Y3258">
        <v>0</v>
      </c>
      <c r="Z3258">
        <v>0</v>
      </c>
    </row>
    <row r="3259" spans="1:26" x14ac:dyDescent="0.2">
      <c r="A3259" t="s">
        <v>3377</v>
      </c>
      <c r="B3259" t="s">
        <v>50</v>
      </c>
      <c r="C3259">
        <v>2017</v>
      </c>
      <c r="D3259" t="s">
        <v>40</v>
      </c>
      <c r="E3259" t="s">
        <v>85</v>
      </c>
      <c r="F3259" t="s">
        <v>49</v>
      </c>
      <c r="G3259">
        <v>53400</v>
      </c>
      <c r="H3259">
        <v>42720</v>
      </c>
      <c r="I3259" s="13">
        <v>1</v>
      </c>
      <c r="J3259" t="s">
        <v>6207</v>
      </c>
      <c r="K3259">
        <v>3</v>
      </c>
      <c r="L3259">
        <v>1</v>
      </c>
      <c r="M3259" t="s">
        <v>0</v>
      </c>
      <c r="N3259" s="2">
        <v>0.77</v>
      </c>
      <c r="O3259" s="2">
        <v>0.23</v>
      </c>
      <c r="P3259">
        <v>14</v>
      </c>
      <c r="Q3259">
        <v>9</v>
      </c>
      <c r="R3259">
        <v>9</v>
      </c>
      <c r="S3259">
        <v>1</v>
      </c>
      <c r="T3259">
        <v>8</v>
      </c>
      <c r="U3259">
        <v>12</v>
      </c>
      <c r="V3259">
        <v>1</v>
      </c>
      <c r="W3259">
        <v>1</v>
      </c>
      <c r="X3259">
        <v>0</v>
      </c>
      <c r="Y3259">
        <v>0</v>
      </c>
      <c r="Z3259">
        <v>0</v>
      </c>
    </row>
    <row r="3260" spans="1:26" x14ac:dyDescent="0.2">
      <c r="A3260" t="s">
        <v>3378</v>
      </c>
      <c r="B3260" t="s">
        <v>61</v>
      </c>
      <c r="C3260">
        <v>2017</v>
      </c>
      <c r="D3260" t="s">
        <v>46</v>
      </c>
      <c r="E3260" t="s">
        <v>18</v>
      </c>
      <c r="F3260" t="s">
        <v>20</v>
      </c>
      <c r="G3260">
        <v>60704</v>
      </c>
      <c r="H3260">
        <v>48563.200000000004</v>
      </c>
      <c r="I3260" s="13">
        <v>0.6</v>
      </c>
      <c r="J3260" t="s">
        <v>6207</v>
      </c>
      <c r="K3260">
        <v>2</v>
      </c>
      <c r="L3260">
        <v>2</v>
      </c>
      <c r="M3260" t="s">
        <v>58</v>
      </c>
      <c r="N3260" s="2">
        <v>0.57999999999999996</v>
      </c>
      <c r="O3260" s="2">
        <v>0.42</v>
      </c>
      <c r="P3260">
        <v>14</v>
      </c>
      <c r="Q3260">
        <v>12</v>
      </c>
      <c r="R3260">
        <v>10</v>
      </c>
      <c r="S3260">
        <v>8</v>
      </c>
      <c r="T3260">
        <v>11</v>
      </c>
      <c r="U3260">
        <v>11</v>
      </c>
      <c r="V3260">
        <v>3</v>
      </c>
      <c r="W3260">
        <v>2</v>
      </c>
      <c r="X3260">
        <v>0</v>
      </c>
      <c r="Y3260">
        <v>0</v>
      </c>
      <c r="Z3260">
        <v>1</v>
      </c>
    </row>
    <row r="3261" spans="1:26" x14ac:dyDescent="0.2">
      <c r="A3261" t="s">
        <v>3379</v>
      </c>
      <c r="B3261" t="s">
        <v>41</v>
      </c>
      <c r="C3261">
        <v>2017</v>
      </c>
      <c r="D3261" t="s">
        <v>51</v>
      </c>
      <c r="E3261" t="s">
        <v>23</v>
      </c>
      <c r="F3261" t="s">
        <v>20</v>
      </c>
      <c r="G3261">
        <v>36284</v>
      </c>
      <c r="H3261">
        <v>29027.200000000001</v>
      </c>
      <c r="I3261" s="13">
        <v>0</v>
      </c>
      <c r="J3261" t="s">
        <v>6207</v>
      </c>
      <c r="K3261">
        <v>1</v>
      </c>
      <c r="L3261">
        <v>1</v>
      </c>
      <c r="M3261" t="s">
        <v>58</v>
      </c>
      <c r="N3261" s="2">
        <v>0.71</v>
      </c>
      <c r="O3261" s="2">
        <v>0.28999999999999998</v>
      </c>
      <c r="P3261">
        <v>9</v>
      </c>
      <c r="Q3261">
        <v>13</v>
      </c>
      <c r="R3261">
        <v>7</v>
      </c>
      <c r="S3261">
        <v>1</v>
      </c>
      <c r="T3261">
        <v>10</v>
      </c>
      <c r="U3261">
        <v>6</v>
      </c>
      <c r="V3261">
        <v>0</v>
      </c>
      <c r="W3261">
        <v>2</v>
      </c>
      <c r="X3261">
        <v>0</v>
      </c>
      <c r="Y3261">
        <v>0</v>
      </c>
      <c r="Z3261">
        <v>0</v>
      </c>
    </row>
    <row r="3262" spans="1:26" x14ac:dyDescent="0.2">
      <c r="A3262" t="s">
        <v>3380</v>
      </c>
      <c r="B3262" t="s">
        <v>32</v>
      </c>
      <c r="C3262">
        <v>2017</v>
      </c>
      <c r="D3262" t="s">
        <v>63</v>
      </c>
      <c r="E3262" t="s">
        <v>90</v>
      </c>
      <c r="F3262" t="s">
        <v>65</v>
      </c>
      <c r="G3262">
        <v>26804</v>
      </c>
      <c r="H3262">
        <v>21443.200000000001</v>
      </c>
      <c r="I3262" s="13">
        <v>0</v>
      </c>
      <c r="J3262" t="s">
        <v>6207</v>
      </c>
      <c r="K3262">
        <v>2</v>
      </c>
      <c r="L3262">
        <v>0</v>
      </c>
      <c r="M3262" t="s">
        <v>0</v>
      </c>
      <c r="N3262" s="2">
        <v>0.44</v>
      </c>
      <c r="O3262" s="2">
        <v>0.56000000000000005</v>
      </c>
      <c r="P3262">
        <v>17</v>
      </c>
      <c r="Q3262">
        <v>12</v>
      </c>
      <c r="R3262">
        <v>9</v>
      </c>
      <c r="S3262">
        <v>6</v>
      </c>
      <c r="T3262">
        <v>8</v>
      </c>
      <c r="U3262">
        <v>15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1:26" x14ac:dyDescent="0.2">
      <c r="A3263" t="s">
        <v>3381</v>
      </c>
      <c r="B3263" t="s">
        <v>74</v>
      </c>
      <c r="C3263">
        <v>2017</v>
      </c>
      <c r="D3263" t="s">
        <v>85</v>
      </c>
      <c r="E3263" t="s">
        <v>73</v>
      </c>
      <c r="F3263" t="s">
        <v>85</v>
      </c>
      <c r="G3263">
        <v>22220</v>
      </c>
      <c r="H3263">
        <v>17776</v>
      </c>
      <c r="I3263" s="13">
        <v>0.6</v>
      </c>
      <c r="J3263" t="s">
        <v>6208</v>
      </c>
      <c r="K3263">
        <v>2</v>
      </c>
      <c r="L3263">
        <v>2</v>
      </c>
      <c r="M3263" t="s">
        <v>58</v>
      </c>
      <c r="N3263" s="2">
        <v>0.56000000000000005</v>
      </c>
      <c r="O3263" s="2">
        <v>0.44</v>
      </c>
      <c r="P3263">
        <v>16</v>
      </c>
      <c r="Q3263">
        <v>11</v>
      </c>
      <c r="R3263">
        <v>5</v>
      </c>
      <c r="S3263">
        <v>4</v>
      </c>
      <c r="T3263">
        <v>11</v>
      </c>
      <c r="U3263">
        <v>13</v>
      </c>
      <c r="V3263">
        <v>0</v>
      </c>
      <c r="W3263">
        <v>5</v>
      </c>
      <c r="X3263">
        <v>0</v>
      </c>
      <c r="Y3263">
        <v>0</v>
      </c>
      <c r="Z3263">
        <v>0</v>
      </c>
    </row>
    <row r="3264" spans="1:26" x14ac:dyDescent="0.2">
      <c r="A3264" t="s">
        <v>3382</v>
      </c>
      <c r="B3264" t="s">
        <v>83</v>
      </c>
      <c r="C3264">
        <v>2017</v>
      </c>
      <c r="D3264" t="s">
        <v>64</v>
      </c>
      <c r="E3264" t="s">
        <v>71</v>
      </c>
      <c r="F3264" t="s">
        <v>64</v>
      </c>
      <c r="G3264">
        <v>52264</v>
      </c>
      <c r="H3264">
        <v>41811.200000000004</v>
      </c>
      <c r="I3264" s="13">
        <v>0.33333333333333331</v>
      </c>
      <c r="J3264" t="s">
        <v>6208</v>
      </c>
      <c r="K3264">
        <v>1</v>
      </c>
      <c r="L3264">
        <v>1</v>
      </c>
      <c r="M3264" t="s">
        <v>58</v>
      </c>
      <c r="N3264" s="2">
        <v>0.43</v>
      </c>
      <c r="O3264" s="2">
        <v>0.56999999999999995</v>
      </c>
      <c r="P3264">
        <v>10</v>
      </c>
      <c r="Q3264">
        <v>13</v>
      </c>
      <c r="R3264">
        <v>4</v>
      </c>
      <c r="S3264">
        <v>5</v>
      </c>
      <c r="T3264">
        <v>11</v>
      </c>
      <c r="U3264">
        <v>10</v>
      </c>
      <c r="V3264">
        <v>0</v>
      </c>
      <c r="W3264">
        <v>3</v>
      </c>
      <c r="X3264">
        <v>0</v>
      </c>
      <c r="Y3264">
        <v>0</v>
      </c>
      <c r="Z3264">
        <v>0</v>
      </c>
    </row>
    <row r="3265" spans="1:26" x14ac:dyDescent="0.2">
      <c r="A3265" t="s">
        <v>3383</v>
      </c>
      <c r="B3265" t="s">
        <v>68</v>
      </c>
      <c r="C3265">
        <v>2017</v>
      </c>
      <c r="D3265" t="s">
        <v>89</v>
      </c>
      <c r="E3265" t="s">
        <v>23</v>
      </c>
      <c r="F3265" t="s">
        <v>89</v>
      </c>
      <c r="G3265">
        <v>24500</v>
      </c>
      <c r="H3265">
        <v>19600</v>
      </c>
      <c r="I3265" s="13">
        <v>0</v>
      </c>
      <c r="J3265" t="s">
        <v>6207</v>
      </c>
      <c r="K3265">
        <v>1</v>
      </c>
      <c r="L3265">
        <v>4</v>
      </c>
      <c r="M3265" t="s">
        <v>1</v>
      </c>
      <c r="N3265" s="2">
        <v>0.65</v>
      </c>
      <c r="O3265" s="2">
        <v>0.35</v>
      </c>
      <c r="P3265">
        <v>13</v>
      </c>
      <c r="Q3265">
        <v>7</v>
      </c>
      <c r="R3265">
        <v>7</v>
      </c>
      <c r="S3265">
        <v>3</v>
      </c>
      <c r="T3265">
        <v>7</v>
      </c>
      <c r="U3265">
        <v>9</v>
      </c>
      <c r="V3265">
        <v>1</v>
      </c>
      <c r="W3265">
        <v>1</v>
      </c>
      <c r="X3265">
        <v>0</v>
      </c>
      <c r="Y3265">
        <v>0</v>
      </c>
      <c r="Z3265">
        <v>0</v>
      </c>
    </row>
    <row r="3266" spans="1:26" x14ac:dyDescent="0.2">
      <c r="A3266" t="s">
        <v>3384</v>
      </c>
      <c r="B3266" t="s">
        <v>66</v>
      </c>
      <c r="C3266">
        <v>2017</v>
      </c>
      <c r="D3266" t="s">
        <v>79</v>
      </c>
      <c r="E3266" t="s">
        <v>28</v>
      </c>
      <c r="F3266" t="s">
        <v>20</v>
      </c>
      <c r="G3266">
        <v>25486</v>
      </c>
      <c r="H3266">
        <v>20388.800000000003</v>
      </c>
      <c r="I3266" s="13">
        <v>0.33333333333333331</v>
      </c>
      <c r="J3266" t="s">
        <v>6207</v>
      </c>
      <c r="K3266">
        <v>1</v>
      </c>
      <c r="L3266">
        <v>0</v>
      </c>
      <c r="M3266" t="s">
        <v>0</v>
      </c>
      <c r="N3266" s="2">
        <v>0.44</v>
      </c>
      <c r="O3266" s="2">
        <v>0.56000000000000005</v>
      </c>
      <c r="P3266">
        <v>14</v>
      </c>
      <c r="Q3266">
        <v>16</v>
      </c>
      <c r="R3266">
        <v>3</v>
      </c>
      <c r="S3266">
        <v>2</v>
      </c>
      <c r="T3266">
        <v>16</v>
      </c>
      <c r="U3266">
        <v>10</v>
      </c>
      <c r="V3266">
        <v>0</v>
      </c>
      <c r="W3266">
        <v>3</v>
      </c>
      <c r="X3266">
        <v>0</v>
      </c>
      <c r="Y3266">
        <v>0</v>
      </c>
      <c r="Z3266">
        <v>0</v>
      </c>
    </row>
    <row r="3267" spans="1:26" x14ac:dyDescent="0.2">
      <c r="A3267" t="s">
        <v>3385</v>
      </c>
      <c r="B3267" t="s">
        <v>53</v>
      </c>
      <c r="C3267">
        <v>2017</v>
      </c>
      <c r="D3267" t="s">
        <v>18</v>
      </c>
      <c r="E3267" t="s">
        <v>80</v>
      </c>
      <c r="F3267" t="s">
        <v>20</v>
      </c>
      <c r="G3267">
        <v>40341</v>
      </c>
      <c r="H3267">
        <v>32272.800000000003</v>
      </c>
      <c r="I3267" s="13">
        <v>0.5</v>
      </c>
      <c r="J3267" t="s">
        <v>6207</v>
      </c>
      <c r="K3267">
        <v>0</v>
      </c>
      <c r="L3267">
        <v>0</v>
      </c>
      <c r="M3267" t="s">
        <v>58</v>
      </c>
      <c r="N3267" s="2">
        <v>0.55000000000000004</v>
      </c>
      <c r="O3267" s="2">
        <v>0.45</v>
      </c>
      <c r="P3267">
        <v>16</v>
      </c>
      <c r="Q3267">
        <v>18</v>
      </c>
      <c r="R3267">
        <v>6</v>
      </c>
      <c r="S3267">
        <v>3</v>
      </c>
      <c r="T3267">
        <v>14</v>
      </c>
      <c r="U3267">
        <v>13</v>
      </c>
      <c r="V3267">
        <v>2</v>
      </c>
      <c r="W3267">
        <v>3</v>
      </c>
      <c r="X3267">
        <v>0</v>
      </c>
      <c r="Y3267">
        <v>1</v>
      </c>
      <c r="Z3267">
        <v>0</v>
      </c>
    </row>
    <row r="3268" spans="1:26" x14ac:dyDescent="0.2">
      <c r="A3268" t="s">
        <v>3386</v>
      </c>
      <c r="B3268" t="s">
        <v>76</v>
      </c>
      <c r="C3268">
        <v>2017</v>
      </c>
      <c r="D3268" t="s">
        <v>51</v>
      </c>
      <c r="E3268" t="s">
        <v>45</v>
      </c>
      <c r="F3268" t="s">
        <v>20</v>
      </c>
      <c r="G3268">
        <v>36284</v>
      </c>
      <c r="H3268">
        <v>29027.200000000001</v>
      </c>
      <c r="I3268" s="13">
        <v>0</v>
      </c>
      <c r="J3268" t="s">
        <v>6207</v>
      </c>
      <c r="K3268">
        <v>4</v>
      </c>
      <c r="L3268">
        <v>0</v>
      </c>
      <c r="M3268" t="s">
        <v>0</v>
      </c>
      <c r="N3268" s="2">
        <v>0.61</v>
      </c>
      <c r="O3268" s="2">
        <v>0.39</v>
      </c>
      <c r="P3268">
        <v>20</v>
      </c>
      <c r="Q3268">
        <v>13</v>
      </c>
      <c r="R3268">
        <v>3</v>
      </c>
      <c r="S3268">
        <v>3</v>
      </c>
      <c r="T3268">
        <v>11</v>
      </c>
      <c r="U3268">
        <v>15</v>
      </c>
      <c r="V3268">
        <v>0</v>
      </c>
      <c r="W3268">
        <v>2</v>
      </c>
      <c r="X3268">
        <v>0</v>
      </c>
      <c r="Y3268">
        <v>0</v>
      </c>
      <c r="Z3268">
        <v>0</v>
      </c>
    </row>
    <row r="3269" spans="1:26" x14ac:dyDescent="0.2">
      <c r="A3269" t="s">
        <v>3387</v>
      </c>
      <c r="B3269" t="s">
        <v>60</v>
      </c>
      <c r="C3269">
        <v>2017</v>
      </c>
      <c r="D3269" t="s">
        <v>86</v>
      </c>
      <c r="E3269" t="s">
        <v>46</v>
      </c>
      <c r="F3269" t="s">
        <v>86</v>
      </c>
      <c r="G3269">
        <v>11364</v>
      </c>
      <c r="H3269">
        <v>9091.2000000000007</v>
      </c>
      <c r="I3269" s="13">
        <v>0.25</v>
      </c>
      <c r="J3269" t="s">
        <v>6208</v>
      </c>
      <c r="K3269">
        <v>2</v>
      </c>
      <c r="L3269">
        <v>1</v>
      </c>
      <c r="M3269" t="s">
        <v>0</v>
      </c>
      <c r="N3269" s="2">
        <v>0.41</v>
      </c>
      <c r="O3269" s="2">
        <v>0.59</v>
      </c>
      <c r="P3269">
        <v>14</v>
      </c>
      <c r="Q3269">
        <v>8</v>
      </c>
      <c r="R3269">
        <v>4</v>
      </c>
      <c r="S3269">
        <v>5</v>
      </c>
      <c r="T3269">
        <v>8</v>
      </c>
      <c r="U3269">
        <v>10</v>
      </c>
      <c r="V3269">
        <v>2</v>
      </c>
      <c r="W3269">
        <v>2</v>
      </c>
      <c r="X3269">
        <v>0</v>
      </c>
      <c r="Y3269">
        <v>0</v>
      </c>
      <c r="Z3269">
        <v>0</v>
      </c>
    </row>
    <row r="3270" spans="1:26" x14ac:dyDescent="0.2">
      <c r="A3270" t="s">
        <v>3388</v>
      </c>
      <c r="B3270" t="s">
        <v>37</v>
      </c>
      <c r="C3270">
        <v>2017</v>
      </c>
      <c r="D3270" t="s">
        <v>26</v>
      </c>
      <c r="E3270" t="s">
        <v>40</v>
      </c>
      <c r="F3270" t="s">
        <v>26</v>
      </c>
      <c r="G3270">
        <v>61276</v>
      </c>
      <c r="H3270">
        <v>49020.800000000003</v>
      </c>
      <c r="I3270" s="13">
        <v>0.6</v>
      </c>
      <c r="J3270" t="s">
        <v>6206</v>
      </c>
      <c r="K3270">
        <v>4</v>
      </c>
      <c r="L3270">
        <v>3</v>
      </c>
      <c r="M3270" t="s">
        <v>0</v>
      </c>
      <c r="N3270" s="2">
        <v>0.36</v>
      </c>
      <c r="O3270" s="2">
        <v>0.64</v>
      </c>
      <c r="P3270">
        <v>10</v>
      </c>
      <c r="Q3270">
        <v>13</v>
      </c>
      <c r="R3270">
        <v>5</v>
      </c>
      <c r="S3270">
        <v>6</v>
      </c>
      <c r="T3270">
        <v>10</v>
      </c>
      <c r="U3270">
        <v>7</v>
      </c>
      <c r="V3270">
        <v>2</v>
      </c>
      <c r="W3270">
        <v>3</v>
      </c>
      <c r="X3270">
        <v>0</v>
      </c>
      <c r="Y3270">
        <v>0</v>
      </c>
      <c r="Z3270">
        <v>0</v>
      </c>
    </row>
    <row r="3271" spans="1:26" x14ac:dyDescent="0.2">
      <c r="A3271" t="s">
        <v>3389</v>
      </c>
      <c r="B3271" t="s">
        <v>61</v>
      </c>
      <c r="C3271">
        <v>2017</v>
      </c>
      <c r="D3271" t="s">
        <v>48</v>
      </c>
      <c r="E3271" t="s">
        <v>27</v>
      </c>
      <c r="F3271" t="s">
        <v>49</v>
      </c>
      <c r="G3271">
        <v>74197</v>
      </c>
      <c r="H3271">
        <v>59357.600000000006</v>
      </c>
      <c r="I3271" s="13">
        <v>0.66666666666666663</v>
      </c>
      <c r="J3271" t="s">
        <v>6207</v>
      </c>
      <c r="K3271">
        <v>3</v>
      </c>
      <c r="L3271">
        <v>0</v>
      </c>
      <c r="M3271" t="s">
        <v>0</v>
      </c>
      <c r="N3271" s="2">
        <v>0.6</v>
      </c>
      <c r="O3271" s="2">
        <v>0.4</v>
      </c>
      <c r="P3271">
        <v>10</v>
      </c>
      <c r="Q3271">
        <v>17</v>
      </c>
      <c r="R3271">
        <v>6</v>
      </c>
      <c r="S3271">
        <v>1</v>
      </c>
      <c r="T3271">
        <v>14</v>
      </c>
      <c r="U3271">
        <v>10</v>
      </c>
      <c r="V3271">
        <v>2</v>
      </c>
      <c r="W3271">
        <v>1</v>
      </c>
      <c r="X3271">
        <v>0</v>
      </c>
      <c r="Y3271">
        <v>0</v>
      </c>
      <c r="Z3271">
        <v>0</v>
      </c>
    </row>
    <row r="3272" spans="1:26" x14ac:dyDescent="0.2">
      <c r="A3272" t="s">
        <v>3390</v>
      </c>
      <c r="B3272" t="s">
        <v>68</v>
      </c>
      <c r="C3272">
        <v>2017</v>
      </c>
      <c r="D3272" t="s">
        <v>90</v>
      </c>
      <c r="E3272" t="s">
        <v>18</v>
      </c>
      <c r="F3272" t="s">
        <v>91</v>
      </c>
      <c r="G3272">
        <v>31876</v>
      </c>
      <c r="H3272">
        <v>25500.800000000003</v>
      </c>
      <c r="I3272" s="13">
        <v>0.66666666666666663</v>
      </c>
      <c r="J3272" t="s">
        <v>6207</v>
      </c>
      <c r="K3272">
        <v>0</v>
      </c>
      <c r="L3272">
        <v>4</v>
      </c>
      <c r="M3272" t="s">
        <v>1</v>
      </c>
      <c r="N3272" s="2">
        <v>0.42</v>
      </c>
      <c r="O3272" s="2">
        <v>0.57999999999999996</v>
      </c>
      <c r="P3272">
        <v>5</v>
      </c>
      <c r="Q3272">
        <v>16</v>
      </c>
      <c r="R3272">
        <v>5</v>
      </c>
      <c r="S3272">
        <v>3</v>
      </c>
      <c r="T3272">
        <v>12</v>
      </c>
      <c r="U3272">
        <v>5</v>
      </c>
      <c r="V3272">
        <v>3</v>
      </c>
      <c r="W3272">
        <v>0</v>
      </c>
      <c r="X3272">
        <v>0</v>
      </c>
      <c r="Y3272">
        <v>0</v>
      </c>
      <c r="Z3272">
        <v>0</v>
      </c>
    </row>
    <row r="3273" spans="1:26" x14ac:dyDescent="0.2">
      <c r="A3273" t="s">
        <v>3391</v>
      </c>
      <c r="B3273" t="s">
        <v>32</v>
      </c>
      <c r="C3273">
        <v>2017</v>
      </c>
      <c r="D3273" t="s">
        <v>23</v>
      </c>
      <c r="E3273" t="s">
        <v>86</v>
      </c>
      <c r="F3273" t="s">
        <v>20</v>
      </c>
      <c r="G3273">
        <v>62500</v>
      </c>
      <c r="H3273">
        <v>50000</v>
      </c>
      <c r="I3273" s="13">
        <v>0.5</v>
      </c>
      <c r="J3273" t="s">
        <v>6207</v>
      </c>
      <c r="K3273">
        <v>1</v>
      </c>
      <c r="L3273">
        <v>1</v>
      </c>
      <c r="M3273" t="s">
        <v>58</v>
      </c>
      <c r="N3273" s="2">
        <v>0.47</v>
      </c>
      <c r="O3273" s="2">
        <v>0.53</v>
      </c>
      <c r="P3273">
        <v>12</v>
      </c>
      <c r="Q3273">
        <v>13</v>
      </c>
      <c r="R3273">
        <v>6</v>
      </c>
      <c r="S3273">
        <v>3</v>
      </c>
      <c r="T3273">
        <v>8</v>
      </c>
      <c r="U3273">
        <v>7</v>
      </c>
      <c r="V3273">
        <v>3</v>
      </c>
      <c r="W3273">
        <v>1</v>
      </c>
      <c r="X3273">
        <v>0</v>
      </c>
      <c r="Y3273">
        <v>0</v>
      </c>
      <c r="Z3273">
        <v>0</v>
      </c>
    </row>
    <row r="3274" spans="1:26" x14ac:dyDescent="0.2">
      <c r="A3274" t="s">
        <v>3392</v>
      </c>
      <c r="B3274" t="s">
        <v>66</v>
      </c>
      <c r="C3274">
        <v>2017</v>
      </c>
      <c r="D3274" t="s">
        <v>27</v>
      </c>
      <c r="E3274" t="s">
        <v>89</v>
      </c>
      <c r="F3274" t="s">
        <v>27</v>
      </c>
      <c r="G3274">
        <v>30089</v>
      </c>
      <c r="H3274">
        <v>24071.200000000001</v>
      </c>
      <c r="I3274" s="13">
        <v>0.5</v>
      </c>
      <c r="J3274" t="s">
        <v>6207</v>
      </c>
      <c r="K3274">
        <v>2</v>
      </c>
      <c r="L3274">
        <v>0</v>
      </c>
      <c r="M3274" t="s">
        <v>0</v>
      </c>
      <c r="N3274" s="2">
        <v>0.49</v>
      </c>
      <c r="O3274" s="2">
        <v>0.51</v>
      </c>
      <c r="P3274">
        <v>13</v>
      </c>
      <c r="Q3274">
        <v>29</v>
      </c>
      <c r="R3274">
        <v>3</v>
      </c>
      <c r="S3274">
        <v>2</v>
      </c>
      <c r="T3274">
        <v>18</v>
      </c>
      <c r="U3274">
        <v>13</v>
      </c>
      <c r="V3274">
        <v>1</v>
      </c>
      <c r="W3274">
        <v>1</v>
      </c>
      <c r="X3274">
        <v>0</v>
      </c>
      <c r="Y3274">
        <v>0</v>
      </c>
      <c r="Z3274">
        <v>0</v>
      </c>
    </row>
    <row r="3275" spans="1:26" x14ac:dyDescent="0.2">
      <c r="A3275" t="s">
        <v>3393</v>
      </c>
      <c r="B3275" t="s">
        <v>54</v>
      </c>
      <c r="C3275">
        <v>2017</v>
      </c>
      <c r="D3275" t="s">
        <v>80</v>
      </c>
      <c r="E3275" t="s">
        <v>85</v>
      </c>
      <c r="F3275" t="s">
        <v>80</v>
      </c>
      <c r="G3275">
        <v>32261</v>
      </c>
      <c r="H3275">
        <v>25808.800000000003</v>
      </c>
      <c r="I3275" s="13">
        <v>0</v>
      </c>
      <c r="J3275" t="s">
        <v>6206</v>
      </c>
      <c r="K3275">
        <v>2</v>
      </c>
      <c r="L3275">
        <v>0</v>
      </c>
      <c r="M3275" t="s">
        <v>0</v>
      </c>
      <c r="N3275" s="2">
        <v>0.53</v>
      </c>
      <c r="O3275" s="2">
        <v>0.47</v>
      </c>
      <c r="P3275">
        <v>12</v>
      </c>
      <c r="Q3275">
        <v>16</v>
      </c>
      <c r="R3275">
        <v>4</v>
      </c>
      <c r="S3275">
        <v>5</v>
      </c>
      <c r="T3275">
        <v>11</v>
      </c>
      <c r="U3275">
        <v>10</v>
      </c>
      <c r="V3275">
        <v>0</v>
      </c>
      <c r="W3275">
        <v>0</v>
      </c>
      <c r="X3275">
        <v>0</v>
      </c>
      <c r="Y3275">
        <v>0</v>
      </c>
      <c r="Z3275">
        <v>1</v>
      </c>
    </row>
    <row r="3276" spans="1:26" x14ac:dyDescent="0.2">
      <c r="A3276" t="s">
        <v>3394</v>
      </c>
      <c r="B3276" t="s">
        <v>59</v>
      </c>
      <c r="C3276">
        <v>2017</v>
      </c>
      <c r="D3276" t="s">
        <v>45</v>
      </c>
      <c r="E3276" t="s">
        <v>63</v>
      </c>
      <c r="F3276" t="s">
        <v>26</v>
      </c>
      <c r="G3276">
        <v>39572</v>
      </c>
      <c r="H3276">
        <v>31657.600000000002</v>
      </c>
      <c r="I3276" s="13">
        <v>0.33333333333333331</v>
      </c>
      <c r="J3276" t="s">
        <v>6206</v>
      </c>
      <c r="K3276">
        <v>1</v>
      </c>
      <c r="L3276">
        <v>1</v>
      </c>
      <c r="M3276" t="s">
        <v>58</v>
      </c>
      <c r="N3276" s="2">
        <v>0.56999999999999995</v>
      </c>
      <c r="O3276" s="2">
        <v>0.43</v>
      </c>
      <c r="P3276">
        <v>10</v>
      </c>
      <c r="Q3276">
        <v>15</v>
      </c>
      <c r="R3276">
        <v>0</v>
      </c>
      <c r="S3276">
        <v>3</v>
      </c>
      <c r="T3276">
        <v>15</v>
      </c>
      <c r="U3276">
        <v>10</v>
      </c>
      <c r="V3276">
        <v>2</v>
      </c>
      <c r="W3276">
        <v>1</v>
      </c>
      <c r="X3276">
        <v>0</v>
      </c>
      <c r="Y3276">
        <v>0</v>
      </c>
      <c r="Z3276">
        <v>0</v>
      </c>
    </row>
    <row r="3277" spans="1:26" x14ac:dyDescent="0.2">
      <c r="A3277" t="s">
        <v>3395</v>
      </c>
      <c r="B3277" t="s">
        <v>41</v>
      </c>
      <c r="C3277">
        <v>2017</v>
      </c>
      <c r="D3277" t="s">
        <v>28</v>
      </c>
      <c r="E3277" t="s">
        <v>48</v>
      </c>
      <c r="F3277" t="s">
        <v>28</v>
      </c>
      <c r="G3277">
        <v>21944</v>
      </c>
      <c r="H3277">
        <v>17555.2</v>
      </c>
      <c r="I3277" s="13">
        <v>0.66666666666666663</v>
      </c>
      <c r="J3277" t="s">
        <v>6207</v>
      </c>
      <c r="K3277">
        <v>0</v>
      </c>
      <c r="L3277">
        <v>1</v>
      </c>
      <c r="M3277" t="s">
        <v>1</v>
      </c>
      <c r="N3277" s="2">
        <v>0.48</v>
      </c>
      <c r="O3277" s="2">
        <v>0.52</v>
      </c>
      <c r="P3277">
        <v>13</v>
      </c>
      <c r="Q3277">
        <v>8</v>
      </c>
      <c r="R3277">
        <v>5</v>
      </c>
      <c r="S3277">
        <v>4</v>
      </c>
      <c r="T3277">
        <v>7</v>
      </c>
      <c r="U3277">
        <v>12</v>
      </c>
      <c r="V3277">
        <v>3</v>
      </c>
      <c r="W3277">
        <v>3</v>
      </c>
      <c r="X3277">
        <v>0</v>
      </c>
      <c r="Y3277">
        <v>0</v>
      </c>
      <c r="Z3277">
        <v>0</v>
      </c>
    </row>
    <row r="3278" spans="1:26" x14ac:dyDescent="0.2">
      <c r="A3278" t="s">
        <v>3396</v>
      </c>
      <c r="B3278" t="s">
        <v>88</v>
      </c>
      <c r="C3278">
        <v>2017</v>
      </c>
      <c r="D3278" t="s">
        <v>46</v>
      </c>
      <c r="E3278" t="s">
        <v>79</v>
      </c>
      <c r="F3278" t="s">
        <v>20</v>
      </c>
      <c r="G3278">
        <v>60704</v>
      </c>
      <c r="H3278">
        <v>48563.200000000004</v>
      </c>
      <c r="I3278" s="13">
        <v>0</v>
      </c>
      <c r="J3278" t="s">
        <v>6207</v>
      </c>
      <c r="K3278">
        <v>4</v>
      </c>
      <c r="L3278">
        <v>1</v>
      </c>
      <c r="M3278" t="s">
        <v>0</v>
      </c>
      <c r="N3278" s="2">
        <v>0.64</v>
      </c>
      <c r="O3278" s="2">
        <v>0.36</v>
      </c>
      <c r="P3278">
        <v>10</v>
      </c>
      <c r="Q3278">
        <v>8</v>
      </c>
      <c r="R3278">
        <v>5</v>
      </c>
      <c r="S3278">
        <v>10</v>
      </c>
      <c r="T3278">
        <v>6</v>
      </c>
      <c r="U3278">
        <v>8</v>
      </c>
      <c r="V3278">
        <v>0</v>
      </c>
      <c r="W3278">
        <v>0</v>
      </c>
      <c r="X3278">
        <v>0</v>
      </c>
      <c r="Y3278">
        <v>0</v>
      </c>
      <c r="Z3278">
        <v>0</v>
      </c>
    </row>
    <row r="3279" spans="1:26" x14ac:dyDescent="0.2">
      <c r="A3279" t="s">
        <v>3397</v>
      </c>
      <c r="B3279" t="s">
        <v>81</v>
      </c>
      <c r="C3279">
        <v>2017</v>
      </c>
      <c r="D3279" t="s">
        <v>40</v>
      </c>
      <c r="E3279" t="s">
        <v>64</v>
      </c>
      <c r="F3279" t="s">
        <v>49</v>
      </c>
      <c r="G3279">
        <v>53400</v>
      </c>
      <c r="H3279">
        <v>42720</v>
      </c>
      <c r="I3279" s="13">
        <v>1</v>
      </c>
      <c r="J3279" t="s">
        <v>6207</v>
      </c>
      <c r="K3279">
        <v>3</v>
      </c>
      <c r="L3279">
        <v>1</v>
      </c>
      <c r="M3279" t="s">
        <v>0</v>
      </c>
      <c r="N3279" s="2">
        <v>0.81</v>
      </c>
      <c r="O3279" s="2">
        <v>0.19</v>
      </c>
      <c r="P3279">
        <v>10</v>
      </c>
      <c r="Q3279">
        <v>9</v>
      </c>
      <c r="R3279">
        <v>18</v>
      </c>
      <c r="S3279">
        <v>0</v>
      </c>
      <c r="T3279">
        <v>5</v>
      </c>
      <c r="U3279">
        <v>10</v>
      </c>
      <c r="V3279">
        <v>0</v>
      </c>
      <c r="W3279">
        <v>1</v>
      </c>
      <c r="X3279">
        <v>0</v>
      </c>
      <c r="Y3279">
        <v>0</v>
      </c>
      <c r="Z3279">
        <v>1</v>
      </c>
    </row>
    <row r="3280" spans="1:26" x14ac:dyDescent="0.2">
      <c r="A3280" t="s">
        <v>3398</v>
      </c>
      <c r="B3280" t="s">
        <v>60</v>
      </c>
      <c r="C3280">
        <v>2017</v>
      </c>
      <c r="D3280" t="s">
        <v>73</v>
      </c>
      <c r="E3280" t="s">
        <v>51</v>
      </c>
      <c r="F3280" t="s">
        <v>73</v>
      </c>
      <c r="G3280">
        <v>32384</v>
      </c>
      <c r="H3280">
        <v>25907.200000000001</v>
      </c>
      <c r="I3280" s="13">
        <v>0.6</v>
      </c>
      <c r="J3280" t="s">
        <v>6208</v>
      </c>
      <c r="K3280">
        <v>1</v>
      </c>
      <c r="L3280">
        <v>1</v>
      </c>
      <c r="M3280" t="s">
        <v>58</v>
      </c>
      <c r="N3280" s="2">
        <v>0.41</v>
      </c>
      <c r="O3280" s="2">
        <v>0.59</v>
      </c>
      <c r="P3280">
        <v>16</v>
      </c>
      <c r="Q3280">
        <v>10</v>
      </c>
      <c r="R3280">
        <v>2</v>
      </c>
      <c r="S3280">
        <v>9</v>
      </c>
      <c r="T3280">
        <v>8</v>
      </c>
      <c r="U3280">
        <v>15</v>
      </c>
      <c r="V3280">
        <v>2</v>
      </c>
      <c r="W3280">
        <v>3</v>
      </c>
      <c r="X3280">
        <v>0</v>
      </c>
      <c r="Y3280">
        <v>0</v>
      </c>
      <c r="Z3280">
        <v>0</v>
      </c>
    </row>
    <row r="3281" spans="1:26" x14ac:dyDescent="0.2">
      <c r="A3281" t="s">
        <v>3399</v>
      </c>
      <c r="B3281" t="s">
        <v>67</v>
      </c>
      <c r="C3281">
        <v>2017</v>
      </c>
      <c r="D3281" t="s">
        <v>71</v>
      </c>
      <c r="E3281" t="s">
        <v>26</v>
      </c>
      <c r="F3281" t="s">
        <v>71</v>
      </c>
      <c r="G3281">
        <v>21088</v>
      </c>
      <c r="H3281">
        <v>16870.400000000001</v>
      </c>
      <c r="I3281" s="13">
        <v>0.5</v>
      </c>
      <c r="J3281" t="s">
        <v>6207</v>
      </c>
      <c r="K3281">
        <v>1</v>
      </c>
      <c r="L3281">
        <v>0</v>
      </c>
      <c r="M3281" t="s">
        <v>0</v>
      </c>
      <c r="N3281" s="2">
        <v>0.28000000000000003</v>
      </c>
      <c r="O3281" s="2">
        <v>0.72</v>
      </c>
      <c r="P3281">
        <v>10</v>
      </c>
      <c r="Q3281">
        <v>6</v>
      </c>
      <c r="R3281">
        <v>3</v>
      </c>
      <c r="S3281">
        <v>9</v>
      </c>
      <c r="T3281">
        <v>5</v>
      </c>
      <c r="U3281">
        <v>9</v>
      </c>
      <c r="V3281">
        <v>0</v>
      </c>
      <c r="W3281">
        <v>2</v>
      </c>
      <c r="X3281">
        <v>0</v>
      </c>
      <c r="Y3281">
        <v>0</v>
      </c>
      <c r="Z3281">
        <v>0</v>
      </c>
    </row>
    <row r="3282" spans="1:26" x14ac:dyDescent="0.2">
      <c r="A3282" t="s">
        <v>3400</v>
      </c>
      <c r="B3282" t="s">
        <v>67</v>
      </c>
      <c r="C3282">
        <v>2017</v>
      </c>
      <c r="D3282" t="s">
        <v>23</v>
      </c>
      <c r="E3282" t="s">
        <v>79</v>
      </c>
      <c r="F3282" t="s">
        <v>20</v>
      </c>
      <c r="G3282">
        <v>62500</v>
      </c>
      <c r="H3282">
        <v>50000</v>
      </c>
      <c r="I3282" s="13">
        <v>0.5</v>
      </c>
      <c r="J3282" t="s">
        <v>6207</v>
      </c>
      <c r="K3282">
        <v>1</v>
      </c>
      <c r="L3282">
        <v>1</v>
      </c>
      <c r="M3282" t="s">
        <v>58</v>
      </c>
      <c r="N3282" s="2">
        <v>0.4</v>
      </c>
      <c r="O3282" s="2">
        <v>0.6</v>
      </c>
      <c r="P3282">
        <v>14</v>
      </c>
      <c r="Q3282">
        <v>13</v>
      </c>
      <c r="R3282">
        <v>5</v>
      </c>
      <c r="S3282">
        <v>3</v>
      </c>
      <c r="T3282">
        <v>11</v>
      </c>
      <c r="U3282">
        <v>15</v>
      </c>
      <c r="V3282">
        <v>1</v>
      </c>
      <c r="W3282">
        <v>3</v>
      </c>
      <c r="X3282">
        <v>0</v>
      </c>
      <c r="Y3282">
        <v>0</v>
      </c>
      <c r="Z3282">
        <v>1</v>
      </c>
    </row>
    <row r="3283" spans="1:26" x14ac:dyDescent="0.2">
      <c r="A3283" t="s">
        <v>3401</v>
      </c>
      <c r="B3283" t="s">
        <v>50</v>
      </c>
      <c r="C3283">
        <v>2017</v>
      </c>
      <c r="D3283" t="s">
        <v>71</v>
      </c>
      <c r="E3283" t="s">
        <v>46</v>
      </c>
      <c r="F3283" t="s">
        <v>71</v>
      </c>
      <c r="G3283">
        <v>21088</v>
      </c>
      <c r="H3283">
        <v>16870.400000000001</v>
      </c>
      <c r="I3283" s="13">
        <v>1</v>
      </c>
      <c r="J3283" t="s">
        <v>6207</v>
      </c>
      <c r="K3283">
        <v>3</v>
      </c>
      <c r="L3283">
        <v>1</v>
      </c>
      <c r="M3283" t="s">
        <v>0</v>
      </c>
      <c r="N3283" s="2">
        <v>0.26</v>
      </c>
      <c r="O3283" s="2">
        <v>0.74</v>
      </c>
      <c r="P3283">
        <v>11</v>
      </c>
      <c r="Q3283">
        <v>4</v>
      </c>
      <c r="R3283">
        <v>4</v>
      </c>
      <c r="S3283">
        <v>3</v>
      </c>
      <c r="T3283">
        <v>4</v>
      </c>
      <c r="U3283">
        <v>8</v>
      </c>
      <c r="V3283">
        <v>0</v>
      </c>
      <c r="W3283">
        <v>3</v>
      </c>
      <c r="X3283">
        <v>0</v>
      </c>
      <c r="Y3283">
        <v>0</v>
      </c>
      <c r="Z3283">
        <v>0</v>
      </c>
    </row>
    <row r="3284" spans="1:26" x14ac:dyDescent="0.2">
      <c r="A3284" t="s">
        <v>3402</v>
      </c>
      <c r="B3284" t="s">
        <v>60</v>
      </c>
      <c r="C3284">
        <v>2017</v>
      </c>
      <c r="D3284" t="s">
        <v>89</v>
      </c>
      <c r="E3284" t="s">
        <v>26</v>
      </c>
      <c r="F3284" t="s">
        <v>89</v>
      </c>
      <c r="G3284">
        <v>24500</v>
      </c>
      <c r="H3284">
        <v>19600</v>
      </c>
      <c r="I3284" s="13">
        <v>0</v>
      </c>
      <c r="J3284" t="s">
        <v>6208</v>
      </c>
      <c r="K3284">
        <v>0</v>
      </c>
      <c r="L3284">
        <v>3</v>
      </c>
      <c r="M3284" t="s">
        <v>1</v>
      </c>
      <c r="N3284" s="2">
        <v>0.25</v>
      </c>
      <c r="O3284" s="2">
        <v>0.75</v>
      </c>
      <c r="P3284">
        <v>11</v>
      </c>
      <c r="Q3284">
        <v>9</v>
      </c>
      <c r="R3284">
        <v>1</v>
      </c>
      <c r="S3284">
        <v>4</v>
      </c>
      <c r="T3284">
        <v>8</v>
      </c>
      <c r="U3284">
        <v>8</v>
      </c>
      <c r="V3284">
        <v>0</v>
      </c>
      <c r="W3284">
        <v>0</v>
      </c>
      <c r="X3284">
        <v>0</v>
      </c>
      <c r="Y3284">
        <v>0</v>
      </c>
      <c r="Z3284">
        <v>1</v>
      </c>
    </row>
    <row r="3285" spans="1:26" x14ac:dyDescent="0.2">
      <c r="A3285" t="s">
        <v>3403</v>
      </c>
      <c r="B3285" t="s">
        <v>41</v>
      </c>
      <c r="C3285">
        <v>2017</v>
      </c>
      <c r="D3285" t="s">
        <v>73</v>
      </c>
      <c r="E3285" t="s">
        <v>90</v>
      </c>
      <c r="F3285" t="s">
        <v>73</v>
      </c>
      <c r="G3285">
        <v>32384</v>
      </c>
      <c r="H3285">
        <v>25907.200000000001</v>
      </c>
      <c r="I3285" s="13">
        <v>0.5</v>
      </c>
      <c r="J3285" t="s">
        <v>6207</v>
      </c>
      <c r="K3285">
        <v>1</v>
      </c>
      <c r="L3285">
        <v>1</v>
      </c>
      <c r="M3285" t="s">
        <v>58</v>
      </c>
      <c r="N3285" s="2">
        <v>0.66</v>
      </c>
      <c r="O3285" s="2">
        <v>0.34</v>
      </c>
      <c r="P3285">
        <v>14</v>
      </c>
      <c r="Q3285">
        <v>7</v>
      </c>
      <c r="R3285">
        <v>7</v>
      </c>
      <c r="S3285">
        <v>2</v>
      </c>
      <c r="T3285">
        <v>8</v>
      </c>
      <c r="U3285">
        <v>10</v>
      </c>
      <c r="V3285">
        <v>3</v>
      </c>
      <c r="W3285">
        <v>1</v>
      </c>
      <c r="X3285">
        <v>0</v>
      </c>
      <c r="Y3285">
        <v>0</v>
      </c>
      <c r="Z3285">
        <v>1</v>
      </c>
    </row>
    <row r="3286" spans="1:26" x14ac:dyDescent="0.2">
      <c r="A3286" t="s">
        <v>3404</v>
      </c>
      <c r="B3286" t="s">
        <v>84</v>
      </c>
      <c r="C3286">
        <v>2017</v>
      </c>
      <c r="D3286" t="s">
        <v>64</v>
      </c>
      <c r="E3286" t="s">
        <v>28</v>
      </c>
      <c r="F3286" t="s">
        <v>64</v>
      </c>
      <c r="G3286">
        <v>52264</v>
      </c>
      <c r="H3286">
        <v>41811.200000000004</v>
      </c>
      <c r="I3286" s="13">
        <v>0.33333333333333331</v>
      </c>
      <c r="J3286" t="s">
        <v>6208</v>
      </c>
      <c r="K3286">
        <v>1</v>
      </c>
      <c r="L3286">
        <v>1</v>
      </c>
      <c r="M3286" t="s">
        <v>58</v>
      </c>
      <c r="N3286" s="2">
        <v>0.52</v>
      </c>
      <c r="O3286" s="2">
        <v>0.48</v>
      </c>
      <c r="P3286">
        <v>14</v>
      </c>
      <c r="Q3286">
        <v>17</v>
      </c>
      <c r="R3286">
        <v>7</v>
      </c>
      <c r="S3286">
        <v>4</v>
      </c>
      <c r="T3286">
        <v>15</v>
      </c>
      <c r="U3286">
        <v>15</v>
      </c>
      <c r="V3286">
        <v>1</v>
      </c>
      <c r="W3286">
        <v>2</v>
      </c>
      <c r="X3286">
        <v>0</v>
      </c>
      <c r="Y3286">
        <v>0</v>
      </c>
      <c r="Z3286">
        <v>1</v>
      </c>
    </row>
    <row r="3287" spans="1:26" x14ac:dyDescent="0.2">
      <c r="A3287" t="s">
        <v>3405</v>
      </c>
      <c r="B3287" t="s">
        <v>88</v>
      </c>
      <c r="C3287">
        <v>2017</v>
      </c>
      <c r="D3287" t="s">
        <v>45</v>
      </c>
      <c r="E3287" t="s">
        <v>80</v>
      </c>
      <c r="F3287" t="s">
        <v>26</v>
      </c>
      <c r="G3287">
        <v>39572</v>
      </c>
      <c r="H3287">
        <v>31657.600000000002</v>
      </c>
      <c r="I3287" s="13">
        <v>0.5</v>
      </c>
      <c r="J3287" t="s">
        <v>6207</v>
      </c>
      <c r="K3287">
        <v>2</v>
      </c>
      <c r="L3287">
        <v>1</v>
      </c>
      <c r="M3287" t="s">
        <v>0</v>
      </c>
      <c r="N3287" s="2">
        <v>0.45</v>
      </c>
      <c r="O3287" s="2">
        <v>0.55000000000000004</v>
      </c>
      <c r="P3287">
        <v>11</v>
      </c>
      <c r="Q3287">
        <v>11</v>
      </c>
      <c r="R3287">
        <v>5</v>
      </c>
      <c r="S3287">
        <v>5</v>
      </c>
      <c r="T3287">
        <v>9</v>
      </c>
      <c r="U3287">
        <v>10</v>
      </c>
      <c r="V3287">
        <v>0</v>
      </c>
      <c r="W3287">
        <v>2</v>
      </c>
      <c r="X3287">
        <v>0</v>
      </c>
      <c r="Y3287">
        <v>0</v>
      </c>
      <c r="Z3287">
        <v>1</v>
      </c>
    </row>
    <row r="3288" spans="1:26" x14ac:dyDescent="0.2">
      <c r="A3288" t="s">
        <v>3406</v>
      </c>
      <c r="B3288" t="s">
        <v>54</v>
      </c>
      <c r="C3288">
        <v>2017</v>
      </c>
      <c r="D3288" t="s">
        <v>18</v>
      </c>
      <c r="E3288" t="s">
        <v>86</v>
      </c>
      <c r="F3288" t="s">
        <v>20</v>
      </c>
      <c r="G3288">
        <v>40341</v>
      </c>
      <c r="H3288">
        <v>32272.800000000003</v>
      </c>
      <c r="I3288" s="13">
        <v>1</v>
      </c>
      <c r="J3288" t="s">
        <v>6206</v>
      </c>
      <c r="K3288">
        <v>0</v>
      </c>
      <c r="L3288">
        <v>3</v>
      </c>
      <c r="M3288" t="s">
        <v>1</v>
      </c>
      <c r="N3288" s="2">
        <v>0.66</v>
      </c>
      <c r="O3288" s="2">
        <v>0.34</v>
      </c>
      <c r="P3288">
        <v>14</v>
      </c>
      <c r="Q3288">
        <v>9</v>
      </c>
      <c r="R3288">
        <v>8</v>
      </c>
      <c r="S3288">
        <v>5</v>
      </c>
      <c r="T3288">
        <v>5</v>
      </c>
      <c r="U3288">
        <v>12</v>
      </c>
      <c r="V3288">
        <v>1</v>
      </c>
      <c r="W3288">
        <v>0</v>
      </c>
      <c r="X3288">
        <v>0</v>
      </c>
      <c r="Y3288">
        <v>0</v>
      </c>
      <c r="Z3288">
        <v>0</v>
      </c>
    </row>
    <row r="3289" spans="1:26" x14ac:dyDescent="0.2">
      <c r="A3289" t="s">
        <v>3407</v>
      </c>
      <c r="B3289" t="s">
        <v>37</v>
      </c>
      <c r="C3289">
        <v>2017</v>
      </c>
      <c r="D3289" t="s">
        <v>51</v>
      </c>
      <c r="E3289" t="s">
        <v>48</v>
      </c>
      <c r="F3289" t="s">
        <v>20</v>
      </c>
      <c r="G3289">
        <v>36284</v>
      </c>
      <c r="H3289">
        <v>29027.200000000001</v>
      </c>
      <c r="I3289" s="13">
        <v>0.25</v>
      </c>
      <c r="J3289" t="s">
        <v>6206</v>
      </c>
      <c r="K3289">
        <v>2</v>
      </c>
      <c r="L3289">
        <v>0</v>
      </c>
      <c r="M3289" t="s">
        <v>0</v>
      </c>
      <c r="N3289" s="2">
        <v>0.53</v>
      </c>
      <c r="O3289" s="2">
        <v>0.47</v>
      </c>
      <c r="P3289">
        <v>22</v>
      </c>
      <c r="Q3289">
        <v>11</v>
      </c>
      <c r="R3289">
        <v>6</v>
      </c>
      <c r="S3289">
        <v>3</v>
      </c>
      <c r="T3289">
        <v>10</v>
      </c>
      <c r="U3289">
        <v>13</v>
      </c>
      <c r="V3289">
        <v>2</v>
      </c>
      <c r="W3289">
        <v>2</v>
      </c>
      <c r="X3289">
        <v>0</v>
      </c>
      <c r="Y3289">
        <v>0</v>
      </c>
      <c r="Z3289">
        <v>0</v>
      </c>
    </row>
    <row r="3290" spans="1:26" x14ac:dyDescent="0.2">
      <c r="A3290" t="s">
        <v>3408</v>
      </c>
      <c r="B3290" t="s">
        <v>68</v>
      </c>
      <c r="C3290">
        <v>2017</v>
      </c>
      <c r="D3290" t="s">
        <v>27</v>
      </c>
      <c r="E3290" t="s">
        <v>85</v>
      </c>
      <c r="F3290" t="s">
        <v>27</v>
      </c>
      <c r="G3290">
        <v>30089</v>
      </c>
      <c r="H3290">
        <v>24071.200000000001</v>
      </c>
      <c r="I3290" s="13">
        <v>0.8571428571428571</v>
      </c>
      <c r="J3290" t="s">
        <v>6207</v>
      </c>
      <c r="K3290">
        <v>0</v>
      </c>
      <c r="L3290">
        <v>0</v>
      </c>
      <c r="M3290" t="s">
        <v>58</v>
      </c>
      <c r="N3290" s="2">
        <v>0.47</v>
      </c>
      <c r="O3290" s="2">
        <v>0.53</v>
      </c>
      <c r="P3290">
        <v>11</v>
      </c>
      <c r="Q3290">
        <v>15</v>
      </c>
      <c r="R3290">
        <v>2</v>
      </c>
      <c r="S3290">
        <v>6</v>
      </c>
      <c r="T3290">
        <v>12</v>
      </c>
      <c r="U3290">
        <v>12</v>
      </c>
      <c r="V3290">
        <v>4</v>
      </c>
      <c r="W3290">
        <v>3</v>
      </c>
      <c r="X3290">
        <v>0</v>
      </c>
      <c r="Y3290">
        <v>0</v>
      </c>
      <c r="Z3290">
        <v>0</v>
      </c>
    </row>
    <row r="3291" spans="1:26" x14ac:dyDescent="0.2">
      <c r="A3291" t="s">
        <v>3409</v>
      </c>
      <c r="B3291" t="s">
        <v>77</v>
      </c>
      <c r="C3291">
        <v>2017</v>
      </c>
      <c r="D3291" t="s">
        <v>40</v>
      </c>
      <c r="E3291" t="s">
        <v>63</v>
      </c>
      <c r="F3291" t="s">
        <v>49</v>
      </c>
      <c r="G3291">
        <v>53400</v>
      </c>
      <c r="H3291">
        <v>42720</v>
      </c>
      <c r="I3291" s="13">
        <v>0.75</v>
      </c>
      <c r="J3291" t="s">
        <v>6207</v>
      </c>
      <c r="K3291">
        <v>3</v>
      </c>
      <c r="L3291">
        <v>0</v>
      </c>
      <c r="M3291" t="s">
        <v>0</v>
      </c>
      <c r="N3291" s="2">
        <v>0.74</v>
      </c>
      <c r="O3291" s="2">
        <v>0.26</v>
      </c>
      <c r="P3291">
        <v>10</v>
      </c>
      <c r="Q3291">
        <v>10</v>
      </c>
      <c r="R3291">
        <v>9</v>
      </c>
      <c r="S3291">
        <v>1</v>
      </c>
      <c r="T3291">
        <v>10</v>
      </c>
      <c r="U3291">
        <v>10</v>
      </c>
      <c r="V3291">
        <v>1</v>
      </c>
      <c r="W3291">
        <v>3</v>
      </c>
      <c r="X3291">
        <v>0</v>
      </c>
      <c r="Y3291">
        <v>0</v>
      </c>
      <c r="Z3291">
        <v>0</v>
      </c>
    </row>
    <row r="3292" spans="1:26" x14ac:dyDescent="0.2">
      <c r="A3292" t="s">
        <v>3410</v>
      </c>
      <c r="B3292" t="s">
        <v>32</v>
      </c>
      <c r="C3292">
        <v>2017</v>
      </c>
      <c r="D3292" t="s">
        <v>28</v>
      </c>
      <c r="E3292" t="s">
        <v>40</v>
      </c>
      <c r="F3292" t="s">
        <v>28</v>
      </c>
      <c r="G3292">
        <v>21944</v>
      </c>
      <c r="H3292">
        <v>17555.2</v>
      </c>
      <c r="I3292" s="13">
        <v>0.4</v>
      </c>
      <c r="J3292" t="s">
        <v>6207</v>
      </c>
      <c r="K3292">
        <v>1</v>
      </c>
      <c r="L3292">
        <v>1</v>
      </c>
      <c r="M3292" t="s">
        <v>58</v>
      </c>
      <c r="N3292" s="2">
        <v>0.28999999999999998</v>
      </c>
      <c r="O3292" s="2">
        <v>0.71</v>
      </c>
      <c r="P3292">
        <v>6</v>
      </c>
      <c r="Q3292">
        <v>10</v>
      </c>
      <c r="R3292">
        <v>3</v>
      </c>
      <c r="S3292">
        <v>13</v>
      </c>
      <c r="T3292">
        <v>9</v>
      </c>
      <c r="U3292">
        <v>6</v>
      </c>
      <c r="V3292">
        <v>4</v>
      </c>
      <c r="W3292">
        <v>1</v>
      </c>
      <c r="X3292">
        <v>0</v>
      </c>
      <c r="Y3292">
        <v>0</v>
      </c>
      <c r="Z3292">
        <v>0</v>
      </c>
    </row>
    <row r="3293" spans="1:26" x14ac:dyDescent="0.2">
      <c r="A3293" t="s">
        <v>3411</v>
      </c>
      <c r="B3293" t="s">
        <v>66</v>
      </c>
      <c r="C3293">
        <v>2017</v>
      </c>
      <c r="D3293" t="s">
        <v>63</v>
      </c>
      <c r="E3293" t="s">
        <v>73</v>
      </c>
      <c r="F3293" t="s">
        <v>65</v>
      </c>
      <c r="G3293">
        <v>26804</v>
      </c>
      <c r="H3293">
        <v>21443.200000000001</v>
      </c>
      <c r="I3293" s="13">
        <v>0</v>
      </c>
      <c r="J3293" t="s">
        <v>6207</v>
      </c>
      <c r="K3293">
        <v>2</v>
      </c>
      <c r="L3293">
        <v>3</v>
      </c>
      <c r="M3293" t="s">
        <v>1</v>
      </c>
      <c r="N3293" s="2">
        <v>0.39</v>
      </c>
      <c r="O3293" s="2">
        <v>0.61</v>
      </c>
      <c r="P3293">
        <v>13</v>
      </c>
      <c r="Q3293">
        <v>11</v>
      </c>
      <c r="R3293">
        <v>5</v>
      </c>
      <c r="S3293">
        <v>7</v>
      </c>
      <c r="T3293">
        <v>12</v>
      </c>
      <c r="U3293">
        <v>10</v>
      </c>
      <c r="V3293">
        <v>2</v>
      </c>
      <c r="W3293">
        <v>1</v>
      </c>
      <c r="X3293">
        <v>0</v>
      </c>
      <c r="Y3293">
        <v>0</v>
      </c>
      <c r="Z3293">
        <v>0</v>
      </c>
    </row>
    <row r="3294" spans="1:26" x14ac:dyDescent="0.2">
      <c r="A3294" t="s">
        <v>3412</v>
      </c>
      <c r="B3294" t="s">
        <v>59</v>
      </c>
      <c r="C3294">
        <v>2017</v>
      </c>
      <c r="D3294" t="s">
        <v>48</v>
      </c>
      <c r="E3294" t="s">
        <v>89</v>
      </c>
      <c r="F3294" t="s">
        <v>49</v>
      </c>
      <c r="G3294">
        <v>74197</v>
      </c>
      <c r="H3294">
        <v>59357.600000000006</v>
      </c>
      <c r="I3294" s="13">
        <v>0.66666666666666663</v>
      </c>
      <c r="J3294" t="s">
        <v>6206</v>
      </c>
      <c r="K3294">
        <v>2</v>
      </c>
      <c r="L3294">
        <v>0</v>
      </c>
      <c r="M3294" t="s">
        <v>0</v>
      </c>
      <c r="N3294" s="2">
        <v>0.74</v>
      </c>
      <c r="O3294" s="2">
        <v>0.26</v>
      </c>
      <c r="P3294">
        <v>18</v>
      </c>
      <c r="Q3294">
        <v>9</v>
      </c>
      <c r="R3294">
        <v>5</v>
      </c>
      <c r="S3294">
        <v>2</v>
      </c>
      <c r="T3294">
        <v>5</v>
      </c>
      <c r="U3294">
        <v>19</v>
      </c>
      <c r="V3294">
        <v>2</v>
      </c>
      <c r="W3294">
        <v>4</v>
      </c>
      <c r="X3294">
        <v>0</v>
      </c>
      <c r="Y3294">
        <v>0</v>
      </c>
      <c r="Z3294">
        <v>1</v>
      </c>
    </row>
    <row r="3295" spans="1:26" x14ac:dyDescent="0.2">
      <c r="A3295" t="s">
        <v>3413</v>
      </c>
      <c r="B3295" t="s">
        <v>61</v>
      </c>
      <c r="C3295">
        <v>2017</v>
      </c>
      <c r="D3295" t="s">
        <v>80</v>
      </c>
      <c r="E3295" t="s">
        <v>71</v>
      </c>
      <c r="F3295" t="s">
        <v>80</v>
      </c>
      <c r="G3295">
        <v>32261</v>
      </c>
      <c r="H3295">
        <v>25808.800000000003</v>
      </c>
      <c r="I3295" s="13">
        <v>1</v>
      </c>
      <c r="J3295" t="s">
        <v>6207</v>
      </c>
      <c r="K3295">
        <v>1</v>
      </c>
      <c r="L3295">
        <v>1</v>
      </c>
      <c r="M3295" t="s">
        <v>58</v>
      </c>
      <c r="N3295" s="2">
        <v>0.6</v>
      </c>
      <c r="O3295" s="2">
        <v>0.4</v>
      </c>
      <c r="P3295">
        <v>8</v>
      </c>
      <c r="Q3295">
        <v>15</v>
      </c>
      <c r="R3295">
        <v>3</v>
      </c>
      <c r="S3295">
        <v>3</v>
      </c>
      <c r="T3295">
        <v>9</v>
      </c>
      <c r="U3295">
        <v>8</v>
      </c>
      <c r="V3295">
        <v>1</v>
      </c>
      <c r="W3295">
        <v>0</v>
      </c>
      <c r="X3295">
        <v>0</v>
      </c>
      <c r="Y3295">
        <v>0</v>
      </c>
      <c r="Z3295">
        <v>0</v>
      </c>
    </row>
    <row r="3296" spans="1:26" x14ac:dyDescent="0.2">
      <c r="A3296" t="s">
        <v>3414</v>
      </c>
      <c r="B3296" t="s">
        <v>74</v>
      </c>
      <c r="C3296">
        <v>2017</v>
      </c>
      <c r="D3296" t="s">
        <v>90</v>
      </c>
      <c r="E3296" t="s">
        <v>23</v>
      </c>
      <c r="F3296" t="s">
        <v>91</v>
      </c>
      <c r="G3296">
        <v>31876</v>
      </c>
      <c r="H3296">
        <v>25500.800000000003</v>
      </c>
      <c r="I3296" s="13">
        <v>0.25</v>
      </c>
      <c r="J3296" t="s">
        <v>6208</v>
      </c>
      <c r="K3296">
        <v>3</v>
      </c>
      <c r="L3296">
        <v>1</v>
      </c>
      <c r="M3296" t="s">
        <v>0</v>
      </c>
      <c r="N3296" s="2">
        <v>0.55000000000000004</v>
      </c>
      <c r="O3296" s="2">
        <v>0.45</v>
      </c>
      <c r="P3296">
        <v>11</v>
      </c>
      <c r="Q3296">
        <v>14</v>
      </c>
      <c r="R3296">
        <v>4</v>
      </c>
      <c r="S3296">
        <v>1</v>
      </c>
      <c r="T3296">
        <v>11</v>
      </c>
      <c r="U3296">
        <v>7</v>
      </c>
      <c r="V3296">
        <v>3</v>
      </c>
      <c r="W3296">
        <v>1</v>
      </c>
      <c r="X3296">
        <v>0</v>
      </c>
      <c r="Y3296">
        <v>0</v>
      </c>
      <c r="Z3296">
        <v>0</v>
      </c>
    </row>
    <row r="3297" spans="1:26" x14ac:dyDescent="0.2">
      <c r="A3297" t="s">
        <v>3415</v>
      </c>
      <c r="B3297" t="s">
        <v>81</v>
      </c>
      <c r="C3297">
        <v>2017</v>
      </c>
      <c r="D3297" t="s">
        <v>86</v>
      </c>
      <c r="E3297" t="s">
        <v>27</v>
      </c>
      <c r="F3297" t="s">
        <v>86</v>
      </c>
      <c r="G3297">
        <v>11364</v>
      </c>
      <c r="H3297">
        <v>9091.2000000000007</v>
      </c>
      <c r="I3297" s="13">
        <v>0.8</v>
      </c>
      <c r="J3297" t="s">
        <v>6207</v>
      </c>
      <c r="K3297">
        <v>2</v>
      </c>
      <c r="L3297">
        <v>1</v>
      </c>
      <c r="M3297" t="s">
        <v>0</v>
      </c>
      <c r="N3297" s="2">
        <v>0.56999999999999995</v>
      </c>
      <c r="O3297" s="2">
        <v>0.43</v>
      </c>
      <c r="P3297">
        <v>24</v>
      </c>
      <c r="Q3297">
        <v>16</v>
      </c>
      <c r="R3297">
        <v>8</v>
      </c>
      <c r="S3297">
        <v>1</v>
      </c>
      <c r="T3297">
        <v>14</v>
      </c>
      <c r="U3297">
        <v>19</v>
      </c>
      <c r="V3297">
        <v>2</v>
      </c>
      <c r="W3297">
        <v>3</v>
      </c>
      <c r="X3297">
        <v>0</v>
      </c>
      <c r="Y3297">
        <v>0</v>
      </c>
      <c r="Z3297">
        <v>0</v>
      </c>
    </row>
    <row r="3298" spans="1:26" x14ac:dyDescent="0.2">
      <c r="A3298" t="s">
        <v>3416</v>
      </c>
      <c r="B3298" t="s">
        <v>67</v>
      </c>
      <c r="C3298">
        <v>2017</v>
      </c>
      <c r="D3298" t="s">
        <v>46</v>
      </c>
      <c r="E3298" t="s">
        <v>45</v>
      </c>
      <c r="F3298" t="s">
        <v>20</v>
      </c>
      <c r="G3298">
        <v>60704</v>
      </c>
      <c r="H3298">
        <v>48563.200000000004</v>
      </c>
      <c r="I3298" s="13">
        <v>1</v>
      </c>
      <c r="J3298" t="s">
        <v>6207</v>
      </c>
      <c r="K3298">
        <v>5</v>
      </c>
      <c r="L3298">
        <v>1</v>
      </c>
      <c r="M3298" t="s">
        <v>0</v>
      </c>
      <c r="N3298" s="2">
        <v>0.57999999999999996</v>
      </c>
      <c r="O3298" s="2">
        <v>0.42</v>
      </c>
      <c r="P3298">
        <v>11</v>
      </c>
      <c r="Q3298">
        <v>9</v>
      </c>
      <c r="R3298">
        <v>4</v>
      </c>
      <c r="S3298">
        <v>6</v>
      </c>
      <c r="T3298">
        <v>8</v>
      </c>
      <c r="U3298">
        <v>8</v>
      </c>
      <c r="V3298">
        <v>2</v>
      </c>
      <c r="W3298">
        <v>0</v>
      </c>
      <c r="X3298">
        <v>0</v>
      </c>
      <c r="Y3298">
        <v>0</v>
      </c>
      <c r="Z3298">
        <v>0</v>
      </c>
    </row>
    <row r="3299" spans="1:26" x14ac:dyDescent="0.2">
      <c r="A3299" t="s">
        <v>3417</v>
      </c>
      <c r="B3299" t="s">
        <v>37</v>
      </c>
      <c r="C3299">
        <v>2017</v>
      </c>
      <c r="D3299" t="s">
        <v>79</v>
      </c>
      <c r="E3299" t="s">
        <v>64</v>
      </c>
      <c r="F3299" t="s">
        <v>20</v>
      </c>
      <c r="G3299">
        <v>25486</v>
      </c>
      <c r="H3299">
        <v>20388.800000000003</v>
      </c>
      <c r="I3299" s="13">
        <v>0.5</v>
      </c>
      <c r="J3299" t="s">
        <v>6206</v>
      </c>
      <c r="K3299">
        <v>1</v>
      </c>
      <c r="L3299">
        <v>1</v>
      </c>
      <c r="M3299" t="s">
        <v>58</v>
      </c>
      <c r="N3299" s="2">
        <v>0.54</v>
      </c>
      <c r="O3299" s="2">
        <v>0.46</v>
      </c>
      <c r="P3299">
        <v>10</v>
      </c>
      <c r="Q3299">
        <v>15</v>
      </c>
      <c r="R3299">
        <v>5</v>
      </c>
      <c r="S3299">
        <v>6</v>
      </c>
      <c r="T3299">
        <v>11</v>
      </c>
      <c r="U3299">
        <v>8</v>
      </c>
      <c r="V3299">
        <v>1</v>
      </c>
      <c r="W3299">
        <v>1</v>
      </c>
      <c r="X3299">
        <v>0</v>
      </c>
      <c r="Y3299">
        <v>0</v>
      </c>
      <c r="Z3299">
        <v>1</v>
      </c>
    </row>
    <row r="3300" spans="1:26" x14ac:dyDescent="0.2">
      <c r="A3300" t="s">
        <v>3418</v>
      </c>
      <c r="B3300" t="s">
        <v>68</v>
      </c>
      <c r="C3300">
        <v>2017</v>
      </c>
      <c r="D3300" t="s">
        <v>26</v>
      </c>
      <c r="E3300" t="s">
        <v>51</v>
      </c>
      <c r="F3300" t="s">
        <v>26</v>
      </c>
      <c r="G3300">
        <v>61276</v>
      </c>
      <c r="H3300">
        <v>49020.800000000003</v>
      </c>
      <c r="I3300" s="13">
        <v>0.25</v>
      </c>
      <c r="J3300" t="s">
        <v>6207</v>
      </c>
      <c r="K3300">
        <v>2</v>
      </c>
      <c r="L3300">
        <v>2</v>
      </c>
      <c r="M3300" t="s">
        <v>58</v>
      </c>
      <c r="N3300" s="2">
        <v>0.34</v>
      </c>
      <c r="O3300" s="2">
        <v>0.66</v>
      </c>
      <c r="P3300">
        <v>11</v>
      </c>
      <c r="Q3300">
        <v>15</v>
      </c>
      <c r="R3300">
        <v>3</v>
      </c>
      <c r="S3300">
        <v>7</v>
      </c>
      <c r="T3300">
        <v>15</v>
      </c>
      <c r="U3300">
        <v>9</v>
      </c>
      <c r="V3300">
        <v>3</v>
      </c>
      <c r="W3300">
        <v>1</v>
      </c>
      <c r="X3300">
        <v>0</v>
      </c>
      <c r="Y3300">
        <v>0</v>
      </c>
      <c r="Z3300">
        <v>2</v>
      </c>
    </row>
    <row r="3301" spans="1:26" x14ac:dyDescent="0.2">
      <c r="A3301" t="s">
        <v>3419</v>
      </c>
      <c r="B3301" t="s">
        <v>41</v>
      </c>
      <c r="C3301">
        <v>2017</v>
      </c>
      <c r="D3301" t="s">
        <v>85</v>
      </c>
      <c r="E3301" t="s">
        <v>18</v>
      </c>
      <c r="F3301" t="s">
        <v>85</v>
      </c>
      <c r="G3301">
        <v>22220</v>
      </c>
      <c r="H3301">
        <v>17776</v>
      </c>
      <c r="I3301" s="13">
        <v>0.83333333333333337</v>
      </c>
      <c r="J3301" t="s">
        <v>6207</v>
      </c>
      <c r="K3301">
        <v>4</v>
      </c>
      <c r="L3301">
        <v>1</v>
      </c>
      <c r="M3301" t="s">
        <v>0</v>
      </c>
      <c r="N3301" s="2">
        <v>0.45</v>
      </c>
      <c r="O3301" s="2">
        <v>0.55000000000000004</v>
      </c>
      <c r="P3301">
        <v>8</v>
      </c>
      <c r="Q3301">
        <v>12</v>
      </c>
      <c r="R3301">
        <v>6</v>
      </c>
      <c r="S3301">
        <v>2</v>
      </c>
      <c r="T3301">
        <v>11</v>
      </c>
      <c r="U3301">
        <v>8</v>
      </c>
      <c r="V3301">
        <v>2</v>
      </c>
      <c r="W3301">
        <v>3</v>
      </c>
      <c r="X3301">
        <v>0</v>
      </c>
      <c r="Y3301">
        <v>1</v>
      </c>
      <c r="Z3301">
        <v>1</v>
      </c>
    </row>
    <row r="3302" spans="1:26" x14ac:dyDescent="0.2">
      <c r="A3302" t="s">
        <v>3420</v>
      </c>
      <c r="B3302" t="s">
        <v>61</v>
      </c>
      <c r="C3302">
        <v>2017</v>
      </c>
      <c r="D3302" t="s">
        <v>51</v>
      </c>
      <c r="E3302" t="s">
        <v>46</v>
      </c>
      <c r="F3302" t="s">
        <v>20</v>
      </c>
      <c r="G3302">
        <v>36284</v>
      </c>
      <c r="H3302">
        <v>29027.200000000001</v>
      </c>
      <c r="I3302" s="13">
        <v>0.66666666666666663</v>
      </c>
      <c r="J3302" t="s">
        <v>6207</v>
      </c>
      <c r="K3302">
        <v>1</v>
      </c>
      <c r="L3302">
        <v>0</v>
      </c>
      <c r="M3302" t="s">
        <v>0</v>
      </c>
      <c r="N3302" s="2">
        <v>0.5</v>
      </c>
      <c r="O3302" s="2">
        <v>0.5</v>
      </c>
      <c r="P3302">
        <v>15</v>
      </c>
      <c r="Q3302">
        <v>15</v>
      </c>
      <c r="R3302">
        <v>10</v>
      </c>
      <c r="S3302">
        <v>2</v>
      </c>
      <c r="T3302">
        <v>13</v>
      </c>
      <c r="U3302">
        <v>9</v>
      </c>
      <c r="V3302">
        <v>2</v>
      </c>
      <c r="W3302">
        <v>1</v>
      </c>
      <c r="X3302">
        <v>0</v>
      </c>
      <c r="Y3302">
        <v>0</v>
      </c>
      <c r="Z3302">
        <v>0</v>
      </c>
    </row>
    <row r="3303" spans="1:26" x14ac:dyDescent="0.2">
      <c r="A3303" t="s">
        <v>3421</v>
      </c>
      <c r="B3303" t="s">
        <v>83</v>
      </c>
      <c r="C3303">
        <v>2017</v>
      </c>
      <c r="D3303" t="s">
        <v>23</v>
      </c>
      <c r="E3303" t="s">
        <v>85</v>
      </c>
      <c r="F3303" t="s">
        <v>20</v>
      </c>
      <c r="G3303">
        <v>62500</v>
      </c>
      <c r="H3303">
        <v>50000</v>
      </c>
      <c r="I3303" s="13">
        <v>1</v>
      </c>
      <c r="J3303" t="s">
        <v>6208</v>
      </c>
      <c r="K3303">
        <v>2</v>
      </c>
      <c r="L3303">
        <v>0</v>
      </c>
      <c r="M3303" t="s">
        <v>0</v>
      </c>
      <c r="N3303" s="2">
        <v>0.36</v>
      </c>
      <c r="O3303" s="2">
        <v>0.64</v>
      </c>
      <c r="P3303">
        <v>8</v>
      </c>
      <c r="Q3303">
        <v>14</v>
      </c>
      <c r="R3303">
        <v>8</v>
      </c>
      <c r="S3303">
        <v>7</v>
      </c>
      <c r="T3303">
        <v>11</v>
      </c>
      <c r="U3303">
        <v>7</v>
      </c>
      <c r="V3303">
        <v>1</v>
      </c>
      <c r="W3303">
        <v>1</v>
      </c>
      <c r="X3303">
        <v>0</v>
      </c>
      <c r="Y3303">
        <v>0</v>
      </c>
      <c r="Z3303">
        <v>0</v>
      </c>
    </row>
    <row r="3304" spans="1:26" x14ac:dyDescent="0.2">
      <c r="A3304" t="s">
        <v>3422</v>
      </c>
      <c r="B3304" t="s">
        <v>37</v>
      </c>
      <c r="C3304">
        <v>2017</v>
      </c>
      <c r="D3304" t="s">
        <v>71</v>
      </c>
      <c r="E3304" t="s">
        <v>28</v>
      </c>
      <c r="F3304" t="s">
        <v>71</v>
      </c>
      <c r="G3304">
        <v>21088</v>
      </c>
      <c r="H3304">
        <v>16870.400000000001</v>
      </c>
      <c r="I3304" s="13">
        <v>1</v>
      </c>
      <c r="J3304" t="s">
        <v>6206</v>
      </c>
      <c r="K3304">
        <v>1</v>
      </c>
      <c r="L3304">
        <v>0</v>
      </c>
      <c r="M3304" t="s">
        <v>0</v>
      </c>
      <c r="N3304" s="2">
        <v>0.57999999999999996</v>
      </c>
      <c r="O3304" s="2">
        <v>0.42</v>
      </c>
      <c r="P3304">
        <v>9</v>
      </c>
      <c r="Q3304">
        <v>12</v>
      </c>
      <c r="R3304">
        <v>5</v>
      </c>
      <c r="S3304">
        <v>2</v>
      </c>
      <c r="T3304">
        <v>10</v>
      </c>
      <c r="U3304">
        <v>9</v>
      </c>
      <c r="V3304">
        <v>2</v>
      </c>
      <c r="W3304">
        <v>1</v>
      </c>
      <c r="X3304">
        <v>0</v>
      </c>
      <c r="Y3304">
        <v>0</v>
      </c>
      <c r="Z3304">
        <v>0</v>
      </c>
    </row>
    <row r="3305" spans="1:26" x14ac:dyDescent="0.2">
      <c r="A3305" t="s">
        <v>3423</v>
      </c>
      <c r="B3305" t="s">
        <v>77</v>
      </c>
      <c r="C3305">
        <v>2017</v>
      </c>
      <c r="D3305" t="s">
        <v>27</v>
      </c>
      <c r="E3305" t="s">
        <v>90</v>
      </c>
      <c r="F3305" t="s">
        <v>27</v>
      </c>
      <c r="G3305">
        <v>30089</v>
      </c>
      <c r="H3305">
        <v>24071.200000000001</v>
      </c>
      <c r="I3305" s="13">
        <v>0</v>
      </c>
      <c r="J3305" t="s">
        <v>6207</v>
      </c>
      <c r="K3305">
        <v>1</v>
      </c>
      <c r="L3305">
        <v>1</v>
      </c>
      <c r="M3305" t="s">
        <v>58</v>
      </c>
      <c r="N3305" s="2">
        <v>0.56999999999999995</v>
      </c>
      <c r="O3305" s="2">
        <v>0.43</v>
      </c>
      <c r="P3305">
        <v>12</v>
      </c>
      <c r="Q3305">
        <v>7</v>
      </c>
      <c r="R3305">
        <v>7</v>
      </c>
      <c r="S3305">
        <v>4</v>
      </c>
      <c r="T3305">
        <v>6</v>
      </c>
      <c r="U3305">
        <v>10</v>
      </c>
      <c r="V3305">
        <v>0</v>
      </c>
      <c r="W3305">
        <v>0</v>
      </c>
      <c r="X3305">
        <v>0</v>
      </c>
      <c r="Y3305">
        <v>0</v>
      </c>
      <c r="Z3305">
        <v>1</v>
      </c>
    </row>
    <row r="3306" spans="1:26" x14ac:dyDescent="0.2">
      <c r="A3306" t="s">
        <v>3424</v>
      </c>
      <c r="B3306" t="s">
        <v>68</v>
      </c>
      <c r="C3306">
        <v>2017</v>
      </c>
      <c r="D3306" t="s">
        <v>45</v>
      </c>
      <c r="E3306" t="s">
        <v>79</v>
      </c>
      <c r="F3306" t="s">
        <v>26</v>
      </c>
      <c r="G3306">
        <v>39572</v>
      </c>
      <c r="H3306">
        <v>31657.600000000002</v>
      </c>
      <c r="I3306" s="13">
        <v>0</v>
      </c>
      <c r="J3306" t="s">
        <v>6207</v>
      </c>
      <c r="K3306">
        <v>3</v>
      </c>
      <c r="L3306">
        <v>1</v>
      </c>
      <c r="M3306" t="s">
        <v>0</v>
      </c>
      <c r="N3306" s="2">
        <v>0.53</v>
      </c>
      <c r="O3306" s="2">
        <v>0.47</v>
      </c>
      <c r="P3306">
        <v>17</v>
      </c>
      <c r="Q3306">
        <v>15</v>
      </c>
      <c r="R3306">
        <v>8</v>
      </c>
      <c r="S3306">
        <v>7</v>
      </c>
      <c r="T3306">
        <v>14</v>
      </c>
      <c r="U3306">
        <v>15</v>
      </c>
      <c r="V3306">
        <v>1</v>
      </c>
      <c r="W3306">
        <v>1</v>
      </c>
      <c r="X3306">
        <v>0</v>
      </c>
      <c r="Y3306">
        <v>0</v>
      </c>
      <c r="Z3306">
        <v>1</v>
      </c>
    </row>
    <row r="3307" spans="1:26" x14ac:dyDescent="0.2">
      <c r="A3307" t="s">
        <v>3425</v>
      </c>
      <c r="B3307" t="s">
        <v>53</v>
      </c>
      <c r="C3307">
        <v>2017</v>
      </c>
      <c r="D3307" t="s">
        <v>40</v>
      </c>
      <c r="E3307" t="s">
        <v>80</v>
      </c>
      <c r="F3307" t="s">
        <v>49</v>
      </c>
      <c r="G3307">
        <v>53400</v>
      </c>
      <c r="H3307">
        <v>42720</v>
      </c>
      <c r="I3307" s="13">
        <v>0.6</v>
      </c>
      <c r="J3307" t="s">
        <v>6207</v>
      </c>
      <c r="K3307">
        <v>5</v>
      </c>
      <c r="L3307">
        <v>1</v>
      </c>
      <c r="M3307" t="s">
        <v>0</v>
      </c>
      <c r="N3307" s="2">
        <v>0.7</v>
      </c>
      <c r="O3307" s="2">
        <v>0.3</v>
      </c>
      <c r="P3307">
        <v>14</v>
      </c>
      <c r="Q3307">
        <v>10</v>
      </c>
      <c r="R3307">
        <v>8</v>
      </c>
      <c r="S3307">
        <v>2</v>
      </c>
      <c r="T3307">
        <v>10</v>
      </c>
      <c r="U3307">
        <v>12</v>
      </c>
      <c r="V3307">
        <v>2</v>
      </c>
      <c r="W3307">
        <v>3</v>
      </c>
      <c r="X3307">
        <v>0</v>
      </c>
      <c r="Y3307">
        <v>0</v>
      </c>
      <c r="Z3307">
        <v>0</v>
      </c>
    </row>
    <row r="3308" spans="1:26" x14ac:dyDescent="0.2">
      <c r="A3308" t="s">
        <v>3426</v>
      </c>
      <c r="B3308" t="s">
        <v>66</v>
      </c>
      <c r="C3308">
        <v>2017</v>
      </c>
      <c r="D3308" t="s">
        <v>89</v>
      </c>
      <c r="E3308" t="s">
        <v>86</v>
      </c>
      <c r="F3308" t="s">
        <v>89</v>
      </c>
      <c r="G3308">
        <v>24500</v>
      </c>
      <c r="H3308">
        <v>19600</v>
      </c>
      <c r="I3308" s="13">
        <v>0.33333333333333331</v>
      </c>
      <c r="J3308" t="s">
        <v>6207</v>
      </c>
      <c r="K3308">
        <v>4</v>
      </c>
      <c r="L3308">
        <v>1</v>
      </c>
      <c r="M3308" t="s">
        <v>0</v>
      </c>
      <c r="N3308" s="2">
        <v>0.51</v>
      </c>
      <c r="O3308" s="2">
        <v>0.49</v>
      </c>
      <c r="P3308">
        <v>16</v>
      </c>
      <c r="Q3308">
        <v>15</v>
      </c>
      <c r="R3308">
        <v>2</v>
      </c>
      <c r="S3308">
        <v>6</v>
      </c>
      <c r="T3308">
        <v>12</v>
      </c>
      <c r="U3308">
        <v>12</v>
      </c>
      <c r="V3308">
        <v>0</v>
      </c>
      <c r="W3308">
        <v>3</v>
      </c>
      <c r="X3308">
        <v>0</v>
      </c>
      <c r="Y3308">
        <v>0</v>
      </c>
      <c r="Z3308">
        <v>1</v>
      </c>
    </row>
    <row r="3309" spans="1:26" x14ac:dyDescent="0.2">
      <c r="A3309" t="s">
        <v>3427</v>
      </c>
      <c r="B3309" t="s">
        <v>76</v>
      </c>
      <c r="C3309">
        <v>2017</v>
      </c>
      <c r="D3309" t="s">
        <v>64</v>
      </c>
      <c r="E3309" t="s">
        <v>48</v>
      </c>
      <c r="F3309" t="s">
        <v>64</v>
      </c>
      <c r="G3309">
        <v>52264</v>
      </c>
      <c r="H3309">
        <v>41811.200000000004</v>
      </c>
      <c r="I3309" s="13">
        <v>0.5</v>
      </c>
      <c r="J3309" t="s">
        <v>6207</v>
      </c>
      <c r="K3309">
        <v>1</v>
      </c>
      <c r="L3309">
        <v>0</v>
      </c>
      <c r="M3309" t="s">
        <v>0</v>
      </c>
      <c r="N3309" s="2">
        <v>0.36</v>
      </c>
      <c r="O3309" s="2">
        <v>0.64</v>
      </c>
      <c r="P3309">
        <v>16</v>
      </c>
      <c r="Q3309">
        <v>15</v>
      </c>
      <c r="R3309">
        <v>0</v>
      </c>
      <c r="S3309">
        <v>10</v>
      </c>
      <c r="T3309">
        <v>12</v>
      </c>
      <c r="U3309">
        <v>15</v>
      </c>
      <c r="V3309">
        <v>0</v>
      </c>
      <c r="W3309">
        <v>2</v>
      </c>
      <c r="X3309">
        <v>0</v>
      </c>
      <c r="Y3309">
        <v>0</v>
      </c>
      <c r="Z3309">
        <v>0</v>
      </c>
    </row>
    <row r="3310" spans="1:26" x14ac:dyDescent="0.2">
      <c r="A3310" t="s">
        <v>3428</v>
      </c>
      <c r="B3310" t="s">
        <v>32</v>
      </c>
      <c r="C3310">
        <v>2017</v>
      </c>
      <c r="D3310" t="s">
        <v>73</v>
      </c>
      <c r="E3310" t="s">
        <v>26</v>
      </c>
      <c r="F3310" t="s">
        <v>73</v>
      </c>
      <c r="G3310">
        <v>32384</v>
      </c>
      <c r="H3310">
        <v>25907.200000000001</v>
      </c>
      <c r="I3310" s="13">
        <v>1</v>
      </c>
      <c r="J3310" t="s">
        <v>6207</v>
      </c>
      <c r="K3310">
        <v>0</v>
      </c>
      <c r="L3310">
        <v>2</v>
      </c>
      <c r="M3310" t="s">
        <v>1</v>
      </c>
      <c r="N3310" s="2">
        <v>0.52</v>
      </c>
      <c r="O3310" s="2">
        <v>0.48</v>
      </c>
      <c r="P3310">
        <v>9</v>
      </c>
      <c r="Q3310">
        <v>10</v>
      </c>
      <c r="R3310">
        <v>3</v>
      </c>
      <c r="S3310">
        <v>1</v>
      </c>
      <c r="T3310">
        <v>5</v>
      </c>
      <c r="U3310">
        <v>8</v>
      </c>
      <c r="V3310">
        <v>1</v>
      </c>
      <c r="W3310">
        <v>2</v>
      </c>
      <c r="X3310">
        <v>0</v>
      </c>
      <c r="Y3310">
        <v>0</v>
      </c>
      <c r="Z3310">
        <v>0</v>
      </c>
    </row>
    <row r="3311" spans="1:26" x14ac:dyDescent="0.2">
      <c r="A3311" t="s">
        <v>3429</v>
      </c>
      <c r="B3311" t="s">
        <v>50</v>
      </c>
      <c r="C3311">
        <v>2017</v>
      </c>
      <c r="D3311" t="s">
        <v>18</v>
      </c>
      <c r="E3311" t="s">
        <v>63</v>
      </c>
      <c r="F3311" t="s">
        <v>20</v>
      </c>
      <c r="G3311">
        <v>40341</v>
      </c>
      <c r="H3311">
        <v>32272.800000000003</v>
      </c>
      <c r="I3311" s="13">
        <v>0</v>
      </c>
      <c r="J3311" t="s">
        <v>6207</v>
      </c>
      <c r="K3311">
        <v>3</v>
      </c>
      <c r="L3311">
        <v>0</v>
      </c>
      <c r="M3311" t="s">
        <v>0</v>
      </c>
      <c r="N3311" s="2">
        <v>0.56999999999999995</v>
      </c>
      <c r="O3311" s="2">
        <v>0.43</v>
      </c>
      <c r="P3311">
        <v>14</v>
      </c>
      <c r="Q3311">
        <v>12</v>
      </c>
      <c r="R3311">
        <v>8</v>
      </c>
      <c r="S3311">
        <v>7</v>
      </c>
      <c r="T3311">
        <v>11</v>
      </c>
      <c r="U3311">
        <v>11</v>
      </c>
      <c r="V3311">
        <v>0</v>
      </c>
      <c r="W3311">
        <v>2</v>
      </c>
      <c r="X3311">
        <v>0</v>
      </c>
      <c r="Y3311">
        <v>0</v>
      </c>
      <c r="Z3311">
        <v>0</v>
      </c>
    </row>
    <row r="3312" spans="1:26" x14ac:dyDescent="0.2">
      <c r="A3312" t="s">
        <v>3430</v>
      </c>
      <c r="B3312" t="s">
        <v>66</v>
      </c>
      <c r="C3312">
        <v>2017</v>
      </c>
      <c r="D3312" t="s">
        <v>80</v>
      </c>
      <c r="E3312" t="s">
        <v>27</v>
      </c>
      <c r="F3312" t="s">
        <v>80</v>
      </c>
      <c r="G3312">
        <v>32261</v>
      </c>
      <c r="H3312">
        <v>25808.800000000003</v>
      </c>
      <c r="I3312" s="13">
        <v>0.25</v>
      </c>
      <c r="J3312" t="s">
        <v>6207</v>
      </c>
      <c r="K3312">
        <v>1</v>
      </c>
      <c r="L3312">
        <v>1</v>
      </c>
      <c r="M3312" t="s">
        <v>58</v>
      </c>
      <c r="N3312" s="2">
        <v>0.66</v>
      </c>
      <c r="O3312" s="2">
        <v>0.34</v>
      </c>
      <c r="P3312">
        <v>19</v>
      </c>
      <c r="Q3312">
        <v>10</v>
      </c>
      <c r="R3312">
        <v>13</v>
      </c>
      <c r="S3312">
        <v>1</v>
      </c>
      <c r="T3312">
        <v>10</v>
      </c>
      <c r="U3312">
        <v>16</v>
      </c>
      <c r="V3312">
        <v>1</v>
      </c>
      <c r="W3312">
        <v>3</v>
      </c>
      <c r="X3312">
        <v>0</v>
      </c>
      <c r="Y3312">
        <v>0</v>
      </c>
      <c r="Z3312">
        <v>0</v>
      </c>
    </row>
    <row r="3313" spans="1:26" x14ac:dyDescent="0.2">
      <c r="A3313" t="s">
        <v>3431</v>
      </c>
      <c r="B3313" t="s">
        <v>68</v>
      </c>
      <c r="C3313">
        <v>2017</v>
      </c>
      <c r="D3313" t="s">
        <v>63</v>
      </c>
      <c r="E3313" t="s">
        <v>89</v>
      </c>
      <c r="F3313" t="s">
        <v>65</v>
      </c>
      <c r="G3313">
        <v>26804</v>
      </c>
      <c r="H3313">
        <v>21443.200000000001</v>
      </c>
      <c r="I3313" s="13">
        <v>0.5</v>
      </c>
      <c r="J3313" t="s">
        <v>6207</v>
      </c>
      <c r="K3313">
        <v>1</v>
      </c>
      <c r="L3313">
        <v>2</v>
      </c>
      <c r="M3313" t="s">
        <v>1</v>
      </c>
      <c r="N3313" s="2">
        <v>0.53</v>
      </c>
      <c r="O3313" s="2">
        <v>0.47</v>
      </c>
      <c r="P3313">
        <v>14</v>
      </c>
      <c r="Q3313">
        <v>18</v>
      </c>
      <c r="R3313">
        <v>6</v>
      </c>
      <c r="S3313">
        <v>3</v>
      </c>
      <c r="T3313">
        <v>11</v>
      </c>
      <c r="U3313">
        <v>9</v>
      </c>
      <c r="V3313">
        <v>1</v>
      </c>
      <c r="W3313">
        <v>1</v>
      </c>
      <c r="X3313">
        <v>0</v>
      </c>
      <c r="Y3313">
        <v>0</v>
      </c>
      <c r="Z3313">
        <v>0</v>
      </c>
    </row>
    <row r="3314" spans="1:26" x14ac:dyDescent="0.2">
      <c r="A3314" t="s">
        <v>3432</v>
      </c>
      <c r="B3314" t="s">
        <v>59</v>
      </c>
      <c r="C3314">
        <v>2017</v>
      </c>
      <c r="D3314" t="s">
        <v>26</v>
      </c>
      <c r="E3314" t="s">
        <v>23</v>
      </c>
      <c r="F3314" t="s">
        <v>26</v>
      </c>
      <c r="G3314">
        <v>61276</v>
      </c>
      <c r="H3314">
        <v>49020.800000000003</v>
      </c>
      <c r="I3314" s="13">
        <v>0.5</v>
      </c>
      <c r="J3314" t="s">
        <v>6206</v>
      </c>
      <c r="K3314">
        <v>4</v>
      </c>
      <c r="L3314">
        <v>1</v>
      </c>
      <c r="M3314" t="s">
        <v>0</v>
      </c>
      <c r="N3314" s="2">
        <v>0.68</v>
      </c>
      <c r="O3314" s="2">
        <v>0.32</v>
      </c>
      <c r="P3314">
        <v>9</v>
      </c>
      <c r="Q3314">
        <v>8</v>
      </c>
      <c r="R3314">
        <v>8</v>
      </c>
      <c r="S3314">
        <v>2</v>
      </c>
      <c r="T3314">
        <v>7</v>
      </c>
      <c r="U3314">
        <v>7</v>
      </c>
      <c r="V3314">
        <v>0</v>
      </c>
      <c r="W3314">
        <v>2</v>
      </c>
      <c r="X3314">
        <v>0</v>
      </c>
      <c r="Y3314">
        <v>0</v>
      </c>
      <c r="Z3314">
        <v>0</v>
      </c>
    </row>
    <row r="3315" spans="1:26" x14ac:dyDescent="0.2">
      <c r="A3315" t="s">
        <v>3433</v>
      </c>
      <c r="B3315" t="s">
        <v>77</v>
      </c>
      <c r="C3315">
        <v>2017</v>
      </c>
      <c r="D3315" t="s">
        <v>28</v>
      </c>
      <c r="E3315" t="s">
        <v>73</v>
      </c>
      <c r="F3315" t="s">
        <v>28</v>
      </c>
      <c r="G3315">
        <v>21944</v>
      </c>
      <c r="H3315">
        <v>17555.2</v>
      </c>
      <c r="I3315" s="13">
        <v>0</v>
      </c>
      <c r="J3315" t="s">
        <v>6207</v>
      </c>
      <c r="K3315">
        <v>1</v>
      </c>
      <c r="L3315">
        <v>1</v>
      </c>
      <c r="M3315" t="s">
        <v>58</v>
      </c>
      <c r="N3315" s="2">
        <v>0.5</v>
      </c>
      <c r="O3315" s="2">
        <v>0.5</v>
      </c>
      <c r="P3315">
        <v>14</v>
      </c>
      <c r="Q3315">
        <v>9</v>
      </c>
      <c r="R3315">
        <v>7</v>
      </c>
      <c r="S3315">
        <v>5</v>
      </c>
      <c r="T3315">
        <v>8</v>
      </c>
      <c r="U3315">
        <v>14</v>
      </c>
      <c r="V3315">
        <v>1</v>
      </c>
      <c r="W3315">
        <v>0</v>
      </c>
      <c r="X3315">
        <v>0</v>
      </c>
      <c r="Y3315">
        <v>0</v>
      </c>
      <c r="Z3315">
        <v>0</v>
      </c>
    </row>
    <row r="3316" spans="1:26" x14ac:dyDescent="0.2">
      <c r="A3316" t="s">
        <v>3434</v>
      </c>
      <c r="B3316" t="s">
        <v>41</v>
      </c>
      <c r="C3316">
        <v>2017</v>
      </c>
      <c r="D3316" t="s">
        <v>90</v>
      </c>
      <c r="E3316" t="s">
        <v>71</v>
      </c>
      <c r="F3316" t="s">
        <v>91</v>
      </c>
      <c r="G3316">
        <v>31876</v>
      </c>
      <c r="H3316">
        <v>25500.800000000003</v>
      </c>
      <c r="I3316" s="13">
        <v>0</v>
      </c>
      <c r="J3316" t="s">
        <v>6207</v>
      </c>
      <c r="K3316">
        <v>4</v>
      </c>
      <c r="L3316">
        <v>1</v>
      </c>
      <c r="M3316" t="s">
        <v>0</v>
      </c>
      <c r="N3316" s="2">
        <v>0.48</v>
      </c>
      <c r="O3316" s="2">
        <v>0.52</v>
      </c>
      <c r="P3316">
        <v>5</v>
      </c>
      <c r="Q3316">
        <v>21</v>
      </c>
      <c r="R3316">
        <v>3</v>
      </c>
      <c r="S3316">
        <v>5</v>
      </c>
      <c r="T3316">
        <v>17</v>
      </c>
      <c r="U3316">
        <v>6</v>
      </c>
      <c r="V3316">
        <v>1</v>
      </c>
      <c r="W3316">
        <v>0</v>
      </c>
      <c r="X3316">
        <v>0</v>
      </c>
      <c r="Y3316">
        <v>0</v>
      </c>
      <c r="Z3316">
        <v>1</v>
      </c>
    </row>
    <row r="3317" spans="1:26" x14ac:dyDescent="0.2">
      <c r="A3317" t="s">
        <v>3435</v>
      </c>
      <c r="B3317" t="s">
        <v>74</v>
      </c>
      <c r="C3317">
        <v>2017</v>
      </c>
      <c r="D3317" t="s">
        <v>86</v>
      </c>
      <c r="E3317" t="s">
        <v>64</v>
      </c>
      <c r="F3317" t="s">
        <v>86</v>
      </c>
      <c r="G3317">
        <v>11364</v>
      </c>
      <c r="H3317">
        <v>9091.2000000000007</v>
      </c>
      <c r="I3317" s="13">
        <v>0.8</v>
      </c>
      <c r="J3317" t="s">
        <v>6208</v>
      </c>
      <c r="K3317">
        <v>2</v>
      </c>
      <c r="L3317">
        <v>2</v>
      </c>
      <c r="M3317" t="s">
        <v>58</v>
      </c>
      <c r="N3317" s="2">
        <v>0.64</v>
      </c>
      <c r="O3317" s="2">
        <v>0.36</v>
      </c>
      <c r="P3317">
        <v>14</v>
      </c>
      <c r="Q3317">
        <v>12</v>
      </c>
      <c r="R3317">
        <v>8</v>
      </c>
      <c r="S3317">
        <v>1</v>
      </c>
      <c r="T3317">
        <v>12</v>
      </c>
      <c r="U3317">
        <v>10</v>
      </c>
      <c r="V3317">
        <v>1</v>
      </c>
      <c r="W3317">
        <v>4</v>
      </c>
      <c r="X3317">
        <v>0</v>
      </c>
      <c r="Y3317">
        <v>0</v>
      </c>
      <c r="Z3317">
        <v>0</v>
      </c>
    </row>
    <row r="3318" spans="1:26" x14ac:dyDescent="0.2">
      <c r="A3318" t="s">
        <v>3436</v>
      </c>
      <c r="B3318" t="s">
        <v>61</v>
      </c>
      <c r="C3318">
        <v>2017</v>
      </c>
      <c r="D3318" t="s">
        <v>85</v>
      </c>
      <c r="E3318" t="s">
        <v>45</v>
      </c>
      <c r="F3318" t="s">
        <v>85</v>
      </c>
      <c r="G3318">
        <v>22220</v>
      </c>
      <c r="H3318">
        <v>17776</v>
      </c>
      <c r="I3318" s="13">
        <v>1</v>
      </c>
      <c r="J3318" t="s">
        <v>6207</v>
      </c>
      <c r="K3318">
        <v>1</v>
      </c>
      <c r="L3318">
        <v>0</v>
      </c>
      <c r="M3318" t="s">
        <v>0</v>
      </c>
      <c r="N3318" s="2">
        <v>0.54</v>
      </c>
      <c r="O3318" s="2">
        <v>0.46</v>
      </c>
      <c r="P3318">
        <v>10</v>
      </c>
      <c r="Q3318">
        <v>10</v>
      </c>
      <c r="R3318">
        <v>6</v>
      </c>
      <c r="S3318">
        <v>5</v>
      </c>
      <c r="T3318">
        <v>10</v>
      </c>
      <c r="U3318">
        <v>9</v>
      </c>
      <c r="V3318">
        <v>3</v>
      </c>
      <c r="W3318">
        <v>1</v>
      </c>
      <c r="X3318">
        <v>0</v>
      </c>
      <c r="Y3318">
        <v>0</v>
      </c>
      <c r="Z3318">
        <v>0</v>
      </c>
    </row>
    <row r="3319" spans="1:26" x14ac:dyDescent="0.2">
      <c r="A3319" t="s">
        <v>3437</v>
      </c>
      <c r="B3319" t="s">
        <v>60</v>
      </c>
      <c r="C3319">
        <v>2017</v>
      </c>
      <c r="D3319" t="s">
        <v>79</v>
      </c>
      <c r="E3319" t="s">
        <v>51</v>
      </c>
      <c r="F3319" t="s">
        <v>20</v>
      </c>
      <c r="G3319">
        <v>25486</v>
      </c>
      <c r="H3319">
        <v>20388.800000000003</v>
      </c>
      <c r="I3319" s="13">
        <v>1</v>
      </c>
      <c r="J3319" t="s">
        <v>6208</v>
      </c>
      <c r="K3319">
        <v>0</v>
      </c>
      <c r="L3319">
        <v>1</v>
      </c>
      <c r="M3319" t="s">
        <v>1</v>
      </c>
      <c r="N3319" s="2">
        <v>0.24</v>
      </c>
      <c r="O3319" s="2">
        <v>0.76</v>
      </c>
      <c r="P3319">
        <v>6</v>
      </c>
      <c r="Q3319">
        <v>12</v>
      </c>
      <c r="R3319">
        <v>3</v>
      </c>
      <c r="S3319">
        <v>13</v>
      </c>
      <c r="T3319">
        <v>12</v>
      </c>
      <c r="U3319">
        <v>5</v>
      </c>
      <c r="V3319">
        <v>0</v>
      </c>
      <c r="W3319">
        <v>1</v>
      </c>
      <c r="X3319">
        <v>0</v>
      </c>
      <c r="Y3319">
        <v>0</v>
      </c>
      <c r="Z3319">
        <v>0</v>
      </c>
    </row>
    <row r="3320" spans="1:26" x14ac:dyDescent="0.2">
      <c r="A3320" t="s">
        <v>3438</v>
      </c>
      <c r="B3320" t="s">
        <v>32</v>
      </c>
      <c r="C3320">
        <v>2017</v>
      </c>
      <c r="D3320" t="s">
        <v>48</v>
      </c>
      <c r="E3320" t="s">
        <v>18</v>
      </c>
      <c r="F3320" t="s">
        <v>49</v>
      </c>
      <c r="G3320">
        <v>74197</v>
      </c>
      <c r="H3320">
        <v>59357.600000000006</v>
      </c>
      <c r="I3320" s="13">
        <v>1</v>
      </c>
      <c r="J3320" t="s">
        <v>6207</v>
      </c>
      <c r="K3320">
        <v>2</v>
      </c>
      <c r="L3320">
        <v>1</v>
      </c>
      <c r="M3320" t="s">
        <v>0</v>
      </c>
      <c r="N3320" s="2">
        <v>0.44</v>
      </c>
      <c r="O3320" s="2">
        <v>0.56000000000000005</v>
      </c>
      <c r="P3320">
        <v>18</v>
      </c>
      <c r="Q3320">
        <v>15</v>
      </c>
      <c r="R3320">
        <v>3</v>
      </c>
      <c r="S3320">
        <v>4</v>
      </c>
      <c r="T3320">
        <v>13</v>
      </c>
      <c r="U3320">
        <v>12</v>
      </c>
      <c r="V3320">
        <v>2</v>
      </c>
      <c r="W3320">
        <v>2</v>
      </c>
      <c r="X3320">
        <v>0</v>
      </c>
      <c r="Y3320">
        <v>0</v>
      </c>
      <c r="Z3320">
        <v>0</v>
      </c>
    </row>
    <row r="3321" spans="1:26" x14ac:dyDescent="0.2">
      <c r="A3321" t="s">
        <v>3439</v>
      </c>
      <c r="B3321" t="s">
        <v>37</v>
      </c>
      <c r="C3321">
        <v>2017</v>
      </c>
      <c r="D3321" t="s">
        <v>46</v>
      </c>
      <c r="E3321" t="s">
        <v>40</v>
      </c>
      <c r="F3321" t="s">
        <v>20</v>
      </c>
      <c r="G3321">
        <v>60704</v>
      </c>
      <c r="H3321">
        <v>48563.200000000004</v>
      </c>
      <c r="I3321" s="13">
        <v>1</v>
      </c>
      <c r="J3321" t="s">
        <v>6206</v>
      </c>
      <c r="K3321">
        <v>0</v>
      </c>
      <c r="L3321">
        <v>3</v>
      </c>
      <c r="M3321" t="s">
        <v>1</v>
      </c>
      <c r="N3321" s="2">
        <v>0.46</v>
      </c>
      <c r="O3321" s="2">
        <v>0.54</v>
      </c>
      <c r="P3321">
        <v>11</v>
      </c>
      <c r="Q3321">
        <v>11</v>
      </c>
      <c r="R3321">
        <v>6</v>
      </c>
      <c r="S3321">
        <v>1</v>
      </c>
      <c r="T3321">
        <v>11</v>
      </c>
      <c r="U3321">
        <v>11</v>
      </c>
      <c r="V3321">
        <v>1</v>
      </c>
      <c r="W3321">
        <v>1</v>
      </c>
      <c r="X3321">
        <v>0</v>
      </c>
      <c r="Y3321">
        <v>0</v>
      </c>
      <c r="Z3321">
        <v>1</v>
      </c>
    </row>
    <row r="3322" spans="1:26" x14ac:dyDescent="0.2">
      <c r="A3322" t="s">
        <v>3440</v>
      </c>
      <c r="B3322" t="s">
        <v>88</v>
      </c>
      <c r="C3322">
        <v>2017</v>
      </c>
      <c r="D3322" t="s">
        <v>28</v>
      </c>
      <c r="E3322" t="s">
        <v>45</v>
      </c>
      <c r="F3322" t="s">
        <v>28</v>
      </c>
      <c r="G3322">
        <v>21944</v>
      </c>
      <c r="H3322">
        <v>17555.2</v>
      </c>
      <c r="I3322" s="13">
        <v>0</v>
      </c>
      <c r="J3322" t="s">
        <v>6207</v>
      </c>
      <c r="K3322">
        <v>2</v>
      </c>
      <c r="L3322">
        <v>1</v>
      </c>
      <c r="M3322" t="s">
        <v>0</v>
      </c>
      <c r="N3322" s="2">
        <v>0.55000000000000004</v>
      </c>
      <c r="O3322" s="2">
        <v>0.45</v>
      </c>
      <c r="P3322">
        <v>14</v>
      </c>
      <c r="Q3322">
        <v>13</v>
      </c>
      <c r="R3322">
        <v>10</v>
      </c>
      <c r="S3322">
        <v>4</v>
      </c>
      <c r="T3322">
        <v>9</v>
      </c>
      <c r="U3322">
        <v>12</v>
      </c>
      <c r="V3322">
        <v>1</v>
      </c>
      <c r="W3322">
        <v>1</v>
      </c>
      <c r="X3322">
        <v>0</v>
      </c>
      <c r="Y3322">
        <v>1</v>
      </c>
      <c r="Z3322">
        <v>0</v>
      </c>
    </row>
    <row r="3323" spans="1:26" x14ac:dyDescent="0.2">
      <c r="A3323" t="s">
        <v>3441</v>
      </c>
      <c r="B3323" t="s">
        <v>81</v>
      </c>
      <c r="C3323">
        <v>2017</v>
      </c>
      <c r="D3323" t="s">
        <v>85</v>
      </c>
      <c r="E3323" t="s">
        <v>63</v>
      </c>
      <c r="F3323" t="s">
        <v>85</v>
      </c>
      <c r="G3323">
        <v>22220</v>
      </c>
      <c r="H3323">
        <v>17776</v>
      </c>
      <c r="I3323" s="13">
        <v>1</v>
      </c>
      <c r="J3323" t="s">
        <v>6207</v>
      </c>
      <c r="K3323">
        <v>1</v>
      </c>
      <c r="L3323">
        <v>0</v>
      </c>
      <c r="M3323" t="s">
        <v>0</v>
      </c>
      <c r="N3323" s="2">
        <v>0.53</v>
      </c>
      <c r="O3323" s="2">
        <v>0.47</v>
      </c>
      <c r="P3323">
        <v>13</v>
      </c>
      <c r="Q3323">
        <v>14</v>
      </c>
      <c r="R3323">
        <v>4</v>
      </c>
      <c r="S3323">
        <v>6</v>
      </c>
      <c r="T3323">
        <v>11</v>
      </c>
      <c r="U3323">
        <v>12</v>
      </c>
      <c r="V3323">
        <v>2</v>
      </c>
      <c r="W3323">
        <v>0</v>
      </c>
      <c r="X3323">
        <v>0</v>
      </c>
      <c r="Y3323">
        <v>0</v>
      </c>
      <c r="Z3323">
        <v>0</v>
      </c>
    </row>
    <row r="3324" spans="1:26" x14ac:dyDescent="0.2">
      <c r="A3324" t="s">
        <v>3442</v>
      </c>
      <c r="B3324" t="s">
        <v>53</v>
      </c>
      <c r="C3324">
        <v>2017</v>
      </c>
      <c r="D3324" t="s">
        <v>51</v>
      </c>
      <c r="E3324" t="s">
        <v>89</v>
      </c>
      <c r="F3324" t="s">
        <v>20</v>
      </c>
      <c r="G3324">
        <v>36284</v>
      </c>
      <c r="H3324">
        <v>29027.200000000001</v>
      </c>
      <c r="I3324" s="13">
        <v>0</v>
      </c>
      <c r="J3324" t="s">
        <v>6207</v>
      </c>
      <c r="K3324">
        <v>2</v>
      </c>
      <c r="L3324">
        <v>0</v>
      </c>
      <c r="M3324" t="s">
        <v>0</v>
      </c>
      <c r="N3324" s="2">
        <v>0.75</v>
      </c>
      <c r="O3324" s="2">
        <v>0.25</v>
      </c>
      <c r="P3324">
        <v>10</v>
      </c>
      <c r="Q3324">
        <v>10</v>
      </c>
      <c r="R3324">
        <v>8</v>
      </c>
      <c r="S3324">
        <v>1</v>
      </c>
      <c r="T3324">
        <v>6</v>
      </c>
      <c r="U3324">
        <v>8</v>
      </c>
      <c r="V3324">
        <v>1</v>
      </c>
      <c r="W3324">
        <v>1</v>
      </c>
      <c r="X3324">
        <v>0</v>
      </c>
      <c r="Y3324">
        <v>0</v>
      </c>
      <c r="Z3324">
        <v>0</v>
      </c>
    </row>
    <row r="3325" spans="1:26" x14ac:dyDescent="0.2">
      <c r="A3325" t="s">
        <v>3443</v>
      </c>
      <c r="B3325" t="s">
        <v>32</v>
      </c>
      <c r="C3325">
        <v>2017</v>
      </c>
      <c r="D3325" t="s">
        <v>71</v>
      </c>
      <c r="E3325" t="s">
        <v>23</v>
      </c>
      <c r="F3325" t="s">
        <v>71</v>
      </c>
      <c r="G3325">
        <v>21088</v>
      </c>
      <c r="H3325">
        <v>16870.400000000001</v>
      </c>
      <c r="I3325" s="13">
        <v>0.66666666666666663</v>
      </c>
      <c r="J3325" t="s">
        <v>6207</v>
      </c>
      <c r="K3325">
        <v>4</v>
      </c>
      <c r="L3325">
        <v>1</v>
      </c>
      <c r="M3325" t="s">
        <v>0</v>
      </c>
      <c r="N3325" s="2">
        <v>0.45</v>
      </c>
      <c r="O3325" s="2">
        <v>0.55000000000000004</v>
      </c>
      <c r="P3325">
        <v>19</v>
      </c>
      <c r="Q3325">
        <v>9</v>
      </c>
      <c r="R3325">
        <v>4</v>
      </c>
      <c r="S3325">
        <v>5</v>
      </c>
      <c r="T3325">
        <v>9</v>
      </c>
      <c r="U3325">
        <v>14</v>
      </c>
      <c r="V3325">
        <v>0</v>
      </c>
      <c r="W3325">
        <v>3</v>
      </c>
      <c r="X3325">
        <v>0</v>
      </c>
      <c r="Y3325">
        <v>0</v>
      </c>
      <c r="Z3325">
        <v>1</v>
      </c>
    </row>
    <row r="3326" spans="1:26" x14ac:dyDescent="0.2">
      <c r="A3326" t="s">
        <v>3444</v>
      </c>
      <c r="B3326" t="s">
        <v>61</v>
      </c>
      <c r="C3326">
        <v>2017</v>
      </c>
      <c r="D3326" t="s">
        <v>73</v>
      </c>
      <c r="E3326" t="s">
        <v>27</v>
      </c>
      <c r="F3326" t="s">
        <v>73</v>
      </c>
      <c r="G3326">
        <v>32384</v>
      </c>
      <c r="H3326">
        <v>25907.200000000001</v>
      </c>
      <c r="I3326" s="13">
        <v>1</v>
      </c>
      <c r="J3326" t="s">
        <v>6207</v>
      </c>
      <c r="K3326">
        <v>0</v>
      </c>
      <c r="L3326">
        <v>0</v>
      </c>
      <c r="M3326" t="s">
        <v>58</v>
      </c>
      <c r="N3326" s="2">
        <v>0.65</v>
      </c>
      <c r="O3326" s="2">
        <v>0.35</v>
      </c>
      <c r="P3326">
        <v>14</v>
      </c>
      <c r="Q3326">
        <v>10</v>
      </c>
      <c r="R3326">
        <v>15</v>
      </c>
      <c r="S3326">
        <v>4</v>
      </c>
      <c r="T3326">
        <v>8</v>
      </c>
      <c r="U3326">
        <v>13</v>
      </c>
      <c r="V3326">
        <v>0</v>
      </c>
      <c r="W3326">
        <v>1</v>
      </c>
      <c r="X3326">
        <v>0</v>
      </c>
      <c r="Y3326">
        <v>0</v>
      </c>
      <c r="Z3326">
        <v>0</v>
      </c>
    </row>
    <row r="3327" spans="1:26" x14ac:dyDescent="0.2">
      <c r="A3327" t="s">
        <v>3445</v>
      </c>
      <c r="B3327" t="s">
        <v>54</v>
      </c>
      <c r="C3327">
        <v>2017</v>
      </c>
      <c r="D3327" t="s">
        <v>80</v>
      </c>
      <c r="E3327" t="s">
        <v>86</v>
      </c>
      <c r="F3327" t="s">
        <v>80</v>
      </c>
      <c r="G3327">
        <v>32261</v>
      </c>
      <c r="H3327">
        <v>25808.800000000003</v>
      </c>
      <c r="I3327" s="13">
        <v>0.66666666666666663</v>
      </c>
      <c r="J3327" t="s">
        <v>6206</v>
      </c>
      <c r="K3327">
        <v>1</v>
      </c>
      <c r="L3327">
        <v>1</v>
      </c>
      <c r="M3327" t="s">
        <v>58</v>
      </c>
      <c r="N3327" s="2">
        <v>0.56000000000000005</v>
      </c>
      <c r="O3327" s="2">
        <v>0.44</v>
      </c>
      <c r="P3327">
        <v>8</v>
      </c>
      <c r="Q3327">
        <v>13</v>
      </c>
      <c r="R3327">
        <v>13</v>
      </c>
      <c r="S3327">
        <v>1</v>
      </c>
      <c r="T3327">
        <v>11</v>
      </c>
      <c r="U3327">
        <v>7</v>
      </c>
      <c r="V3327">
        <v>2</v>
      </c>
      <c r="W3327">
        <v>1</v>
      </c>
      <c r="X3327">
        <v>0</v>
      </c>
      <c r="Y3327">
        <v>0</v>
      </c>
      <c r="Z3327">
        <v>1</v>
      </c>
    </row>
    <row r="3328" spans="1:26" x14ac:dyDescent="0.2">
      <c r="A3328" t="s">
        <v>3446</v>
      </c>
      <c r="B3328" t="s">
        <v>83</v>
      </c>
      <c r="C3328">
        <v>2017</v>
      </c>
      <c r="D3328" t="s">
        <v>26</v>
      </c>
      <c r="E3328" t="s">
        <v>64</v>
      </c>
      <c r="F3328" t="s">
        <v>26</v>
      </c>
      <c r="G3328">
        <v>61276</v>
      </c>
      <c r="H3328">
        <v>49020.800000000003</v>
      </c>
      <c r="I3328" s="13">
        <v>0</v>
      </c>
      <c r="J3328" t="s">
        <v>6208</v>
      </c>
      <c r="K3328">
        <v>2</v>
      </c>
      <c r="L3328">
        <v>0</v>
      </c>
      <c r="M3328" t="s">
        <v>0</v>
      </c>
      <c r="N3328" s="2">
        <v>0.71</v>
      </c>
      <c r="O3328" s="2">
        <v>0.28999999999999998</v>
      </c>
      <c r="P3328">
        <v>10</v>
      </c>
      <c r="Q3328">
        <v>12</v>
      </c>
      <c r="R3328">
        <v>8</v>
      </c>
      <c r="S3328">
        <v>3</v>
      </c>
      <c r="T3328">
        <v>7</v>
      </c>
      <c r="U3328">
        <v>9</v>
      </c>
      <c r="V3328">
        <v>0</v>
      </c>
      <c r="W3328">
        <v>0</v>
      </c>
      <c r="X3328">
        <v>0</v>
      </c>
      <c r="Y3328">
        <v>0</v>
      </c>
      <c r="Z3328">
        <v>0</v>
      </c>
    </row>
    <row r="3329" spans="1:26" x14ac:dyDescent="0.2">
      <c r="A3329" t="s">
        <v>3447</v>
      </c>
      <c r="B3329" t="s">
        <v>59</v>
      </c>
      <c r="C3329">
        <v>2017</v>
      </c>
      <c r="D3329" t="s">
        <v>90</v>
      </c>
      <c r="E3329" t="s">
        <v>46</v>
      </c>
      <c r="F3329" t="s">
        <v>91</v>
      </c>
      <c r="G3329">
        <v>31876</v>
      </c>
      <c r="H3329">
        <v>25500.800000000003</v>
      </c>
      <c r="I3329" s="13">
        <v>0.5</v>
      </c>
      <c r="J3329" t="s">
        <v>6206</v>
      </c>
      <c r="K3329">
        <v>2</v>
      </c>
      <c r="L3329">
        <v>1</v>
      </c>
      <c r="M3329" t="s">
        <v>0</v>
      </c>
      <c r="N3329" s="2">
        <v>0.32</v>
      </c>
      <c r="O3329" s="2">
        <v>0.68</v>
      </c>
      <c r="P3329">
        <v>13</v>
      </c>
      <c r="Q3329">
        <v>19</v>
      </c>
      <c r="R3329">
        <v>6</v>
      </c>
      <c r="S3329">
        <v>11</v>
      </c>
      <c r="T3329">
        <v>13</v>
      </c>
      <c r="U3329">
        <v>12</v>
      </c>
      <c r="V3329">
        <v>3</v>
      </c>
      <c r="W3329">
        <v>3</v>
      </c>
      <c r="X3329">
        <v>0</v>
      </c>
      <c r="Y3329">
        <v>0</v>
      </c>
      <c r="Z3329">
        <v>0</v>
      </c>
    </row>
    <row r="3330" spans="1:26" x14ac:dyDescent="0.2">
      <c r="A3330" t="s">
        <v>3448</v>
      </c>
      <c r="B3330" t="s">
        <v>66</v>
      </c>
      <c r="C3330">
        <v>2017</v>
      </c>
      <c r="D3330" t="s">
        <v>40</v>
      </c>
      <c r="E3330" t="s">
        <v>18</v>
      </c>
      <c r="F3330" t="s">
        <v>49</v>
      </c>
      <c r="G3330">
        <v>53400</v>
      </c>
      <c r="H3330">
        <v>42720</v>
      </c>
      <c r="I3330" s="13">
        <v>1</v>
      </c>
      <c r="J3330" t="s">
        <v>6207</v>
      </c>
      <c r="K3330">
        <v>1</v>
      </c>
      <c r="L3330">
        <v>0</v>
      </c>
      <c r="M3330" t="s">
        <v>0</v>
      </c>
      <c r="N3330" s="2">
        <v>0.71</v>
      </c>
      <c r="O3330" s="2">
        <v>0.28999999999999998</v>
      </c>
      <c r="P3330">
        <v>10</v>
      </c>
      <c r="Q3330">
        <v>10</v>
      </c>
      <c r="R3330">
        <v>5</v>
      </c>
      <c r="S3330">
        <v>2</v>
      </c>
      <c r="T3330">
        <v>8</v>
      </c>
      <c r="U3330">
        <v>9</v>
      </c>
      <c r="V3330">
        <v>2</v>
      </c>
      <c r="W3330">
        <v>1</v>
      </c>
      <c r="X3330">
        <v>0</v>
      </c>
      <c r="Y3330">
        <v>0</v>
      </c>
      <c r="Z3330">
        <v>0</v>
      </c>
    </row>
    <row r="3331" spans="1:26" x14ac:dyDescent="0.2">
      <c r="A3331" t="s">
        <v>3449</v>
      </c>
      <c r="B3331" t="s">
        <v>67</v>
      </c>
      <c r="C3331">
        <v>2017</v>
      </c>
      <c r="D3331" t="s">
        <v>79</v>
      </c>
      <c r="E3331" t="s">
        <v>48</v>
      </c>
      <c r="F3331" t="s">
        <v>20</v>
      </c>
      <c r="G3331">
        <v>25486</v>
      </c>
      <c r="H3331">
        <v>20388.800000000003</v>
      </c>
      <c r="I3331" s="13">
        <v>0.5</v>
      </c>
      <c r="J3331" t="s">
        <v>6207</v>
      </c>
      <c r="K3331">
        <v>2</v>
      </c>
      <c r="L3331">
        <v>3</v>
      </c>
      <c r="M3331" t="s">
        <v>1</v>
      </c>
      <c r="N3331" s="2">
        <v>0.31</v>
      </c>
      <c r="O3331" s="2">
        <v>0.69</v>
      </c>
      <c r="P3331">
        <v>10</v>
      </c>
      <c r="Q3331">
        <v>12</v>
      </c>
      <c r="R3331">
        <v>3</v>
      </c>
      <c r="S3331">
        <v>7</v>
      </c>
      <c r="T3331">
        <v>10</v>
      </c>
      <c r="U3331">
        <v>8</v>
      </c>
      <c r="V3331">
        <v>1</v>
      </c>
      <c r="W3331">
        <v>3</v>
      </c>
      <c r="X3331">
        <v>0</v>
      </c>
      <c r="Y3331">
        <v>0</v>
      </c>
      <c r="Z3331">
        <v>0</v>
      </c>
    </row>
    <row r="3332" spans="1:26" x14ac:dyDescent="0.2">
      <c r="A3332" t="s">
        <v>3450</v>
      </c>
      <c r="B3332" t="s">
        <v>76</v>
      </c>
      <c r="C3332">
        <v>2017</v>
      </c>
      <c r="D3332" t="s">
        <v>48</v>
      </c>
      <c r="E3332" t="s">
        <v>26</v>
      </c>
      <c r="F3332" t="s">
        <v>49</v>
      </c>
      <c r="G3332">
        <v>74197</v>
      </c>
      <c r="H3332">
        <v>59357.600000000006</v>
      </c>
      <c r="I3332" s="13">
        <v>0.33333333333333331</v>
      </c>
      <c r="J3332" t="s">
        <v>6207</v>
      </c>
      <c r="K3332">
        <v>2</v>
      </c>
      <c r="L3332">
        <v>1</v>
      </c>
      <c r="M3332" t="s">
        <v>0</v>
      </c>
      <c r="N3332" s="2">
        <v>0.32</v>
      </c>
      <c r="O3332" s="2">
        <v>0.68</v>
      </c>
      <c r="P3332">
        <v>16</v>
      </c>
      <c r="Q3332">
        <v>13</v>
      </c>
      <c r="R3332">
        <v>1</v>
      </c>
      <c r="S3332">
        <v>13</v>
      </c>
      <c r="T3332">
        <v>10</v>
      </c>
      <c r="U3332">
        <v>16</v>
      </c>
      <c r="V3332">
        <v>2</v>
      </c>
      <c r="W3332">
        <v>1</v>
      </c>
      <c r="X3332">
        <v>0</v>
      </c>
      <c r="Y3332">
        <v>0</v>
      </c>
      <c r="Z3332">
        <v>0</v>
      </c>
    </row>
    <row r="3333" spans="1:26" x14ac:dyDescent="0.2">
      <c r="A3333" t="s">
        <v>3451</v>
      </c>
      <c r="B3333" t="s">
        <v>50</v>
      </c>
      <c r="C3333">
        <v>2017</v>
      </c>
      <c r="D3333" t="s">
        <v>23</v>
      </c>
      <c r="E3333" t="s">
        <v>28</v>
      </c>
      <c r="F3333" t="s">
        <v>20</v>
      </c>
      <c r="G3333">
        <v>62500</v>
      </c>
      <c r="H3333">
        <v>50000</v>
      </c>
      <c r="I3333" s="13">
        <v>0.25</v>
      </c>
      <c r="J3333" t="s">
        <v>6207</v>
      </c>
      <c r="K3333">
        <v>0</v>
      </c>
      <c r="L3333">
        <v>3</v>
      </c>
      <c r="M3333" t="s">
        <v>1</v>
      </c>
      <c r="N3333" s="2">
        <v>0.53</v>
      </c>
      <c r="O3333" s="2">
        <v>0.47</v>
      </c>
      <c r="P3333">
        <v>9</v>
      </c>
      <c r="Q3333">
        <v>15</v>
      </c>
      <c r="R3333">
        <v>5</v>
      </c>
      <c r="S3333">
        <v>1</v>
      </c>
      <c r="T3333">
        <v>13</v>
      </c>
      <c r="U3333">
        <v>7</v>
      </c>
      <c r="V3333">
        <v>2</v>
      </c>
      <c r="W3333">
        <v>2</v>
      </c>
      <c r="X3333">
        <v>0</v>
      </c>
      <c r="Y3333">
        <v>0</v>
      </c>
      <c r="Z3333">
        <v>0</v>
      </c>
    </row>
    <row r="3334" spans="1:26" x14ac:dyDescent="0.2">
      <c r="A3334" t="s">
        <v>3452</v>
      </c>
      <c r="B3334" t="s">
        <v>77</v>
      </c>
      <c r="C3334">
        <v>2017</v>
      </c>
      <c r="D3334" t="s">
        <v>63</v>
      </c>
      <c r="E3334" t="s">
        <v>80</v>
      </c>
      <c r="F3334" t="s">
        <v>65</v>
      </c>
      <c r="G3334">
        <v>26804</v>
      </c>
      <c r="H3334">
        <v>21443.200000000001</v>
      </c>
      <c r="I3334" s="13">
        <v>0.25</v>
      </c>
      <c r="J3334" t="s">
        <v>6207</v>
      </c>
      <c r="K3334">
        <v>1</v>
      </c>
      <c r="L3334">
        <v>4</v>
      </c>
      <c r="M3334" t="s">
        <v>1</v>
      </c>
      <c r="N3334" s="2">
        <v>0.44</v>
      </c>
      <c r="O3334" s="2">
        <v>0.56000000000000005</v>
      </c>
      <c r="P3334">
        <v>9</v>
      </c>
      <c r="Q3334">
        <v>7</v>
      </c>
      <c r="R3334">
        <v>7</v>
      </c>
      <c r="S3334">
        <v>6</v>
      </c>
      <c r="T3334">
        <v>6</v>
      </c>
      <c r="U3334">
        <v>7</v>
      </c>
      <c r="V3334">
        <v>1</v>
      </c>
      <c r="W3334">
        <v>3</v>
      </c>
      <c r="X3334">
        <v>0</v>
      </c>
      <c r="Y3334">
        <v>0</v>
      </c>
      <c r="Z3334">
        <v>0</v>
      </c>
    </row>
    <row r="3335" spans="1:26" x14ac:dyDescent="0.2">
      <c r="A3335" t="s">
        <v>3453</v>
      </c>
      <c r="B3335" t="s">
        <v>37</v>
      </c>
      <c r="C3335">
        <v>2017</v>
      </c>
      <c r="D3335" t="s">
        <v>64</v>
      </c>
      <c r="E3335" t="s">
        <v>73</v>
      </c>
      <c r="F3335" t="s">
        <v>64</v>
      </c>
      <c r="G3335">
        <v>52264</v>
      </c>
      <c r="H3335">
        <v>41811.200000000004</v>
      </c>
      <c r="I3335" s="13">
        <v>0.5</v>
      </c>
      <c r="J3335" t="s">
        <v>6206</v>
      </c>
      <c r="K3335">
        <v>3</v>
      </c>
      <c r="L3335">
        <v>0</v>
      </c>
      <c r="M3335" t="s">
        <v>0</v>
      </c>
      <c r="N3335" s="2">
        <v>0.37</v>
      </c>
      <c r="O3335" s="2">
        <v>0.63</v>
      </c>
      <c r="P3335">
        <v>11</v>
      </c>
      <c r="Q3335">
        <v>10</v>
      </c>
      <c r="R3335">
        <v>2</v>
      </c>
      <c r="S3335">
        <v>6</v>
      </c>
      <c r="T3335">
        <v>10</v>
      </c>
      <c r="U3335">
        <v>10</v>
      </c>
      <c r="V3335">
        <v>0</v>
      </c>
      <c r="W3335">
        <v>2</v>
      </c>
      <c r="X3335">
        <v>0</v>
      </c>
      <c r="Y3335">
        <v>0</v>
      </c>
      <c r="Z3335">
        <v>0</v>
      </c>
    </row>
    <row r="3336" spans="1:26" x14ac:dyDescent="0.2">
      <c r="A3336" t="s">
        <v>3454</v>
      </c>
      <c r="B3336" t="s">
        <v>66</v>
      </c>
      <c r="C3336">
        <v>2017</v>
      </c>
      <c r="D3336" t="s">
        <v>89</v>
      </c>
      <c r="E3336" t="s">
        <v>71</v>
      </c>
      <c r="F3336" t="s">
        <v>89</v>
      </c>
      <c r="G3336">
        <v>24500</v>
      </c>
      <c r="H3336">
        <v>19600</v>
      </c>
      <c r="I3336" s="13">
        <v>0.83333333333333337</v>
      </c>
      <c r="J3336" t="s">
        <v>6207</v>
      </c>
      <c r="K3336">
        <v>0</v>
      </c>
      <c r="L3336">
        <v>0</v>
      </c>
      <c r="M3336" t="s">
        <v>58</v>
      </c>
      <c r="N3336" s="2">
        <v>0.81</v>
      </c>
      <c r="O3336" s="2">
        <v>0.19</v>
      </c>
      <c r="P3336">
        <v>12</v>
      </c>
      <c r="Q3336">
        <v>11</v>
      </c>
      <c r="R3336">
        <v>12</v>
      </c>
      <c r="S3336">
        <v>0</v>
      </c>
      <c r="T3336">
        <v>9</v>
      </c>
      <c r="U3336">
        <v>9</v>
      </c>
      <c r="V3336">
        <v>2</v>
      </c>
      <c r="W3336">
        <v>3</v>
      </c>
      <c r="X3336">
        <v>0</v>
      </c>
      <c r="Y3336">
        <v>1</v>
      </c>
      <c r="Z3336">
        <v>0</v>
      </c>
    </row>
    <row r="3337" spans="1:26" x14ac:dyDescent="0.2">
      <c r="A3337" t="s">
        <v>3455</v>
      </c>
      <c r="B3337" t="s">
        <v>74</v>
      </c>
      <c r="C3337">
        <v>2017</v>
      </c>
      <c r="D3337" t="s">
        <v>45</v>
      </c>
      <c r="E3337" t="s">
        <v>90</v>
      </c>
      <c r="F3337" t="s">
        <v>26</v>
      </c>
      <c r="G3337">
        <v>39572</v>
      </c>
      <c r="H3337">
        <v>31657.600000000002</v>
      </c>
      <c r="I3337" s="13">
        <v>1</v>
      </c>
      <c r="J3337" t="s">
        <v>6208</v>
      </c>
      <c r="K3337">
        <v>2</v>
      </c>
      <c r="L3337">
        <v>0</v>
      </c>
      <c r="M3337" t="s">
        <v>0</v>
      </c>
      <c r="N3337" s="2">
        <v>0.59</v>
      </c>
      <c r="O3337" s="2">
        <v>0.41</v>
      </c>
      <c r="P3337">
        <v>14</v>
      </c>
      <c r="Q3337">
        <v>12</v>
      </c>
      <c r="R3337">
        <v>10</v>
      </c>
      <c r="S3337">
        <v>3</v>
      </c>
      <c r="T3337">
        <v>10</v>
      </c>
      <c r="U3337">
        <v>14</v>
      </c>
      <c r="V3337">
        <v>0</v>
      </c>
      <c r="W3337">
        <v>1</v>
      </c>
      <c r="X3337">
        <v>0</v>
      </c>
      <c r="Y3337">
        <v>1</v>
      </c>
      <c r="Z3337">
        <v>1</v>
      </c>
    </row>
    <row r="3338" spans="1:26" x14ac:dyDescent="0.2">
      <c r="A3338" t="s">
        <v>3456</v>
      </c>
      <c r="B3338" t="s">
        <v>61</v>
      </c>
      <c r="C3338">
        <v>2017</v>
      </c>
      <c r="D3338" t="s">
        <v>18</v>
      </c>
      <c r="E3338" t="s">
        <v>79</v>
      </c>
      <c r="F3338" t="s">
        <v>20</v>
      </c>
      <c r="G3338">
        <v>40341</v>
      </c>
      <c r="H3338">
        <v>32272.800000000003</v>
      </c>
      <c r="I3338" s="13">
        <v>0.33333333333333331</v>
      </c>
      <c r="J3338" t="s">
        <v>6207</v>
      </c>
      <c r="K3338">
        <v>2</v>
      </c>
      <c r="L3338">
        <v>1</v>
      </c>
      <c r="M3338" t="s">
        <v>0</v>
      </c>
      <c r="N3338" s="2">
        <v>0.62</v>
      </c>
      <c r="O3338" s="2">
        <v>0.38</v>
      </c>
      <c r="P3338">
        <v>11</v>
      </c>
      <c r="Q3338">
        <v>10</v>
      </c>
      <c r="R3338">
        <v>12</v>
      </c>
      <c r="S3338">
        <v>3</v>
      </c>
      <c r="T3338">
        <v>8</v>
      </c>
      <c r="U3338">
        <v>9</v>
      </c>
      <c r="V3338">
        <v>1</v>
      </c>
      <c r="W3338">
        <v>2</v>
      </c>
      <c r="X3338">
        <v>0</v>
      </c>
      <c r="Y3338">
        <v>0</v>
      </c>
      <c r="Z3338">
        <v>0</v>
      </c>
    </row>
    <row r="3339" spans="1:26" x14ac:dyDescent="0.2">
      <c r="A3339" t="s">
        <v>3457</v>
      </c>
      <c r="B3339" t="s">
        <v>32</v>
      </c>
      <c r="C3339">
        <v>2017</v>
      </c>
      <c r="D3339" t="s">
        <v>46</v>
      </c>
      <c r="E3339" t="s">
        <v>85</v>
      </c>
      <c r="F3339" t="s">
        <v>20</v>
      </c>
      <c r="G3339">
        <v>60704</v>
      </c>
      <c r="H3339">
        <v>48563.200000000004</v>
      </c>
      <c r="I3339" s="13">
        <v>1</v>
      </c>
      <c r="J3339" t="s">
        <v>6207</v>
      </c>
      <c r="K3339">
        <v>3</v>
      </c>
      <c r="L3339">
        <v>0</v>
      </c>
      <c r="M3339" t="s">
        <v>0</v>
      </c>
      <c r="N3339" s="2">
        <v>0.6</v>
      </c>
      <c r="O3339" s="2">
        <v>0.4</v>
      </c>
      <c r="P3339">
        <v>12</v>
      </c>
      <c r="Q3339">
        <v>16</v>
      </c>
      <c r="R3339">
        <v>4</v>
      </c>
      <c r="S3339">
        <v>9</v>
      </c>
      <c r="T3339">
        <v>12</v>
      </c>
      <c r="U3339">
        <v>9</v>
      </c>
      <c r="V3339">
        <v>2</v>
      </c>
      <c r="W3339">
        <v>1</v>
      </c>
      <c r="X3339">
        <v>0</v>
      </c>
      <c r="Y3339">
        <v>0</v>
      </c>
      <c r="Z3339">
        <v>1</v>
      </c>
    </row>
    <row r="3340" spans="1:26" x14ac:dyDescent="0.2">
      <c r="A3340" t="s">
        <v>3458</v>
      </c>
      <c r="B3340" t="s">
        <v>41</v>
      </c>
      <c r="C3340">
        <v>2017</v>
      </c>
      <c r="D3340" t="s">
        <v>86</v>
      </c>
      <c r="E3340" t="s">
        <v>51</v>
      </c>
      <c r="F3340" t="s">
        <v>86</v>
      </c>
      <c r="G3340">
        <v>11364</v>
      </c>
      <c r="H3340">
        <v>9091.2000000000007</v>
      </c>
      <c r="I3340" s="13">
        <v>0</v>
      </c>
      <c r="J3340" t="s">
        <v>6207</v>
      </c>
      <c r="K3340">
        <v>1</v>
      </c>
      <c r="L3340">
        <v>4</v>
      </c>
      <c r="M3340" t="s">
        <v>1</v>
      </c>
      <c r="N3340" s="2">
        <v>0.38</v>
      </c>
      <c r="O3340" s="2">
        <v>0.62</v>
      </c>
      <c r="P3340">
        <v>11</v>
      </c>
      <c r="Q3340">
        <v>9</v>
      </c>
      <c r="R3340">
        <v>4</v>
      </c>
      <c r="S3340">
        <v>5</v>
      </c>
      <c r="T3340">
        <v>10</v>
      </c>
      <c r="U3340">
        <v>7</v>
      </c>
      <c r="V3340">
        <v>1</v>
      </c>
      <c r="W3340">
        <v>1</v>
      </c>
      <c r="X3340">
        <v>0</v>
      </c>
      <c r="Y3340">
        <v>0</v>
      </c>
      <c r="Z3340">
        <v>0</v>
      </c>
    </row>
    <row r="3341" spans="1:26" x14ac:dyDescent="0.2">
      <c r="A3341" t="s">
        <v>3459</v>
      </c>
      <c r="B3341" t="s">
        <v>68</v>
      </c>
      <c r="C3341">
        <v>2017</v>
      </c>
      <c r="D3341" t="s">
        <v>27</v>
      </c>
      <c r="E3341" t="s">
        <v>40</v>
      </c>
      <c r="F3341" t="s">
        <v>27</v>
      </c>
      <c r="G3341">
        <v>30089</v>
      </c>
      <c r="H3341">
        <v>24071.200000000001</v>
      </c>
      <c r="I3341" s="13">
        <v>0</v>
      </c>
      <c r="J3341" t="s">
        <v>6207</v>
      </c>
      <c r="K3341">
        <v>0</v>
      </c>
      <c r="L3341">
        <v>2</v>
      </c>
      <c r="M3341" t="s">
        <v>1</v>
      </c>
      <c r="N3341" s="2">
        <v>0.23</v>
      </c>
      <c r="O3341" s="2">
        <v>0.77</v>
      </c>
      <c r="P3341">
        <v>12</v>
      </c>
      <c r="Q3341">
        <v>8</v>
      </c>
      <c r="R3341">
        <v>3</v>
      </c>
      <c r="S3341">
        <v>10</v>
      </c>
      <c r="T3341">
        <v>6</v>
      </c>
      <c r="U3341">
        <v>8</v>
      </c>
      <c r="V3341">
        <v>1</v>
      </c>
      <c r="W3341">
        <v>0</v>
      </c>
      <c r="X3341">
        <v>0</v>
      </c>
      <c r="Y3341">
        <v>0</v>
      </c>
      <c r="Z3341">
        <v>0</v>
      </c>
    </row>
    <row r="3342" spans="1:26" x14ac:dyDescent="0.2">
      <c r="A3342" t="s">
        <v>3460</v>
      </c>
      <c r="B3342" t="s">
        <v>32</v>
      </c>
      <c r="C3342">
        <v>2017</v>
      </c>
      <c r="D3342" t="s">
        <v>27</v>
      </c>
      <c r="E3342" t="s">
        <v>45</v>
      </c>
      <c r="F3342" t="s">
        <v>27</v>
      </c>
      <c r="G3342">
        <v>30089</v>
      </c>
      <c r="H3342">
        <v>24071.200000000001</v>
      </c>
      <c r="I3342" s="13">
        <v>0</v>
      </c>
      <c r="J3342" t="s">
        <v>6207</v>
      </c>
      <c r="K3342">
        <v>1</v>
      </c>
      <c r="L3342">
        <v>2</v>
      </c>
      <c r="M3342" t="s">
        <v>1</v>
      </c>
      <c r="N3342" s="2">
        <v>0.44</v>
      </c>
      <c r="O3342" s="2">
        <v>0.56000000000000005</v>
      </c>
      <c r="P3342">
        <v>16</v>
      </c>
      <c r="Q3342">
        <v>13</v>
      </c>
      <c r="R3342">
        <v>1</v>
      </c>
      <c r="S3342">
        <v>9</v>
      </c>
      <c r="T3342">
        <v>13</v>
      </c>
      <c r="U3342">
        <v>12</v>
      </c>
      <c r="V3342">
        <v>1</v>
      </c>
      <c r="W3342">
        <v>1</v>
      </c>
      <c r="X3342">
        <v>1</v>
      </c>
      <c r="Y3342">
        <v>0</v>
      </c>
      <c r="Z3342">
        <v>0</v>
      </c>
    </row>
    <row r="3343" spans="1:26" x14ac:dyDescent="0.2">
      <c r="A3343" t="s">
        <v>3461</v>
      </c>
      <c r="B3343" t="s">
        <v>41</v>
      </c>
      <c r="C3343">
        <v>2017</v>
      </c>
      <c r="D3343" t="s">
        <v>89</v>
      </c>
      <c r="E3343" t="s">
        <v>79</v>
      </c>
      <c r="F3343" t="s">
        <v>89</v>
      </c>
      <c r="G3343">
        <v>24500</v>
      </c>
      <c r="H3343">
        <v>19600</v>
      </c>
      <c r="I3343" s="13">
        <v>0.8</v>
      </c>
      <c r="J3343" t="s">
        <v>6207</v>
      </c>
      <c r="K3343">
        <v>0</v>
      </c>
      <c r="L3343">
        <v>2</v>
      </c>
      <c r="M3343" t="s">
        <v>1</v>
      </c>
      <c r="N3343" s="2">
        <v>0.55000000000000004</v>
      </c>
      <c r="O3343" s="2">
        <v>0.45</v>
      </c>
      <c r="P3343">
        <v>14</v>
      </c>
      <c r="Q3343">
        <v>11</v>
      </c>
      <c r="R3343">
        <v>4</v>
      </c>
      <c r="S3343">
        <v>7</v>
      </c>
      <c r="T3343">
        <v>11</v>
      </c>
      <c r="U3343">
        <v>12</v>
      </c>
      <c r="V3343">
        <v>3</v>
      </c>
      <c r="W3343">
        <v>2</v>
      </c>
      <c r="X3343">
        <v>0</v>
      </c>
      <c r="Y3343">
        <v>0</v>
      </c>
      <c r="Z3343">
        <v>1</v>
      </c>
    </row>
    <row r="3344" spans="1:26" x14ac:dyDescent="0.2">
      <c r="A3344" t="s">
        <v>3462</v>
      </c>
      <c r="B3344" t="s">
        <v>83</v>
      </c>
      <c r="C3344">
        <v>2017</v>
      </c>
      <c r="D3344" t="s">
        <v>86</v>
      </c>
      <c r="E3344" t="s">
        <v>63</v>
      </c>
      <c r="F3344" t="s">
        <v>86</v>
      </c>
      <c r="G3344">
        <v>11364</v>
      </c>
      <c r="H3344">
        <v>9091.2000000000007</v>
      </c>
      <c r="I3344" s="13">
        <v>0</v>
      </c>
      <c r="J3344" t="s">
        <v>6208</v>
      </c>
      <c r="K3344">
        <v>2</v>
      </c>
      <c r="L3344">
        <v>1</v>
      </c>
      <c r="M3344" t="s">
        <v>0</v>
      </c>
      <c r="N3344" s="2">
        <v>0.6</v>
      </c>
      <c r="O3344" s="2">
        <v>0.4</v>
      </c>
      <c r="P3344">
        <v>10</v>
      </c>
      <c r="Q3344">
        <v>5</v>
      </c>
      <c r="R3344">
        <v>3</v>
      </c>
      <c r="S3344">
        <v>2</v>
      </c>
      <c r="T3344">
        <v>6</v>
      </c>
      <c r="U3344">
        <v>9</v>
      </c>
      <c r="V3344">
        <v>1</v>
      </c>
      <c r="W3344">
        <v>2</v>
      </c>
      <c r="X3344">
        <v>0</v>
      </c>
      <c r="Y3344">
        <v>0</v>
      </c>
      <c r="Z3344">
        <v>0</v>
      </c>
    </row>
    <row r="3345" spans="1:26" x14ac:dyDescent="0.2">
      <c r="A3345" t="s">
        <v>3463</v>
      </c>
      <c r="B3345" t="s">
        <v>61</v>
      </c>
      <c r="C3345">
        <v>2017</v>
      </c>
      <c r="D3345" t="s">
        <v>26</v>
      </c>
      <c r="E3345" t="s">
        <v>85</v>
      </c>
      <c r="F3345" t="s">
        <v>26</v>
      </c>
      <c r="G3345">
        <v>61276</v>
      </c>
      <c r="H3345">
        <v>49020.800000000003</v>
      </c>
      <c r="I3345" s="13">
        <v>1</v>
      </c>
      <c r="J3345" t="s">
        <v>6207</v>
      </c>
      <c r="K3345">
        <v>5</v>
      </c>
      <c r="L3345">
        <v>0</v>
      </c>
      <c r="M3345" t="s">
        <v>0</v>
      </c>
      <c r="N3345" s="2">
        <v>0.57999999999999996</v>
      </c>
      <c r="O3345" s="2">
        <v>0.42</v>
      </c>
      <c r="P3345">
        <v>7</v>
      </c>
      <c r="Q3345">
        <v>11</v>
      </c>
      <c r="R3345">
        <v>6</v>
      </c>
      <c r="S3345">
        <v>0</v>
      </c>
      <c r="T3345">
        <v>5</v>
      </c>
      <c r="U3345">
        <v>4</v>
      </c>
      <c r="V3345">
        <v>1</v>
      </c>
      <c r="W3345">
        <v>0</v>
      </c>
      <c r="X3345">
        <v>0</v>
      </c>
      <c r="Y3345">
        <v>0</v>
      </c>
      <c r="Z3345">
        <v>0</v>
      </c>
    </row>
    <row r="3346" spans="1:26" x14ac:dyDescent="0.2">
      <c r="A3346" t="s">
        <v>3464</v>
      </c>
      <c r="B3346" t="s">
        <v>67</v>
      </c>
      <c r="C3346">
        <v>2017</v>
      </c>
      <c r="D3346" t="s">
        <v>79</v>
      </c>
      <c r="E3346" t="s">
        <v>26</v>
      </c>
      <c r="F3346" t="s">
        <v>20</v>
      </c>
      <c r="G3346">
        <v>25486</v>
      </c>
      <c r="H3346">
        <v>20388.800000000003</v>
      </c>
      <c r="I3346" s="13">
        <v>0.75</v>
      </c>
      <c r="J3346" t="s">
        <v>6207</v>
      </c>
      <c r="K3346">
        <v>1</v>
      </c>
      <c r="L3346">
        <v>2</v>
      </c>
      <c r="M3346" t="s">
        <v>1</v>
      </c>
      <c r="N3346" s="2">
        <v>0.32</v>
      </c>
      <c r="O3346" s="2">
        <v>0.68</v>
      </c>
      <c r="P3346">
        <v>8</v>
      </c>
      <c r="Q3346">
        <v>6</v>
      </c>
      <c r="R3346">
        <v>4</v>
      </c>
      <c r="S3346">
        <v>6</v>
      </c>
      <c r="T3346">
        <v>6</v>
      </c>
      <c r="U3346">
        <v>8</v>
      </c>
      <c r="V3346">
        <v>2</v>
      </c>
      <c r="W3346">
        <v>2</v>
      </c>
      <c r="X3346">
        <v>0</v>
      </c>
      <c r="Y3346">
        <v>0</v>
      </c>
      <c r="Z3346">
        <v>1</v>
      </c>
    </row>
    <row r="3347" spans="1:26" x14ac:dyDescent="0.2">
      <c r="A3347" t="s">
        <v>3465</v>
      </c>
      <c r="B3347" t="s">
        <v>68</v>
      </c>
      <c r="C3347">
        <v>2017</v>
      </c>
      <c r="D3347" t="s">
        <v>23</v>
      </c>
      <c r="E3347" t="s">
        <v>73</v>
      </c>
      <c r="F3347" t="s">
        <v>20</v>
      </c>
      <c r="G3347">
        <v>62500</v>
      </c>
      <c r="H3347">
        <v>50000</v>
      </c>
      <c r="I3347" s="13">
        <v>0.66666666666666663</v>
      </c>
      <c r="J3347" t="s">
        <v>6207</v>
      </c>
      <c r="K3347">
        <v>3</v>
      </c>
      <c r="L3347">
        <v>0</v>
      </c>
      <c r="M3347" t="s">
        <v>0</v>
      </c>
      <c r="N3347" s="2">
        <v>0.48</v>
      </c>
      <c r="O3347" s="2">
        <v>0.52</v>
      </c>
      <c r="P3347">
        <v>16</v>
      </c>
      <c r="Q3347">
        <v>10</v>
      </c>
      <c r="R3347">
        <v>5</v>
      </c>
      <c r="S3347">
        <v>9</v>
      </c>
      <c r="T3347">
        <v>9</v>
      </c>
      <c r="U3347">
        <v>16</v>
      </c>
      <c r="V3347">
        <v>0</v>
      </c>
      <c r="W3347">
        <v>3</v>
      </c>
      <c r="X3347">
        <v>0</v>
      </c>
      <c r="Y3347">
        <v>0</v>
      </c>
      <c r="Z3347">
        <v>0</v>
      </c>
    </row>
    <row r="3348" spans="1:26" x14ac:dyDescent="0.2">
      <c r="A3348" t="s">
        <v>3466</v>
      </c>
      <c r="B3348" t="s">
        <v>54</v>
      </c>
      <c r="C3348">
        <v>2017</v>
      </c>
      <c r="D3348" t="s">
        <v>63</v>
      </c>
      <c r="E3348" t="s">
        <v>28</v>
      </c>
      <c r="F3348" t="s">
        <v>65</v>
      </c>
      <c r="G3348">
        <v>26804</v>
      </c>
      <c r="H3348">
        <v>21443.200000000001</v>
      </c>
      <c r="I3348" s="13">
        <v>0.25</v>
      </c>
      <c r="J3348" t="s">
        <v>6206</v>
      </c>
      <c r="K3348">
        <v>1</v>
      </c>
      <c r="L3348">
        <v>2</v>
      </c>
      <c r="M3348" t="s">
        <v>1</v>
      </c>
      <c r="N3348" s="2">
        <v>0.47</v>
      </c>
      <c r="O3348" s="2">
        <v>0.53</v>
      </c>
      <c r="P3348">
        <v>11</v>
      </c>
      <c r="Q3348">
        <v>14</v>
      </c>
      <c r="R3348">
        <v>1</v>
      </c>
      <c r="S3348">
        <v>6</v>
      </c>
      <c r="T3348">
        <v>12</v>
      </c>
      <c r="U3348">
        <v>9</v>
      </c>
      <c r="V3348">
        <v>1</v>
      </c>
      <c r="W3348">
        <v>3</v>
      </c>
      <c r="X3348">
        <v>0</v>
      </c>
      <c r="Y3348">
        <v>0</v>
      </c>
      <c r="Z3348">
        <v>0</v>
      </c>
    </row>
    <row r="3349" spans="1:26" x14ac:dyDescent="0.2">
      <c r="A3349" t="s">
        <v>3467</v>
      </c>
      <c r="B3349" t="s">
        <v>92</v>
      </c>
      <c r="C3349">
        <v>2017</v>
      </c>
      <c r="D3349" t="s">
        <v>85</v>
      </c>
      <c r="E3349" t="s">
        <v>86</v>
      </c>
      <c r="F3349" t="s">
        <v>85</v>
      </c>
      <c r="G3349">
        <v>22220</v>
      </c>
      <c r="H3349">
        <v>17776</v>
      </c>
      <c r="I3349" s="13">
        <v>1</v>
      </c>
      <c r="J3349" t="s">
        <v>6207</v>
      </c>
      <c r="K3349">
        <v>2</v>
      </c>
      <c r="L3349">
        <v>2</v>
      </c>
      <c r="M3349" t="s">
        <v>58</v>
      </c>
      <c r="N3349" s="2">
        <v>0.5</v>
      </c>
      <c r="O3349" s="2">
        <v>0.5</v>
      </c>
      <c r="P3349">
        <v>10</v>
      </c>
      <c r="Q3349">
        <v>18</v>
      </c>
      <c r="R3349">
        <v>7</v>
      </c>
      <c r="S3349">
        <v>4</v>
      </c>
      <c r="T3349">
        <v>16</v>
      </c>
      <c r="U3349">
        <v>6</v>
      </c>
      <c r="V3349">
        <v>4</v>
      </c>
      <c r="W3349">
        <v>0</v>
      </c>
      <c r="X3349">
        <v>0</v>
      </c>
      <c r="Y3349">
        <v>0</v>
      </c>
      <c r="Z3349">
        <v>1</v>
      </c>
    </row>
    <row r="3350" spans="1:26" x14ac:dyDescent="0.2">
      <c r="A3350" t="s">
        <v>3468</v>
      </c>
      <c r="B3350" t="s">
        <v>32</v>
      </c>
      <c r="C3350">
        <v>2017</v>
      </c>
      <c r="D3350" t="s">
        <v>64</v>
      </c>
      <c r="E3350" t="s">
        <v>89</v>
      </c>
      <c r="F3350" t="s">
        <v>64</v>
      </c>
      <c r="G3350">
        <v>52264</v>
      </c>
      <c r="H3350">
        <v>41811.200000000004</v>
      </c>
      <c r="I3350" s="13">
        <v>0.6</v>
      </c>
      <c r="J3350" t="s">
        <v>6207</v>
      </c>
      <c r="K3350">
        <v>1</v>
      </c>
      <c r="L3350">
        <v>0</v>
      </c>
      <c r="M3350" t="s">
        <v>0</v>
      </c>
      <c r="N3350" s="2">
        <v>0.63</v>
      </c>
      <c r="O3350" s="2">
        <v>0.37</v>
      </c>
      <c r="P3350">
        <v>10</v>
      </c>
      <c r="Q3350">
        <v>12</v>
      </c>
      <c r="R3350">
        <v>3</v>
      </c>
      <c r="S3350">
        <v>3</v>
      </c>
      <c r="T3350">
        <v>9</v>
      </c>
      <c r="U3350">
        <v>10</v>
      </c>
      <c r="V3350">
        <v>1</v>
      </c>
      <c r="W3350">
        <v>4</v>
      </c>
      <c r="X3350">
        <v>0</v>
      </c>
      <c r="Y3350">
        <v>0</v>
      </c>
      <c r="Z3350">
        <v>0</v>
      </c>
    </row>
    <row r="3351" spans="1:26" x14ac:dyDescent="0.2">
      <c r="A3351" t="s">
        <v>3469</v>
      </c>
      <c r="B3351" t="s">
        <v>77</v>
      </c>
      <c r="C3351">
        <v>2017</v>
      </c>
      <c r="D3351" t="s">
        <v>48</v>
      </c>
      <c r="E3351" t="s">
        <v>71</v>
      </c>
      <c r="F3351" t="s">
        <v>49</v>
      </c>
      <c r="G3351">
        <v>74197</v>
      </c>
      <c r="H3351">
        <v>59357.600000000006</v>
      </c>
      <c r="I3351" s="13">
        <v>0</v>
      </c>
      <c r="J3351" t="s">
        <v>6207</v>
      </c>
      <c r="K3351">
        <v>2</v>
      </c>
      <c r="L3351">
        <v>0</v>
      </c>
      <c r="M3351" t="s">
        <v>0</v>
      </c>
      <c r="N3351" s="2">
        <v>0.67</v>
      </c>
      <c r="O3351" s="2">
        <v>0.33</v>
      </c>
      <c r="P3351">
        <v>14</v>
      </c>
      <c r="Q3351">
        <v>10</v>
      </c>
      <c r="R3351">
        <v>3</v>
      </c>
      <c r="S3351">
        <v>3</v>
      </c>
      <c r="T3351">
        <v>5</v>
      </c>
      <c r="U3351">
        <v>13</v>
      </c>
      <c r="V3351">
        <v>0</v>
      </c>
      <c r="W3351">
        <v>0</v>
      </c>
      <c r="X3351">
        <v>0</v>
      </c>
      <c r="Y3351">
        <v>0</v>
      </c>
      <c r="Z3351">
        <v>0</v>
      </c>
    </row>
    <row r="3352" spans="1:26" x14ac:dyDescent="0.2">
      <c r="A3352" t="s">
        <v>3470</v>
      </c>
      <c r="B3352" t="s">
        <v>88</v>
      </c>
      <c r="C3352">
        <v>2017</v>
      </c>
      <c r="D3352" t="s">
        <v>90</v>
      </c>
      <c r="E3352" t="s">
        <v>80</v>
      </c>
      <c r="F3352" t="s">
        <v>91</v>
      </c>
      <c r="G3352">
        <v>31876</v>
      </c>
      <c r="H3352">
        <v>25500.800000000003</v>
      </c>
      <c r="I3352" s="13">
        <v>0.5</v>
      </c>
      <c r="J3352" t="s">
        <v>6207</v>
      </c>
      <c r="K3352">
        <v>0</v>
      </c>
      <c r="L3352">
        <v>2</v>
      </c>
      <c r="M3352" t="s">
        <v>1</v>
      </c>
      <c r="N3352" s="2">
        <v>0.47</v>
      </c>
      <c r="O3352" s="2">
        <v>0.53</v>
      </c>
      <c r="P3352">
        <v>13</v>
      </c>
      <c r="Q3352">
        <v>17</v>
      </c>
      <c r="R3352">
        <v>6</v>
      </c>
      <c r="S3352">
        <v>1</v>
      </c>
      <c r="T3352">
        <v>11</v>
      </c>
      <c r="U3352">
        <v>13</v>
      </c>
      <c r="V3352">
        <v>2</v>
      </c>
      <c r="W3352">
        <v>5</v>
      </c>
      <c r="X3352">
        <v>0</v>
      </c>
      <c r="Y3352">
        <v>1</v>
      </c>
      <c r="Z3352">
        <v>1</v>
      </c>
    </row>
    <row r="3353" spans="1:26" x14ac:dyDescent="0.2">
      <c r="A3353" t="s">
        <v>3471</v>
      </c>
      <c r="B3353" t="s">
        <v>81</v>
      </c>
      <c r="C3353">
        <v>2017</v>
      </c>
      <c r="D3353" t="s">
        <v>45</v>
      </c>
      <c r="E3353" t="s">
        <v>40</v>
      </c>
      <c r="F3353" t="s">
        <v>26</v>
      </c>
      <c r="G3353">
        <v>39572</v>
      </c>
      <c r="H3353">
        <v>31657.600000000002</v>
      </c>
      <c r="I3353" s="13">
        <v>0</v>
      </c>
      <c r="J3353" t="s">
        <v>6207</v>
      </c>
      <c r="K3353">
        <v>1</v>
      </c>
      <c r="L3353">
        <v>3</v>
      </c>
      <c r="M3353" t="s">
        <v>1</v>
      </c>
      <c r="N3353" s="2">
        <v>0.18</v>
      </c>
      <c r="O3353" s="2">
        <v>0.82</v>
      </c>
      <c r="P3353">
        <v>11</v>
      </c>
      <c r="Q3353">
        <v>11</v>
      </c>
      <c r="R3353">
        <v>2</v>
      </c>
      <c r="S3353">
        <v>11</v>
      </c>
      <c r="T3353">
        <v>10</v>
      </c>
      <c r="U3353">
        <v>8</v>
      </c>
      <c r="V3353">
        <v>0</v>
      </c>
      <c r="W3353">
        <v>0</v>
      </c>
      <c r="X3353">
        <v>0</v>
      </c>
      <c r="Y3353">
        <v>0</v>
      </c>
      <c r="Z3353">
        <v>0</v>
      </c>
    </row>
    <row r="3354" spans="1:26" x14ac:dyDescent="0.2">
      <c r="A3354" t="s">
        <v>3472</v>
      </c>
      <c r="B3354" t="s">
        <v>76</v>
      </c>
      <c r="C3354">
        <v>2017</v>
      </c>
      <c r="D3354" t="s">
        <v>46</v>
      </c>
      <c r="E3354" t="s">
        <v>27</v>
      </c>
      <c r="F3354" t="s">
        <v>20</v>
      </c>
      <c r="G3354">
        <v>60704</v>
      </c>
      <c r="H3354">
        <v>48563.200000000004</v>
      </c>
      <c r="I3354" s="13">
        <v>0.33333333333333331</v>
      </c>
      <c r="J3354" t="s">
        <v>6207</v>
      </c>
      <c r="K3354">
        <v>3</v>
      </c>
      <c r="L3354">
        <v>0</v>
      </c>
      <c r="M3354" t="s">
        <v>0</v>
      </c>
      <c r="N3354" s="2">
        <v>0.7</v>
      </c>
      <c r="O3354" s="2">
        <v>0.3</v>
      </c>
      <c r="P3354">
        <v>14</v>
      </c>
      <c r="Q3354">
        <v>12</v>
      </c>
      <c r="R3354">
        <v>6</v>
      </c>
      <c r="S3354">
        <v>5</v>
      </c>
      <c r="T3354">
        <v>9</v>
      </c>
      <c r="U3354">
        <v>13</v>
      </c>
      <c r="V3354">
        <v>1</v>
      </c>
      <c r="W3354">
        <v>2</v>
      </c>
      <c r="X3354">
        <v>0</v>
      </c>
      <c r="Y3354">
        <v>0</v>
      </c>
      <c r="Z3354">
        <v>2</v>
      </c>
    </row>
    <row r="3355" spans="1:26" x14ac:dyDescent="0.2">
      <c r="A3355" t="s">
        <v>3473</v>
      </c>
      <c r="B3355" t="s">
        <v>37</v>
      </c>
      <c r="C3355">
        <v>2017</v>
      </c>
      <c r="D3355" t="s">
        <v>18</v>
      </c>
      <c r="E3355" t="s">
        <v>51</v>
      </c>
      <c r="F3355" t="s">
        <v>20</v>
      </c>
      <c r="G3355">
        <v>40341</v>
      </c>
      <c r="H3355">
        <v>32272.800000000003</v>
      </c>
      <c r="I3355" s="13">
        <v>0</v>
      </c>
      <c r="J3355" t="s">
        <v>6206</v>
      </c>
      <c r="K3355">
        <v>1</v>
      </c>
      <c r="L3355">
        <v>3</v>
      </c>
      <c r="M3355" t="s">
        <v>1</v>
      </c>
      <c r="N3355" s="2">
        <v>0.49</v>
      </c>
      <c r="O3355" s="2">
        <v>0.51</v>
      </c>
      <c r="P3355">
        <v>14</v>
      </c>
      <c r="Q3355">
        <v>8</v>
      </c>
      <c r="R3355">
        <v>5</v>
      </c>
      <c r="S3355">
        <v>5</v>
      </c>
      <c r="T3355">
        <v>4</v>
      </c>
      <c r="U3355">
        <v>11</v>
      </c>
      <c r="V3355">
        <v>0</v>
      </c>
      <c r="W3355">
        <v>1</v>
      </c>
      <c r="X3355">
        <v>0</v>
      </c>
      <c r="Y3355">
        <v>0</v>
      </c>
      <c r="Z3355">
        <v>0</v>
      </c>
    </row>
    <row r="3356" spans="1:26" x14ac:dyDescent="0.2">
      <c r="A3356" t="s">
        <v>3474</v>
      </c>
      <c r="B3356" t="s">
        <v>66</v>
      </c>
      <c r="C3356">
        <v>2017</v>
      </c>
      <c r="D3356" t="s">
        <v>45</v>
      </c>
      <c r="E3356" t="s">
        <v>26</v>
      </c>
      <c r="F3356" t="s">
        <v>26</v>
      </c>
      <c r="G3356">
        <v>39572</v>
      </c>
      <c r="H3356">
        <v>31657.600000000002</v>
      </c>
      <c r="I3356" s="13">
        <v>0</v>
      </c>
      <c r="J3356" t="s">
        <v>6207</v>
      </c>
      <c r="K3356">
        <v>0</v>
      </c>
      <c r="L3356">
        <v>0</v>
      </c>
      <c r="M3356" t="s">
        <v>58</v>
      </c>
      <c r="N3356" s="2">
        <v>0.38</v>
      </c>
      <c r="O3356" s="2">
        <v>0.62</v>
      </c>
      <c r="P3356">
        <v>8</v>
      </c>
      <c r="Q3356">
        <v>15</v>
      </c>
      <c r="R3356">
        <v>3</v>
      </c>
      <c r="S3356">
        <v>2</v>
      </c>
      <c r="T3356">
        <v>12</v>
      </c>
      <c r="U3356">
        <v>7</v>
      </c>
      <c r="V3356">
        <v>0</v>
      </c>
      <c r="W3356">
        <v>0</v>
      </c>
      <c r="X3356">
        <v>0</v>
      </c>
      <c r="Y3356">
        <v>0</v>
      </c>
      <c r="Z3356">
        <v>0</v>
      </c>
    </row>
    <row r="3357" spans="1:26" x14ac:dyDescent="0.2">
      <c r="A3357" t="s">
        <v>3475</v>
      </c>
      <c r="B3357" t="s">
        <v>74</v>
      </c>
      <c r="C3357">
        <v>2017</v>
      </c>
      <c r="D3357" t="s">
        <v>63</v>
      </c>
      <c r="E3357" t="s">
        <v>71</v>
      </c>
      <c r="F3357" t="s">
        <v>65</v>
      </c>
      <c r="G3357">
        <v>26804</v>
      </c>
      <c r="H3357">
        <v>21443.200000000001</v>
      </c>
      <c r="I3357" s="13">
        <v>0.2</v>
      </c>
      <c r="J3357" t="s">
        <v>6208</v>
      </c>
      <c r="K3357">
        <v>1</v>
      </c>
      <c r="L3357">
        <v>1</v>
      </c>
      <c r="M3357" t="s">
        <v>58</v>
      </c>
      <c r="N3357" s="2">
        <v>0.52</v>
      </c>
      <c r="O3357" s="2">
        <v>0.48</v>
      </c>
      <c r="P3357">
        <v>6</v>
      </c>
      <c r="Q3357">
        <v>21</v>
      </c>
      <c r="R3357">
        <v>5</v>
      </c>
      <c r="S3357">
        <v>1</v>
      </c>
      <c r="T3357">
        <v>15</v>
      </c>
      <c r="U3357">
        <v>5</v>
      </c>
      <c r="V3357">
        <v>3</v>
      </c>
      <c r="W3357">
        <v>2</v>
      </c>
      <c r="X3357">
        <v>0</v>
      </c>
      <c r="Y3357">
        <v>0</v>
      </c>
      <c r="Z3357">
        <v>0</v>
      </c>
    </row>
    <row r="3358" spans="1:26" x14ac:dyDescent="0.2">
      <c r="A3358" t="s">
        <v>3476</v>
      </c>
      <c r="B3358" t="s">
        <v>81</v>
      </c>
      <c r="C3358">
        <v>2017</v>
      </c>
      <c r="D3358" t="s">
        <v>85</v>
      </c>
      <c r="E3358" t="s">
        <v>28</v>
      </c>
      <c r="F3358" t="s">
        <v>85</v>
      </c>
      <c r="G3358">
        <v>22220</v>
      </c>
      <c r="H3358">
        <v>17776</v>
      </c>
      <c r="I3358" s="13">
        <v>0.75</v>
      </c>
      <c r="J3358" t="s">
        <v>6207</v>
      </c>
      <c r="K3358">
        <v>1</v>
      </c>
      <c r="L3358">
        <v>2</v>
      </c>
      <c r="M3358" t="s">
        <v>1</v>
      </c>
      <c r="N3358" s="2">
        <v>0.6</v>
      </c>
      <c r="O3358" s="2">
        <v>0.4</v>
      </c>
      <c r="P3358">
        <v>14</v>
      </c>
      <c r="Q3358">
        <v>21</v>
      </c>
      <c r="R3358">
        <v>11</v>
      </c>
      <c r="S3358">
        <v>1</v>
      </c>
      <c r="T3358">
        <v>17</v>
      </c>
      <c r="U3358">
        <v>10</v>
      </c>
      <c r="V3358">
        <v>2</v>
      </c>
      <c r="W3358">
        <v>2</v>
      </c>
      <c r="X3358">
        <v>0</v>
      </c>
      <c r="Y3358">
        <v>0</v>
      </c>
      <c r="Z3358">
        <v>0</v>
      </c>
    </row>
    <row r="3359" spans="1:26" x14ac:dyDescent="0.2">
      <c r="A3359" t="s">
        <v>3477</v>
      </c>
      <c r="B3359" t="s">
        <v>83</v>
      </c>
      <c r="C3359">
        <v>2017</v>
      </c>
      <c r="D3359" t="s">
        <v>27</v>
      </c>
      <c r="E3359" t="s">
        <v>51</v>
      </c>
      <c r="F3359" t="s">
        <v>27</v>
      </c>
      <c r="G3359">
        <v>30089</v>
      </c>
      <c r="H3359">
        <v>24071.200000000001</v>
      </c>
      <c r="I3359" s="13">
        <v>0.5714285714285714</v>
      </c>
      <c r="J3359" t="s">
        <v>6208</v>
      </c>
      <c r="K3359">
        <v>1</v>
      </c>
      <c r="L3359">
        <v>2</v>
      </c>
      <c r="M3359" t="s">
        <v>1</v>
      </c>
      <c r="N3359" s="2">
        <v>0.33</v>
      </c>
      <c r="O3359" s="2">
        <v>0.67</v>
      </c>
      <c r="P3359">
        <v>11</v>
      </c>
      <c r="Q3359">
        <v>21</v>
      </c>
      <c r="R3359">
        <v>6</v>
      </c>
      <c r="S3359">
        <v>3</v>
      </c>
      <c r="T3359">
        <v>19</v>
      </c>
      <c r="U3359">
        <v>8</v>
      </c>
      <c r="V3359">
        <v>4</v>
      </c>
      <c r="W3359">
        <v>3</v>
      </c>
      <c r="X3359">
        <v>0</v>
      </c>
      <c r="Y3359">
        <v>0</v>
      </c>
      <c r="Z3359">
        <v>0</v>
      </c>
    </row>
    <row r="3360" spans="1:26" x14ac:dyDescent="0.2">
      <c r="A3360" t="s">
        <v>3478</v>
      </c>
      <c r="B3360" t="s">
        <v>59</v>
      </c>
      <c r="C3360">
        <v>2017</v>
      </c>
      <c r="D3360" t="s">
        <v>80</v>
      </c>
      <c r="E3360" t="s">
        <v>64</v>
      </c>
      <c r="F3360" t="s">
        <v>80</v>
      </c>
      <c r="G3360">
        <v>32261</v>
      </c>
      <c r="H3360">
        <v>25808.800000000003</v>
      </c>
      <c r="I3360" s="13">
        <v>0</v>
      </c>
      <c r="J3360" t="s">
        <v>6206</v>
      </c>
      <c r="K3360">
        <v>1</v>
      </c>
      <c r="L3360">
        <v>2</v>
      </c>
      <c r="M3360" t="s">
        <v>1</v>
      </c>
      <c r="N3360" s="2">
        <v>0.66</v>
      </c>
      <c r="O3360" s="2">
        <v>0.34</v>
      </c>
      <c r="P3360">
        <v>17</v>
      </c>
      <c r="Q3360">
        <v>9</v>
      </c>
      <c r="R3360">
        <v>7</v>
      </c>
      <c r="S3360">
        <v>5</v>
      </c>
      <c r="T3360">
        <v>7</v>
      </c>
      <c r="U3360">
        <v>14</v>
      </c>
      <c r="V3360">
        <v>1</v>
      </c>
      <c r="W3360">
        <v>3</v>
      </c>
      <c r="X3360">
        <v>0</v>
      </c>
      <c r="Y3360">
        <v>0</v>
      </c>
      <c r="Z3360">
        <v>0</v>
      </c>
    </row>
    <row r="3361" spans="1:26" x14ac:dyDescent="0.2">
      <c r="A3361" t="s">
        <v>3479</v>
      </c>
      <c r="B3361" t="s">
        <v>61</v>
      </c>
      <c r="C3361">
        <v>2017</v>
      </c>
      <c r="D3361" t="s">
        <v>90</v>
      </c>
      <c r="E3361" t="s">
        <v>89</v>
      </c>
      <c r="F3361" t="s">
        <v>91</v>
      </c>
      <c r="G3361">
        <v>31876</v>
      </c>
      <c r="H3361">
        <v>25500.800000000003</v>
      </c>
      <c r="I3361" s="13">
        <v>1</v>
      </c>
      <c r="J3361" t="s">
        <v>6207</v>
      </c>
      <c r="K3361">
        <v>1</v>
      </c>
      <c r="L3361">
        <v>1</v>
      </c>
      <c r="M3361" t="s">
        <v>58</v>
      </c>
      <c r="N3361" s="2">
        <v>0.41</v>
      </c>
      <c r="O3361" s="2">
        <v>0.59</v>
      </c>
      <c r="P3361">
        <v>10</v>
      </c>
      <c r="Q3361">
        <v>17</v>
      </c>
      <c r="R3361">
        <v>5</v>
      </c>
      <c r="S3361">
        <v>3</v>
      </c>
      <c r="T3361">
        <v>13</v>
      </c>
      <c r="U3361">
        <v>7</v>
      </c>
      <c r="V3361">
        <v>1</v>
      </c>
      <c r="W3361">
        <v>0</v>
      </c>
      <c r="X3361">
        <v>1</v>
      </c>
      <c r="Y3361">
        <v>0</v>
      </c>
      <c r="Z3361">
        <v>0</v>
      </c>
    </row>
    <row r="3362" spans="1:26" x14ac:dyDescent="0.2">
      <c r="A3362" t="s">
        <v>3480</v>
      </c>
      <c r="B3362" t="s">
        <v>68</v>
      </c>
      <c r="C3362">
        <v>2017</v>
      </c>
      <c r="D3362" t="s">
        <v>86</v>
      </c>
      <c r="E3362" t="s">
        <v>79</v>
      </c>
      <c r="F3362" t="s">
        <v>86</v>
      </c>
      <c r="G3362">
        <v>11364</v>
      </c>
      <c r="H3362">
        <v>9091.2000000000007</v>
      </c>
      <c r="I3362" s="13">
        <v>0.25</v>
      </c>
      <c r="J3362" t="s">
        <v>6207</v>
      </c>
      <c r="K3362">
        <v>2</v>
      </c>
      <c r="L3362">
        <v>2</v>
      </c>
      <c r="M3362" t="s">
        <v>58</v>
      </c>
      <c r="N3362" s="2">
        <v>0.53</v>
      </c>
      <c r="O3362" s="2">
        <v>0.47</v>
      </c>
      <c r="P3362">
        <v>10</v>
      </c>
      <c r="Q3362">
        <v>11</v>
      </c>
      <c r="R3362">
        <v>11</v>
      </c>
      <c r="S3362">
        <v>3</v>
      </c>
      <c r="T3362">
        <v>8</v>
      </c>
      <c r="U3362">
        <v>9</v>
      </c>
      <c r="V3362">
        <v>2</v>
      </c>
      <c r="W3362">
        <v>2</v>
      </c>
      <c r="X3362">
        <v>0</v>
      </c>
      <c r="Y3362">
        <v>0</v>
      </c>
      <c r="Z3362">
        <v>0</v>
      </c>
    </row>
    <row r="3363" spans="1:26" x14ac:dyDescent="0.2">
      <c r="A3363" t="s">
        <v>3481</v>
      </c>
      <c r="B3363" t="s">
        <v>32</v>
      </c>
      <c r="C3363">
        <v>2017</v>
      </c>
      <c r="D3363" t="s">
        <v>40</v>
      </c>
      <c r="E3363" t="s">
        <v>48</v>
      </c>
      <c r="F3363" t="s">
        <v>49</v>
      </c>
      <c r="G3363">
        <v>53400</v>
      </c>
      <c r="H3363">
        <v>42720</v>
      </c>
      <c r="I3363" s="13">
        <v>0.88888888888888884</v>
      </c>
      <c r="J3363" t="s">
        <v>6207</v>
      </c>
      <c r="K3363">
        <v>2</v>
      </c>
      <c r="L3363">
        <v>3</v>
      </c>
      <c r="M3363" t="s">
        <v>1</v>
      </c>
      <c r="N3363" s="2">
        <v>0.65</v>
      </c>
      <c r="O3363" s="2">
        <v>0.35</v>
      </c>
      <c r="P3363">
        <v>11</v>
      </c>
      <c r="Q3363">
        <v>18</v>
      </c>
      <c r="R3363">
        <v>8</v>
      </c>
      <c r="S3363">
        <v>4</v>
      </c>
      <c r="T3363">
        <v>17</v>
      </c>
      <c r="U3363">
        <v>9</v>
      </c>
      <c r="V3363">
        <v>6</v>
      </c>
      <c r="W3363">
        <v>3</v>
      </c>
      <c r="X3363">
        <v>0</v>
      </c>
      <c r="Y3363">
        <v>0</v>
      </c>
      <c r="Z3363">
        <v>0</v>
      </c>
    </row>
    <row r="3364" spans="1:26" x14ac:dyDescent="0.2">
      <c r="A3364" t="s">
        <v>3482</v>
      </c>
      <c r="B3364" t="s">
        <v>37</v>
      </c>
      <c r="C3364">
        <v>2017</v>
      </c>
      <c r="D3364" t="s">
        <v>46</v>
      </c>
      <c r="E3364" t="s">
        <v>73</v>
      </c>
      <c r="F3364" t="s">
        <v>20</v>
      </c>
      <c r="G3364">
        <v>60704</v>
      </c>
      <c r="H3364">
        <v>48563.200000000004</v>
      </c>
      <c r="I3364" s="13">
        <v>0.6</v>
      </c>
      <c r="J3364" t="s">
        <v>6206</v>
      </c>
      <c r="K3364">
        <v>3</v>
      </c>
      <c r="L3364">
        <v>2</v>
      </c>
      <c r="M3364" t="s">
        <v>0</v>
      </c>
      <c r="N3364" s="2">
        <v>0.65</v>
      </c>
      <c r="O3364" s="2">
        <v>0.35</v>
      </c>
      <c r="P3364">
        <v>9</v>
      </c>
      <c r="Q3364">
        <v>12</v>
      </c>
      <c r="R3364">
        <v>8</v>
      </c>
      <c r="S3364">
        <v>6</v>
      </c>
      <c r="T3364">
        <v>11</v>
      </c>
      <c r="U3364">
        <v>7</v>
      </c>
      <c r="V3364">
        <v>2</v>
      </c>
      <c r="W3364">
        <v>1</v>
      </c>
      <c r="X3364">
        <v>1</v>
      </c>
      <c r="Y3364">
        <v>1</v>
      </c>
      <c r="Z3364">
        <v>0</v>
      </c>
    </row>
    <row r="3365" spans="1:26" x14ac:dyDescent="0.2">
      <c r="A3365" t="s">
        <v>3483</v>
      </c>
      <c r="B3365" t="s">
        <v>60</v>
      </c>
      <c r="C3365">
        <v>2017</v>
      </c>
      <c r="D3365" t="s">
        <v>18</v>
      </c>
      <c r="E3365" t="s">
        <v>23</v>
      </c>
      <c r="F3365" t="s">
        <v>20</v>
      </c>
      <c r="G3365">
        <v>40341</v>
      </c>
      <c r="H3365">
        <v>32272.800000000003</v>
      </c>
      <c r="I3365" s="13">
        <v>0</v>
      </c>
      <c r="J3365" t="s">
        <v>6208</v>
      </c>
      <c r="K3365">
        <v>1</v>
      </c>
      <c r="L3365">
        <v>1</v>
      </c>
      <c r="M3365" t="s">
        <v>58</v>
      </c>
      <c r="N3365" s="2">
        <v>0.6</v>
      </c>
      <c r="O3365" s="2">
        <v>0.4</v>
      </c>
      <c r="P3365">
        <v>13</v>
      </c>
      <c r="Q3365">
        <v>9</v>
      </c>
      <c r="R3365">
        <v>10</v>
      </c>
      <c r="S3365">
        <v>6</v>
      </c>
      <c r="T3365">
        <v>7</v>
      </c>
      <c r="U3365">
        <v>11</v>
      </c>
      <c r="V3365">
        <v>0</v>
      </c>
      <c r="W3365">
        <v>1</v>
      </c>
      <c r="X3365">
        <v>0</v>
      </c>
      <c r="Y3365">
        <v>0</v>
      </c>
      <c r="Z3365">
        <v>0</v>
      </c>
    </row>
    <row r="3366" spans="1:26" x14ac:dyDescent="0.2">
      <c r="A3366" t="s">
        <v>3484</v>
      </c>
      <c r="B3366" t="s">
        <v>41</v>
      </c>
      <c r="C3366">
        <v>2017</v>
      </c>
      <c r="D3366" t="s">
        <v>73</v>
      </c>
      <c r="E3366" t="s">
        <v>18</v>
      </c>
      <c r="F3366" t="s">
        <v>73</v>
      </c>
      <c r="G3366">
        <v>32384</v>
      </c>
      <c r="H3366">
        <v>25907.200000000001</v>
      </c>
      <c r="I3366" s="13">
        <v>0.625</v>
      </c>
      <c r="J3366" t="s">
        <v>6207</v>
      </c>
      <c r="K3366">
        <v>2</v>
      </c>
      <c r="L3366">
        <v>3</v>
      </c>
      <c r="M3366" t="s">
        <v>1</v>
      </c>
      <c r="N3366" s="2">
        <v>0.42</v>
      </c>
      <c r="O3366" s="2">
        <v>0.57999999999999996</v>
      </c>
      <c r="P3366">
        <v>16</v>
      </c>
      <c r="Q3366">
        <v>13</v>
      </c>
      <c r="R3366">
        <v>4</v>
      </c>
      <c r="S3366">
        <v>7</v>
      </c>
      <c r="T3366">
        <v>13</v>
      </c>
      <c r="U3366">
        <v>14</v>
      </c>
      <c r="V3366">
        <v>5</v>
      </c>
      <c r="W3366">
        <v>3</v>
      </c>
      <c r="X3366">
        <v>0</v>
      </c>
      <c r="Y3366">
        <v>0</v>
      </c>
      <c r="Z3366">
        <v>0</v>
      </c>
    </row>
    <row r="3367" spans="1:26" x14ac:dyDescent="0.2">
      <c r="A3367" t="s">
        <v>3485</v>
      </c>
      <c r="B3367" t="s">
        <v>50</v>
      </c>
      <c r="C3367">
        <v>2017</v>
      </c>
      <c r="D3367" t="s">
        <v>71</v>
      </c>
      <c r="E3367" t="s">
        <v>45</v>
      </c>
      <c r="F3367" t="s">
        <v>71</v>
      </c>
      <c r="G3367">
        <v>21088</v>
      </c>
      <c r="H3367">
        <v>16870.400000000001</v>
      </c>
      <c r="I3367" s="13">
        <v>1</v>
      </c>
      <c r="J3367" t="s">
        <v>6207</v>
      </c>
      <c r="K3367">
        <v>1</v>
      </c>
      <c r="L3367">
        <v>1</v>
      </c>
      <c r="M3367" t="s">
        <v>58</v>
      </c>
      <c r="N3367" s="2">
        <v>0.51</v>
      </c>
      <c r="O3367" s="2">
        <v>0.49</v>
      </c>
      <c r="P3367">
        <v>11</v>
      </c>
      <c r="Q3367">
        <v>11</v>
      </c>
      <c r="R3367">
        <v>6</v>
      </c>
      <c r="S3367">
        <v>3</v>
      </c>
      <c r="T3367">
        <v>10</v>
      </c>
      <c r="U3367">
        <v>11</v>
      </c>
      <c r="V3367">
        <v>1</v>
      </c>
      <c r="W3367">
        <v>1</v>
      </c>
      <c r="X3367">
        <v>0</v>
      </c>
      <c r="Y3367">
        <v>0</v>
      </c>
      <c r="Z3367">
        <v>0</v>
      </c>
    </row>
    <row r="3368" spans="1:26" x14ac:dyDescent="0.2">
      <c r="A3368" t="s">
        <v>3486</v>
      </c>
      <c r="B3368" t="s">
        <v>76</v>
      </c>
      <c r="C3368">
        <v>2017</v>
      </c>
      <c r="D3368" t="s">
        <v>89</v>
      </c>
      <c r="E3368" t="s">
        <v>85</v>
      </c>
      <c r="F3368" t="s">
        <v>89</v>
      </c>
      <c r="G3368">
        <v>24500</v>
      </c>
      <c r="H3368">
        <v>19600</v>
      </c>
      <c r="I3368" s="13">
        <v>0.75</v>
      </c>
      <c r="J3368" t="s">
        <v>6207</v>
      </c>
      <c r="K3368">
        <v>1</v>
      </c>
      <c r="L3368">
        <v>0</v>
      </c>
      <c r="M3368" t="s">
        <v>0</v>
      </c>
      <c r="N3368" s="2">
        <v>0.48</v>
      </c>
      <c r="O3368" s="2">
        <v>0.52</v>
      </c>
      <c r="P3368">
        <v>9</v>
      </c>
      <c r="Q3368">
        <v>11</v>
      </c>
      <c r="R3368">
        <v>9</v>
      </c>
      <c r="S3368">
        <v>6</v>
      </c>
      <c r="T3368">
        <v>9</v>
      </c>
      <c r="U3368">
        <v>8</v>
      </c>
      <c r="V3368">
        <v>2</v>
      </c>
      <c r="W3368">
        <v>2</v>
      </c>
      <c r="X3368">
        <v>0</v>
      </c>
      <c r="Y3368">
        <v>0</v>
      </c>
      <c r="Z3368">
        <v>0</v>
      </c>
    </row>
    <row r="3369" spans="1:26" x14ac:dyDescent="0.2">
      <c r="A3369" t="s">
        <v>3487</v>
      </c>
      <c r="B3369" t="s">
        <v>37</v>
      </c>
      <c r="C3369">
        <v>2017</v>
      </c>
      <c r="D3369" t="s">
        <v>79</v>
      </c>
      <c r="E3369" t="s">
        <v>90</v>
      </c>
      <c r="F3369" t="s">
        <v>20</v>
      </c>
      <c r="G3369">
        <v>25486</v>
      </c>
      <c r="H3369">
        <v>20388.800000000003</v>
      </c>
      <c r="I3369" s="13">
        <v>0.6</v>
      </c>
      <c r="J3369" t="s">
        <v>6206</v>
      </c>
      <c r="K3369">
        <v>3</v>
      </c>
      <c r="L3369">
        <v>2</v>
      </c>
      <c r="M3369" t="s">
        <v>0</v>
      </c>
      <c r="N3369" s="2">
        <v>0.5</v>
      </c>
      <c r="O3369" s="2">
        <v>0.5</v>
      </c>
      <c r="P3369">
        <v>17</v>
      </c>
      <c r="Q3369">
        <v>15</v>
      </c>
      <c r="R3369">
        <v>5</v>
      </c>
      <c r="S3369">
        <v>6</v>
      </c>
      <c r="T3369">
        <v>12</v>
      </c>
      <c r="U3369">
        <v>16</v>
      </c>
      <c r="V3369">
        <v>3</v>
      </c>
      <c r="W3369">
        <v>2</v>
      </c>
      <c r="X3369">
        <v>0</v>
      </c>
      <c r="Y3369">
        <v>0</v>
      </c>
      <c r="Z3369">
        <v>0</v>
      </c>
    </row>
    <row r="3370" spans="1:26" x14ac:dyDescent="0.2">
      <c r="A3370" t="s">
        <v>3488</v>
      </c>
      <c r="B3370" t="s">
        <v>32</v>
      </c>
      <c r="C3370">
        <v>2017</v>
      </c>
      <c r="D3370" t="s">
        <v>28</v>
      </c>
      <c r="E3370" t="s">
        <v>80</v>
      </c>
      <c r="F3370" t="s">
        <v>28</v>
      </c>
      <c r="G3370">
        <v>21944</v>
      </c>
      <c r="H3370">
        <v>17555.2</v>
      </c>
      <c r="I3370" s="13">
        <v>0.33333333333333331</v>
      </c>
      <c r="J3370" t="s">
        <v>6207</v>
      </c>
      <c r="K3370">
        <v>2</v>
      </c>
      <c r="L3370">
        <v>1</v>
      </c>
      <c r="M3370" t="s">
        <v>0</v>
      </c>
      <c r="N3370" s="2">
        <v>0.39</v>
      </c>
      <c r="O3370" s="2">
        <v>0.61</v>
      </c>
      <c r="P3370">
        <v>11</v>
      </c>
      <c r="Q3370">
        <v>9</v>
      </c>
      <c r="R3370">
        <v>4</v>
      </c>
      <c r="S3370">
        <v>8</v>
      </c>
      <c r="T3370">
        <v>9</v>
      </c>
      <c r="U3370">
        <v>10</v>
      </c>
      <c r="V3370">
        <v>2</v>
      </c>
      <c r="W3370">
        <v>1</v>
      </c>
      <c r="X3370">
        <v>0</v>
      </c>
      <c r="Y3370">
        <v>0</v>
      </c>
      <c r="Z3370">
        <v>0</v>
      </c>
    </row>
    <row r="3371" spans="1:26" x14ac:dyDescent="0.2">
      <c r="A3371" t="s">
        <v>3489</v>
      </c>
      <c r="B3371" t="s">
        <v>88</v>
      </c>
      <c r="C3371">
        <v>2017</v>
      </c>
      <c r="D3371" t="s">
        <v>26</v>
      </c>
      <c r="E3371" t="s">
        <v>86</v>
      </c>
      <c r="F3371" t="s">
        <v>26</v>
      </c>
      <c r="G3371">
        <v>61276</v>
      </c>
      <c r="H3371">
        <v>49020.800000000003</v>
      </c>
      <c r="I3371" s="13">
        <v>0.5</v>
      </c>
      <c r="J3371" t="s">
        <v>6207</v>
      </c>
      <c r="K3371">
        <v>3</v>
      </c>
      <c r="L3371">
        <v>0</v>
      </c>
      <c r="M3371" t="s">
        <v>0</v>
      </c>
      <c r="N3371" s="2">
        <v>0.62</v>
      </c>
      <c r="O3371" s="2">
        <v>0.38</v>
      </c>
      <c r="P3371">
        <v>13</v>
      </c>
      <c r="Q3371">
        <v>11</v>
      </c>
      <c r="R3371">
        <v>7</v>
      </c>
      <c r="S3371">
        <v>5</v>
      </c>
      <c r="T3371">
        <v>9</v>
      </c>
      <c r="U3371">
        <v>9</v>
      </c>
      <c r="V3371">
        <v>1</v>
      </c>
      <c r="W3371">
        <v>1</v>
      </c>
      <c r="X3371">
        <v>0</v>
      </c>
      <c r="Y3371">
        <v>0</v>
      </c>
      <c r="Z3371">
        <v>0</v>
      </c>
    </row>
    <row r="3372" spans="1:26" x14ac:dyDescent="0.2">
      <c r="A3372" t="s">
        <v>3490</v>
      </c>
      <c r="B3372" t="s">
        <v>68</v>
      </c>
      <c r="C3372">
        <v>2017</v>
      </c>
      <c r="D3372" t="s">
        <v>51</v>
      </c>
      <c r="E3372" t="s">
        <v>40</v>
      </c>
      <c r="F3372" t="s">
        <v>20</v>
      </c>
      <c r="G3372">
        <v>36284</v>
      </c>
      <c r="H3372">
        <v>29027.200000000001</v>
      </c>
      <c r="I3372" s="13">
        <v>0.7142857142857143</v>
      </c>
      <c r="J3372" t="s">
        <v>6207</v>
      </c>
      <c r="K3372">
        <v>1</v>
      </c>
      <c r="L3372">
        <v>3</v>
      </c>
      <c r="M3372" t="s">
        <v>1</v>
      </c>
      <c r="N3372" s="2">
        <v>0.48</v>
      </c>
      <c r="O3372" s="2">
        <v>0.52</v>
      </c>
      <c r="P3372">
        <v>13</v>
      </c>
      <c r="Q3372">
        <v>15</v>
      </c>
      <c r="R3372">
        <v>5</v>
      </c>
      <c r="S3372">
        <v>7</v>
      </c>
      <c r="T3372">
        <v>11</v>
      </c>
      <c r="U3372">
        <v>12</v>
      </c>
      <c r="V3372">
        <v>3</v>
      </c>
      <c r="W3372">
        <v>4</v>
      </c>
      <c r="X3372">
        <v>0</v>
      </c>
      <c r="Y3372">
        <v>0</v>
      </c>
      <c r="Z3372">
        <v>1</v>
      </c>
    </row>
    <row r="3373" spans="1:26" x14ac:dyDescent="0.2">
      <c r="A3373" t="s">
        <v>3491</v>
      </c>
      <c r="B3373" t="s">
        <v>61</v>
      </c>
      <c r="C3373">
        <v>2017</v>
      </c>
      <c r="D3373" t="s">
        <v>64</v>
      </c>
      <c r="E3373" t="s">
        <v>46</v>
      </c>
      <c r="F3373" t="s">
        <v>64</v>
      </c>
      <c r="G3373">
        <v>52264</v>
      </c>
      <c r="H3373">
        <v>41811.200000000004</v>
      </c>
      <c r="I3373" s="13">
        <v>1</v>
      </c>
      <c r="J3373" t="s">
        <v>6207</v>
      </c>
      <c r="K3373">
        <v>2</v>
      </c>
      <c r="L3373">
        <v>1</v>
      </c>
      <c r="M3373" t="s">
        <v>0</v>
      </c>
      <c r="N3373" s="2">
        <v>0.28000000000000003</v>
      </c>
      <c r="O3373" s="2">
        <v>0.72</v>
      </c>
      <c r="P3373">
        <v>11</v>
      </c>
      <c r="Q3373">
        <v>12</v>
      </c>
      <c r="R3373">
        <v>2</v>
      </c>
      <c r="S3373">
        <v>5</v>
      </c>
      <c r="T3373">
        <v>11</v>
      </c>
      <c r="U3373">
        <v>9</v>
      </c>
      <c r="V3373">
        <v>1</v>
      </c>
      <c r="W3373">
        <v>0</v>
      </c>
      <c r="X3373">
        <v>0</v>
      </c>
      <c r="Y3373">
        <v>0</v>
      </c>
      <c r="Z3373">
        <v>0</v>
      </c>
    </row>
    <row r="3374" spans="1:26" x14ac:dyDescent="0.2">
      <c r="A3374" t="s">
        <v>3492</v>
      </c>
      <c r="B3374" t="s">
        <v>81</v>
      </c>
      <c r="C3374">
        <v>2017</v>
      </c>
      <c r="D3374" t="s">
        <v>48</v>
      </c>
      <c r="E3374" t="s">
        <v>63</v>
      </c>
      <c r="F3374" t="s">
        <v>49</v>
      </c>
      <c r="G3374">
        <v>74197</v>
      </c>
      <c r="H3374">
        <v>59357.600000000006</v>
      </c>
      <c r="I3374" s="13">
        <v>1</v>
      </c>
      <c r="J3374" t="s">
        <v>6207</v>
      </c>
      <c r="K3374">
        <v>0</v>
      </c>
      <c r="L3374">
        <v>1</v>
      </c>
      <c r="M3374" t="s">
        <v>1</v>
      </c>
      <c r="N3374" s="2">
        <v>0.7</v>
      </c>
      <c r="O3374" s="2">
        <v>0.3</v>
      </c>
      <c r="P3374">
        <v>14</v>
      </c>
      <c r="Q3374">
        <v>12</v>
      </c>
      <c r="R3374">
        <v>4</v>
      </c>
      <c r="S3374">
        <v>4</v>
      </c>
      <c r="T3374">
        <v>8</v>
      </c>
      <c r="U3374">
        <v>13</v>
      </c>
      <c r="V3374">
        <v>1</v>
      </c>
      <c r="W3374">
        <v>1</v>
      </c>
      <c r="X3374">
        <v>0</v>
      </c>
      <c r="Y3374">
        <v>0</v>
      </c>
      <c r="Z3374">
        <v>0</v>
      </c>
    </row>
    <row r="3375" spans="1:26" x14ac:dyDescent="0.2">
      <c r="A3375" t="s">
        <v>3493</v>
      </c>
      <c r="B3375" t="s">
        <v>66</v>
      </c>
      <c r="C3375">
        <v>2017</v>
      </c>
      <c r="D3375" t="s">
        <v>23</v>
      </c>
      <c r="E3375" t="s">
        <v>27</v>
      </c>
      <c r="F3375" t="s">
        <v>20</v>
      </c>
      <c r="G3375">
        <v>62500</v>
      </c>
      <c r="H3375">
        <v>50000</v>
      </c>
      <c r="I3375" s="13">
        <v>0.6</v>
      </c>
      <c r="J3375" t="s">
        <v>6207</v>
      </c>
      <c r="K3375">
        <v>1</v>
      </c>
      <c r="L3375">
        <v>1</v>
      </c>
      <c r="M3375" t="s">
        <v>58</v>
      </c>
      <c r="N3375" s="2">
        <v>0.62</v>
      </c>
      <c r="O3375" s="2">
        <v>0.38</v>
      </c>
      <c r="P3375">
        <v>24</v>
      </c>
      <c r="Q3375">
        <v>20</v>
      </c>
      <c r="R3375">
        <v>10</v>
      </c>
      <c r="S3375">
        <v>1</v>
      </c>
      <c r="T3375">
        <v>15</v>
      </c>
      <c r="U3375">
        <v>21</v>
      </c>
      <c r="V3375">
        <v>2</v>
      </c>
      <c r="W3375">
        <v>3</v>
      </c>
      <c r="X3375">
        <v>0</v>
      </c>
      <c r="Y3375">
        <v>0</v>
      </c>
      <c r="Z3375">
        <v>0</v>
      </c>
    </row>
    <row r="3376" spans="1:26" x14ac:dyDescent="0.2">
      <c r="A3376" t="s">
        <v>3494</v>
      </c>
      <c r="B3376" t="s">
        <v>60</v>
      </c>
      <c r="C3376">
        <v>2017</v>
      </c>
      <c r="D3376" t="s">
        <v>90</v>
      </c>
      <c r="E3376" t="s">
        <v>51</v>
      </c>
      <c r="F3376" t="s">
        <v>91</v>
      </c>
      <c r="G3376">
        <v>31876</v>
      </c>
      <c r="H3376">
        <v>25500.800000000003</v>
      </c>
      <c r="I3376" s="13">
        <v>0</v>
      </c>
      <c r="J3376" t="s">
        <v>6208</v>
      </c>
      <c r="K3376">
        <v>1</v>
      </c>
      <c r="L3376">
        <v>1</v>
      </c>
      <c r="M3376" t="s">
        <v>58</v>
      </c>
      <c r="N3376" s="2">
        <v>0.36</v>
      </c>
      <c r="O3376" s="2">
        <v>0.64</v>
      </c>
      <c r="P3376">
        <v>4</v>
      </c>
      <c r="Q3376">
        <v>6</v>
      </c>
      <c r="R3376">
        <v>3</v>
      </c>
      <c r="S3376">
        <v>4</v>
      </c>
      <c r="T3376">
        <v>6</v>
      </c>
      <c r="U3376">
        <v>5</v>
      </c>
      <c r="V3376">
        <v>1</v>
      </c>
      <c r="W3376">
        <v>0</v>
      </c>
      <c r="X3376">
        <v>0</v>
      </c>
      <c r="Y3376">
        <v>0</v>
      </c>
      <c r="Z3376">
        <v>1</v>
      </c>
    </row>
    <row r="3377" spans="1:26" x14ac:dyDescent="0.2">
      <c r="A3377" t="s">
        <v>3495</v>
      </c>
      <c r="B3377" t="s">
        <v>83</v>
      </c>
      <c r="C3377">
        <v>2017</v>
      </c>
      <c r="D3377" t="s">
        <v>86</v>
      </c>
      <c r="E3377" t="s">
        <v>48</v>
      </c>
      <c r="F3377" t="s">
        <v>86</v>
      </c>
      <c r="G3377">
        <v>11364</v>
      </c>
      <c r="H3377">
        <v>9091.2000000000007</v>
      </c>
      <c r="I3377" s="13">
        <v>0</v>
      </c>
      <c r="J3377" t="s">
        <v>6208</v>
      </c>
      <c r="K3377">
        <v>0</v>
      </c>
      <c r="L3377">
        <v>2</v>
      </c>
      <c r="M3377" t="s">
        <v>1</v>
      </c>
      <c r="N3377" s="2">
        <v>0.44</v>
      </c>
      <c r="O3377" s="2">
        <v>0.56000000000000005</v>
      </c>
      <c r="P3377">
        <v>11</v>
      </c>
      <c r="Q3377">
        <v>10</v>
      </c>
      <c r="R3377">
        <v>8</v>
      </c>
      <c r="S3377">
        <v>5</v>
      </c>
      <c r="T3377">
        <v>9</v>
      </c>
      <c r="U3377">
        <v>8</v>
      </c>
      <c r="V3377">
        <v>3</v>
      </c>
      <c r="W3377">
        <v>1</v>
      </c>
      <c r="X3377">
        <v>0</v>
      </c>
      <c r="Y3377">
        <v>0</v>
      </c>
      <c r="Z3377">
        <v>0</v>
      </c>
    </row>
    <row r="3378" spans="1:26" x14ac:dyDescent="0.2">
      <c r="A3378" t="s">
        <v>3496</v>
      </c>
      <c r="B3378" t="s">
        <v>74</v>
      </c>
      <c r="C3378">
        <v>2017</v>
      </c>
      <c r="D3378" t="s">
        <v>80</v>
      </c>
      <c r="E3378" t="s">
        <v>73</v>
      </c>
      <c r="F3378" t="s">
        <v>80</v>
      </c>
      <c r="G3378">
        <v>32261</v>
      </c>
      <c r="H3378">
        <v>25808.800000000003</v>
      </c>
      <c r="I3378" s="13">
        <v>0</v>
      </c>
      <c r="J3378" t="s">
        <v>6208</v>
      </c>
      <c r="K3378">
        <v>0</v>
      </c>
      <c r="L3378">
        <v>0</v>
      </c>
      <c r="M3378" t="s">
        <v>58</v>
      </c>
      <c r="N3378" s="2">
        <v>0.54</v>
      </c>
      <c r="O3378" s="2">
        <v>0.46</v>
      </c>
      <c r="P3378">
        <v>12</v>
      </c>
      <c r="Q3378">
        <v>13</v>
      </c>
      <c r="R3378">
        <v>11</v>
      </c>
      <c r="S3378">
        <v>3</v>
      </c>
      <c r="T3378">
        <v>10</v>
      </c>
      <c r="U3378">
        <v>10</v>
      </c>
      <c r="V3378">
        <v>0</v>
      </c>
      <c r="W3378">
        <v>0</v>
      </c>
      <c r="X3378">
        <v>0</v>
      </c>
      <c r="Y3378">
        <v>0</v>
      </c>
      <c r="Z3378">
        <v>0</v>
      </c>
    </row>
    <row r="3379" spans="1:26" x14ac:dyDescent="0.2">
      <c r="A3379" t="s">
        <v>3497</v>
      </c>
      <c r="B3379" t="s">
        <v>77</v>
      </c>
      <c r="C3379">
        <v>2017</v>
      </c>
      <c r="D3379" t="s">
        <v>28</v>
      </c>
      <c r="E3379" t="s">
        <v>18</v>
      </c>
      <c r="F3379" t="s">
        <v>28</v>
      </c>
      <c r="G3379">
        <v>21944</v>
      </c>
      <c r="H3379">
        <v>17555.2</v>
      </c>
      <c r="I3379" s="13">
        <v>0</v>
      </c>
      <c r="J3379" t="s">
        <v>6207</v>
      </c>
      <c r="K3379">
        <v>1</v>
      </c>
      <c r="L3379">
        <v>2</v>
      </c>
      <c r="M3379" t="s">
        <v>1</v>
      </c>
      <c r="N3379" s="2">
        <v>0.39</v>
      </c>
      <c r="O3379" s="2">
        <v>0.61</v>
      </c>
      <c r="P3379">
        <v>12</v>
      </c>
      <c r="Q3379">
        <v>12</v>
      </c>
      <c r="R3379">
        <v>3</v>
      </c>
      <c r="S3379">
        <v>2</v>
      </c>
      <c r="T3379">
        <v>9</v>
      </c>
      <c r="U3379">
        <v>11</v>
      </c>
      <c r="V3379">
        <v>1</v>
      </c>
      <c r="W3379">
        <v>0</v>
      </c>
      <c r="X3379">
        <v>0</v>
      </c>
      <c r="Y3379">
        <v>0</v>
      </c>
      <c r="Z3379">
        <v>0</v>
      </c>
    </row>
    <row r="3380" spans="1:26" x14ac:dyDescent="0.2">
      <c r="A3380" t="s">
        <v>3498</v>
      </c>
      <c r="B3380" t="s">
        <v>59</v>
      </c>
      <c r="C3380">
        <v>2017</v>
      </c>
      <c r="D3380" t="s">
        <v>63</v>
      </c>
      <c r="E3380" t="s">
        <v>26</v>
      </c>
      <c r="F3380" t="s">
        <v>65</v>
      </c>
      <c r="G3380">
        <v>26804</v>
      </c>
      <c r="H3380">
        <v>21443.200000000001</v>
      </c>
      <c r="I3380" s="13">
        <v>1</v>
      </c>
      <c r="J3380" t="s">
        <v>6206</v>
      </c>
      <c r="K3380">
        <v>2</v>
      </c>
      <c r="L3380">
        <v>2</v>
      </c>
      <c r="M3380" t="s">
        <v>58</v>
      </c>
      <c r="N3380" s="2">
        <v>0.38</v>
      </c>
      <c r="O3380" s="2">
        <v>0.62</v>
      </c>
      <c r="P3380">
        <v>7</v>
      </c>
      <c r="Q3380">
        <v>13</v>
      </c>
      <c r="R3380">
        <v>7</v>
      </c>
      <c r="S3380">
        <v>4</v>
      </c>
      <c r="T3380">
        <v>12</v>
      </c>
      <c r="U3380">
        <v>5</v>
      </c>
      <c r="V3380">
        <v>0</v>
      </c>
      <c r="W3380">
        <v>1</v>
      </c>
      <c r="X3380">
        <v>0</v>
      </c>
      <c r="Y3380">
        <v>0</v>
      </c>
      <c r="Z3380">
        <v>0</v>
      </c>
    </row>
    <row r="3381" spans="1:26" x14ac:dyDescent="0.2">
      <c r="A3381" t="s">
        <v>3499</v>
      </c>
      <c r="B3381" t="s">
        <v>88</v>
      </c>
      <c r="C3381">
        <v>2017</v>
      </c>
      <c r="D3381" t="s">
        <v>85</v>
      </c>
      <c r="E3381" t="s">
        <v>79</v>
      </c>
      <c r="F3381" t="s">
        <v>85</v>
      </c>
      <c r="G3381">
        <v>22220</v>
      </c>
      <c r="H3381">
        <v>17776</v>
      </c>
      <c r="I3381" s="13">
        <v>0.375</v>
      </c>
      <c r="J3381" t="s">
        <v>6207</v>
      </c>
      <c r="K3381">
        <v>0</v>
      </c>
      <c r="L3381">
        <v>0</v>
      </c>
      <c r="M3381" t="s">
        <v>58</v>
      </c>
      <c r="N3381" s="2">
        <v>0.52</v>
      </c>
      <c r="O3381" s="2">
        <v>0.48</v>
      </c>
      <c r="P3381">
        <v>14</v>
      </c>
      <c r="Q3381">
        <v>17</v>
      </c>
      <c r="R3381">
        <v>4</v>
      </c>
      <c r="S3381">
        <v>3</v>
      </c>
      <c r="T3381">
        <v>17</v>
      </c>
      <c r="U3381">
        <v>13</v>
      </c>
      <c r="V3381">
        <v>3</v>
      </c>
      <c r="W3381">
        <v>5</v>
      </c>
      <c r="X3381">
        <v>0</v>
      </c>
      <c r="Y3381">
        <v>0</v>
      </c>
      <c r="Z3381">
        <v>0</v>
      </c>
    </row>
    <row r="3382" spans="1:26" x14ac:dyDescent="0.2">
      <c r="A3382" t="s">
        <v>3500</v>
      </c>
      <c r="B3382" t="s">
        <v>41</v>
      </c>
      <c r="C3382">
        <v>2017</v>
      </c>
      <c r="D3382" t="s">
        <v>27</v>
      </c>
      <c r="E3382" t="s">
        <v>28</v>
      </c>
      <c r="F3382" t="s">
        <v>27</v>
      </c>
      <c r="G3382">
        <v>30089</v>
      </c>
      <c r="H3382">
        <v>24071.200000000001</v>
      </c>
      <c r="I3382" s="13">
        <v>0.66666666666666663</v>
      </c>
      <c r="J3382" t="s">
        <v>6207</v>
      </c>
      <c r="K3382">
        <v>1</v>
      </c>
      <c r="L3382">
        <v>1</v>
      </c>
      <c r="M3382" t="s">
        <v>58</v>
      </c>
      <c r="N3382" s="2">
        <v>0.43</v>
      </c>
      <c r="O3382" s="2">
        <v>0.56999999999999995</v>
      </c>
      <c r="P3382">
        <v>5</v>
      </c>
      <c r="Q3382">
        <v>17</v>
      </c>
      <c r="R3382">
        <v>3</v>
      </c>
      <c r="S3382">
        <v>8</v>
      </c>
      <c r="T3382">
        <v>15</v>
      </c>
      <c r="U3382">
        <v>5</v>
      </c>
      <c r="V3382">
        <v>2</v>
      </c>
      <c r="W3382">
        <v>1</v>
      </c>
      <c r="X3382">
        <v>0</v>
      </c>
      <c r="Y3382">
        <v>0</v>
      </c>
      <c r="Z3382">
        <v>0</v>
      </c>
    </row>
    <row r="3383" spans="1:26" x14ac:dyDescent="0.2">
      <c r="A3383" t="s">
        <v>3501</v>
      </c>
      <c r="B3383" t="s">
        <v>50</v>
      </c>
      <c r="C3383">
        <v>2017</v>
      </c>
      <c r="D3383" t="s">
        <v>46</v>
      </c>
      <c r="E3383" t="s">
        <v>23</v>
      </c>
      <c r="F3383" t="s">
        <v>20</v>
      </c>
      <c r="G3383">
        <v>60704</v>
      </c>
      <c r="H3383">
        <v>48563.200000000004</v>
      </c>
      <c r="I3383" s="13">
        <v>0.8</v>
      </c>
      <c r="J3383" t="s">
        <v>6207</v>
      </c>
      <c r="K3383">
        <v>4</v>
      </c>
      <c r="L3383">
        <v>1</v>
      </c>
      <c r="M3383" t="s">
        <v>0</v>
      </c>
      <c r="N3383" s="2">
        <v>0.68</v>
      </c>
      <c r="O3383" s="2">
        <v>0.32</v>
      </c>
      <c r="P3383">
        <v>10</v>
      </c>
      <c r="Q3383">
        <v>11</v>
      </c>
      <c r="R3383">
        <v>8</v>
      </c>
      <c r="S3383">
        <v>6</v>
      </c>
      <c r="T3383">
        <v>11</v>
      </c>
      <c r="U3383">
        <v>9</v>
      </c>
      <c r="V3383">
        <v>3</v>
      </c>
      <c r="W3383">
        <v>2</v>
      </c>
      <c r="X3383">
        <v>0</v>
      </c>
      <c r="Y3383">
        <v>0</v>
      </c>
      <c r="Z3383">
        <v>0</v>
      </c>
    </row>
    <row r="3384" spans="1:26" x14ac:dyDescent="0.2">
      <c r="A3384" t="s">
        <v>3502</v>
      </c>
      <c r="B3384" t="s">
        <v>76</v>
      </c>
      <c r="C3384">
        <v>2017</v>
      </c>
      <c r="D3384" t="s">
        <v>40</v>
      </c>
      <c r="E3384" t="s">
        <v>71</v>
      </c>
      <c r="F3384" t="s">
        <v>49</v>
      </c>
      <c r="G3384">
        <v>53400</v>
      </c>
      <c r="H3384">
        <v>42720</v>
      </c>
      <c r="I3384" s="13">
        <v>1</v>
      </c>
      <c r="J3384" t="s">
        <v>6207</v>
      </c>
      <c r="K3384">
        <v>5</v>
      </c>
      <c r="L3384">
        <v>0</v>
      </c>
      <c r="M3384" t="s">
        <v>0</v>
      </c>
      <c r="N3384" s="2">
        <v>0.83</v>
      </c>
      <c r="O3384" s="2">
        <v>0.17</v>
      </c>
      <c r="P3384">
        <v>8</v>
      </c>
      <c r="Q3384">
        <v>10</v>
      </c>
      <c r="R3384">
        <v>5</v>
      </c>
      <c r="S3384">
        <v>1</v>
      </c>
      <c r="T3384">
        <v>6</v>
      </c>
      <c r="U3384">
        <v>8</v>
      </c>
      <c r="V3384">
        <v>0</v>
      </c>
      <c r="W3384">
        <v>1</v>
      </c>
      <c r="X3384">
        <v>0</v>
      </c>
      <c r="Y3384">
        <v>0</v>
      </c>
      <c r="Z3384">
        <v>1</v>
      </c>
    </row>
    <row r="3385" spans="1:26" x14ac:dyDescent="0.2">
      <c r="A3385" t="s">
        <v>3503</v>
      </c>
      <c r="B3385" t="s">
        <v>77</v>
      </c>
      <c r="C3385">
        <v>2017</v>
      </c>
      <c r="D3385" t="s">
        <v>45</v>
      </c>
      <c r="E3385" t="s">
        <v>64</v>
      </c>
      <c r="F3385" t="s">
        <v>26</v>
      </c>
      <c r="G3385">
        <v>39572</v>
      </c>
      <c r="H3385">
        <v>31657.600000000002</v>
      </c>
      <c r="I3385" s="13">
        <v>0.66666666666666663</v>
      </c>
      <c r="J3385" t="s">
        <v>6207</v>
      </c>
      <c r="K3385">
        <v>1</v>
      </c>
      <c r="L3385">
        <v>0</v>
      </c>
      <c r="M3385" t="s">
        <v>0</v>
      </c>
      <c r="N3385" s="2">
        <v>0.56999999999999995</v>
      </c>
      <c r="O3385" s="2">
        <v>0.43</v>
      </c>
      <c r="P3385">
        <v>12</v>
      </c>
      <c r="Q3385">
        <v>15</v>
      </c>
      <c r="R3385">
        <v>4</v>
      </c>
      <c r="S3385">
        <v>6</v>
      </c>
      <c r="T3385">
        <v>10</v>
      </c>
      <c r="U3385">
        <v>11</v>
      </c>
      <c r="V3385">
        <v>2</v>
      </c>
      <c r="W3385">
        <v>1</v>
      </c>
      <c r="X3385">
        <v>0</v>
      </c>
      <c r="Y3385">
        <v>0</v>
      </c>
      <c r="Z3385">
        <v>0</v>
      </c>
    </row>
    <row r="3386" spans="1:26" x14ac:dyDescent="0.2">
      <c r="A3386" t="s">
        <v>3504</v>
      </c>
      <c r="B3386" t="s">
        <v>37</v>
      </c>
      <c r="C3386">
        <v>2017</v>
      </c>
      <c r="D3386" t="s">
        <v>26</v>
      </c>
      <c r="E3386" t="s">
        <v>27</v>
      </c>
      <c r="F3386" t="s">
        <v>26</v>
      </c>
      <c r="G3386">
        <v>61276</v>
      </c>
      <c r="H3386">
        <v>49020.800000000003</v>
      </c>
      <c r="I3386" s="13">
        <v>0.33333333333333331</v>
      </c>
      <c r="J3386" t="s">
        <v>6206</v>
      </c>
      <c r="K3386">
        <v>0</v>
      </c>
      <c r="L3386">
        <v>0</v>
      </c>
      <c r="M3386" t="s">
        <v>58</v>
      </c>
      <c r="N3386" s="2">
        <v>0.72</v>
      </c>
      <c r="O3386" s="2">
        <v>0.28000000000000003</v>
      </c>
      <c r="P3386">
        <v>18</v>
      </c>
      <c r="Q3386">
        <v>9</v>
      </c>
      <c r="R3386">
        <v>9</v>
      </c>
      <c r="S3386">
        <v>2</v>
      </c>
      <c r="T3386">
        <v>7</v>
      </c>
      <c r="U3386">
        <v>14</v>
      </c>
      <c r="V3386">
        <v>1</v>
      </c>
      <c r="W3386">
        <v>2</v>
      </c>
      <c r="X3386">
        <v>0</v>
      </c>
      <c r="Y3386">
        <v>0</v>
      </c>
      <c r="Z3386">
        <v>0</v>
      </c>
    </row>
    <row r="3387" spans="1:26" x14ac:dyDescent="0.2">
      <c r="A3387" t="s">
        <v>3505</v>
      </c>
      <c r="B3387" t="s">
        <v>61</v>
      </c>
      <c r="C3387">
        <v>2017</v>
      </c>
      <c r="D3387" t="s">
        <v>73</v>
      </c>
      <c r="E3387" t="s">
        <v>86</v>
      </c>
      <c r="F3387" t="s">
        <v>73</v>
      </c>
      <c r="G3387">
        <v>32384</v>
      </c>
      <c r="H3387">
        <v>25907.200000000001</v>
      </c>
      <c r="I3387" s="13">
        <v>0.33333333333333331</v>
      </c>
      <c r="J3387" t="s">
        <v>6207</v>
      </c>
      <c r="K3387">
        <v>2</v>
      </c>
      <c r="L3387">
        <v>1</v>
      </c>
      <c r="M3387" t="s">
        <v>0</v>
      </c>
      <c r="N3387" s="2">
        <v>0.41</v>
      </c>
      <c r="O3387" s="2">
        <v>0.59</v>
      </c>
      <c r="P3387">
        <v>13</v>
      </c>
      <c r="Q3387">
        <v>13</v>
      </c>
      <c r="R3387">
        <v>5</v>
      </c>
      <c r="S3387">
        <v>8</v>
      </c>
      <c r="T3387">
        <v>12</v>
      </c>
      <c r="U3387">
        <v>11</v>
      </c>
      <c r="V3387">
        <v>5</v>
      </c>
      <c r="W3387">
        <v>1</v>
      </c>
      <c r="X3387">
        <v>0</v>
      </c>
      <c r="Y3387">
        <v>0</v>
      </c>
      <c r="Z3387">
        <v>0</v>
      </c>
    </row>
    <row r="3388" spans="1:26" x14ac:dyDescent="0.2">
      <c r="A3388" t="s">
        <v>3506</v>
      </c>
      <c r="B3388" t="s">
        <v>93</v>
      </c>
      <c r="C3388">
        <v>2017</v>
      </c>
      <c r="D3388" t="s">
        <v>64</v>
      </c>
      <c r="E3388" t="s">
        <v>63</v>
      </c>
      <c r="F3388" t="s">
        <v>64</v>
      </c>
      <c r="G3388">
        <v>52264</v>
      </c>
      <c r="H3388">
        <v>41811.200000000004</v>
      </c>
      <c r="I3388" s="13">
        <v>0.75</v>
      </c>
      <c r="J3388" t="s">
        <v>6206</v>
      </c>
      <c r="K3388">
        <v>0</v>
      </c>
      <c r="L3388">
        <v>1</v>
      </c>
      <c r="M3388" t="s">
        <v>1</v>
      </c>
      <c r="N3388" s="2">
        <v>0.64</v>
      </c>
      <c r="O3388" s="2">
        <v>0.36</v>
      </c>
      <c r="P3388">
        <v>15</v>
      </c>
      <c r="Q3388">
        <v>8</v>
      </c>
      <c r="R3388">
        <v>5</v>
      </c>
      <c r="S3388">
        <v>1</v>
      </c>
      <c r="T3388">
        <v>8</v>
      </c>
      <c r="U3388">
        <v>13</v>
      </c>
      <c r="V3388">
        <v>1</v>
      </c>
      <c r="W3388">
        <v>3</v>
      </c>
      <c r="X3388">
        <v>0</v>
      </c>
      <c r="Y3388">
        <v>0</v>
      </c>
      <c r="Z3388">
        <v>0</v>
      </c>
    </row>
    <row r="3389" spans="1:26" x14ac:dyDescent="0.2">
      <c r="A3389" t="s">
        <v>3507</v>
      </c>
      <c r="B3389" t="s">
        <v>54</v>
      </c>
      <c r="C3389">
        <v>2017</v>
      </c>
      <c r="D3389" t="s">
        <v>89</v>
      </c>
      <c r="E3389" t="s">
        <v>45</v>
      </c>
      <c r="F3389" t="s">
        <v>89</v>
      </c>
      <c r="G3389">
        <v>24500</v>
      </c>
      <c r="H3389">
        <v>19600</v>
      </c>
      <c r="I3389" s="13">
        <v>0</v>
      </c>
      <c r="J3389" t="s">
        <v>6206</v>
      </c>
      <c r="K3389">
        <v>0</v>
      </c>
      <c r="L3389">
        <v>2</v>
      </c>
      <c r="M3389" t="s">
        <v>1</v>
      </c>
      <c r="N3389" s="2">
        <v>0.54</v>
      </c>
      <c r="O3389" s="2">
        <v>0.46</v>
      </c>
      <c r="P3389">
        <v>11</v>
      </c>
      <c r="Q3389">
        <v>10</v>
      </c>
      <c r="R3389">
        <v>4</v>
      </c>
      <c r="S3389">
        <v>3</v>
      </c>
      <c r="T3389">
        <v>9</v>
      </c>
      <c r="U3389">
        <v>8</v>
      </c>
      <c r="V3389">
        <v>1</v>
      </c>
      <c r="W3389">
        <v>0</v>
      </c>
      <c r="X3389">
        <v>0</v>
      </c>
      <c r="Y3389">
        <v>0</v>
      </c>
      <c r="Z3389">
        <v>0</v>
      </c>
    </row>
    <row r="3390" spans="1:26" x14ac:dyDescent="0.2">
      <c r="A3390" t="s">
        <v>3508</v>
      </c>
      <c r="B3390" t="s">
        <v>41</v>
      </c>
      <c r="C3390">
        <v>2017</v>
      </c>
      <c r="D3390" t="s">
        <v>79</v>
      </c>
      <c r="E3390" t="s">
        <v>80</v>
      </c>
      <c r="F3390" t="s">
        <v>20</v>
      </c>
      <c r="G3390">
        <v>25486</v>
      </c>
      <c r="H3390">
        <v>20388.800000000003</v>
      </c>
      <c r="I3390" s="13">
        <v>0.66666666666666663</v>
      </c>
      <c r="J3390" t="s">
        <v>6207</v>
      </c>
      <c r="K3390">
        <v>5</v>
      </c>
      <c r="L3390">
        <v>0</v>
      </c>
      <c r="M3390" t="s">
        <v>0</v>
      </c>
      <c r="N3390" s="2">
        <v>0.5</v>
      </c>
      <c r="O3390" s="2">
        <v>0.5</v>
      </c>
      <c r="P3390">
        <v>9</v>
      </c>
      <c r="Q3390">
        <v>13</v>
      </c>
      <c r="R3390">
        <v>8</v>
      </c>
      <c r="S3390">
        <v>2</v>
      </c>
      <c r="T3390">
        <v>11</v>
      </c>
      <c r="U3390">
        <v>9</v>
      </c>
      <c r="V3390">
        <v>1</v>
      </c>
      <c r="W3390">
        <v>1</v>
      </c>
      <c r="X3390">
        <v>0</v>
      </c>
      <c r="Y3390">
        <v>1</v>
      </c>
      <c r="Z3390">
        <v>1</v>
      </c>
    </row>
    <row r="3391" spans="1:26" x14ac:dyDescent="0.2">
      <c r="A3391" t="s">
        <v>3509</v>
      </c>
      <c r="B3391" t="s">
        <v>74</v>
      </c>
      <c r="C3391">
        <v>2017</v>
      </c>
      <c r="D3391" t="s">
        <v>28</v>
      </c>
      <c r="E3391" t="s">
        <v>90</v>
      </c>
      <c r="F3391" t="s">
        <v>28</v>
      </c>
      <c r="G3391">
        <v>21944</v>
      </c>
      <c r="H3391">
        <v>17555.2</v>
      </c>
      <c r="I3391" s="13">
        <v>0</v>
      </c>
      <c r="J3391" t="s">
        <v>6208</v>
      </c>
      <c r="K3391">
        <v>0</v>
      </c>
      <c r="L3391">
        <v>0</v>
      </c>
      <c r="M3391" t="s">
        <v>58</v>
      </c>
      <c r="N3391" s="2">
        <v>0.44</v>
      </c>
      <c r="O3391" s="2">
        <v>0.56000000000000005</v>
      </c>
      <c r="P3391">
        <v>20</v>
      </c>
      <c r="Q3391">
        <v>9</v>
      </c>
      <c r="R3391">
        <v>3</v>
      </c>
      <c r="S3391">
        <v>4</v>
      </c>
      <c r="T3391">
        <v>5</v>
      </c>
      <c r="U3391">
        <v>17</v>
      </c>
      <c r="V3391">
        <v>0</v>
      </c>
      <c r="W3391">
        <v>2</v>
      </c>
      <c r="X3391">
        <v>0</v>
      </c>
      <c r="Y3391">
        <v>0</v>
      </c>
      <c r="Z3391">
        <v>0</v>
      </c>
    </row>
    <row r="3392" spans="1:26" x14ac:dyDescent="0.2">
      <c r="A3392" t="s">
        <v>3510</v>
      </c>
      <c r="B3392" t="s">
        <v>68</v>
      </c>
      <c r="C3392">
        <v>2017</v>
      </c>
      <c r="D3392" t="s">
        <v>71</v>
      </c>
      <c r="E3392" t="s">
        <v>18</v>
      </c>
      <c r="F3392" t="s">
        <v>71</v>
      </c>
      <c r="G3392">
        <v>21088</v>
      </c>
      <c r="H3392">
        <v>16870.400000000001</v>
      </c>
      <c r="I3392" s="13">
        <v>1</v>
      </c>
      <c r="J3392" t="s">
        <v>6207</v>
      </c>
      <c r="K3392">
        <v>0</v>
      </c>
      <c r="L3392">
        <v>1</v>
      </c>
      <c r="M3392" t="s">
        <v>1</v>
      </c>
      <c r="N3392" s="2">
        <v>0.51</v>
      </c>
      <c r="O3392" s="2">
        <v>0.49</v>
      </c>
      <c r="P3392">
        <v>13</v>
      </c>
      <c r="Q3392">
        <v>14</v>
      </c>
      <c r="R3392">
        <v>1</v>
      </c>
      <c r="S3392">
        <v>2</v>
      </c>
      <c r="T3392">
        <v>13</v>
      </c>
      <c r="U3392">
        <v>9</v>
      </c>
      <c r="V3392">
        <v>1</v>
      </c>
      <c r="W3392">
        <v>1</v>
      </c>
      <c r="X3392">
        <v>0</v>
      </c>
      <c r="Y3392">
        <v>0</v>
      </c>
      <c r="Z3392">
        <v>0</v>
      </c>
    </row>
    <row r="3393" spans="1:26" x14ac:dyDescent="0.2">
      <c r="A3393" t="s">
        <v>3511</v>
      </c>
      <c r="B3393" t="s">
        <v>67</v>
      </c>
      <c r="C3393">
        <v>2017</v>
      </c>
      <c r="D3393" t="s">
        <v>23</v>
      </c>
      <c r="E3393" t="s">
        <v>40</v>
      </c>
      <c r="F3393" t="s">
        <v>20</v>
      </c>
      <c r="G3393">
        <v>62500</v>
      </c>
      <c r="H3393">
        <v>50000</v>
      </c>
      <c r="I3393" s="13">
        <v>1</v>
      </c>
      <c r="J3393" t="s">
        <v>6207</v>
      </c>
      <c r="K3393">
        <v>1</v>
      </c>
      <c r="L3393">
        <v>4</v>
      </c>
      <c r="M3393" t="s">
        <v>1</v>
      </c>
      <c r="N3393" s="2">
        <v>0.25</v>
      </c>
      <c r="O3393" s="2">
        <v>0.75</v>
      </c>
      <c r="P3393">
        <v>12</v>
      </c>
      <c r="Q3393">
        <v>9</v>
      </c>
      <c r="R3393">
        <v>0</v>
      </c>
      <c r="S3393">
        <v>7</v>
      </c>
      <c r="T3393">
        <v>5</v>
      </c>
      <c r="U3393">
        <v>11</v>
      </c>
      <c r="V3393">
        <v>0</v>
      </c>
      <c r="W3393">
        <v>1</v>
      </c>
      <c r="X3393">
        <v>0</v>
      </c>
      <c r="Y3393">
        <v>0</v>
      </c>
      <c r="Z3393">
        <v>0</v>
      </c>
    </row>
    <row r="3394" spans="1:26" x14ac:dyDescent="0.2">
      <c r="A3394" t="s">
        <v>3512</v>
      </c>
      <c r="B3394" t="s">
        <v>60</v>
      </c>
      <c r="C3394">
        <v>2017</v>
      </c>
      <c r="D3394" t="s">
        <v>48</v>
      </c>
      <c r="E3394" t="s">
        <v>46</v>
      </c>
      <c r="F3394" t="s">
        <v>49</v>
      </c>
      <c r="G3394">
        <v>74197</v>
      </c>
      <c r="H3394">
        <v>59357.600000000006</v>
      </c>
      <c r="I3394" s="13">
        <v>1</v>
      </c>
      <c r="J3394" t="s">
        <v>6208</v>
      </c>
      <c r="K3394">
        <v>2</v>
      </c>
      <c r="L3394">
        <v>1</v>
      </c>
      <c r="M3394" t="s">
        <v>0</v>
      </c>
      <c r="N3394" s="2">
        <v>0.59</v>
      </c>
      <c r="O3394" s="2">
        <v>0.41</v>
      </c>
      <c r="P3394">
        <v>8</v>
      </c>
      <c r="Q3394">
        <v>14</v>
      </c>
      <c r="R3394">
        <v>9</v>
      </c>
      <c r="S3394">
        <v>0</v>
      </c>
      <c r="T3394">
        <v>12</v>
      </c>
      <c r="U3394">
        <v>7</v>
      </c>
      <c r="V3394">
        <v>0</v>
      </c>
      <c r="W3394">
        <v>1</v>
      </c>
      <c r="X3394">
        <v>0</v>
      </c>
      <c r="Y3394">
        <v>0</v>
      </c>
      <c r="Z3394">
        <v>0</v>
      </c>
    </row>
    <row r="3395" spans="1:26" x14ac:dyDescent="0.2">
      <c r="A3395" t="s">
        <v>3513</v>
      </c>
      <c r="B3395" t="s">
        <v>66</v>
      </c>
      <c r="C3395">
        <v>2017</v>
      </c>
      <c r="D3395" t="s">
        <v>51</v>
      </c>
      <c r="E3395" t="s">
        <v>85</v>
      </c>
      <c r="F3395" t="s">
        <v>20</v>
      </c>
      <c r="G3395">
        <v>36284</v>
      </c>
      <c r="H3395">
        <v>29027.200000000001</v>
      </c>
      <c r="I3395" s="13">
        <v>1</v>
      </c>
      <c r="J3395" t="s">
        <v>6207</v>
      </c>
      <c r="K3395">
        <v>2</v>
      </c>
      <c r="L3395">
        <v>0</v>
      </c>
      <c r="M3395" t="s">
        <v>0</v>
      </c>
      <c r="N3395" s="2">
        <v>0.61</v>
      </c>
      <c r="O3395" s="2">
        <v>0.39</v>
      </c>
      <c r="P3395">
        <v>13</v>
      </c>
      <c r="Q3395">
        <v>14</v>
      </c>
      <c r="R3395">
        <v>4</v>
      </c>
      <c r="S3395">
        <v>0</v>
      </c>
      <c r="T3395">
        <v>11</v>
      </c>
      <c r="U3395">
        <v>10</v>
      </c>
      <c r="V3395">
        <v>1</v>
      </c>
      <c r="W3395">
        <v>0</v>
      </c>
      <c r="X3395">
        <v>0</v>
      </c>
      <c r="Y3395">
        <v>0</v>
      </c>
      <c r="Z3395">
        <v>0</v>
      </c>
    </row>
    <row r="3396" spans="1:26" x14ac:dyDescent="0.2">
      <c r="A3396" t="s">
        <v>3514</v>
      </c>
      <c r="B3396" t="s">
        <v>76</v>
      </c>
      <c r="C3396">
        <v>2017</v>
      </c>
      <c r="D3396" t="s">
        <v>90</v>
      </c>
      <c r="E3396" t="s">
        <v>48</v>
      </c>
      <c r="F3396" t="s">
        <v>91</v>
      </c>
      <c r="G3396">
        <v>31876</v>
      </c>
      <c r="H3396">
        <v>25500.800000000003</v>
      </c>
      <c r="I3396" s="13">
        <v>0.5</v>
      </c>
      <c r="J3396" t="s">
        <v>6207</v>
      </c>
      <c r="K3396">
        <v>1</v>
      </c>
      <c r="L3396">
        <v>0</v>
      </c>
      <c r="M3396" t="s">
        <v>0</v>
      </c>
      <c r="N3396" s="2">
        <v>0.32</v>
      </c>
      <c r="O3396" s="2">
        <v>0.68</v>
      </c>
      <c r="P3396">
        <v>5</v>
      </c>
      <c r="Q3396">
        <v>6</v>
      </c>
      <c r="R3396">
        <v>5</v>
      </c>
      <c r="S3396">
        <v>6</v>
      </c>
      <c r="T3396">
        <v>5</v>
      </c>
      <c r="U3396">
        <v>3</v>
      </c>
      <c r="V3396">
        <v>2</v>
      </c>
      <c r="W3396">
        <v>0</v>
      </c>
      <c r="X3396">
        <v>0</v>
      </c>
      <c r="Y3396">
        <v>0</v>
      </c>
      <c r="Z3396">
        <v>0</v>
      </c>
    </row>
    <row r="3397" spans="1:26" x14ac:dyDescent="0.2">
      <c r="A3397" t="s">
        <v>3515</v>
      </c>
      <c r="B3397" t="s">
        <v>32</v>
      </c>
      <c r="C3397">
        <v>2017</v>
      </c>
      <c r="D3397" t="s">
        <v>27</v>
      </c>
      <c r="E3397" t="s">
        <v>79</v>
      </c>
      <c r="F3397" t="s">
        <v>27</v>
      </c>
      <c r="G3397">
        <v>30089</v>
      </c>
      <c r="H3397">
        <v>24071.200000000001</v>
      </c>
      <c r="I3397" s="13">
        <v>0.7142857142857143</v>
      </c>
      <c r="J3397" t="s">
        <v>6207</v>
      </c>
      <c r="K3397">
        <v>1</v>
      </c>
      <c r="L3397">
        <v>2</v>
      </c>
      <c r="M3397" t="s">
        <v>1</v>
      </c>
      <c r="N3397" s="2">
        <v>0.41</v>
      </c>
      <c r="O3397" s="2">
        <v>0.59</v>
      </c>
      <c r="P3397">
        <v>14</v>
      </c>
      <c r="Q3397">
        <v>20</v>
      </c>
      <c r="R3397">
        <v>1</v>
      </c>
      <c r="S3397">
        <v>7</v>
      </c>
      <c r="T3397">
        <v>18</v>
      </c>
      <c r="U3397">
        <v>12</v>
      </c>
      <c r="V3397">
        <v>5</v>
      </c>
      <c r="W3397">
        <v>2</v>
      </c>
      <c r="X3397">
        <v>0</v>
      </c>
      <c r="Y3397">
        <v>0</v>
      </c>
      <c r="Z3397">
        <v>0</v>
      </c>
    </row>
    <row r="3398" spans="1:26" x14ac:dyDescent="0.2">
      <c r="A3398" t="s">
        <v>3516</v>
      </c>
      <c r="B3398" t="s">
        <v>53</v>
      </c>
      <c r="C3398">
        <v>2017</v>
      </c>
      <c r="D3398" t="s">
        <v>63</v>
      </c>
      <c r="E3398" t="s">
        <v>51</v>
      </c>
      <c r="F3398" t="s">
        <v>65</v>
      </c>
      <c r="G3398">
        <v>26804</v>
      </c>
      <c r="H3398">
        <v>21443.200000000001</v>
      </c>
      <c r="I3398" s="13">
        <v>0.6</v>
      </c>
      <c r="J3398" t="s">
        <v>6207</v>
      </c>
      <c r="K3398">
        <v>1</v>
      </c>
      <c r="L3398">
        <v>0</v>
      </c>
      <c r="M3398" t="s">
        <v>0</v>
      </c>
      <c r="N3398" s="2">
        <v>0.26</v>
      </c>
      <c r="O3398" s="2">
        <v>0.74</v>
      </c>
      <c r="P3398">
        <v>12</v>
      </c>
      <c r="Q3398">
        <v>15</v>
      </c>
      <c r="R3398">
        <v>5</v>
      </c>
      <c r="S3398">
        <v>9</v>
      </c>
      <c r="T3398">
        <v>13</v>
      </c>
      <c r="U3398">
        <v>12</v>
      </c>
      <c r="V3398">
        <v>4</v>
      </c>
      <c r="W3398">
        <v>1</v>
      </c>
      <c r="X3398">
        <v>0</v>
      </c>
      <c r="Y3398">
        <v>0</v>
      </c>
      <c r="Z3398">
        <v>0</v>
      </c>
    </row>
    <row r="3399" spans="1:26" x14ac:dyDescent="0.2">
      <c r="A3399" t="s">
        <v>3517</v>
      </c>
      <c r="B3399" t="s">
        <v>74</v>
      </c>
      <c r="C3399">
        <v>2017</v>
      </c>
      <c r="D3399" t="s">
        <v>85</v>
      </c>
      <c r="E3399" t="s">
        <v>64</v>
      </c>
      <c r="F3399" t="s">
        <v>85</v>
      </c>
      <c r="G3399">
        <v>22220</v>
      </c>
      <c r="H3399">
        <v>17776</v>
      </c>
      <c r="I3399" s="13">
        <v>1</v>
      </c>
      <c r="J3399" t="s">
        <v>6208</v>
      </c>
      <c r="K3399">
        <v>2</v>
      </c>
      <c r="L3399">
        <v>1</v>
      </c>
      <c r="M3399" t="s">
        <v>0</v>
      </c>
      <c r="N3399" s="2">
        <v>0.39</v>
      </c>
      <c r="O3399" s="2">
        <v>0.61</v>
      </c>
      <c r="P3399">
        <v>13</v>
      </c>
      <c r="Q3399">
        <v>14</v>
      </c>
      <c r="R3399">
        <v>2</v>
      </c>
      <c r="S3399">
        <v>5</v>
      </c>
      <c r="T3399">
        <v>9</v>
      </c>
      <c r="U3399">
        <v>11</v>
      </c>
      <c r="V3399">
        <v>2</v>
      </c>
      <c r="W3399">
        <v>1</v>
      </c>
      <c r="X3399">
        <v>0</v>
      </c>
      <c r="Y3399">
        <v>0</v>
      </c>
      <c r="Z3399">
        <v>1</v>
      </c>
    </row>
    <row r="3400" spans="1:26" x14ac:dyDescent="0.2">
      <c r="A3400" t="s">
        <v>3518</v>
      </c>
      <c r="B3400" t="s">
        <v>88</v>
      </c>
      <c r="C3400">
        <v>2017</v>
      </c>
      <c r="D3400" t="s">
        <v>80</v>
      </c>
      <c r="E3400" t="s">
        <v>23</v>
      </c>
      <c r="F3400" t="s">
        <v>80</v>
      </c>
      <c r="G3400">
        <v>32261</v>
      </c>
      <c r="H3400">
        <v>25808.800000000003</v>
      </c>
      <c r="I3400" s="13">
        <v>0.66666666666666663</v>
      </c>
      <c r="J3400" t="s">
        <v>6207</v>
      </c>
      <c r="K3400">
        <v>0</v>
      </c>
      <c r="L3400">
        <v>2</v>
      </c>
      <c r="M3400" t="s">
        <v>1</v>
      </c>
      <c r="N3400" s="2">
        <v>0.54</v>
      </c>
      <c r="O3400" s="2">
        <v>0.46</v>
      </c>
      <c r="P3400">
        <v>11</v>
      </c>
      <c r="Q3400">
        <v>10</v>
      </c>
      <c r="R3400">
        <v>8</v>
      </c>
      <c r="S3400">
        <v>3</v>
      </c>
      <c r="T3400">
        <v>8</v>
      </c>
      <c r="U3400">
        <v>9</v>
      </c>
      <c r="V3400">
        <v>1</v>
      </c>
      <c r="W3400">
        <v>2</v>
      </c>
      <c r="X3400">
        <v>0</v>
      </c>
      <c r="Y3400">
        <v>0</v>
      </c>
      <c r="Z3400">
        <v>0</v>
      </c>
    </row>
    <row r="3401" spans="1:26" x14ac:dyDescent="0.2">
      <c r="A3401" t="s">
        <v>3519</v>
      </c>
      <c r="B3401" t="s">
        <v>60</v>
      </c>
      <c r="C3401">
        <v>2017</v>
      </c>
      <c r="D3401" t="s">
        <v>86</v>
      </c>
      <c r="E3401" t="s">
        <v>71</v>
      </c>
      <c r="F3401" t="s">
        <v>86</v>
      </c>
      <c r="G3401">
        <v>11364</v>
      </c>
      <c r="H3401">
        <v>9091.2000000000007</v>
      </c>
      <c r="I3401" s="13">
        <v>0.6</v>
      </c>
      <c r="J3401" t="s">
        <v>6208</v>
      </c>
      <c r="K3401">
        <v>1</v>
      </c>
      <c r="L3401">
        <v>0</v>
      </c>
      <c r="M3401" t="s">
        <v>0</v>
      </c>
      <c r="N3401" s="2">
        <v>0.45</v>
      </c>
      <c r="O3401" s="2">
        <v>0.55000000000000004</v>
      </c>
      <c r="P3401">
        <v>11</v>
      </c>
      <c r="Q3401">
        <v>14</v>
      </c>
      <c r="R3401">
        <v>11</v>
      </c>
      <c r="S3401">
        <v>6</v>
      </c>
      <c r="T3401">
        <v>10</v>
      </c>
      <c r="U3401">
        <v>10</v>
      </c>
      <c r="V3401">
        <v>1</v>
      </c>
      <c r="W3401">
        <v>4</v>
      </c>
      <c r="X3401">
        <v>0</v>
      </c>
      <c r="Y3401">
        <v>0</v>
      </c>
      <c r="Z3401">
        <v>0</v>
      </c>
    </row>
    <row r="3402" spans="1:26" x14ac:dyDescent="0.2">
      <c r="A3402" t="s">
        <v>3520</v>
      </c>
      <c r="B3402" t="s">
        <v>68</v>
      </c>
      <c r="C3402">
        <v>2017</v>
      </c>
      <c r="D3402" t="s">
        <v>45</v>
      </c>
      <c r="E3402" t="s">
        <v>73</v>
      </c>
      <c r="F3402" t="s">
        <v>26</v>
      </c>
      <c r="G3402">
        <v>39572</v>
      </c>
      <c r="H3402">
        <v>31657.600000000002</v>
      </c>
      <c r="I3402" s="13">
        <v>0.625</v>
      </c>
      <c r="J3402" t="s">
        <v>6207</v>
      </c>
      <c r="K3402">
        <v>1</v>
      </c>
      <c r="L3402">
        <v>1</v>
      </c>
      <c r="M3402" t="s">
        <v>58</v>
      </c>
      <c r="N3402" s="2">
        <v>0.54</v>
      </c>
      <c r="O3402" s="2">
        <v>0.46</v>
      </c>
      <c r="P3402">
        <v>16</v>
      </c>
      <c r="Q3402">
        <v>16</v>
      </c>
      <c r="R3402">
        <v>3</v>
      </c>
      <c r="S3402">
        <v>4</v>
      </c>
      <c r="T3402">
        <v>14</v>
      </c>
      <c r="U3402">
        <v>12</v>
      </c>
      <c r="V3402">
        <v>2</v>
      </c>
      <c r="W3402">
        <v>5</v>
      </c>
      <c r="X3402">
        <v>0</v>
      </c>
      <c r="Y3402">
        <v>1</v>
      </c>
      <c r="Z3402">
        <v>0</v>
      </c>
    </row>
    <row r="3403" spans="1:26" x14ac:dyDescent="0.2">
      <c r="A3403" t="s">
        <v>3521</v>
      </c>
      <c r="B3403" t="s">
        <v>41</v>
      </c>
      <c r="C3403">
        <v>2017</v>
      </c>
      <c r="D3403" t="s">
        <v>40</v>
      </c>
      <c r="E3403" t="s">
        <v>89</v>
      </c>
      <c r="F3403" t="s">
        <v>49</v>
      </c>
      <c r="G3403">
        <v>53400</v>
      </c>
      <c r="H3403">
        <v>42720</v>
      </c>
      <c r="I3403" s="13">
        <v>0.66666666666666663</v>
      </c>
      <c r="J3403" t="s">
        <v>6207</v>
      </c>
      <c r="K3403">
        <v>0</v>
      </c>
      <c r="L3403">
        <v>0</v>
      </c>
      <c r="M3403" t="s">
        <v>58</v>
      </c>
      <c r="N3403" s="2">
        <v>0.79</v>
      </c>
      <c r="O3403" s="2">
        <v>0.21</v>
      </c>
      <c r="P3403">
        <v>5</v>
      </c>
      <c r="Q3403">
        <v>10</v>
      </c>
      <c r="R3403">
        <v>10</v>
      </c>
      <c r="S3403">
        <v>1</v>
      </c>
      <c r="T3403">
        <v>9</v>
      </c>
      <c r="U3403">
        <v>4</v>
      </c>
      <c r="V3403">
        <v>0</v>
      </c>
      <c r="W3403">
        <v>3</v>
      </c>
      <c r="X3403">
        <v>0</v>
      </c>
      <c r="Y3403">
        <v>0</v>
      </c>
      <c r="Z3403">
        <v>0</v>
      </c>
    </row>
    <row r="3404" spans="1:26" x14ac:dyDescent="0.2">
      <c r="A3404" t="s">
        <v>3522</v>
      </c>
      <c r="B3404" t="s">
        <v>61</v>
      </c>
      <c r="C3404">
        <v>2017</v>
      </c>
      <c r="D3404" t="s">
        <v>18</v>
      </c>
      <c r="E3404" t="s">
        <v>26</v>
      </c>
      <c r="F3404" t="s">
        <v>20</v>
      </c>
      <c r="G3404">
        <v>40341</v>
      </c>
      <c r="H3404">
        <v>32272.800000000003</v>
      </c>
      <c r="I3404" s="13">
        <v>0.8</v>
      </c>
      <c r="J3404" t="s">
        <v>6207</v>
      </c>
      <c r="K3404">
        <v>1</v>
      </c>
      <c r="L3404">
        <v>0</v>
      </c>
      <c r="M3404" t="s">
        <v>0</v>
      </c>
      <c r="N3404" s="2">
        <v>0.32</v>
      </c>
      <c r="O3404" s="2">
        <v>0.68</v>
      </c>
      <c r="P3404">
        <v>9</v>
      </c>
      <c r="Q3404">
        <v>14</v>
      </c>
      <c r="R3404">
        <v>3</v>
      </c>
      <c r="S3404">
        <v>1</v>
      </c>
      <c r="T3404">
        <v>12</v>
      </c>
      <c r="U3404">
        <v>9</v>
      </c>
      <c r="V3404">
        <v>3</v>
      </c>
      <c r="W3404">
        <v>2</v>
      </c>
      <c r="X3404">
        <v>0</v>
      </c>
      <c r="Y3404">
        <v>0</v>
      </c>
      <c r="Z3404">
        <v>0</v>
      </c>
    </row>
    <row r="3405" spans="1:26" x14ac:dyDescent="0.2">
      <c r="A3405" t="s">
        <v>3523</v>
      </c>
      <c r="B3405" t="s">
        <v>37</v>
      </c>
      <c r="C3405">
        <v>2017</v>
      </c>
      <c r="D3405" t="s">
        <v>46</v>
      </c>
      <c r="E3405" t="s">
        <v>28</v>
      </c>
      <c r="F3405" t="s">
        <v>20</v>
      </c>
      <c r="G3405">
        <v>60704</v>
      </c>
      <c r="H3405">
        <v>48563.200000000004</v>
      </c>
      <c r="I3405" s="13">
        <v>0</v>
      </c>
      <c r="J3405" t="s">
        <v>6206</v>
      </c>
      <c r="K3405">
        <v>5</v>
      </c>
      <c r="L3405">
        <v>0</v>
      </c>
      <c r="M3405" t="s">
        <v>0</v>
      </c>
      <c r="N3405" s="2">
        <v>0.64</v>
      </c>
      <c r="O3405" s="2">
        <v>0.36</v>
      </c>
      <c r="P3405">
        <v>7</v>
      </c>
      <c r="Q3405">
        <v>5</v>
      </c>
      <c r="R3405">
        <v>4</v>
      </c>
      <c r="S3405">
        <v>5</v>
      </c>
      <c r="T3405">
        <v>6</v>
      </c>
      <c r="U3405">
        <v>7</v>
      </c>
      <c r="V3405">
        <v>0</v>
      </c>
      <c r="W3405">
        <v>1</v>
      </c>
      <c r="X3405">
        <v>0</v>
      </c>
      <c r="Y3405">
        <v>0</v>
      </c>
      <c r="Z3405">
        <v>0</v>
      </c>
    </row>
    <row r="3406" spans="1:26" x14ac:dyDescent="0.2">
      <c r="A3406" t="s">
        <v>3524</v>
      </c>
      <c r="B3406" t="s">
        <v>66</v>
      </c>
      <c r="C3406">
        <v>2017</v>
      </c>
      <c r="D3406" t="s">
        <v>71</v>
      </c>
      <c r="E3406" t="s">
        <v>73</v>
      </c>
      <c r="F3406" t="s">
        <v>71</v>
      </c>
      <c r="G3406">
        <v>21088</v>
      </c>
      <c r="H3406">
        <v>16870.400000000001</v>
      </c>
      <c r="I3406" s="13">
        <v>0.66666666666666663</v>
      </c>
      <c r="J3406" t="s">
        <v>6207</v>
      </c>
      <c r="K3406">
        <v>0</v>
      </c>
      <c r="L3406">
        <v>1</v>
      </c>
      <c r="M3406" t="s">
        <v>1</v>
      </c>
      <c r="N3406" s="2">
        <v>0.53</v>
      </c>
      <c r="O3406" s="2">
        <v>0.47</v>
      </c>
      <c r="P3406">
        <v>15</v>
      </c>
      <c r="Q3406">
        <v>9</v>
      </c>
      <c r="R3406">
        <v>7</v>
      </c>
      <c r="S3406">
        <v>6</v>
      </c>
      <c r="T3406">
        <v>7</v>
      </c>
      <c r="U3406">
        <v>15</v>
      </c>
      <c r="V3406">
        <v>2</v>
      </c>
      <c r="W3406">
        <v>1</v>
      </c>
      <c r="X3406">
        <v>0</v>
      </c>
      <c r="Y3406">
        <v>0</v>
      </c>
      <c r="Z3406">
        <v>0</v>
      </c>
    </row>
    <row r="3407" spans="1:26" x14ac:dyDescent="0.2">
      <c r="A3407" t="s">
        <v>3525</v>
      </c>
      <c r="B3407" t="s">
        <v>83</v>
      </c>
      <c r="C3407">
        <v>2017</v>
      </c>
      <c r="D3407" t="s">
        <v>80</v>
      </c>
      <c r="E3407" t="s">
        <v>46</v>
      </c>
      <c r="F3407" t="s">
        <v>80</v>
      </c>
      <c r="G3407">
        <v>32261</v>
      </c>
      <c r="H3407">
        <v>25808.800000000003</v>
      </c>
      <c r="I3407" s="13">
        <v>0.6</v>
      </c>
      <c r="J3407" t="s">
        <v>6208</v>
      </c>
      <c r="K3407">
        <v>3</v>
      </c>
      <c r="L3407">
        <v>1</v>
      </c>
      <c r="M3407" t="s">
        <v>0</v>
      </c>
      <c r="N3407" s="2">
        <v>0.4</v>
      </c>
      <c r="O3407" s="2">
        <v>0.6</v>
      </c>
      <c r="P3407">
        <v>12</v>
      </c>
      <c r="Q3407">
        <v>13</v>
      </c>
      <c r="R3407">
        <v>6</v>
      </c>
      <c r="S3407">
        <v>6</v>
      </c>
      <c r="T3407">
        <v>7</v>
      </c>
      <c r="U3407">
        <v>12</v>
      </c>
      <c r="V3407">
        <v>2</v>
      </c>
      <c r="W3407">
        <v>2</v>
      </c>
      <c r="X3407">
        <v>0</v>
      </c>
      <c r="Y3407">
        <v>1</v>
      </c>
      <c r="Z3407">
        <v>1</v>
      </c>
    </row>
    <row r="3408" spans="1:26" x14ac:dyDescent="0.2">
      <c r="A3408" t="s">
        <v>3526</v>
      </c>
      <c r="B3408" t="s">
        <v>50</v>
      </c>
      <c r="C3408">
        <v>2017</v>
      </c>
      <c r="D3408" t="s">
        <v>18</v>
      </c>
      <c r="E3408" t="s">
        <v>89</v>
      </c>
      <c r="F3408" t="s">
        <v>20</v>
      </c>
      <c r="G3408">
        <v>40341</v>
      </c>
      <c r="H3408">
        <v>32272.800000000003</v>
      </c>
      <c r="I3408" s="13">
        <v>1</v>
      </c>
      <c r="J3408" t="s">
        <v>6207</v>
      </c>
      <c r="K3408">
        <v>1</v>
      </c>
      <c r="L3408">
        <v>1</v>
      </c>
      <c r="M3408" t="s">
        <v>58</v>
      </c>
      <c r="N3408" s="2">
        <v>0.78</v>
      </c>
      <c r="O3408" s="2">
        <v>0.22</v>
      </c>
      <c r="P3408">
        <v>10</v>
      </c>
      <c r="Q3408">
        <v>9</v>
      </c>
      <c r="R3408">
        <v>9</v>
      </c>
      <c r="S3408">
        <v>0</v>
      </c>
      <c r="T3408">
        <v>7</v>
      </c>
      <c r="U3408">
        <v>10</v>
      </c>
      <c r="V3408">
        <v>0</v>
      </c>
      <c r="W3408">
        <v>1</v>
      </c>
      <c r="X3408">
        <v>0</v>
      </c>
      <c r="Y3408">
        <v>0</v>
      </c>
      <c r="Z3408">
        <v>0</v>
      </c>
    </row>
    <row r="3409" spans="1:26" x14ac:dyDescent="0.2">
      <c r="A3409" t="s">
        <v>3527</v>
      </c>
      <c r="B3409" t="s">
        <v>67</v>
      </c>
      <c r="C3409">
        <v>2017</v>
      </c>
      <c r="D3409" t="s">
        <v>51</v>
      </c>
      <c r="E3409" t="s">
        <v>64</v>
      </c>
      <c r="F3409" t="s">
        <v>20</v>
      </c>
      <c r="G3409">
        <v>36284</v>
      </c>
      <c r="H3409">
        <v>29027.200000000001</v>
      </c>
      <c r="I3409" s="13">
        <v>0.6</v>
      </c>
      <c r="J3409" t="s">
        <v>6207</v>
      </c>
      <c r="K3409">
        <v>1</v>
      </c>
      <c r="L3409">
        <v>0</v>
      </c>
      <c r="M3409" t="s">
        <v>0</v>
      </c>
      <c r="N3409" s="2">
        <v>0.63</v>
      </c>
      <c r="O3409" s="2">
        <v>0.37</v>
      </c>
      <c r="P3409">
        <v>9</v>
      </c>
      <c r="Q3409">
        <v>14</v>
      </c>
      <c r="R3409">
        <v>6</v>
      </c>
      <c r="S3409">
        <v>4</v>
      </c>
      <c r="T3409">
        <v>10</v>
      </c>
      <c r="U3409">
        <v>8</v>
      </c>
      <c r="V3409">
        <v>2</v>
      </c>
      <c r="W3409">
        <v>3</v>
      </c>
      <c r="X3409">
        <v>0</v>
      </c>
      <c r="Y3409">
        <v>0</v>
      </c>
      <c r="Z3409">
        <v>0</v>
      </c>
    </row>
    <row r="3410" spans="1:26" x14ac:dyDescent="0.2">
      <c r="A3410" t="s">
        <v>3528</v>
      </c>
      <c r="B3410" t="s">
        <v>81</v>
      </c>
      <c r="C3410">
        <v>2017</v>
      </c>
      <c r="D3410" t="s">
        <v>40</v>
      </c>
      <c r="E3410" t="s">
        <v>90</v>
      </c>
      <c r="F3410" t="s">
        <v>49</v>
      </c>
      <c r="G3410">
        <v>53400</v>
      </c>
      <c r="H3410">
        <v>42720</v>
      </c>
      <c r="I3410" s="13">
        <v>1</v>
      </c>
      <c r="J3410" t="s">
        <v>6207</v>
      </c>
      <c r="K3410">
        <v>3</v>
      </c>
      <c r="L3410">
        <v>1</v>
      </c>
      <c r="M3410" t="s">
        <v>0</v>
      </c>
      <c r="N3410" s="2">
        <v>0.74</v>
      </c>
      <c r="O3410" s="2">
        <v>0.26</v>
      </c>
      <c r="P3410">
        <v>9</v>
      </c>
      <c r="Q3410">
        <v>6</v>
      </c>
      <c r="R3410">
        <v>4</v>
      </c>
      <c r="S3410">
        <v>3</v>
      </c>
      <c r="T3410">
        <v>5</v>
      </c>
      <c r="U3410">
        <v>7</v>
      </c>
      <c r="V3410">
        <v>0</v>
      </c>
      <c r="W3410">
        <v>1</v>
      </c>
      <c r="X3410">
        <v>0</v>
      </c>
      <c r="Y3410">
        <v>0</v>
      </c>
      <c r="Z3410">
        <v>0</v>
      </c>
    </row>
    <row r="3411" spans="1:26" x14ac:dyDescent="0.2">
      <c r="A3411" t="s">
        <v>3529</v>
      </c>
      <c r="B3411" t="s">
        <v>68</v>
      </c>
      <c r="C3411">
        <v>2017</v>
      </c>
      <c r="D3411" t="s">
        <v>23</v>
      </c>
      <c r="E3411" t="s">
        <v>48</v>
      </c>
      <c r="F3411" t="s">
        <v>20</v>
      </c>
      <c r="G3411">
        <v>62500</v>
      </c>
      <c r="H3411">
        <v>50000</v>
      </c>
      <c r="I3411" s="13">
        <v>0.5</v>
      </c>
      <c r="J3411" t="s">
        <v>6207</v>
      </c>
      <c r="K3411">
        <v>0</v>
      </c>
      <c r="L3411">
        <v>0</v>
      </c>
      <c r="M3411" t="s">
        <v>58</v>
      </c>
      <c r="N3411" s="2">
        <v>0.44</v>
      </c>
      <c r="O3411" s="2">
        <v>0.56000000000000005</v>
      </c>
      <c r="P3411">
        <v>14</v>
      </c>
      <c r="Q3411">
        <v>12</v>
      </c>
      <c r="R3411">
        <v>1</v>
      </c>
      <c r="S3411">
        <v>6</v>
      </c>
      <c r="T3411">
        <v>12</v>
      </c>
      <c r="U3411">
        <v>12</v>
      </c>
      <c r="V3411">
        <v>1</v>
      </c>
      <c r="W3411">
        <v>1</v>
      </c>
      <c r="X3411">
        <v>0</v>
      </c>
      <c r="Y3411">
        <v>0</v>
      </c>
      <c r="Z3411">
        <v>0</v>
      </c>
    </row>
    <row r="3412" spans="1:26" x14ac:dyDescent="0.2">
      <c r="A3412" t="s">
        <v>3530</v>
      </c>
      <c r="B3412" t="s">
        <v>83</v>
      </c>
      <c r="C3412">
        <v>2017</v>
      </c>
      <c r="D3412" t="s">
        <v>23</v>
      </c>
      <c r="E3412" t="s">
        <v>45</v>
      </c>
      <c r="F3412" t="s">
        <v>20</v>
      </c>
      <c r="G3412">
        <v>62500</v>
      </c>
      <c r="H3412">
        <v>50000</v>
      </c>
      <c r="I3412" s="13">
        <v>0</v>
      </c>
      <c r="J3412" t="s">
        <v>6208</v>
      </c>
      <c r="K3412">
        <v>3</v>
      </c>
      <c r="L3412">
        <v>1</v>
      </c>
      <c r="M3412" t="s">
        <v>0</v>
      </c>
      <c r="N3412" s="2">
        <v>0.56999999999999995</v>
      </c>
      <c r="O3412" s="2">
        <v>0.43</v>
      </c>
      <c r="P3412">
        <v>14</v>
      </c>
      <c r="Q3412">
        <v>13</v>
      </c>
      <c r="R3412">
        <v>6</v>
      </c>
      <c r="S3412">
        <v>6</v>
      </c>
      <c r="T3412">
        <v>10</v>
      </c>
      <c r="U3412">
        <v>13</v>
      </c>
      <c r="V3412">
        <v>0</v>
      </c>
      <c r="W3412">
        <v>1</v>
      </c>
      <c r="X3412">
        <v>0</v>
      </c>
      <c r="Y3412">
        <v>0</v>
      </c>
      <c r="Z3412">
        <v>0</v>
      </c>
    </row>
    <row r="3413" spans="1:26" x14ac:dyDescent="0.2">
      <c r="A3413" t="s">
        <v>3531</v>
      </c>
      <c r="B3413" t="s">
        <v>76</v>
      </c>
      <c r="C3413">
        <v>2017</v>
      </c>
      <c r="D3413" t="s">
        <v>51</v>
      </c>
      <c r="E3413" t="s">
        <v>80</v>
      </c>
      <c r="F3413" t="s">
        <v>20</v>
      </c>
      <c r="G3413">
        <v>36284</v>
      </c>
      <c r="H3413">
        <v>29027.200000000001</v>
      </c>
      <c r="I3413" s="13">
        <v>1</v>
      </c>
      <c r="J3413" t="s">
        <v>6207</v>
      </c>
      <c r="K3413">
        <v>5</v>
      </c>
      <c r="L3413">
        <v>4</v>
      </c>
      <c r="M3413" t="s">
        <v>0</v>
      </c>
      <c r="N3413" s="2">
        <v>0.65</v>
      </c>
      <c r="O3413" s="2">
        <v>0.35</v>
      </c>
      <c r="P3413">
        <v>17</v>
      </c>
      <c r="Q3413">
        <v>11</v>
      </c>
      <c r="R3413">
        <v>4</v>
      </c>
      <c r="S3413">
        <v>4</v>
      </c>
      <c r="T3413">
        <v>9</v>
      </c>
      <c r="U3413">
        <v>13</v>
      </c>
      <c r="V3413">
        <v>1</v>
      </c>
      <c r="W3413">
        <v>2</v>
      </c>
      <c r="X3413">
        <v>0</v>
      </c>
      <c r="Y3413">
        <v>0</v>
      </c>
      <c r="Z3413">
        <v>0</v>
      </c>
    </row>
    <row r="3414" spans="1:26" x14ac:dyDescent="0.2">
      <c r="A3414" t="s">
        <v>3532</v>
      </c>
      <c r="B3414" t="s">
        <v>61</v>
      </c>
      <c r="C3414">
        <v>2017</v>
      </c>
      <c r="D3414" t="s">
        <v>71</v>
      </c>
      <c r="E3414" t="s">
        <v>27</v>
      </c>
      <c r="F3414" t="s">
        <v>71</v>
      </c>
      <c r="G3414">
        <v>21088</v>
      </c>
      <c r="H3414">
        <v>16870.400000000001</v>
      </c>
      <c r="I3414" s="13">
        <v>0.66666666666666663</v>
      </c>
      <c r="J3414" t="s">
        <v>6207</v>
      </c>
      <c r="K3414">
        <v>1</v>
      </c>
      <c r="L3414">
        <v>2</v>
      </c>
      <c r="M3414" t="s">
        <v>1</v>
      </c>
      <c r="N3414" s="2">
        <v>0.57999999999999996</v>
      </c>
      <c r="O3414" s="2">
        <v>0.42</v>
      </c>
      <c r="P3414">
        <v>16</v>
      </c>
      <c r="Q3414">
        <v>11</v>
      </c>
      <c r="R3414">
        <v>6</v>
      </c>
      <c r="S3414">
        <v>0</v>
      </c>
      <c r="T3414">
        <v>12</v>
      </c>
      <c r="U3414">
        <v>9</v>
      </c>
      <c r="V3414">
        <v>1</v>
      </c>
      <c r="W3414">
        <v>2</v>
      </c>
      <c r="X3414">
        <v>0</v>
      </c>
      <c r="Y3414">
        <v>0</v>
      </c>
      <c r="Z3414">
        <v>1</v>
      </c>
    </row>
    <row r="3415" spans="1:26" x14ac:dyDescent="0.2">
      <c r="A3415" t="s">
        <v>3533</v>
      </c>
      <c r="B3415" t="s">
        <v>37</v>
      </c>
      <c r="C3415">
        <v>2017</v>
      </c>
      <c r="D3415" t="s">
        <v>73</v>
      </c>
      <c r="E3415" t="s">
        <v>40</v>
      </c>
      <c r="F3415" t="s">
        <v>73</v>
      </c>
      <c r="G3415">
        <v>32384</v>
      </c>
      <c r="H3415">
        <v>25907.200000000001</v>
      </c>
      <c r="I3415" s="13">
        <v>0.6</v>
      </c>
      <c r="J3415" t="s">
        <v>6206</v>
      </c>
      <c r="K3415">
        <v>0</v>
      </c>
      <c r="L3415">
        <v>1</v>
      </c>
      <c r="M3415" t="s">
        <v>1</v>
      </c>
      <c r="N3415" s="2">
        <v>0.3</v>
      </c>
      <c r="O3415" s="2">
        <v>0.7</v>
      </c>
      <c r="P3415">
        <v>12</v>
      </c>
      <c r="Q3415">
        <v>13</v>
      </c>
      <c r="R3415">
        <v>1</v>
      </c>
      <c r="S3415">
        <v>12</v>
      </c>
      <c r="T3415">
        <v>8</v>
      </c>
      <c r="U3415">
        <v>10</v>
      </c>
      <c r="V3415">
        <v>3</v>
      </c>
      <c r="W3415">
        <v>2</v>
      </c>
      <c r="X3415">
        <v>0</v>
      </c>
      <c r="Y3415">
        <v>0</v>
      </c>
      <c r="Z3415">
        <v>0</v>
      </c>
    </row>
    <row r="3416" spans="1:26" x14ac:dyDescent="0.2">
      <c r="A3416" t="s">
        <v>3534</v>
      </c>
      <c r="B3416" t="s">
        <v>32</v>
      </c>
      <c r="C3416">
        <v>2017</v>
      </c>
      <c r="D3416" t="s">
        <v>64</v>
      </c>
      <c r="E3416" t="s">
        <v>18</v>
      </c>
      <c r="F3416" t="s">
        <v>64</v>
      </c>
      <c r="G3416">
        <v>52264</v>
      </c>
      <c r="H3416">
        <v>41811.200000000004</v>
      </c>
      <c r="I3416" s="13">
        <v>1</v>
      </c>
      <c r="J3416" t="s">
        <v>6207</v>
      </c>
      <c r="K3416">
        <v>3</v>
      </c>
      <c r="L3416">
        <v>0</v>
      </c>
      <c r="M3416" t="s">
        <v>0</v>
      </c>
      <c r="N3416" s="2">
        <v>0.42</v>
      </c>
      <c r="O3416" s="2">
        <v>0.57999999999999996</v>
      </c>
      <c r="P3416">
        <v>12</v>
      </c>
      <c r="Q3416">
        <v>11</v>
      </c>
      <c r="R3416">
        <v>4</v>
      </c>
      <c r="S3416">
        <v>2</v>
      </c>
      <c r="T3416">
        <v>11</v>
      </c>
      <c r="U3416">
        <v>10</v>
      </c>
      <c r="V3416">
        <v>0</v>
      </c>
      <c r="W3416">
        <v>1</v>
      </c>
      <c r="X3416">
        <v>0</v>
      </c>
      <c r="Y3416">
        <v>0</v>
      </c>
      <c r="Z3416">
        <v>0</v>
      </c>
    </row>
    <row r="3417" spans="1:26" x14ac:dyDescent="0.2">
      <c r="A3417" t="s">
        <v>3535</v>
      </c>
      <c r="B3417" t="s">
        <v>50</v>
      </c>
      <c r="C3417">
        <v>2017</v>
      </c>
      <c r="D3417" t="s">
        <v>48</v>
      </c>
      <c r="E3417" t="s">
        <v>85</v>
      </c>
      <c r="F3417" t="s">
        <v>49</v>
      </c>
      <c r="G3417">
        <v>74197</v>
      </c>
      <c r="H3417">
        <v>59357.600000000006</v>
      </c>
      <c r="I3417" s="13">
        <v>0.25</v>
      </c>
      <c r="J3417" t="s">
        <v>6207</v>
      </c>
      <c r="K3417">
        <v>1</v>
      </c>
      <c r="L3417">
        <v>0</v>
      </c>
      <c r="M3417" t="s">
        <v>0</v>
      </c>
      <c r="N3417" s="2">
        <v>0.51</v>
      </c>
      <c r="O3417" s="2">
        <v>0.49</v>
      </c>
      <c r="P3417">
        <v>11</v>
      </c>
      <c r="Q3417">
        <v>11</v>
      </c>
      <c r="R3417">
        <v>6</v>
      </c>
      <c r="S3417">
        <v>5</v>
      </c>
      <c r="T3417">
        <v>6</v>
      </c>
      <c r="U3417">
        <v>11</v>
      </c>
      <c r="V3417">
        <v>4</v>
      </c>
      <c r="W3417">
        <v>0</v>
      </c>
      <c r="X3417">
        <v>0</v>
      </c>
      <c r="Y3417">
        <v>0</v>
      </c>
      <c r="Z3417">
        <v>0</v>
      </c>
    </row>
    <row r="3418" spans="1:26" x14ac:dyDescent="0.2">
      <c r="A3418" t="s">
        <v>3536</v>
      </c>
      <c r="B3418" t="s">
        <v>60</v>
      </c>
      <c r="C3418">
        <v>2017</v>
      </c>
      <c r="D3418" t="s">
        <v>26</v>
      </c>
      <c r="E3418" t="s">
        <v>90</v>
      </c>
      <c r="F3418" t="s">
        <v>26</v>
      </c>
      <c r="G3418">
        <v>61276</v>
      </c>
      <c r="H3418">
        <v>49020.800000000003</v>
      </c>
      <c r="I3418" s="13">
        <v>0</v>
      </c>
      <c r="J3418" t="s">
        <v>6208</v>
      </c>
      <c r="K3418">
        <v>4</v>
      </c>
      <c r="L3418">
        <v>0</v>
      </c>
      <c r="M3418" t="s">
        <v>0</v>
      </c>
      <c r="N3418" s="2">
        <v>0.72</v>
      </c>
      <c r="O3418" s="2">
        <v>0.28000000000000003</v>
      </c>
      <c r="P3418">
        <v>6</v>
      </c>
      <c r="Q3418">
        <v>4</v>
      </c>
      <c r="R3418">
        <v>7</v>
      </c>
      <c r="S3418">
        <v>3</v>
      </c>
      <c r="T3418">
        <v>3</v>
      </c>
      <c r="U3418">
        <v>6</v>
      </c>
      <c r="V3418">
        <v>0</v>
      </c>
      <c r="W3418">
        <v>0</v>
      </c>
      <c r="X3418">
        <v>0</v>
      </c>
      <c r="Y3418">
        <v>0</v>
      </c>
      <c r="Z3418">
        <v>0</v>
      </c>
    </row>
    <row r="3419" spans="1:26" x14ac:dyDescent="0.2">
      <c r="A3419" t="s">
        <v>3537</v>
      </c>
      <c r="B3419" t="s">
        <v>66</v>
      </c>
      <c r="C3419">
        <v>2017</v>
      </c>
      <c r="D3419" t="s">
        <v>89</v>
      </c>
      <c r="E3419" t="s">
        <v>46</v>
      </c>
      <c r="F3419" t="s">
        <v>89</v>
      </c>
      <c r="G3419">
        <v>24500</v>
      </c>
      <c r="H3419">
        <v>19600</v>
      </c>
      <c r="I3419" s="13">
        <v>1</v>
      </c>
      <c r="J3419" t="s">
        <v>6207</v>
      </c>
      <c r="K3419">
        <v>0</v>
      </c>
      <c r="L3419">
        <v>1</v>
      </c>
      <c r="M3419" t="s">
        <v>1</v>
      </c>
      <c r="N3419" s="2">
        <v>0.44</v>
      </c>
      <c r="O3419" s="2">
        <v>0.56000000000000005</v>
      </c>
      <c r="P3419">
        <v>10</v>
      </c>
      <c r="Q3419">
        <v>12</v>
      </c>
      <c r="R3419">
        <v>7</v>
      </c>
      <c r="S3419">
        <v>4</v>
      </c>
      <c r="T3419">
        <v>11</v>
      </c>
      <c r="U3419">
        <v>7</v>
      </c>
      <c r="V3419">
        <v>1</v>
      </c>
      <c r="W3419">
        <v>0</v>
      </c>
      <c r="X3419">
        <v>0</v>
      </c>
      <c r="Y3419">
        <v>0</v>
      </c>
      <c r="Z3419">
        <v>0</v>
      </c>
    </row>
    <row r="3420" spans="1:26" x14ac:dyDescent="0.2">
      <c r="A3420" t="s">
        <v>3538</v>
      </c>
      <c r="B3420" t="s">
        <v>68</v>
      </c>
      <c r="C3420">
        <v>2017</v>
      </c>
      <c r="D3420" t="s">
        <v>79</v>
      </c>
      <c r="E3420" t="s">
        <v>63</v>
      </c>
      <c r="F3420" t="s">
        <v>20</v>
      </c>
      <c r="G3420">
        <v>25486</v>
      </c>
      <c r="H3420">
        <v>20388.800000000003</v>
      </c>
      <c r="I3420" s="13">
        <v>0</v>
      </c>
      <c r="J3420" t="s">
        <v>6207</v>
      </c>
      <c r="K3420">
        <v>2</v>
      </c>
      <c r="L3420">
        <v>0</v>
      </c>
      <c r="M3420" t="s">
        <v>0</v>
      </c>
      <c r="N3420" s="2">
        <v>0.59</v>
      </c>
      <c r="O3420" s="2">
        <v>0.41</v>
      </c>
      <c r="P3420">
        <v>12</v>
      </c>
      <c r="Q3420">
        <v>11</v>
      </c>
      <c r="R3420">
        <v>4</v>
      </c>
      <c r="S3420">
        <v>2</v>
      </c>
      <c r="T3420">
        <v>10</v>
      </c>
      <c r="U3420">
        <v>11</v>
      </c>
      <c r="V3420">
        <v>2</v>
      </c>
      <c r="W3420">
        <v>3</v>
      </c>
      <c r="X3420">
        <v>0</v>
      </c>
      <c r="Y3420">
        <v>0</v>
      </c>
      <c r="Z3420">
        <v>0</v>
      </c>
    </row>
    <row r="3421" spans="1:26" x14ac:dyDescent="0.2">
      <c r="A3421" t="s">
        <v>3539</v>
      </c>
      <c r="B3421" t="s">
        <v>81</v>
      </c>
      <c r="C3421">
        <v>2017</v>
      </c>
      <c r="D3421" t="s">
        <v>28</v>
      </c>
      <c r="E3421" t="s">
        <v>86</v>
      </c>
      <c r="F3421" t="s">
        <v>28</v>
      </c>
      <c r="G3421">
        <v>21944</v>
      </c>
      <c r="H3421">
        <v>17555.2</v>
      </c>
      <c r="I3421" s="13">
        <v>0</v>
      </c>
      <c r="J3421" t="s">
        <v>6207</v>
      </c>
      <c r="K3421">
        <v>1</v>
      </c>
      <c r="L3421">
        <v>2</v>
      </c>
      <c r="M3421" t="s">
        <v>1</v>
      </c>
      <c r="N3421" s="2">
        <v>0.52</v>
      </c>
      <c r="O3421" s="2">
        <v>0.48</v>
      </c>
      <c r="P3421">
        <v>8</v>
      </c>
      <c r="Q3421">
        <v>17</v>
      </c>
      <c r="R3421">
        <v>7</v>
      </c>
      <c r="S3421">
        <v>8</v>
      </c>
      <c r="T3421">
        <v>14</v>
      </c>
      <c r="U3421">
        <v>9</v>
      </c>
      <c r="V3421">
        <v>0</v>
      </c>
      <c r="W3421">
        <v>0</v>
      </c>
      <c r="X3421">
        <v>0</v>
      </c>
      <c r="Y3421">
        <v>0</v>
      </c>
      <c r="Z3421">
        <v>0</v>
      </c>
    </row>
    <row r="3422" spans="1:26" x14ac:dyDescent="0.2">
      <c r="A3422" t="s">
        <v>3540</v>
      </c>
      <c r="B3422" t="s">
        <v>37</v>
      </c>
      <c r="C3422">
        <v>2018</v>
      </c>
      <c r="D3422" t="s">
        <v>48</v>
      </c>
      <c r="E3422" t="s">
        <v>80</v>
      </c>
      <c r="F3422" t="s">
        <v>49</v>
      </c>
      <c r="G3422">
        <v>74197</v>
      </c>
      <c r="H3422">
        <v>59357.600000000006</v>
      </c>
      <c r="I3422" s="13">
        <v>1</v>
      </c>
      <c r="J3422" t="s">
        <v>6206</v>
      </c>
      <c r="K3422">
        <v>2</v>
      </c>
      <c r="L3422">
        <v>1</v>
      </c>
      <c r="M3422" t="s">
        <v>0</v>
      </c>
      <c r="N3422" s="2">
        <v>0.46</v>
      </c>
      <c r="O3422" s="2">
        <v>0.54</v>
      </c>
      <c r="P3422">
        <v>9</v>
      </c>
      <c r="Q3422">
        <v>15</v>
      </c>
      <c r="R3422">
        <v>2</v>
      </c>
      <c r="S3422">
        <v>5</v>
      </c>
      <c r="T3422">
        <v>11</v>
      </c>
      <c r="U3422">
        <v>8</v>
      </c>
      <c r="V3422">
        <v>2</v>
      </c>
      <c r="W3422">
        <v>1</v>
      </c>
      <c r="X3422">
        <v>0</v>
      </c>
      <c r="Y3422">
        <v>0</v>
      </c>
      <c r="Z3422">
        <v>1</v>
      </c>
    </row>
    <row r="3423" spans="1:26" x14ac:dyDescent="0.2">
      <c r="A3423" t="s">
        <v>3541</v>
      </c>
      <c r="B3423" t="s">
        <v>32</v>
      </c>
      <c r="C3423">
        <v>2018</v>
      </c>
      <c r="D3423" t="s">
        <v>64</v>
      </c>
      <c r="E3423" t="s">
        <v>51</v>
      </c>
      <c r="F3423" t="s">
        <v>64</v>
      </c>
      <c r="G3423">
        <v>52264</v>
      </c>
      <c r="H3423">
        <v>41811.200000000004</v>
      </c>
      <c r="I3423" s="13">
        <v>0.5</v>
      </c>
      <c r="J3423" t="s">
        <v>6207</v>
      </c>
      <c r="K3423">
        <v>1</v>
      </c>
      <c r="L3423">
        <v>2</v>
      </c>
      <c r="M3423" t="s">
        <v>1</v>
      </c>
      <c r="N3423" s="2">
        <v>0.4</v>
      </c>
      <c r="O3423" s="2">
        <v>0.6</v>
      </c>
      <c r="P3423">
        <v>12</v>
      </c>
      <c r="Q3423">
        <v>12</v>
      </c>
      <c r="R3423">
        <v>3</v>
      </c>
      <c r="S3423">
        <v>5</v>
      </c>
      <c r="T3423">
        <v>11</v>
      </c>
      <c r="U3423">
        <v>12</v>
      </c>
      <c r="V3423">
        <v>2</v>
      </c>
      <c r="W3423">
        <v>2</v>
      </c>
      <c r="X3423">
        <v>0</v>
      </c>
      <c r="Y3423">
        <v>0</v>
      </c>
      <c r="Z3423">
        <v>0</v>
      </c>
    </row>
    <row r="3424" spans="1:26" x14ac:dyDescent="0.2">
      <c r="A3424" t="s">
        <v>3542</v>
      </c>
      <c r="B3424" t="s">
        <v>68</v>
      </c>
      <c r="C3424">
        <v>2018</v>
      </c>
      <c r="D3424" t="s">
        <v>85</v>
      </c>
      <c r="E3424" t="s">
        <v>90</v>
      </c>
      <c r="F3424" t="s">
        <v>85</v>
      </c>
      <c r="G3424">
        <v>22220</v>
      </c>
      <c r="H3424">
        <v>17776</v>
      </c>
      <c r="I3424" s="13">
        <v>0.75</v>
      </c>
      <c r="J3424" t="s">
        <v>6207</v>
      </c>
      <c r="K3424">
        <v>2</v>
      </c>
      <c r="L3424">
        <v>0</v>
      </c>
      <c r="M3424" t="s">
        <v>0</v>
      </c>
      <c r="N3424" s="2">
        <v>0.53</v>
      </c>
      <c r="O3424" s="2">
        <v>0.47</v>
      </c>
      <c r="P3424">
        <v>19</v>
      </c>
      <c r="Q3424">
        <v>10</v>
      </c>
      <c r="R3424">
        <v>8</v>
      </c>
      <c r="S3424">
        <v>2</v>
      </c>
      <c r="T3424">
        <v>10</v>
      </c>
      <c r="U3424">
        <v>16</v>
      </c>
      <c r="V3424">
        <v>2</v>
      </c>
      <c r="W3424">
        <v>2</v>
      </c>
      <c r="X3424">
        <v>0</v>
      </c>
      <c r="Y3424">
        <v>0</v>
      </c>
      <c r="Z3424">
        <v>0</v>
      </c>
    </row>
    <row r="3425" spans="1:26" x14ac:dyDescent="0.2">
      <c r="A3425" t="s">
        <v>3543</v>
      </c>
      <c r="B3425" t="s">
        <v>88</v>
      </c>
      <c r="C3425">
        <v>2018</v>
      </c>
      <c r="D3425" t="s">
        <v>89</v>
      </c>
      <c r="E3425" t="s">
        <v>18</v>
      </c>
      <c r="F3425" t="s">
        <v>89</v>
      </c>
      <c r="G3425">
        <v>24500</v>
      </c>
      <c r="H3425">
        <v>19600</v>
      </c>
      <c r="I3425" s="13">
        <v>1</v>
      </c>
      <c r="J3425" t="s">
        <v>6207</v>
      </c>
      <c r="K3425">
        <v>0</v>
      </c>
      <c r="L3425">
        <v>3</v>
      </c>
      <c r="M3425" t="s">
        <v>1</v>
      </c>
      <c r="N3425" s="2">
        <v>0.37</v>
      </c>
      <c r="O3425" s="2">
        <v>0.63</v>
      </c>
      <c r="P3425">
        <v>9</v>
      </c>
      <c r="Q3425">
        <v>10</v>
      </c>
      <c r="R3425">
        <v>2</v>
      </c>
      <c r="S3425">
        <v>5</v>
      </c>
      <c r="T3425">
        <v>9</v>
      </c>
      <c r="U3425">
        <v>8</v>
      </c>
      <c r="V3425">
        <v>2</v>
      </c>
      <c r="W3425">
        <v>1</v>
      </c>
      <c r="X3425">
        <v>0</v>
      </c>
      <c r="Y3425">
        <v>0</v>
      </c>
      <c r="Z3425">
        <v>1</v>
      </c>
    </row>
    <row r="3426" spans="1:26" x14ac:dyDescent="0.2">
      <c r="A3426" t="s">
        <v>3544</v>
      </c>
      <c r="B3426" t="s">
        <v>41</v>
      </c>
      <c r="C3426">
        <v>2018</v>
      </c>
      <c r="D3426" t="s">
        <v>31</v>
      </c>
      <c r="E3426" t="s">
        <v>79</v>
      </c>
      <c r="F3426" t="s">
        <v>20</v>
      </c>
      <c r="G3426">
        <v>28500</v>
      </c>
      <c r="H3426">
        <v>22800</v>
      </c>
      <c r="I3426" s="13">
        <v>0.66666666666666663</v>
      </c>
      <c r="J3426" t="s">
        <v>6207</v>
      </c>
      <c r="K3426">
        <v>0</v>
      </c>
      <c r="L3426">
        <v>2</v>
      </c>
      <c r="M3426" t="s">
        <v>1</v>
      </c>
      <c r="N3426" s="2">
        <v>0.66</v>
      </c>
      <c r="O3426" s="2">
        <v>0.34</v>
      </c>
      <c r="P3426">
        <v>13</v>
      </c>
      <c r="Q3426">
        <v>11</v>
      </c>
      <c r="R3426">
        <v>5</v>
      </c>
      <c r="S3426">
        <v>5</v>
      </c>
      <c r="T3426">
        <v>9</v>
      </c>
      <c r="U3426">
        <v>11</v>
      </c>
      <c r="V3426">
        <v>1</v>
      </c>
      <c r="W3426">
        <v>2</v>
      </c>
      <c r="X3426">
        <v>0</v>
      </c>
      <c r="Y3426">
        <v>0</v>
      </c>
      <c r="Z3426">
        <v>0</v>
      </c>
    </row>
    <row r="3427" spans="1:26" x14ac:dyDescent="0.2">
      <c r="A3427" t="s">
        <v>3545</v>
      </c>
      <c r="B3427" t="s">
        <v>60</v>
      </c>
      <c r="C3427">
        <v>2018</v>
      </c>
      <c r="D3427" t="s">
        <v>86</v>
      </c>
      <c r="E3427" t="s">
        <v>78</v>
      </c>
      <c r="F3427" t="s">
        <v>86</v>
      </c>
      <c r="G3427">
        <v>11364</v>
      </c>
      <c r="H3427">
        <v>9091.2000000000007</v>
      </c>
      <c r="I3427" s="13">
        <v>0</v>
      </c>
      <c r="J3427" t="s">
        <v>6208</v>
      </c>
      <c r="K3427">
        <v>2</v>
      </c>
      <c r="L3427">
        <v>0</v>
      </c>
      <c r="M3427" t="s">
        <v>0</v>
      </c>
      <c r="N3427" s="2">
        <v>0.63</v>
      </c>
      <c r="O3427" s="2">
        <v>0.37</v>
      </c>
      <c r="P3427">
        <v>10</v>
      </c>
      <c r="Q3427">
        <v>11</v>
      </c>
      <c r="R3427">
        <v>7</v>
      </c>
      <c r="S3427">
        <v>4</v>
      </c>
      <c r="T3427">
        <v>11</v>
      </c>
      <c r="U3427">
        <v>9</v>
      </c>
      <c r="V3427">
        <v>1</v>
      </c>
      <c r="W3427">
        <v>1</v>
      </c>
      <c r="X3427">
        <v>0</v>
      </c>
      <c r="Y3427">
        <v>0</v>
      </c>
      <c r="Z3427">
        <v>1</v>
      </c>
    </row>
    <row r="3428" spans="1:26" x14ac:dyDescent="0.2">
      <c r="A3428" t="s">
        <v>3546</v>
      </c>
      <c r="B3428" t="s">
        <v>76</v>
      </c>
      <c r="C3428">
        <v>2018</v>
      </c>
      <c r="D3428" t="s">
        <v>22</v>
      </c>
      <c r="E3428" t="s">
        <v>45</v>
      </c>
      <c r="F3428" t="s">
        <v>24</v>
      </c>
      <c r="G3428">
        <v>31750</v>
      </c>
      <c r="H3428">
        <v>25400</v>
      </c>
      <c r="I3428" s="13">
        <v>0.5</v>
      </c>
      <c r="J3428" t="s">
        <v>6207</v>
      </c>
      <c r="K3428">
        <v>2</v>
      </c>
      <c r="L3428">
        <v>2</v>
      </c>
      <c r="M3428" t="s">
        <v>58</v>
      </c>
      <c r="N3428" s="2">
        <v>0.56999999999999995</v>
      </c>
      <c r="O3428" s="2">
        <v>0.43</v>
      </c>
      <c r="P3428">
        <v>10</v>
      </c>
      <c r="Q3428">
        <v>10</v>
      </c>
      <c r="R3428">
        <v>3</v>
      </c>
      <c r="S3428">
        <v>6</v>
      </c>
      <c r="T3428">
        <v>8</v>
      </c>
      <c r="U3428">
        <v>7</v>
      </c>
      <c r="V3428">
        <v>0</v>
      </c>
      <c r="W3428">
        <v>1</v>
      </c>
      <c r="X3428">
        <v>0</v>
      </c>
      <c r="Y3428">
        <v>1</v>
      </c>
      <c r="Z3428">
        <v>0</v>
      </c>
    </row>
    <row r="3429" spans="1:26" x14ac:dyDescent="0.2">
      <c r="A3429" t="s">
        <v>3547</v>
      </c>
      <c r="B3429" t="s">
        <v>83</v>
      </c>
      <c r="C3429">
        <v>2018</v>
      </c>
      <c r="D3429" t="s">
        <v>73</v>
      </c>
      <c r="E3429" t="s">
        <v>28</v>
      </c>
      <c r="F3429" t="s">
        <v>73</v>
      </c>
      <c r="G3429">
        <v>32384</v>
      </c>
      <c r="H3429">
        <v>25907.200000000001</v>
      </c>
      <c r="I3429" s="13">
        <v>0</v>
      </c>
      <c r="J3429" t="s">
        <v>6208</v>
      </c>
      <c r="K3429">
        <v>0</v>
      </c>
      <c r="L3429">
        <v>0</v>
      </c>
      <c r="M3429" t="s">
        <v>58</v>
      </c>
      <c r="N3429" s="2">
        <v>0.48</v>
      </c>
      <c r="O3429" s="2">
        <v>0.52</v>
      </c>
      <c r="P3429">
        <v>14</v>
      </c>
      <c r="Q3429">
        <v>13</v>
      </c>
      <c r="R3429">
        <v>8</v>
      </c>
      <c r="S3429">
        <v>5</v>
      </c>
      <c r="T3429">
        <v>10</v>
      </c>
      <c r="U3429">
        <v>9</v>
      </c>
      <c r="V3429">
        <v>0</v>
      </c>
      <c r="W3429">
        <v>1</v>
      </c>
      <c r="X3429">
        <v>0</v>
      </c>
      <c r="Y3429">
        <v>0</v>
      </c>
      <c r="Z3429">
        <v>0</v>
      </c>
    </row>
    <row r="3430" spans="1:26" x14ac:dyDescent="0.2">
      <c r="A3430" t="s">
        <v>3548</v>
      </c>
      <c r="B3430" t="s">
        <v>61</v>
      </c>
      <c r="C3430">
        <v>2018</v>
      </c>
      <c r="D3430" t="s">
        <v>26</v>
      </c>
      <c r="E3430" t="s">
        <v>23</v>
      </c>
      <c r="F3430" t="s">
        <v>26</v>
      </c>
      <c r="G3430">
        <v>61276</v>
      </c>
      <c r="H3430">
        <v>49020.800000000003</v>
      </c>
      <c r="I3430" s="13">
        <v>0.66666666666666663</v>
      </c>
      <c r="J3430" t="s">
        <v>6207</v>
      </c>
      <c r="K3430">
        <v>4</v>
      </c>
      <c r="L3430">
        <v>0</v>
      </c>
      <c r="M3430" t="s">
        <v>0</v>
      </c>
      <c r="N3430" s="2">
        <v>0.65</v>
      </c>
      <c r="O3430" s="2">
        <v>0.35</v>
      </c>
      <c r="P3430">
        <v>12</v>
      </c>
      <c r="Q3430">
        <v>18</v>
      </c>
      <c r="R3430">
        <v>5</v>
      </c>
      <c r="S3430">
        <v>4</v>
      </c>
      <c r="T3430">
        <v>14</v>
      </c>
      <c r="U3430">
        <v>9</v>
      </c>
      <c r="V3430">
        <v>1</v>
      </c>
      <c r="W3430">
        <v>2</v>
      </c>
      <c r="X3430">
        <v>0</v>
      </c>
      <c r="Y3430">
        <v>0</v>
      </c>
      <c r="Z3430">
        <v>0</v>
      </c>
    </row>
    <row r="3431" spans="1:26" x14ac:dyDescent="0.2">
      <c r="A3431" t="s">
        <v>3549</v>
      </c>
      <c r="B3431" t="s">
        <v>66</v>
      </c>
      <c r="C3431">
        <v>2018</v>
      </c>
      <c r="D3431" t="s">
        <v>46</v>
      </c>
      <c r="E3431" t="s">
        <v>40</v>
      </c>
      <c r="F3431" t="s">
        <v>20</v>
      </c>
      <c r="G3431">
        <v>60704</v>
      </c>
      <c r="H3431">
        <v>48563.200000000004</v>
      </c>
      <c r="I3431" s="13">
        <v>0.75</v>
      </c>
      <c r="J3431" t="s">
        <v>6207</v>
      </c>
      <c r="K3431">
        <v>0</v>
      </c>
      <c r="L3431">
        <v>2</v>
      </c>
      <c r="M3431" t="s">
        <v>1</v>
      </c>
      <c r="N3431" s="2">
        <v>0.42</v>
      </c>
      <c r="O3431" s="2">
        <v>0.57999999999999996</v>
      </c>
      <c r="P3431">
        <v>15</v>
      </c>
      <c r="Q3431">
        <v>14</v>
      </c>
      <c r="R3431">
        <v>2</v>
      </c>
      <c r="S3431">
        <v>10</v>
      </c>
      <c r="T3431">
        <v>11</v>
      </c>
      <c r="U3431">
        <v>14</v>
      </c>
      <c r="V3431">
        <v>2</v>
      </c>
      <c r="W3431">
        <v>2</v>
      </c>
      <c r="X3431">
        <v>0</v>
      </c>
      <c r="Y3431">
        <v>0</v>
      </c>
      <c r="Z3431">
        <v>0</v>
      </c>
    </row>
    <row r="3432" spans="1:26" x14ac:dyDescent="0.2">
      <c r="A3432" t="s">
        <v>3550</v>
      </c>
      <c r="B3432" t="s">
        <v>76</v>
      </c>
      <c r="C3432">
        <v>2018</v>
      </c>
      <c r="D3432" t="s">
        <v>78</v>
      </c>
      <c r="E3432" t="s">
        <v>64</v>
      </c>
      <c r="F3432" t="s">
        <v>78</v>
      </c>
      <c r="G3432">
        <v>33280</v>
      </c>
      <c r="H3432">
        <v>26624</v>
      </c>
      <c r="I3432" s="13">
        <v>0.8</v>
      </c>
      <c r="J3432" t="s">
        <v>6207</v>
      </c>
      <c r="K3432">
        <v>0</v>
      </c>
      <c r="L3432">
        <v>0</v>
      </c>
      <c r="M3432" t="s">
        <v>58</v>
      </c>
      <c r="N3432" s="2">
        <v>0.51</v>
      </c>
      <c r="O3432" s="2">
        <v>0.49</v>
      </c>
      <c r="P3432">
        <v>17</v>
      </c>
      <c r="Q3432">
        <v>15</v>
      </c>
      <c r="R3432">
        <v>5</v>
      </c>
      <c r="S3432">
        <v>5</v>
      </c>
      <c r="T3432">
        <v>14</v>
      </c>
      <c r="U3432">
        <v>16</v>
      </c>
      <c r="V3432">
        <v>2</v>
      </c>
      <c r="W3432">
        <v>2</v>
      </c>
      <c r="X3432">
        <v>0</v>
      </c>
      <c r="Y3432">
        <v>1</v>
      </c>
      <c r="Z3432">
        <v>1</v>
      </c>
    </row>
    <row r="3433" spans="1:26" x14ac:dyDescent="0.2">
      <c r="A3433" t="s">
        <v>3551</v>
      </c>
      <c r="B3433" t="s">
        <v>59</v>
      </c>
      <c r="C3433">
        <v>2018</v>
      </c>
      <c r="D3433" t="s">
        <v>23</v>
      </c>
      <c r="E3433" t="s">
        <v>86</v>
      </c>
      <c r="F3433" t="s">
        <v>20</v>
      </c>
      <c r="G3433">
        <v>62500</v>
      </c>
      <c r="H3433">
        <v>50000</v>
      </c>
      <c r="I3433" s="13">
        <v>0.625</v>
      </c>
      <c r="J3433" t="s">
        <v>6206</v>
      </c>
      <c r="K3433">
        <v>1</v>
      </c>
      <c r="L3433">
        <v>2</v>
      </c>
      <c r="M3433" t="s">
        <v>1</v>
      </c>
      <c r="N3433" s="2">
        <v>0.61</v>
      </c>
      <c r="O3433" s="2">
        <v>0.39</v>
      </c>
      <c r="P3433">
        <v>9</v>
      </c>
      <c r="Q3433">
        <v>15</v>
      </c>
      <c r="R3433">
        <v>6</v>
      </c>
      <c r="S3433">
        <v>4</v>
      </c>
      <c r="T3433">
        <v>14</v>
      </c>
      <c r="U3433">
        <v>10</v>
      </c>
      <c r="V3433">
        <v>6</v>
      </c>
      <c r="W3433">
        <v>2</v>
      </c>
      <c r="X3433">
        <v>0</v>
      </c>
      <c r="Y3433">
        <v>0</v>
      </c>
      <c r="Z3433">
        <v>1</v>
      </c>
    </row>
    <row r="3434" spans="1:26" x14ac:dyDescent="0.2">
      <c r="A3434" t="s">
        <v>3552</v>
      </c>
      <c r="B3434" t="s">
        <v>61</v>
      </c>
      <c r="C3434">
        <v>2018</v>
      </c>
      <c r="D3434" t="s">
        <v>51</v>
      </c>
      <c r="E3434" t="s">
        <v>31</v>
      </c>
      <c r="F3434" t="s">
        <v>20</v>
      </c>
      <c r="G3434">
        <v>36284</v>
      </c>
      <c r="H3434">
        <v>29027.200000000001</v>
      </c>
      <c r="I3434" s="13">
        <v>0</v>
      </c>
      <c r="J3434" t="s">
        <v>6207</v>
      </c>
      <c r="K3434">
        <v>3</v>
      </c>
      <c r="L3434">
        <v>1</v>
      </c>
      <c r="M3434" t="s">
        <v>0</v>
      </c>
      <c r="N3434" s="2">
        <v>0.6</v>
      </c>
      <c r="O3434" s="2">
        <v>0.4</v>
      </c>
      <c r="P3434">
        <v>8</v>
      </c>
      <c r="Q3434">
        <v>10</v>
      </c>
      <c r="R3434">
        <v>5</v>
      </c>
      <c r="S3434">
        <v>2</v>
      </c>
      <c r="T3434">
        <v>9</v>
      </c>
      <c r="U3434">
        <v>5</v>
      </c>
      <c r="V3434">
        <v>0</v>
      </c>
      <c r="W3434">
        <v>0</v>
      </c>
      <c r="X3434">
        <v>0</v>
      </c>
      <c r="Y3434">
        <v>0</v>
      </c>
      <c r="Z3434">
        <v>0</v>
      </c>
    </row>
    <row r="3435" spans="1:26" x14ac:dyDescent="0.2">
      <c r="A3435" t="s">
        <v>3553</v>
      </c>
      <c r="B3435" t="s">
        <v>41</v>
      </c>
      <c r="C3435">
        <v>2018</v>
      </c>
      <c r="D3435" t="s">
        <v>80</v>
      </c>
      <c r="E3435" t="s">
        <v>22</v>
      </c>
      <c r="F3435" t="s">
        <v>80</v>
      </c>
      <c r="G3435">
        <v>32261</v>
      </c>
      <c r="H3435">
        <v>25808.800000000003</v>
      </c>
      <c r="I3435" s="13">
        <v>0</v>
      </c>
      <c r="J3435" t="s">
        <v>6207</v>
      </c>
      <c r="K3435">
        <v>2</v>
      </c>
      <c r="L3435">
        <v>0</v>
      </c>
      <c r="M3435" t="s">
        <v>0</v>
      </c>
      <c r="N3435" s="2">
        <v>0.43</v>
      </c>
      <c r="O3435" s="2">
        <v>0.56999999999999995</v>
      </c>
      <c r="P3435">
        <v>9</v>
      </c>
      <c r="Q3435">
        <v>10</v>
      </c>
      <c r="R3435">
        <v>1</v>
      </c>
      <c r="S3435">
        <v>9</v>
      </c>
      <c r="T3435">
        <v>10</v>
      </c>
      <c r="U3435">
        <v>8</v>
      </c>
      <c r="V3435">
        <v>2</v>
      </c>
      <c r="W3435">
        <v>1</v>
      </c>
      <c r="X3435">
        <v>1</v>
      </c>
      <c r="Y3435">
        <v>0</v>
      </c>
      <c r="Z3435">
        <v>0</v>
      </c>
    </row>
    <row r="3436" spans="1:26" x14ac:dyDescent="0.2">
      <c r="A3436" t="s">
        <v>3554</v>
      </c>
      <c r="B3436" t="s">
        <v>50</v>
      </c>
      <c r="C3436">
        <v>2018</v>
      </c>
      <c r="D3436" t="s">
        <v>45</v>
      </c>
      <c r="E3436" t="s">
        <v>73</v>
      </c>
      <c r="F3436" t="s">
        <v>26</v>
      </c>
      <c r="G3436">
        <v>39572</v>
      </c>
      <c r="H3436">
        <v>31657.600000000002</v>
      </c>
      <c r="I3436" s="13">
        <v>0.6</v>
      </c>
      <c r="J3436" t="s">
        <v>6207</v>
      </c>
      <c r="K3436">
        <v>2</v>
      </c>
      <c r="L3436">
        <v>1</v>
      </c>
      <c r="M3436" t="s">
        <v>0</v>
      </c>
      <c r="N3436" s="2">
        <v>0.57999999999999996</v>
      </c>
      <c r="O3436" s="2">
        <v>0.42</v>
      </c>
      <c r="P3436">
        <v>23</v>
      </c>
      <c r="Q3436">
        <v>10</v>
      </c>
      <c r="R3436">
        <v>2</v>
      </c>
      <c r="S3436">
        <v>5</v>
      </c>
      <c r="T3436">
        <v>8</v>
      </c>
      <c r="U3436">
        <v>20</v>
      </c>
      <c r="V3436">
        <v>0</v>
      </c>
      <c r="W3436">
        <v>5</v>
      </c>
      <c r="X3436">
        <v>0</v>
      </c>
      <c r="Y3436">
        <v>0</v>
      </c>
      <c r="Z3436">
        <v>0</v>
      </c>
    </row>
    <row r="3437" spans="1:26" x14ac:dyDescent="0.2">
      <c r="A3437" t="s">
        <v>3555</v>
      </c>
      <c r="B3437" t="s">
        <v>32</v>
      </c>
      <c r="C3437">
        <v>2018</v>
      </c>
      <c r="D3437" t="s">
        <v>18</v>
      </c>
      <c r="E3437" t="s">
        <v>46</v>
      </c>
      <c r="F3437" t="s">
        <v>20</v>
      </c>
      <c r="G3437">
        <v>40341</v>
      </c>
      <c r="H3437">
        <v>32272.800000000003</v>
      </c>
      <c r="I3437" s="13">
        <v>1</v>
      </c>
      <c r="J3437" t="s">
        <v>6207</v>
      </c>
      <c r="K3437">
        <v>3</v>
      </c>
      <c r="L3437">
        <v>2</v>
      </c>
      <c r="M3437" t="s">
        <v>0</v>
      </c>
      <c r="N3437" s="2">
        <v>0.62</v>
      </c>
      <c r="O3437" s="2">
        <v>0.38</v>
      </c>
      <c r="P3437">
        <v>13</v>
      </c>
      <c r="Q3437">
        <v>15</v>
      </c>
      <c r="R3437">
        <v>5</v>
      </c>
      <c r="S3437">
        <v>1</v>
      </c>
      <c r="T3437">
        <v>12</v>
      </c>
      <c r="U3437">
        <v>9</v>
      </c>
      <c r="V3437">
        <v>0</v>
      </c>
      <c r="W3437">
        <v>2</v>
      </c>
      <c r="X3437">
        <v>0</v>
      </c>
      <c r="Y3437">
        <v>0</v>
      </c>
      <c r="Z3437">
        <v>0</v>
      </c>
    </row>
    <row r="3438" spans="1:26" x14ac:dyDescent="0.2">
      <c r="A3438" t="s">
        <v>3556</v>
      </c>
      <c r="B3438" t="s">
        <v>37</v>
      </c>
      <c r="C3438">
        <v>2018</v>
      </c>
      <c r="D3438" t="s">
        <v>40</v>
      </c>
      <c r="E3438" t="s">
        <v>89</v>
      </c>
      <c r="F3438" t="s">
        <v>49</v>
      </c>
      <c r="G3438">
        <v>53400</v>
      </c>
      <c r="H3438">
        <v>42720</v>
      </c>
      <c r="I3438" s="13">
        <v>1</v>
      </c>
      <c r="J3438" t="s">
        <v>6206</v>
      </c>
      <c r="K3438">
        <v>6</v>
      </c>
      <c r="L3438">
        <v>1</v>
      </c>
      <c r="M3438" t="s">
        <v>0</v>
      </c>
      <c r="N3438" s="2">
        <v>0.77</v>
      </c>
      <c r="O3438" s="2">
        <v>0.23</v>
      </c>
      <c r="P3438">
        <v>4</v>
      </c>
      <c r="Q3438">
        <v>10</v>
      </c>
      <c r="R3438">
        <v>10</v>
      </c>
      <c r="S3438">
        <v>3</v>
      </c>
      <c r="T3438">
        <v>9</v>
      </c>
      <c r="U3438">
        <v>4</v>
      </c>
      <c r="V3438">
        <v>0</v>
      </c>
      <c r="W3438">
        <v>2</v>
      </c>
      <c r="X3438">
        <v>0</v>
      </c>
      <c r="Y3438">
        <v>0</v>
      </c>
      <c r="Z3438">
        <v>0</v>
      </c>
    </row>
    <row r="3439" spans="1:26" x14ac:dyDescent="0.2">
      <c r="A3439" t="s">
        <v>3557</v>
      </c>
      <c r="B3439" t="s">
        <v>81</v>
      </c>
      <c r="C3439">
        <v>2018</v>
      </c>
      <c r="D3439" t="s">
        <v>28</v>
      </c>
      <c r="E3439" t="s">
        <v>85</v>
      </c>
      <c r="F3439" t="s">
        <v>28</v>
      </c>
      <c r="G3439">
        <v>21944</v>
      </c>
      <c r="H3439">
        <v>17555.2</v>
      </c>
      <c r="I3439" s="13">
        <v>0.66666666666666663</v>
      </c>
      <c r="J3439" t="s">
        <v>6207</v>
      </c>
      <c r="K3439">
        <v>1</v>
      </c>
      <c r="L3439">
        <v>3</v>
      </c>
      <c r="M3439" t="s">
        <v>1</v>
      </c>
      <c r="N3439" s="2">
        <v>0.57999999999999996</v>
      </c>
      <c r="O3439" s="2">
        <v>0.42</v>
      </c>
      <c r="P3439">
        <v>22</v>
      </c>
      <c r="Q3439">
        <v>11</v>
      </c>
      <c r="R3439">
        <v>5</v>
      </c>
      <c r="S3439">
        <v>2</v>
      </c>
      <c r="T3439">
        <v>8</v>
      </c>
      <c r="U3439">
        <v>19</v>
      </c>
      <c r="V3439">
        <v>1</v>
      </c>
      <c r="W3439">
        <v>2</v>
      </c>
      <c r="X3439">
        <v>0</v>
      </c>
      <c r="Y3439">
        <v>0</v>
      </c>
      <c r="Z3439">
        <v>0</v>
      </c>
    </row>
    <row r="3440" spans="1:26" x14ac:dyDescent="0.2">
      <c r="A3440" t="s">
        <v>3558</v>
      </c>
      <c r="B3440" t="s">
        <v>60</v>
      </c>
      <c r="C3440">
        <v>2018</v>
      </c>
      <c r="D3440" t="s">
        <v>90</v>
      </c>
      <c r="E3440" t="s">
        <v>48</v>
      </c>
      <c r="F3440" t="s">
        <v>91</v>
      </c>
      <c r="G3440">
        <v>31876</v>
      </c>
      <c r="H3440">
        <v>25500.800000000003</v>
      </c>
      <c r="I3440" s="13">
        <v>0.5</v>
      </c>
      <c r="J3440" t="s">
        <v>6208</v>
      </c>
      <c r="K3440">
        <v>3</v>
      </c>
      <c r="L3440">
        <v>2</v>
      </c>
      <c r="M3440" t="s">
        <v>0</v>
      </c>
      <c r="N3440" s="2">
        <v>0.33</v>
      </c>
      <c r="O3440" s="2">
        <v>0.67</v>
      </c>
      <c r="P3440">
        <v>15</v>
      </c>
      <c r="Q3440">
        <v>17</v>
      </c>
      <c r="R3440">
        <v>3</v>
      </c>
      <c r="S3440">
        <v>5</v>
      </c>
      <c r="T3440">
        <v>16</v>
      </c>
      <c r="U3440">
        <v>13</v>
      </c>
      <c r="V3440">
        <v>1</v>
      </c>
      <c r="W3440">
        <v>1</v>
      </c>
      <c r="X3440">
        <v>0</v>
      </c>
      <c r="Y3440">
        <v>0</v>
      </c>
      <c r="Z3440">
        <v>2</v>
      </c>
    </row>
    <row r="3441" spans="1:26" x14ac:dyDescent="0.2">
      <c r="A3441" t="s">
        <v>3559</v>
      </c>
      <c r="B3441" t="s">
        <v>66</v>
      </c>
      <c r="C3441">
        <v>2018</v>
      </c>
      <c r="D3441" t="s">
        <v>79</v>
      </c>
      <c r="E3441" t="s">
        <v>26</v>
      </c>
      <c r="F3441" t="s">
        <v>20</v>
      </c>
      <c r="G3441">
        <v>25486</v>
      </c>
      <c r="H3441">
        <v>20388.800000000003</v>
      </c>
      <c r="I3441" s="13">
        <v>0.33333333333333331</v>
      </c>
      <c r="J3441" t="s">
        <v>6207</v>
      </c>
      <c r="K3441">
        <v>0</v>
      </c>
      <c r="L3441">
        <v>2</v>
      </c>
      <c r="M3441" t="s">
        <v>1</v>
      </c>
      <c r="N3441" s="2">
        <v>0.37</v>
      </c>
      <c r="O3441" s="2">
        <v>0.63</v>
      </c>
      <c r="P3441">
        <v>15</v>
      </c>
      <c r="Q3441">
        <v>7</v>
      </c>
      <c r="R3441">
        <v>6</v>
      </c>
      <c r="S3441">
        <v>7</v>
      </c>
      <c r="T3441">
        <v>6</v>
      </c>
      <c r="U3441">
        <v>13</v>
      </c>
      <c r="V3441">
        <v>1</v>
      </c>
      <c r="W3441">
        <v>1</v>
      </c>
      <c r="X3441">
        <v>1</v>
      </c>
      <c r="Y3441">
        <v>0</v>
      </c>
      <c r="Z3441">
        <v>1</v>
      </c>
    </row>
    <row r="3442" spans="1:26" x14ac:dyDescent="0.2">
      <c r="A3442" t="s">
        <v>3560</v>
      </c>
      <c r="B3442" t="s">
        <v>32</v>
      </c>
      <c r="C3442">
        <v>2018</v>
      </c>
      <c r="D3442" t="s">
        <v>22</v>
      </c>
      <c r="E3442" t="s">
        <v>40</v>
      </c>
      <c r="F3442" t="s">
        <v>24</v>
      </c>
      <c r="G3442">
        <v>31750</v>
      </c>
      <c r="H3442">
        <v>25400</v>
      </c>
      <c r="I3442" s="13">
        <v>0.66666666666666663</v>
      </c>
      <c r="J3442" t="s">
        <v>6207</v>
      </c>
      <c r="K3442">
        <v>1</v>
      </c>
      <c r="L3442">
        <v>1</v>
      </c>
      <c r="M3442" t="s">
        <v>58</v>
      </c>
      <c r="N3442" s="2">
        <v>0.28999999999999998</v>
      </c>
      <c r="O3442" s="2">
        <v>0.71</v>
      </c>
      <c r="P3442">
        <v>11</v>
      </c>
      <c r="Q3442">
        <v>17</v>
      </c>
      <c r="R3442">
        <v>5</v>
      </c>
      <c r="S3442">
        <v>9</v>
      </c>
      <c r="T3442">
        <v>13</v>
      </c>
      <c r="U3442">
        <v>8</v>
      </c>
      <c r="V3442">
        <v>1</v>
      </c>
      <c r="W3442">
        <v>2</v>
      </c>
      <c r="X3442">
        <v>0</v>
      </c>
      <c r="Y3442">
        <v>0</v>
      </c>
      <c r="Z3442">
        <v>0</v>
      </c>
    </row>
    <row r="3443" spans="1:26" x14ac:dyDescent="0.2">
      <c r="A3443" t="s">
        <v>3561</v>
      </c>
      <c r="B3443" t="s">
        <v>68</v>
      </c>
      <c r="C3443">
        <v>2018</v>
      </c>
      <c r="D3443" t="s">
        <v>73</v>
      </c>
      <c r="E3443" t="s">
        <v>80</v>
      </c>
      <c r="F3443" t="s">
        <v>73</v>
      </c>
      <c r="G3443">
        <v>32384</v>
      </c>
      <c r="H3443">
        <v>25907.200000000001</v>
      </c>
      <c r="I3443" s="13">
        <v>0.25</v>
      </c>
      <c r="J3443" t="s">
        <v>6207</v>
      </c>
      <c r="K3443">
        <v>1</v>
      </c>
      <c r="L3443">
        <v>2</v>
      </c>
      <c r="M3443" t="s">
        <v>1</v>
      </c>
      <c r="N3443" s="2">
        <v>0.52</v>
      </c>
      <c r="O3443" s="2">
        <v>0.48</v>
      </c>
      <c r="P3443">
        <v>11</v>
      </c>
      <c r="Q3443">
        <v>14</v>
      </c>
      <c r="R3443">
        <v>10</v>
      </c>
      <c r="S3443">
        <v>3</v>
      </c>
      <c r="T3443">
        <v>13</v>
      </c>
      <c r="U3443">
        <v>11</v>
      </c>
      <c r="V3443">
        <v>2</v>
      </c>
      <c r="W3443">
        <v>1</v>
      </c>
      <c r="X3443">
        <v>1</v>
      </c>
      <c r="Y3443">
        <v>0</v>
      </c>
      <c r="Z3443">
        <v>0</v>
      </c>
    </row>
    <row r="3444" spans="1:26" x14ac:dyDescent="0.2">
      <c r="A3444" t="s">
        <v>3562</v>
      </c>
      <c r="B3444" t="s">
        <v>66</v>
      </c>
      <c r="C3444">
        <v>2018</v>
      </c>
      <c r="D3444" t="s">
        <v>89</v>
      </c>
      <c r="E3444" t="s">
        <v>78</v>
      </c>
      <c r="F3444" t="s">
        <v>89</v>
      </c>
      <c r="G3444">
        <v>24500</v>
      </c>
      <c r="H3444">
        <v>19600</v>
      </c>
      <c r="I3444" s="13">
        <v>0.5</v>
      </c>
      <c r="J3444" t="s">
        <v>6207</v>
      </c>
      <c r="K3444">
        <v>0</v>
      </c>
      <c r="L3444">
        <v>0</v>
      </c>
      <c r="M3444" t="s">
        <v>58</v>
      </c>
      <c r="N3444" s="2">
        <v>0.57999999999999996</v>
      </c>
      <c r="O3444" s="2">
        <v>0.42</v>
      </c>
      <c r="P3444">
        <v>11</v>
      </c>
      <c r="Q3444">
        <v>9</v>
      </c>
      <c r="R3444">
        <v>7</v>
      </c>
      <c r="S3444">
        <v>7</v>
      </c>
      <c r="T3444">
        <v>8</v>
      </c>
      <c r="U3444">
        <v>10</v>
      </c>
      <c r="V3444">
        <v>0</v>
      </c>
      <c r="W3444">
        <v>1</v>
      </c>
      <c r="X3444">
        <v>1</v>
      </c>
      <c r="Y3444">
        <v>0</v>
      </c>
      <c r="Z3444">
        <v>0</v>
      </c>
    </row>
    <row r="3445" spans="1:26" x14ac:dyDescent="0.2">
      <c r="A3445" t="s">
        <v>3563</v>
      </c>
      <c r="B3445" t="s">
        <v>54</v>
      </c>
      <c r="C3445">
        <v>2018</v>
      </c>
      <c r="D3445" t="s">
        <v>86</v>
      </c>
      <c r="E3445" t="s">
        <v>45</v>
      </c>
      <c r="F3445" t="s">
        <v>86</v>
      </c>
      <c r="G3445">
        <v>11364</v>
      </c>
      <c r="H3445">
        <v>9091.2000000000007</v>
      </c>
      <c r="I3445" s="13">
        <v>0.8</v>
      </c>
      <c r="J3445" t="s">
        <v>6206</v>
      </c>
      <c r="K3445">
        <v>2</v>
      </c>
      <c r="L3445">
        <v>2</v>
      </c>
      <c r="M3445" t="s">
        <v>58</v>
      </c>
      <c r="N3445" s="2">
        <v>0.5</v>
      </c>
      <c r="O3445" s="2">
        <v>0.5</v>
      </c>
      <c r="P3445">
        <v>10</v>
      </c>
      <c r="Q3445">
        <v>17</v>
      </c>
      <c r="R3445">
        <v>6</v>
      </c>
      <c r="S3445">
        <v>2</v>
      </c>
      <c r="T3445">
        <v>12</v>
      </c>
      <c r="U3445">
        <v>10</v>
      </c>
      <c r="V3445">
        <v>0</v>
      </c>
      <c r="W3445">
        <v>3</v>
      </c>
      <c r="X3445">
        <v>1</v>
      </c>
      <c r="Y3445">
        <v>1</v>
      </c>
      <c r="Z3445">
        <v>1</v>
      </c>
    </row>
    <row r="3446" spans="1:26" x14ac:dyDescent="0.2">
      <c r="A3446" t="s">
        <v>3564</v>
      </c>
      <c r="B3446" t="s">
        <v>83</v>
      </c>
      <c r="C3446">
        <v>2018</v>
      </c>
      <c r="D3446" t="s">
        <v>46</v>
      </c>
      <c r="E3446" t="s">
        <v>23</v>
      </c>
      <c r="F3446" t="s">
        <v>20</v>
      </c>
      <c r="G3446">
        <v>60704</v>
      </c>
      <c r="H3446">
        <v>48563.200000000004</v>
      </c>
      <c r="I3446" s="13">
        <v>0.5</v>
      </c>
      <c r="J3446" t="s">
        <v>6208</v>
      </c>
      <c r="K3446">
        <v>3</v>
      </c>
      <c r="L3446">
        <v>1</v>
      </c>
      <c r="M3446" t="s">
        <v>0</v>
      </c>
      <c r="N3446" s="2">
        <v>0.61</v>
      </c>
      <c r="O3446" s="2">
        <v>0.39</v>
      </c>
      <c r="P3446">
        <v>16</v>
      </c>
      <c r="Q3446">
        <v>19</v>
      </c>
      <c r="R3446">
        <v>7</v>
      </c>
      <c r="S3446">
        <v>2</v>
      </c>
      <c r="T3446">
        <v>16</v>
      </c>
      <c r="U3446">
        <v>13</v>
      </c>
      <c r="V3446">
        <v>1</v>
      </c>
      <c r="W3446">
        <v>3</v>
      </c>
      <c r="X3446">
        <v>0</v>
      </c>
      <c r="Y3446">
        <v>0</v>
      </c>
      <c r="Z3446">
        <v>0</v>
      </c>
    </row>
    <row r="3447" spans="1:26" x14ac:dyDescent="0.2">
      <c r="A3447" t="s">
        <v>3565</v>
      </c>
      <c r="B3447" t="s">
        <v>88</v>
      </c>
      <c r="C3447">
        <v>2018</v>
      </c>
      <c r="D3447" t="s">
        <v>26</v>
      </c>
      <c r="E3447" t="s">
        <v>90</v>
      </c>
      <c r="F3447" t="s">
        <v>26</v>
      </c>
      <c r="G3447">
        <v>61276</v>
      </c>
      <c r="H3447">
        <v>49020.800000000003</v>
      </c>
      <c r="I3447" s="13">
        <v>0.5</v>
      </c>
      <c r="J3447" t="s">
        <v>6207</v>
      </c>
      <c r="K3447">
        <v>1</v>
      </c>
      <c r="L3447">
        <v>0</v>
      </c>
      <c r="M3447" t="s">
        <v>0</v>
      </c>
      <c r="N3447" s="2">
        <v>0.7</v>
      </c>
      <c r="O3447" s="2">
        <v>0.3</v>
      </c>
      <c r="P3447">
        <v>17</v>
      </c>
      <c r="Q3447">
        <v>9</v>
      </c>
      <c r="R3447">
        <v>8</v>
      </c>
      <c r="S3447">
        <v>5</v>
      </c>
      <c r="T3447">
        <v>8</v>
      </c>
      <c r="U3447">
        <v>14</v>
      </c>
      <c r="V3447">
        <v>1</v>
      </c>
      <c r="W3447">
        <v>1</v>
      </c>
      <c r="X3447">
        <v>0</v>
      </c>
      <c r="Y3447">
        <v>0</v>
      </c>
      <c r="Z3447">
        <v>0</v>
      </c>
    </row>
    <row r="3448" spans="1:26" x14ac:dyDescent="0.2">
      <c r="A3448" t="s">
        <v>3566</v>
      </c>
      <c r="B3448" t="s">
        <v>61</v>
      </c>
      <c r="C3448">
        <v>2018</v>
      </c>
      <c r="D3448" t="s">
        <v>85</v>
      </c>
      <c r="E3448" t="s">
        <v>79</v>
      </c>
      <c r="F3448" t="s">
        <v>85</v>
      </c>
      <c r="G3448">
        <v>22220</v>
      </c>
      <c r="H3448">
        <v>17776</v>
      </c>
      <c r="I3448" s="13">
        <v>1</v>
      </c>
      <c r="J3448" t="s">
        <v>6207</v>
      </c>
      <c r="K3448">
        <v>2</v>
      </c>
      <c r="L3448">
        <v>1</v>
      </c>
      <c r="M3448" t="s">
        <v>0</v>
      </c>
      <c r="N3448" s="2">
        <v>0.44</v>
      </c>
      <c r="O3448" s="2">
        <v>0.56000000000000005</v>
      </c>
      <c r="P3448">
        <v>14</v>
      </c>
      <c r="Q3448">
        <v>15</v>
      </c>
      <c r="R3448">
        <v>6</v>
      </c>
      <c r="S3448">
        <v>3</v>
      </c>
      <c r="T3448">
        <v>14</v>
      </c>
      <c r="U3448">
        <v>11</v>
      </c>
      <c r="V3448">
        <v>4</v>
      </c>
      <c r="W3448">
        <v>2</v>
      </c>
      <c r="X3448">
        <v>0</v>
      </c>
      <c r="Y3448">
        <v>0</v>
      </c>
      <c r="Z3448">
        <v>0</v>
      </c>
    </row>
    <row r="3449" spans="1:26" x14ac:dyDescent="0.2">
      <c r="A3449" t="s">
        <v>3567</v>
      </c>
      <c r="B3449" t="s">
        <v>81</v>
      </c>
      <c r="C3449">
        <v>2018</v>
      </c>
      <c r="D3449" t="s">
        <v>64</v>
      </c>
      <c r="E3449" t="s">
        <v>18</v>
      </c>
      <c r="F3449" t="s">
        <v>64</v>
      </c>
      <c r="G3449">
        <v>52264</v>
      </c>
      <c r="H3449">
        <v>41811.200000000004</v>
      </c>
      <c r="I3449" s="13">
        <v>0.75</v>
      </c>
      <c r="J3449" t="s">
        <v>6207</v>
      </c>
      <c r="K3449">
        <v>1</v>
      </c>
      <c r="L3449">
        <v>2</v>
      </c>
      <c r="M3449" t="s">
        <v>1</v>
      </c>
      <c r="N3449" s="2">
        <v>0.19</v>
      </c>
      <c r="O3449" s="2">
        <v>0.81</v>
      </c>
      <c r="P3449">
        <v>10</v>
      </c>
      <c r="Q3449">
        <v>16</v>
      </c>
      <c r="R3449">
        <v>4</v>
      </c>
      <c r="S3449">
        <v>5</v>
      </c>
      <c r="T3449">
        <v>16</v>
      </c>
      <c r="U3449">
        <v>8</v>
      </c>
      <c r="V3449">
        <v>3</v>
      </c>
      <c r="W3449">
        <v>1</v>
      </c>
      <c r="X3449">
        <v>0</v>
      </c>
      <c r="Y3449">
        <v>0</v>
      </c>
      <c r="Z3449">
        <v>1</v>
      </c>
    </row>
    <row r="3450" spans="1:26" x14ac:dyDescent="0.2">
      <c r="A3450" t="s">
        <v>3568</v>
      </c>
      <c r="B3450" t="s">
        <v>93</v>
      </c>
      <c r="C3450">
        <v>2018</v>
      </c>
      <c r="D3450" t="s">
        <v>31</v>
      </c>
      <c r="E3450" t="s">
        <v>28</v>
      </c>
      <c r="F3450" t="s">
        <v>20</v>
      </c>
      <c r="G3450">
        <v>28500</v>
      </c>
      <c r="H3450">
        <v>22800</v>
      </c>
      <c r="I3450" s="13">
        <v>0.33333333333333331</v>
      </c>
      <c r="J3450" t="s">
        <v>6206</v>
      </c>
      <c r="K3450">
        <v>4</v>
      </c>
      <c r="L3450">
        <v>2</v>
      </c>
      <c r="M3450" t="s">
        <v>0</v>
      </c>
      <c r="N3450" s="2">
        <v>0.64</v>
      </c>
      <c r="O3450" s="2">
        <v>0.36</v>
      </c>
      <c r="P3450">
        <v>13</v>
      </c>
      <c r="Q3450">
        <v>12</v>
      </c>
      <c r="R3450">
        <v>6</v>
      </c>
      <c r="S3450">
        <v>4</v>
      </c>
      <c r="T3450">
        <v>11</v>
      </c>
      <c r="U3450">
        <v>8</v>
      </c>
      <c r="V3450">
        <v>2</v>
      </c>
      <c r="W3450">
        <v>1</v>
      </c>
      <c r="X3450">
        <v>0</v>
      </c>
      <c r="Y3450">
        <v>0</v>
      </c>
      <c r="Z3450">
        <v>0</v>
      </c>
    </row>
    <row r="3451" spans="1:26" x14ac:dyDescent="0.2">
      <c r="A3451" t="s">
        <v>3569</v>
      </c>
      <c r="B3451" t="s">
        <v>76</v>
      </c>
      <c r="C3451">
        <v>2018</v>
      </c>
      <c r="D3451" t="s">
        <v>48</v>
      </c>
      <c r="E3451" t="s">
        <v>51</v>
      </c>
      <c r="F3451" t="s">
        <v>49</v>
      </c>
      <c r="G3451">
        <v>74197</v>
      </c>
      <c r="H3451">
        <v>59357.600000000006</v>
      </c>
      <c r="I3451" s="13">
        <v>0.6</v>
      </c>
      <c r="J3451" t="s">
        <v>6207</v>
      </c>
      <c r="K3451">
        <v>0</v>
      </c>
      <c r="L3451">
        <v>3</v>
      </c>
      <c r="M3451" t="s">
        <v>1</v>
      </c>
      <c r="N3451" s="2">
        <v>0.56999999999999995</v>
      </c>
      <c r="O3451" s="2">
        <v>0.43</v>
      </c>
      <c r="P3451">
        <v>17</v>
      </c>
      <c r="Q3451">
        <v>13</v>
      </c>
      <c r="R3451">
        <v>5</v>
      </c>
      <c r="S3451">
        <v>2</v>
      </c>
      <c r="T3451">
        <v>10</v>
      </c>
      <c r="U3451">
        <v>16</v>
      </c>
      <c r="V3451">
        <v>2</v>
      </c>
      <c r="W3451">
        <v>3</v>
      </c>
      <c r="X3451">
        <v>0</v>
      </c>
      <c r="Y3451">
        <v>0</v>
      </c>
      <c r="Z3451">
        <v>0</v>
      </c>
    </row>
    <row r="3452" spans="1:26" x14ac:dyDescent="0.2">
      <c r="A3452" t="s">
        <v>3570</v>
      </c>
      <c r="B3452" t="s">
        <v>81</v>
      </c>
      <c r="C3452">
        <v>2018</v>
      </c>
      <c r="D3452" t="s">
        <v>80</v>
      </c>
      <c r="E3452" t="s">
        <v>26</v>
      </c>
      <c r="F3452" t="s">
        <v>80</v>
      </c>
      <c r="G3452">
        <v>32261</v>
      </c>
      <c r="H3452">
        <v>25808.800000000003</v>
      </c>
      <c r="I3452" s="13">
        <v>0.6</v>
      </c>
      <c r="J3452" t="s">
        <v>6207</v>
      </c>
      <c r="K3452">
        <v>1</v>
      </c>
      <c r="L3452">
        <v>2</v>
      </c>
      <c r="M3452" t="s">
        <v>1</v>
      </c>
      <c r="N3452" s="2">
        <v>0.51</v>
      </c>
      <c r="O3452" s="2">
        <v>0.49</v>
      </c>
      <c r="P3452">
        <v>14</v>
      </c>
      <c r="Q3452">
        <v>12</v>
      </c>
      <c r="R3452">
        <v>4</v>
      </c>
      <c r="S3452">
        <v>4</v>
      </c>
      <c r="T3452">
        <v>9</v>
      </c>
      <c r="U3452">
        <v>12</v>
      </c>
      <c r="V3452">
        <v>3</v>
      </c>
      <c r="W3452">
        <v>2</v>
      </c>
      <c r="X3452">
        <v>0</v>
      </c>
      <c r="Y3452">
        <v>0</v>
      </c>
      <c r="Z3452">
        <v>0</v>
      </c>
    </row>
    <row r="3453" spans="1:26" x14ac:dyDescent="0.2">
      <c r="A3453" t="s">
        <v>3571</v>
      </c>
      <c r="B3453" t="s">
        <v>88</v>
      </c>
      <c r="C3453">
        <v>2018</v>
      </c>
      <c r="D3453" t="s">
        <v>23</v>
      </c>
      <c r="E3453" t="s">
        <v>22</v>
      </c>
      <c r="F3453" t="s">
        <v>20</v>
      </c>
      <c r="G3453">
        <v>62500</v>
      </c>
      <c r="H3453">
        <v>50000</v>
      </c>
      <c r="I3453" s="13">
        <v>0</v>
      </c>
      <c r="J3453" t="s">
        <v>6207</v>
      </c>
      <c r="K3453">
        <v>0</v>
      </c>
      <c r="L3453">
        <v>1</v>
      </c>
      <c r="M3453" t="s">
        <v>1</v>
      </c>
      <c r="N3453" s="2">
        <v>0.48</v>
      </c>
      <c r="O3453" s="2">
        <v>0.52</v>
      </c>
      <c r="P3453">
        <v>11</v>
      </c>
      <c r="Q3453">
        <v>11</v>
      </c>
      <c r="R3453">
        <v>4</v>
      </c>
      <c r="S3453">
        <v>4</v>
      </c>
      <c r="T3453">
        <v>10</v>
      </c>
      <c r="U3453">
        <v>11</v>
      </c>
      <c r="V3453">
        <v>2</v>
      </c>
      <c r="W3453">
        <v>1</v>
      </c>
      <c r="X3453">
        <v>0</v>
      </c>
      <c r="Y3453">
        <v>0</v>
      </c>
      <c r="Z3453">
        <v>0</v>
      </c>
    </row>
    <row r="3454" spans="1:26" x14ac:dyDescent="0.2">
      <c r="A3454" t="s">
        <v>3572</v>
      </c>
      <c r="B3454" t="s">
        <v>59</v>
      </c>
      <c r="C3454">
        <v>2018</v>
      </c>
      <c r="D3454" t="s">
        <v>45</v>
      </c>
      <c r="E3454" t="s">
        <v>89</v>
      </c>
      <c r="F3454" t="s">
        <v>26</v>
      </c>
      <c r="G3454">
        <v>39572</v>
      </c>
      <c r="H3454">
        <v>31657.600000000002</v>
      </c>
      <c r="I3454" s="13">
        <v>0.83333333333333337</v>
      </c>
      <c r="J3454" t="s">
        <v>6206</v>
      </c>
      <c r="K3454">
        <v>1</v>
      </c>
      <c r="L3454">
        <v>1</v>
      </c>
      <c r="M3454" t="s">
        <v>58</v>
      </c>
      <c r="N3454" s="2">
        <v>0.57999999999999996</v>
      </c>
      <c r="O3454" s="2">
        <v>0.42</v>
      </c>
      <c r="P3454">
        <v>14</v>
      </c>
      <c r="Q3454">
        <v>14</v>
      </c>
      <c r="R3454">
        <v>4</v>
      </c>
      <c r="S3454">
        <v>3</v>
      </c>
      <c r="T3454">
        <v>13</v>
      </c>
      <c r="U3454">
        <v>14</v>
      </c>
      <c r="V3454">
        <v>3</v>
      </c>
      <c r="W3454">
        <v>3</v>
      </c>
      <c r="X3454">
        <v>0</v>
      </c>
      <c r="Y3454">
        <v>0</v>
      </c>
      <c r="Z3454">
        <v>0</v>
      </c>
    </row>
    <row r="3455" spans="1:26" x14ac:dyDescent="0.2">
      <c r="A3455" t="s">
        <v>3573</v>
      </c>
      <c r="B3455" t="s">
        <v>32</v>
      </c>
      <c r="C3455">
        <v>2018</v>
      </c>
      <c r="D3455" t="s">
        <v>79</v>
      </c>
      <c r="E3455" t="s">
        <v>73</v>
      </c>
      <c r="F3455" t="s">
        <v>20</v>
      </c>
      <c r="G3455">
        <v>25486</v>
      </c>
      <c r="H3455">
        <v>20388.800000000003</v>
      </c>
      <c r="I3455" s="13">
        <v>1</v>
      </c>
      <c r="J3455" t="s">
        <v>6207</v>
      </c>
      <c r="K3455">
        <v>0</v>
      </c>
      <c r="L3455">
        <v>2</v>
      </c>
      <c r="M3455" t="s">
        <v>1</v>
      </c>
      <c r="N3455" s="2">
        <v>0.51</v>
      </c>
      <c r="O3455" s="2">
        <v>0.49</v>
      </c>
      <c r="P3455">
        <v>13</v>
      </c>
      <c r="Q3455">
        <v>10</v>
      </c>
      <c r="R3455">
        <v>7</v>
      </c>
      <c r="S3455">
        <v>4</v>
      </c>
      <c r="T3455">
        <v>11</v>
      </c>
      <c r="U3455">
        <v>12</v>
      </c>
      <c r="V3455">
        <v>1</v>
      </c>
      <c r="W3455">
        <v>1</v>
      </c>
      <c r="X3455">
        <v>0</v>
      </c>
      <c r="Y3455">
        <v>0</v>
      </c>
      <c r="Z3455">
        <v>1</v>
      </c>
    </row>
    <row r="3456" spans="1:26" x14ac:dyDescent="0.2">
      <c r="A3456" t="s">
        <v>3574</v>
      </c>
      <c r="B3456" t="s">
        <v>50</v>
      </c>
      <c r="C3456">
        <v>2018</v>
      </c>
      <c r="D3456" t="s">
        <v>18</v>
      </c>
      <c r="E3456" t="s">
        <v>86</v>
      </c>
      <c r="F3456" t="s">
        <v>20</v>
      </c>
      <c r="G3456">
        <v>40341</v>
      </c>
      <c r="H3456">
        <v>32272.800000000003</v>
      </c>
      <c r="I3456" s="13">
        <v>0.75</v>
      </c>
      <c r="J3456" t="s">
        <v>6207</v>
      </c>
      <c r="K3456">
        <v>2</v>
      </c>
      <c r="L3456">
        <v>0</v>
      </c>
      <c r="M3456" t="s">
        <v>0</v>
      </c>
      <c r="N3456" s="2">
        <v>0.73</v>
      </c>
      <c r="O3456" s="2">
        <v>0.27</v>
      </c>
      <c r="P3456">
        <v>8</v>
      </c>
      <c r="Q3456">
        <v>12</v>
      </c>
      <c r="R3456">
        <v>7</v>
      </c>
      <c r="S3456">
        <v>6</v>
      </c>
      <c r="T3456">
        <v>10</v>
      </c>
      <c r="U3456">
        <v>7</v>
      </c>
      <c r="V3456">
        <v>2</v>
      </c>
      <c r="W3456">
        <v>2</v>
      </c>
      <c r="X3456">
        <v>0</v>
      </c>
      <c r="Y3456">
        <v>0</v>
      </c>
      <c r="Z3456">
        <v>0</v>
      </c>
    </row>
    <row r="3457" spans="1:26" x14ac:dyDescent="0.2">
      <c r="A3457" t="s">
        <v>3575</v>
      </c>
      <c r="B3457" t="s">
        <v>54</v>
      </c>
      <c r="C3457">
        <v>2018</v>
      </c>
      <c r="D3457" t="s">
        <v>90</v>
      </c>
      <c r="E3457" t="s">
        <v>31</v>
      </c>
      <c r="F3457" t="s">
        <v>91</v>
      </c>
      <c r="G3457">
        <v>31876</v>
      </c>
      <c r="H3457">
        <v>25500.800000000003</v>
      </c>
      <c r="I3457" s="13">
        <v>0.66666666666666663</v>
      </c>
      <c r="J3457" t="s">
        <v>6206</v>
      </c>
      <c r="K3457">
        <v>2</v>
      </c>
      <c r="L3457">
        <v>2</v>
      </c>
      <c r="M3457" t="s">
        <v>58</v>
      </c>
      <c r="N3457" s="2">
        <v>0.41</v>
      </c>
      <c r="O3457" s="2">
        <v>0.59</v>
      </c>
      <c r="P3457">
        <v>13</v>
      </c>
      <c r="Q3457">
        <v>13</v>
      </c>
      <c r="R3457">
        <v>7</v>
      </c>
      <c r="S3457">
        <v>1</v>
      </c>
      <c r="T3457">
        <v>12</v>
      </c>
      <c r="U3457">
        <v>14</v>
      </c>
      <c r="V3457">
        <v>3</v>
      </c>
      <c r="W3457">
        <v>3</v>
      </c>
      <c r="X3457">
        <v>0</v>
      </c>
      <c r="Y3457">
        <v>0</v>
      </c>
      <c r="Z3457">
        <v>2</v>
      </c>
    </row>
    <row r="3458" spans="1:26" x14ac:dyDescent="0.2">
      <c r="A3458" t="s">
        <v>3576</v>
      </c>
      <c r="B3458" t="s">
        <v>60</v>
      </c>
      <c r="C3458">
        <v>2018</v>
      </c>
      <c r="D3458" t="s">
        <v>40</v>
      </c>
      <c r="E3458" t="s">
        <v>64</v>
      </c>
      <c r="F3458" t="s">
        <v>49</v>
      </c>
      <c r="G3458">
        <v>53400</v>
      </c>
      <c r="H3458">
        <v>42720</v>
      </c>
      <c r="I3458" s="13">
        <v>0</v>
      </c>
      <c r="J3458" t="s">
        <v>6208</v>
      </c>
      <c r="K3458">
        <v>2</v>
      </c>
      <c r="L3458">
        <v>1</v>
      </c>
      <c r="M3458" t="s">
        <v>0</v>
      </c>
      <c r="N3458" s="2">
        <v>0.78</v>
      </c>
      <c r="O3458" s="2">
        <v>0.22</v>
      </c>
      <c r="P3458">
        <v>15</v>
      </c>
      <c r="Q3458">
        <v>7</v>
      </c>
      <c r="R3458">
        <v>4</v>
      </c>
      <c r="S3458">
        <v>0</v>
      </c>
      <c r="T3458">
        <v>5</v>
      </c>
      <c r="U3458">
        <v>13</v>
      </c>
      <c r="V3458">
        <v>0</v>
      </c>
      <c r="W3458">
        <v>0</v>
      </c>
      <c r="X3458">
        <v>0</v>
      </c>
      <c r="Y3458">
        <v>0</v>
      </c>
      <c r="Z3458">
        <v>0</v>
      </c>
    </row>
    <row r="3459" spans="1:26" x14ac:dyDescent="0.2">
      <c r="A3459" t="s">
        <v>3577</v>
      </c>
      <c r="B3459" t="s">
        <v>61</v>
      </c>
      <c r="C3459">
        <v>2018</v>
      </c>
      <c r="D3459" t="s">
        <v>78</v>
      </c>
      <c r="E3459" t="s">
        <v>46</v>
      </c>
      <c r="F3459" t="s">
        <v>78</v>
      </c>
      <c r="G3459">
        <v>33280</v>
      </c>
      <c r="H3459">
        <v>26624</v>
      </c>
      <c r="I3459" s="13">
        <v>1</v>
      </c>
      <c r="J3459" t="s">
        <v>6207</v>
      </c>
      <c r="K3459">
        <v>2</v>
      </c>
      <c r="L3459">
        <v>3</v>
      </c>
      <c r="M3459" t="s">
        <v>1</v>
      </c>
      <c r="N3459" s="2">
        <v>0.28000000000000003</v>
      </c>
      <c r="O3459" s="2">
        <v>0.72</v>
      </c>
      <c r="P3459">
        <v>15</v>
      </c>
      <c r="Q3459">
        <v>14</v>
      </c>
      <c r="R3459">
        <v>3</v>
      </c>
      <c r="S3459">
        <v>9</v>
      </c>
      <c r="T3459">
        <v>12</v>
      </c>
      <c r="U3459">
        <v>14</v>
      </c>
      <c r="V3459">
        <v>3</v>
      </c>
      <c r="W3459">
        <v>4</v>
      </c>
      <c r="X3459">
        <v>0</v>
      </c>
      <c r="Y3459">
        <v>0</v>
      </c>
      <c r="Z3459">
        <v>0</v>
      </c>
    </row>
    <row r="3460" spans="1:26" x14ac:dyDescent="0.2">
      <c r="A3460" t="s">
        <v>3578</v>
      </c>
      <c r="B3460" t="s">
        <v>37</v>
      </c>
      <c r="C3460">
        <v>2018</v>
      </c>
      <c r="D3460" t="s">
        <v>85</v>
      </c>
      <c r="E3460" t="s">
        <v>51</v>
      </c>
      <c r="F3460" t="s">
        <v>85</v>
      </c>
      <c r="G3460">
        <v>22220</v>
      </c>
      <c r="H3460">
        <v>17776</v>
      </c>
      <c r="I3460" s="13">
        <v>1</v>
      </c>
      <c r="J3460" t="s">
        <v>6206</v>
      </c>
      <c r="K3460">
        <v>2</v>
      </c>
      <c r="L3460">
        <v>1</v>
      </c>
      <c r="M3460" t="s">
        <v>0</v>
      </c>
      <c r="N3460" s="2">
        <v>0.35</v>
      </c>
      <c r="O3460" s="2">
        <v>0.65</v>
      </c>
      <c r="P3460">
        <v>4</v>
      </c>
      <c r="Q3460">
        <v>8</v>
      </c>
      <c r="R3460">
        <v>3</v>
      </c>
      <c r="S3460">
        <v>10</v>
      </c>
      <c r="T3460">
        <v>9</v>
      </c>
      <c r="U3460">
        <v>8</v>
      </c>
      <c r="V3460">
        <v>2</v>
      </c>
      <c r="W3460">
        <v>1</v>
      </c>
      <c r="X3460">
        <v>0</v>
      </c>
      <c r="Y3460">
        <v>0</v>
      </c>
      <c r="Z3460">
        <v>0</v>
      </c>
    </row>
    <row r="3461" spans="1:26" x14ac:dyDescent="0.2">
      <c r="A3461" t="s">
        <v>3579</v>
      </c>
      <c r="B3461" t="s">
        <v>68</v>
      </c>
      <c r="C3461">
        <v>2018</v>
      </c>
      <c r="D3461" t="s">
        <v>28</v>
      </c>
      <c r="E3461" t="s">
        <v>48</v>
      </c>
      <c r="F3461" t="s">
        <v>28</v>
      </c>
      <c r="G3461">
        <v>21944</v>
      </c>
      <c r="H3461">
        <v>17555.2</v>
      </c>
      <c r="I3461" s="13">
        <v>0.33333333333333331</v>
      </c>
      <c r="J3461" t="s">
        <v>6207</v>
      </c>
      <c r="K3461">
        <v>0</v>
      </c>
      <c r="L3461">
        <v>2</v>
      </c>
      <c r="M3461" t="s">
        <v>1</v>
      </c>
      <c r="N3461" s="2">
        <v>0.46</v>
      </c>
      <c r="O3461" s="2">
        <v>0.54</v>
      </c>
      <c r="P3461">
        <v>14</v>
      </c>
      <c r="Q3461">
        <v>7</v>
      </c>
      <c r="R3461">
        <v>2</v>
      </c>
      <c r="S3461">
        <v>5</v>
      </c>
      <c r="T3461">
        <v>7</v>
      </c>
      <c r="U3461">
        <v>13</v>
      </c>
      <c r="V3461">
        <v>2</v>
      </c>
      <c r="W3461">
        <v>3</v>
      </c>
      <c r="X3461">
        <v>0</v>
      </c>
      <c r="Y3461">
        <v>1</v>
      </c>
      <c r="Z3461">
        <v>1</v>
      </c>
    </row>
    <row r="3462" spans="1:26" x14ac:dyDescent="0.2">
      <c r="A3462" t="s">
        <v>3580</v>
      </c>
      <c r="B3462" t="s">
        <v>66</v>
      </c>
      <c r="C3462">
        <v>2018</v>
      </c>
      <c r="D3462" t="s">
        <v>51</v>
      </c>
      <c r="E3462" t="s">
        <v>26</v>
      </c>
      <c r="F3462" t="s">
        <v>20</v>
      </c>
      <c r="G3462">
        <v>36284</v>
      </c>
      <c r="H3462">
        <v>29027.200000000001</v>
      </c>
      <c r="I3462" s="13">
        <v>0</v>
      </c>
      <c r="J3462" t="s">
        <v>6207</v>
      </c>
      <c r="K3462">
        <v>1</v>
      </c>
      <c r="L3462">
        <v>2</v>
      </c>
      <c r="M3462" t="s">
        <v>1</v>
      </c>
      <c r="N3462" s="2">
        <v>0.6</v>
      </c>
      <c r="O3462" s="2">
        <v>0.4</v>
      </c>
      <c r="P3462">
        <v>18</v>
      </c>
      <c r="Q3462">
        <v>20</v>
      </c>
      <c r="R3462">
        <v>5</v>
      </c>
      <c r="S3462">
        <v>4</v>
      </c>
      <c r="T3462">
        <v>17</v>
      </c>
      <c r="U3462">
        <v>16</v>
      </c>
      <c r="V3462">
        <v>0</v>
      </c>
      <c r="W3462">
        <v>0</v>
      </c>
      <c r="X3462">
        <v>0</v>
      </c>
      <c r="Y3462">
        <v>0</v>
      </c>
      <c r="Z3462">
        <v>0</v>
      </c>
    </row>
    <row r="3463" spans="1:26" x14ac:dyDescent="0.2">
      <c r="A3463" t="s">
        <v>3581</v>
      </c>
      <c r="B3463" t="s">
        <v>54</v>
      </c>
      <c r="C3463">
        <v>2018</v>
      </c>
      <c r="D3463" t="s">
        <v>64</v>
      </c>
      <c r="E3463" t="s">
        <v>46</v>
      </c>
      <c r="F3463" t="s">
        <v>64</v>
      </c>
      <c r="G3463">
        <v>52264</v>
      </c>
      <c r="H3463">
        <v>41811.200000000004</v>
      </c>
      <c r="I3463" s="13">
        <v>0</v>
      </c>
      <c r="J3463" t="s">
        <v>6206</v>
      </c>
      <c r="K3463">
        <v>1</v>
      </c>
      <c r="L3463">
        <v>2</v>
      </c>
      <c r="M3463" t="s">
        <v>1</v>
      </c>
      <c r="N3463" s="2">
        <v>0.36</v>
      </c>
      <c r="O3463" s="2">
        <v>0.64</v>
      </c>
      <c r="P3463">
        <v>12</v>
      </c>
      <c r="Q3463">
        <v>16</v>
      </c>
      <c r="R3463">
        <v>10</v>
      </c>
      <c r="S3463">
        <v>4</v>
      </c>
      <c r="T3463">
        <v>13</v>
      </c>
      <c r="U3463">
        <v>11</v>
      </c>
      <c r="V3463">
        <v>0</v>
      </c>
      <c r="W3463">
        <v>0</v>
      </c>
      <c r="X3463">
        <v>0</v>
      </c>
      <c r="Y3463">
        <v>0</v>
      </c>
      <c r="Z3463">
        <v>0</v>
      </c>
    </row>
    <row r="3464" spans="1:26" x14ac:dyDescent="0.2">
      <c r="A3464" t="s">
        <v>3582</v>
      </c>
      <c r="B3464" t="s">
        <v>59</v>
      </c>
      <c r="C3464">
        <v>2018</v>
      </c>
      <c r="D3464" t="s">
        <v>40</v>
      </c>
      <c r="E3464" t="s">
        <v>31</v>
      </c>
      <c r="F3464" t="s">
        <v>49</v>
      </c>
      <c r="G3464">
        <v>53400</v>
      </c>
      <c r="H3464">
        <v>42720</v>
      </c>
      <c r="I3464" s="13">
        <v>0</v>
      </c>
      <c r="J3464" t="s">
        <v>6206</v>
      </c>
      <c r="K3464">
        <v>3</v>
      </c>
      <c r="L3464">
        <v>0</v>
      </c>
      <c r="M3464" t="s">
        <v>0</v>
      </c>
      <c r="N3464" s="2">
        <v>0.65</v>
      </c>
      <c r="O3464" s="2">
        <v>0.35</v>
      </c>
      <c r="P3464">
        <v>8</v>
      </c>
      <c r="Q3464">
        <v>12</v>
      </c>
      <c r="R3464">
        <v>10</v>
      </c>
      <c r="S3464">
        <v>4</v>
      </c>
      <c r="T3464">
        <v>7</v>
      </c>
      <c r="U3464">
        <v>7</v>
      </c>
      <c r="V3464">
        <v>0</v>
      </c>
      <c r="W3464">
        <v>0</v>
      </c>
      <c r="X3464">
        <v>0</v>
      </c>
      <c r="Y3464">
        <v>0</v>
      </c>
      <c r="Z3464">
        <v>0</v>
      </c>
    </row>
    <row r="3465" spans="1:26" x14ac:dyDescent="0.2">
      <c r="A3465" t="s">
        <v>3583</v>
      </c>
      <c r="B3465" t="s">
        <v>83</v>
      </c>
      <c r="C3465">
        <v>2018</v>
      </c>
      <c r="D3465" t="s">
        <v>89</v>
      </c>
      <c r="E3465" t="s">
        <v>79</v>
      </c>
      <c r="F3465" t="s">
        <v>89</v>
      </c>
      <c r="G3465">
        <v>24500</v>
      </c>
      <c r="H3465">
        <v>19600</v>
      </c>
      <c r="I3465" s="13">
        <v>0.66666666666666663</v>
      </c>
      <c r="J3465" t="s">
        <v>6208</v>
      </c>
      <c r="K3465">
        <v>0</v>
      </c>
      <c r="L3465">
        <v>1</v>
      </c>
      <c r="M3465" t="s">
        <v>1</v>
      </c>
      <c r="N3465" s="2">
        <v>0.57999999999999996</v>
      </c>
      <c r="O3465" s="2">
        <v>0.42</v>
      </c>
      <c r="P3465">
        <v>19</v>
      </c>
      <c r="Q3465">
        <v>16</v>
      </c>
      <c r="R3465">
        <v>5</v>
      </c>
      <c r="S3465">
        <v>3</v>
      </c>
      <c r="T3465">
        <v>11</v>
      </c>
      <c r="U3465">
        <v>17</v>
      </c>
      <c r="V3465">
        <v>1</v>
      </c>
      <c r="W3465">
        <v>2</v>
      </c>
      <c r="X3465">
        <v>0</v>
      </c>
      <c r="Y3465">
        <v>0</v>
      </c>
      <c r="Z3465">
        <v>0</v>
      </c>
    </row>
    <row r="3466" spans="1:26" x14ac:dyDescent="0.2">
      <c r="A3466" t="s">
        <v>3584</v>
      </c>
      <c r="B3466" t="s">
        <v>68</v>
      </c>
      <c r="C3466">
        <v>2018</v>
      </c>
      <c r="D3466" t="s">
        <v>18</v>
      </c>
      <c r="E3466" t="s">
        <v>78</v>
      </c>
      <c r="F3466" t="s">
        <v>20</v>
      </c>
      <c r="G3466">
        <v>40341</v>
      </c>
      <c r="H3466">
        <v>32272.800000000003</v>
      </c>
      <c r="I3466" s="13">
        <v>0</v>
      </c>
      <c r="J3466" t="s">
        <v>6207</v>
      </c>
      <c r="K3466">
        <v>4</v>
      </c>
      <c r="L3466">
        <v>1</v>
      </c>
      <c r="M3466" t="s">
        <v>0</v>
      </c>
      <c r="N3466" s="2">
        <v>0.77</v>
      </c>
      <c r="O3466" s="2">
        <v>0.23</v>
      </c>
      <c r="P3466">
        <v>9</v>
      </c>
      <c r="Q3466">
        <v>8</v>
      </c>
      <c r="R3466">
        <v>5</v>
      </c>
      <c r="S3466">
        <v>4</v>
      </c>
      <c r="T3466">
        <v>8</v>
      </c>
      <c r="U3466">
        <v>10</v>
      </c>
      <c r="V3466">
        <v>0</v>
      </c>
      <c r="W3466">
        <v>0</v>
      </c>
      <c r="X3466">
        <v>0</v>
      </c>
      <c r="Y3466">
        <v>0</v>
      </c>
      <c r="Z3466">
        <v>1</v>
      </c>
    </row>
    <row r="3467" spans="1:26" x14ac:dyDescent="0.2">
      <c r="A3467" t="s">
        <v>3585</v>
      </c>
      <c r="B3467" t="s">
        <v>76</v>
      </c>
      <c r="C3467">
        <v>2018</v>
      </c>
      <c r="D3467" t="s">
        <v>86</v>
      </c>
      <c r="E3467" t="s">
        <v>80</v>
      </c>
      <c r="F3467" t="s">
        <v>86</v>
      </c>
      <c r="G3467">
        <v>11364</v>
      </c>
      <c r="H3467">
        <v>9091.2000000000007</v>
      </c>
      <c r="I3467" s="13">
        <v>0.42857142857142855</v>
      </c>
      <c r="J3467" t="s">
        <v>6207</v>
      </c>
      <c r="K3467">
        <v>4</v>
      </c>
      <c r="L3467">
        <v>2</v>
      </c>
      <c r="M3467" t="s">
        <v>0</v>
      </c>
      <c r="N3467" s="2">
        <v>0.47</v>
      </c>
      <c r="O3467" s="2">
        <v>0.53</v>
      </c>
      <c r="P3467">
        <v>18</v>
      </c>
      <c r="Q3467">
        <v>13</v>
      </c>
      <c r="R3467">
        <v>4</v>
      </c>
      <c r="S3467">
        <v>6</v>
      </c>
      <c r="T3467">
        <v>13</v>
      </c>
      <c r="U3467">
        <v>15</v>
      </c>
      <c r="V3467">
        <v>3</v>
      </c>
      <c r="W3467">
        <v>3</v>
      </c>
      <c r="X3467">
        <v>0</v>
      </c>
      <c r="Y3467">
        <v>1</v>
      </c>
      <c r="Z3467">
        <v>2</v>
      </c>
    </row>
    <row r="3468" spans="1:26" x14ac:dyDescent="0.2">
      <c r="A3468" t="s">
        <v>3586</v>
      </c>
      <c r="B3468" t="s">
        <v>41</v>
      </c>
      <c r="C3468">
        <v>2018</v>
      </c>
      <c r="D3468" t="s">
        <v>85</v>
      </c>
      <c r="E3468" t="s">
        <v>48</v>
      </c>
      <c r="F3468" t="s">
        <v>85</v>
      </c>
      <c r="G3468">
        <v>22220</v>
      </c>
      <c r="H3468">
        <v>17776</v>
      </c>
      <c r="I3468" s="13">
        <v>0.8</v>
      </c>
      <c r="J3468" t="s">
        <v>6207</v>
      </c>
      <c r="K3468">
        <v>1</v>
      </c>
      <c r="L3468">
        <v>2</v>
      </c>
      <c r="M3468" t="s">
        <v>1</v>
      </c>
      <c r="N3468" s="2">
        <v>0.43</v>
      </c>
      <c r="O3468" s="2">
        <v>0.56999999999999995</v>
      </c>
      <c r="P3468">
        <v>14</v>
      </c>
      <c r="Q3468">
        <v>11</v>
      </c>
      <c r="R3468">
        <v>6</v>
      </c>
      <c r="S3468">
        <v>8</v>
      </c>
      <c r="T3468">
        <v>9</v>
      </c>
      <c r="U3468">
        <v>11</v>
      </c>
      <c r="V3468">
        <v>2</v>
      </c>
      <c r="W3468">
        <v>2</v>
      </c>
      <c r="X3468">
        <v>0</v>
      </c>
      <c r="Y3468">
        <v>1</v>
      </c>
      <c r="Z3468">
        <v>0</v>
      </c>
    </row>
    <row r="3469" spans="1:26" x14ac:dyDescent="0.2">
      <c r="A3469" t="s">
        <v>3587</v>
      </c>
      <c r="B3469" t="s">
        <v>37</v>
      </c>
      <c r="C3469">
        <v>2018</v>
      </c>
      <c r="D3469" t="s">
        <v>22</v>
      </c>
      <c r="E3469" t="s">
        <v>28</v>
      </c>
      <c r="F3469" t="s">
        <v>24</v>
      </c>
      <c r="G3469">
        <v>31750</v>
      </c>
      <c r="H3469">
        <v>25400</v>
      </c>
      <c r="I3469" s="13">
        <v>0.5</v>
      </c>
      <c r="J3469" t="s">
        <v>6206</v>
      </c>
      <c r="K3469">
        <v>1</v>
      </c>
      <c r="L3469">
        <v>0</v>
      </c>
      <c r="M3469" t="s">
        <v>0</v>
      </c>
      <c r="N3469" s="2">
        <v>0.59</v>
      </c>
      <c r="O3469" s="2">
        <v>0.41</v>
      </c>
      <c r="P3469">
        <v>10</v>
      </c>
      <c r="Q3469">
        <v>11</v>
      </c>
      <c r="R3469">
        <v>8</v>
      </c>
      <c r="S3469">
        <v>2</v>
      </c>
      <c r="T3469">
        <v>10</v>
      </c>
      <c r="U3469">
        <v>9</v>
      </c>
      <c r="V3469">
        <v>2</v>
      </c>
      <c r="W3469">
        <v>4</v>
      </c>
      <c r="X3469">
        <v>0</v>
      </c>
      <c r="Y3469">
        <v>0</v>
      </c>
      <c r="Z3469">
        <v>0</v>
      </c>
    </row>
    <row r="3470" spans="1:26" x14ac:dyDescent="0.2">
      <c r="A3470" t="s">
        <v>3588</v>
      </c>
      <c r="B3470" t="s">
        <v>32</v>
      </c>
      <c r="C3470">
        <v>2018</v>
      </c>
      <c r="D3470" t="s">
        <v>45</v>
      </c>
      <c r="E3470" t="s">
        <v>23</v>
      </c>
      <c r="F3470" t="s">
        <v>26</v>
      </c>
      <c r="G3470">
        <v>39572</v>
      </c>
      <c r="H3470">
        <v>31657.600000000002</v>
      </c>
      <c r="I3470" s="13">
        <v>0.5714285714285714</v>
      </c>
      <c r="J3470" t="s">
        <v>6207</v>
      </c>
      <c r="K3470">
        <v>1</v>
      </c>
      <c r="L3470">
        <v>3</v>
      </c>
      <c r="M3470" t="s">
        <v>1</v>
      </c>
      <c r="N3470" s="2">
        <v>0.56000000000000005</v>
      </c>
      <c r="O3470" s="2">
        <v>0.44</v>
      </c>
      <c r="P3470">
        <v>12</v>
      </c>
      <c r="Q3470">
        <v>18</v>
      </c>
      <c r="R3470">
        <v>4</v>
      </c>
      <c r="S3470">
        <v>2</v>
      </c>
      <c r="T3470">
        <v>15</v>
      </c>
      <c r="U3470">
        <v>12</v>
      </c>
      <c r="V3470">
        <v>2</v>
      </c>
      <c r="W3470">
        <v>5</v>
      </c>
      <c r="X3470">
        <v>0</v>
      </c>
      <c r="Y3470">
        <v>0</v>
      </c>
      <c r="Z3470">
        <v>0</v>
      </c>
    </row>
    <row r="3471" spans="1:26" x14ac:dyDescent="0.2">
      <c r="A3471" t="s">
        <v>3589</v>
      </c>
      <c r="B3471" t="s">
        <v>61</v>
      </c>
      <c r="C3471">
        <v>2018</v>
      </c>
      <c r="D3471" t="s">
        <v>73</v>
      </c>
      <c r="E3471" t="s">
        <v>90</v>
      </c>
      <c r="F3471" t="s">
        <v>73</v>
      </c>
      <c r="G3471">
        <v>32384</v>
      </c>
      <c r="H3471">
        <v>25907.200000000001</v>
      </c>
      <c r="I3471" s="13">
        <v>0.4</v>
      </c>
      <c r="J3471" t="s">
        <v>6207</v>
      </c>
      <c r="K3471">
        <v>2</v>
      </c>
      <c r="L3471">
        <v>2</v>
      </c>
      <c r="M3471" t="s">
        <v>58</v>
      </c>
      <c r="N3471" s="2">
        <v>0.51</v>
      </c>
      <c r="O3471" s="2">
        <v>0.49</v>
      </c>
      <c r="P3471">
        <v>14</v>
      </c>
      <c r="Q3471">
        <v>11</v>
      </c>
      <c r="R3471">
        <v>1</v>
      </c>
      <c r="S3471">
        <v>4</v>
      </c>
      <c r="T3471">
        <v>10</v>
      </c>
      <c r="U3471">
        <v>13</v>
      </c>
      <c r="V3471">
        <v>2</v>
      </c>
      <c r="W3471">
        <v>3</v>
      </c>
      <c r="X3471">
        <v>0</v>
      </c>
      <c r="Y3471">
        <v>0</v>
      </c>
      <c r="Z3471">
        <v>2</v>
      </c>
    </row>
    <row r="3472" spans="1:26" x14ac:dyDescent="0.2">
      <c r="A3472" t="s">
        <v>3590</v>
      </c>
      <c r="B3472" t="s">
        <v>32</v>
      </c>
      <c r="C3472">
        <v>2018</v>
      </c>
      <c r="D3472" t="s">
        <v>31</v>
      </c>
      <c r="E3472" t="s">
        <v>85</v>
      </c>
      <c r="F3472" t="s">
        <v>20</v>
      </c>
      <c r="G3472">
        <v>28500</v>
      </c>
      <c r="H3472">
        <v>22800</v>
      </c>
      <c r="I3472" s="13">
        <v>0.66666666666666663</v>
      </c>
      <c r="J3472" t="s">
        <v>6207</v>
      </c>
      <c r="K3472">
        <v>1</v>
      </c>
      <c r="L3472">
        <v>1</v>
      </c>
      <c r="M3472" t="s">
        <v>58</v>
      </c>
      <c r="N3472" s="2">
        <v>0.61</v>
      </c>
      <c r="O3472" s="2">
        <v>0.39</v>
      </c>
      <c r="P3472">
        <v>14</v>
      </c>
      <c r="Q3472">
        <v>17</v>
      </c>
      <c r="R3472">
        <v>8</v>
      </c>
      <c r="S3472">
        <v>8</v>
      </c>
      <c r="T3472">
        <v>11</v>
      </c>
      <c r="U3472">
        <v>9</v>
      </c>
      <c r="V3472">
        <v>2</v>
      </c>
      <c r="W3472">
        <v>1</v>
      </c>
      <c r="X3472">
        <v>0</v>
      </c>
      <c r="Y3472">
        <v>0</v>
      </c>
      <c r="Z3472">
        <v>0</v>
      </c>
    </row>
    <row r="3473" spans="1:26" x14ac:dyDescent="0.2">
      <c r="A3473" t="s">
        <v>3591</v>
      </c>
      <c r="B3473" t="s">
        <v>60</v>
      </c>
      <c r="C3473">
        <v>2018</v>
      </c>
      <c r="D3473" t="s">
        <v>48</v>
      </c>
      <c r="E3473" t="s">
        <v>22</v>
      </c>
      <c r="F3473" t="s">
        <v>49</v>
      </c>
      <c r="G3473">
        <v>74197</v>
      </c>
      <c r="H3473">
        <v>59357.600000000006</v>
      </c>
      <c r="I3473" s="13">
        <v>0.5</v>
      </c>
      <c r="J3473" t="s">
        <v>6208</v>
      </c>
      <c r="K3473">
        <v>1</v>
      </c>
      <c r="L3473">
        <v>1</v>
      </c>
      <c r="M3473" t="s">
        <v>58</v>
      </c>
      <c r="N3473" s="2">
        <v>0.64</v>
      </c>
      <c r="O3473" s="2">
        <v>0.36</v>
      </c>
      <c r="P3473">
        <v>18</v>
      </c>
      <c r="Q3473">
        <v>7</v>
      </c>
      <c r="R3473">
        <v>5</v>
      </c>
      <c r="S3473">
        <v>4</v>
      </c>
      <c r="T3473">
        <v>5</v>
      </c>
      <c r="U3473">
        <v>17</v>
      </c>
      <c r="V3473">
        <v>1</v>
      </c>
      <c r="W3473">
        <v>1</v>
      </c>
      <c r="X3473">
        <v>0</v>
      </c>
      <c r="Y3473">
        <v>0</v>
      </c>
      <c r="Z3473">
        <v>0</v>
      </c>
    </row>
    <row r="3474" spans="1:26" x14ac:dyDescent="0.2">
      <c r="A3474" t="s">
        <v>3592</v>
      </c>
      <c r="B3474" t="s">
        <v>81</v>
      </c>
      <c r="C3474">
        <v>2018</v>
      </c>
      <c r="D3474" t="s">
        <v>26</v>
      </c>
      <c r="E3474" t="s">
        <v>73</v>
      </c>
      <c r="F3474" t="s">
        <v>26</v>
      </c>
      <c r="G3474">
        <v>61276</v>
      </c>
      <c r="H3474">
        <v>49020.800000000003</v>
      </c>
      <c r="I3474" s="13">
        <v>1</v>
      </c>
      <c r="J3474" t="s">
        <v>6207</v>
      </c>
      <c r="K3474">
        <v>3</v>
      </c>
      <c r="L3474">
        <v>0</v>
      </c>
      <c r="M3474" t="s">
        <v>0</v>
      </c>
      <c r="N3474" s="2">
        <v>0.61</v>
      </c>
      <c r="O3474" s="2">
        <v>0.39</v>
      </c>
      <c r="P3474">
        <v>11</v>
      </c>
      <c r="Q3474">
        <v>11</v>
      </c>
      <c r="R3474">
        <v>5</v>
      </c>
      <c r="S3474">
        <v>4</v>
      </c>
      <c r="T3474">
        <v>7</v>
      </c>
      <c r="U3474">
        <v>10</v>
      </c>
      <c r="V3474">
        <v>0</v>
      </c>
      <c r="W3474">
        <v>2</v>
      </c>
      <c r="X3474">
        <v>0</v>
      </c>
      <c r="Y3474">
        <v>0</v>
      </c>
      <c r="Z3474">
        <v>0</v>
      </c>
    </row>
    <row r="3475" spans="1:26" x14ac:dyDescent="0.2">
      <c r="A3475" t="s">
        <v>3593</v>
      </c>
      <c r="B3475" t="s">
        <v>93</v>
      </c>
      <c r="C3475">
        <v>2018</v>
      </c>
      <c r="D3475" t="s">
        <v>80</v>
      </c>
      <c r="E3475" t="s">
        <v>89</v>
      </c>
      <c r="F3475" t="s">
        <v>80</v>
      </c>
      <c r="G3475">
        <v>32261</v>
      </c>
      <c r="H3475">
        <v>25808.800000000003</v>
      </c>
      <c r="I3475" s="13">
        <v>1</v>
      </c>
      <c r="J3475" t="s">
        <v>6206</v>
      </c>
      <c r="K3475">
        <v>3</v>
      </c>
      <c r="L3475">
        <v>1</v>
      </c>
      <c r="M3475" t="s">
        <v>0</v>
      </c>
      <c r="N3475" s="2">
        <v>0.62</v>
      </c>
      <c r="O3475" s="2">
        <v>0.38</v>
      </c>
      <c r="P3475">
        <v>16</v>
      </c>
      <c r="Q3475">
        <v>11</v>
      </c>
      <c r="R3475">
        <v>3</v>
      </c>
      <c r="S3475">
        <v>1</v>
      </c>
      <c r="T3475">
        <v>10</v>
      </c>
      <c r="U3475">
        <v>16</v>
      </c>
      <c r="V3475">
        <v>2</v>
      </c>
      <c r="W3475">
        <v>1</v>
      </c>
      <c r="X3475">
        <v>0</v>
      </c>
      <c r="Y3475">
        <v>0</v>
      </c>
      <c r="Z3475">
        <v>0</v>
      </c>
    </row>
    <row r="3476" spans="1:26" x14ac:dyDescent="0.2">
      <c r="A3476" t="s">
        <v>3594</v>
      </c>
      <c r="B3476" t="s">
        <v>37</v>
      </c>
      <c r="C3476">
        <v>2018</v>
      </c>
      <c r="D3476" t="s">
        <v>79</v>
      </c>
      <c r="E3476" t="s">
        <v>64</v>
      </c>
      <c r="F3476" t="s">
        <v>20</v>
      </c>
      <c r="G3476">
        <v>25486</v>
      </c>
      <c r="H3476">
        <v>20388.800000000003</v>
      </c>
      <c r="I3476" s="13">
        <v>0.5</v>
      </c>
      <c r="J3476" t="s">
        <v>6206</v>
      </c>
      <c r="K3476">
        <v>0</v>
      </c>
      <c r="L3476">
        <v>0</v>
      </c>
      <c r="M3476" t="s">
        <v>58</v>
      </c>
      <c r="N3476" s="2">
        <v>0.62</v>
      </c>
      <c r="O3476" s="2">
        <v>0.38</v>
      </c>
      <c r="P3476">
        <v>12</v>
      </c>
      <c r="Q3476">
        <v>10</v>
      </c>
      <c r="R3476">
        <v>9</v>
      </c>
      <c r="S3476">
        <v>5</v>
      </c>
      <c r="T3476">
        <v>8</v>
      </c>
      <c r="U3476">
        <v>11</v>
      </c>
      <c r="V3476">
        <v>1</v>
      </c>
      <c r="W3476">
        <v>1</v>
      </c>
      <c r="X3476">
        <v>0</v>
      </c>
      <c r="Y3476">
        <v>0</v>
      </c>
      <c r="Z3476">
        <v>0</v>
      </c>
    </row>
    <row r="3477" spans="1:26" x14ac:dyDescent="0.2">
      <c r="A3477" t="s">
        <v>3595</v>
      </c>
      <c r="B3477" t="s">
        <v>66</v>
      </c>
      <c r="C3477">
        <v>2018</v>
      </c>
      <c r="D3477" t="s">
        <v>78</v>
      </c>
      <c r="E3477" t="s">
        <v>40</v>
      </c>
      <c r="F3477" t="s">
        <v>78</v>
      </c>
      <c r="G3477">
        <v>33280</v>
      </c>
      <c r="H3477">
        <v>26624</v>
      </c>
      <c r="I3477" s="13">
        <v>0.5</v>
      </c>
      <c r="J3477" t="s">
        <v>6207</v>
      </c>
      <c r="K3477">
        <v>0</v>
      </c>
      <c r="L3477">
        <v>5</v>
      </c>
      <c r="M3477" t="s">
        <v>1</v>
      </c>
      <c r="N3477" s="2">
        <v>0.22</v>
      </c>
      <c r="O3477" s="2">
        <v>0.78</v>
      </c>
      <c r="P3477">
        <v>5</v>
      </c>
      <c r="Q3477">
        <v>8</v>
      </c>
      <c r="R3477">
        <v>1</v>
      </c>
      <c r="S3477">
        <v>9</v>
      </c>
      <c r="T3477">
        <v>6</v>
      </c>
      <c r="U3477">
        <v>4</v>
      </c>
      <c r="V3477">
        <v>1</v>
      </c>
      <c r="W3477">
        <v>1</v>
      </c>
      <c r="X3477">
        <v>0</v>
      </c>
      <c r="Y3477">
        <v>0</v>
      </c>
      <c r="Z3477">
        <v>0</v>
      </c>
    </row>
    <row r="3478" spans="1:26" x14ac:dyDescent="0.2">
      <c r="A3478" t="s">
        <v>3596</v>
      </c>
      <c r="B3478" t="s">
        <v>61</v>
      </c>
      <c r="C3478">
        <v>2018</v>
      </c>
      <c r="D3478" t="s">
        <v>28</v>
      </c>
      <c r="E3478" t="s">
        <v>86</v>
      </c>
      <c r="F3478" t="s">
        <v>28</v>
      </c>
      <c r="G3478">
        <v>21944</v>
      </c>
      <c r="H3478">
        <v>17555.2</v>
      </c>
      <c r="I3478" s="13">
        <v>0</v>
      </c>
      <c r="J3478" t="s">
        <v>6207</v>
      </c>
      <c r="K3478">
        <v>4</v>
      </c>
      <c r="L3478">
        <v>0</v>
      </c>
      <c r="M3478" t="s">
        <v>0</v>
      </c>
      <c r="N3478" s="2">
        <v>0.37</v>
      </c>
      <c r="O3478" s="2">
        <v>0.63</v>
      </c>
      <c r="P3478">
        <v>9</v>
      </c>
      <c r="Q3478">
        <v>18</v>
      </c>
      <c r="R3478">
        <v>3</v>
      </c>
      <c r="S3478">
        <v>8</v>
      </c>
      <c r="T3478">
        <v>17</v>
      </c>
      <c r="U3478">
        <v>6</v>
      </c>
      <c r="V3478">
        <v>2</v>
      </c>
      <c r="W3478">
        <v>0</v>
      </c>
      <c r="X3478">
        <v>0</v>
      </c>
      <c r="Y3478">
        <v>0</v>
      </c>
      <c r="Z3478">
        <v>0</v>
      </c>
    </row>
    <row r="3479" spans="1:26" x14ac:dyDescent="0.2">
      <c r="A3479" t="s">
        <v>3597</v>
      </c>
      <c r="B3479" t="s">
        <v>88</v>
      </c>
      <c r="C3479">
        <v>2018</v>
      </c>
      <c r="D3479" t="s">
        <v>90</v>
      </c>
      <c r="E3479" t="s">
        <v>51</v>
      </c>
      <c r="F3479" t="s">
        <v>91</v>
      </c>
      <c r="G3479">
        <v>31876</v>
      </c>
      <c r="H3479">
        <v>25500.800000000003</v>
      </c>
      <c r="I3479" s="13">
        <v>0.66666666666666663</v>
      </c>
      <c r="J3479" t="s">
        <v>6207</v>
      </c>
      <c r="K3479">
        <v>1</v>
      </c>
      <c r="L3479">
        <v>2</v>
      </c>
      <c r="M3479" t="s">
        <v>1</v>
      </c>
      <c r="N3479" s="2">
        <v>0.28999999999999998</v>
      </c>
      <c r="O3479" s="2">
        <v>0.71</v>
      </c>
      <c r="P3479">
        <v>9</v>
      </c>
      <c r="Q3479">
        <v>15</v>
      </c>
      <c r="R3479">
        <v>5</v>
      </c>
      <c r="S3479">
        <v>7</v>
      </c>
      <c r="T3479">
        <v>15</v>
      </c>
      <c r="U3479">
        <v>9</v>
      </c>
      <c r="V3479">
        <v>2</v>
      </c>
      <c r="W3479">
        <v>1</v>
      </c>
      <c r="X3479">
        <v>0</v>
      </c>
      <c r="Y3479">
        <v>0</v>
      </c>
      <c r="Z3479">
        <v>1</v>
      </c>
    </row>
    <row r="3480" spans="1:26" x14ac:dyDescent="0.2">
      <c r="A3480" t="s">
        <v>3598</v>
      </c>
      <c r="B3480" t="s">
        <v>41</v>
      </c>
      <c r="C3480">
        <v>2018</v>
      </c>
      <c r="D3480" t="s">
        <v>23</v>
      </c>
      <c r="E3480" t="s">
        <v>18</v>
      </c>
      <c r="F3480" t="s">
        <v>20</v>
      </c>
      <c r="G3480">
        <v>62500</v>
      </c>
      <c r="H3480">
        <v>50000</v>
      </c>
      <c r="I3480" s="13">
        <v>0.66666666666666663</v>
      </c>
      <c r="J3480" t="s">
        <v>6207</v>
      </c>
      <c r="K3480">
        <v>0</v>
      </c>
      <c r="L3480">
        <v>0</v>
      </c>
      <c r="M3480" t="s">
        <v>58</v>
      </c>
      <c r="N3480" s="2">
        <v>0.28000000000000003</v>
      </c>
      <c r="O3480" s="2">
        <v>0.72</v>
      </c>
      <c r="P3480">
        <v>12</v>
      </c>
      <c r="Q3480">
        <v>13</v>
      </c>
      <c r="R3480">
        <v>1</v>
      </c>
      <c r="S3480">
        <v>8</v>
      </c>
      <c r="T3480">
        <v>11</v>
      </c>
      <c r="U3480">
        <v>9</v>
      </c>
      <c r="V3480">
        <v>2</v>
      </c>
      <c r="W3480">
        <v>1</v>
      </c>
      <c r="X3480">
        <v>0</v>
      </c>
      <c r="Y3480">
        <v>0</v>
      </c>
      <c r="Z3480">
        <v>0</v>
      </c>
    </row>
    <row r="3481" spans="1:26" x14ac:dyDescent="0.2">
      <c r="A3481" t="s">
        <v>3599</v>
      </c>
      <c r="B3481" t="s">
        <v>68</v>
      </c>
      <c r="C3481">
        <v>2018</v>
      </c>
      <c r="D3481" t="s">
        <v>46</v>
      </c>
      <c r="E3481" t="s">
        <v>45</v>
      </c>
      <c r="F3481" t="s">
        <v>20</v>
      </c>
      <c r="G3481">
        <v>60704</v>
      </c>
      <c r="H3481">
        <v>48563.200000000004</v>
      </c>
      <c r="I3481" s="13">
        <v>1</v>
      </c>
      <c r="J3481" t="s">
        <v>6207</v>
      </c>
      <c r="K3481">
        <v>2</v>
      </c>
      <c r="L3481">
        <v>0</v>
      </c>
      <c r="M3481" t="s">
        <v>0</v>
      </c>
      <c r="N3481" s="2">
        <v>0.62</v>
      </c>
      <c r="O3481" s="2">
        <v>0.38</v>
      </c>
      <c r="P3481">
        <v>14</v>
      </c>
      <c r="Q3481">
        <v>18</v>
      </c>
      <c r="R3481">
        <v>5</v>
      </c>
      <c r="S3481">
        <v>9</v>
      </c>
      <c r="T3481">
        <v>17</v>
      </c>
      <c r="U3481">
        <v>12</v>
      </c>
      <c r="V3481">
        <v>2</v>
      </c>
      <c r="W3481">
        <v>1</v>
      </c>
      <c r="X3481">
        <v>0</v>
      </c>
      <c r="Y3481">
        <v>0</v>
      </c>
      <c r="Z3481">
        <v>0</v>
      </c>
    </row>
    <row r="3482" spans="1:26" x14ac:dyDescent="0.2">
      <c r="A3482" t="s">
        <v>3600</v>
      </c>
      <c r="B3482" t="s">
        <v>66</v>
      </c>
      <c r="C3482">
        <v>2018</v>
      </c>
      <c r="D3482" t="s">
        <v>23</v>
      </c>
      <c r="E3482" t="s">
        <v>48</v>
      </c>
      <c r="F3482" t="s">
        <v>20</v>
      </c>
      <c r="G3482">
        <v>62500</v>
      </c>
      <c r="H3482">
        <v>50000</v>
      </c>
      <c r="I3482" s="13">
        <v>0</v>
      </c>
      <c r="J3482" t="s">
        <v>6207</v>
      </c>
      <c r="K3482">
        <v>3</v>
      </c>
      <c r="L3482">
        <v>1</v>
      </c>
      <c r="M3482" t="s">
        <v>0</v>
      </c>
      <c r="N3482" s="2">
        <v>0.49</v>
      </c>
      <c r="O3482" s="2">
        <v>0.51</v>
      </c>
      <c r="P3482">
        <v>16</v>
      </c>
      <c r="Q3482">
        <v>14</v>
      </c>
      <c r="R3482">
        <v>4</v>
      </c>
      <c r="S3482">
        <v>9</v>
      </c>
      <c r="T3482">
        <v>12</v>
      </c>
      <c r="U3482">
        <v>12</v>
      </c>
      <c r="V3482">
        <v>0</v>
      </c>
      <c r="W3482">
        <v>1</v>
      </c>
      <c r="X3482">
        <v>0</v>
      </c>
      <c r="Y3482">
        <v>0</v>
      </c>
      <c r="Z3482">
        <v>0</v>
      </c>
    </row>
    <row r="3483" spans="1:26" x14ac:dyDescent="0.2">
      <c r="A3483" t="s">
        <v>3601</v>
      </c>
      <c r="B3483" t="s">
        <v>59</v>
      </c>
      <c r="C3483">
        <v>2018</v>
      </c>
      <c r="D3483" t="s">
        <v>22</v>
      </c>
      <c r="E3483" t="s">
        <v>73</v>
      </c>
      <c r="F3483" t="s">
        <v>24</v>
      </c>
      <c r="G3483">
        <v>31750</v>
      </c>
      <c r="H3483">
        <v>25400</v>
      </c>
      <c r="I3483" s="13">
        <v>0.5</v>
      </c>
      <c r="J3483" t="s">
        <v>6206</v>
      </c>
      <c r="K3483">
        <v>2</v>
      </c>
      <c r="L3483">
        <v>0</v>
      </c>
      <c r="M3483" t="s">
        <v>0</v>
      </c>
      <c r="N3483" s="2">
        <v>0.49</v>
      </c>
      <c r="O3483" s="2">
        <v>0.51</v>
      </c>
      <c r="P3483">
        <v>8</v>
      </c>
      <c r="Q3483">
        <v>11</v>
      </c>
      <c r="R3483">
        <v>8</v>
      </c>
      <c r="S3483">
        <v>6</v>
      </c>
      <c r="T3483">
        <v>11</v>
      </c>
      <c r="U3483">
        <v>7</v>
      </c>
      <c r="V3483">
        <v>3</v>
      </c>
      <c r="W3483">
        <v>1</v>
      </c>
      <c r="X3483">
        <v>0</v>
      </c>
      <c r="Y3483">
        <v>0</v>
      </c>
      <c r="Z3483">
        <v>0</v>
      </c>
    </row>
    <row r="3484" spans="1:26" x14ac:dyDescent="0.2">
      <c r="A3484" t="s">
        <v>3602</v>
      </c>
      <c r="B3484" t="s">
        <v>84</v>
      </c>
      <c r="C3484">
        <v>2018</v>
      </c>
      <c r="D3484" t="s">
        <v>64</v>
      </c>
      <c r="E3484" t="s">
        <v>80</v>
      </c>
      <c r="F3484" t="s">
        <v>64</v>
      </c>
      <c r="G3484">
        <v>52264</v>
      </c>
      <c r="H3484">
        <v>41811.200000000004</v>
      </c>
      <c r="I3484" s="13">
        <v>0</v>
      </c>
      <c r="J3484" t="s">
        <v>6208</v>
      </c>
      <c r="K3484">
        <v>0</v>
      </c>
      <c r="L3484">
        <v>2</v>
      </c>
      <c r="M3484" t="s">
        <v>1</v>
      </c>
      <c r="N3484" s="2">
        <v>0.41</v>
      </c>
      <c r="O3484" s="2">
        <v>0.59</v>
      </c>
      <c r="P3484">
        <v>5</v>
      </c>
      <c r="Q3484">
        <v>11</v>
      </c>
      <c r="R3484">
        <v>5</v>
      </c>
      <c r="S3484">
        <v>9</v>
      </c>
      <c r="T3484">
        <v>11</v>
      </c>
      <c r="U3484">
        <v>5</v>
      </c>
      <c r="V3484">
        <v>0</v>
      </c>
      <c r="W3484">
        <v>0</v>
      </c>
      <c r="X3484">
        <v>0</v>
      </c>
      <c r="Y3484">
        <v>0</v>
      </c>
      <c r="Z3484">
        <v>1</v>
      </c>
    </row>
    <row r="3485" spans="1:26" x14ac:dyDescent="0.2">
      <c r="A3485" t="s">
        <v>3603</v>
      </c>
      <c r="B3485" t="s">
        <v>50</v>
      </c>
      <c r="C3485">
        <v>2018</v>
      </c>
      <c r="D3485" t="s">
        <v>40</v>
      </c>
      <c r="E3485" t="s">
        <v>90</v>
      </c>
      <c r="F3485" t="s">
        <v>49</v>
      </c>
      <c r="G3485">
        <v>53400</v>
      </c>
      <c r="H3485">
        <v>42720</v>
      </c>
      <c r="I3485" s="13">
        <v>1</v>
      </c>
      <c r="J3485" t="s">
        <v>6207</v>
      </c>
      <c r="K3485">
        <v>2</v>
      </c>
      <c r="L3485">
        <v>0</v>
      </c>
      <c r="M3485" t="s">
        <v>0</v>
      </c>
      <c r="N3485" s="2">
        <v>0.8</v>
      </c>
      <c r="O3485" s="2">
        <v>0.2</v>
      </c>
      <c r="P3485">
        <v>13</v>
      </c>
      <c r="Q3485">
        <v>4</v>
      </c>
      <c r="R3485">
        <v>10</v>
      </c>
      <c r="S3485">
        <v>3</v>
      </c>
      <c r="T3485">
        <v>4</v>
      </c>
      <c r="U3485">
        <v>10</v>
      </c>
      <c r="V3485">
        <v>0</v>
      </c>
      <c r="W3485">
        <v>3</v>
      </c>
      <c r="X3485">
        <v>0</v>
      </c>
      <c r="Y3485">
        <v>0</v>
      </c>
      <c r="Z3485">
        <v>0</v>
      </c>
    </row>
    <row r="3486" spans="1:26" x14ac:dyDescent="0.2">
      <c r="A3486" t="s">
        <v>3604</v>
      </c>
      <c r="B3486" t="s">
        <v>76</v>
      </c>
      <c r="C3486">
        <v>2018</v>
      </c>
      <c r="D3486" t="s">
        <v>89</v>
      </c>
      <c r="E3486" t="s">
        <v>51</v>
      </c>
      <c r="F3486" t="s">
        <v>89</v>
      </c>
      <c r="G3486">
        <v>24500</v>
      </c>
      <c r="H3486">
        <v>19600</v>
      </c>
      <c r="I3486" s="13">
        <v>0.5</v>
      </c>
      <c r="J3486" t="s">
        <v>6207</v>
      </c>
      <c r="K3486">
        <v>0</v>
      </c>
      <c r="L3486">
        <v>2</v>
      </c>
      <c r="M3486" t="s">
        <v>1</v>
      </c>
      <c r="N3486" s="2">
        <v>0.53</v>
      </c>
      <c r="O3486" s="2">
        <v>0.47</v>
      </c>
      <c r="P3486">
        <v>17</v>
      </c>
      <c r="Q3486">
        <v>17</v>
      </c>
      <c r="R3486">
        <v>3</v>
      </c>
      <c r="S3486">
        <v>0</v>
      </c>
      <c r="T3486">
        <v>17</v>
      </c>
      <c r="U3486">
        <v>16</v>
      </c>
      <c r="V3486">
        <v>2</v>
      </c>
      <c r="W3486">
        <v>2</v>
      </c>
      <c r="X3486">
        <v>0</v>
      </c>
      <c r="Y3486">
        <v>0</v>
      </c>
      <c r="Z3486">
        <v>1</v>
      </c>
    </row>
    <row r="3487" spans="1:26" x14ac:dyDescent="0.2">
      <c r="A3487" t="s">
        <v>3605</v>
      </c>
      <c r="B3487" t="s">
        <v>74</v>
      </c>
      <c r="C3487">
        <v>2018</v>
      </c>
      <c r="D3487" t="s">
        <v>45</v>
      </c>
      <c r="E3487" t="s">
        <v>31</v>
      </c>
      <c r="F3487" t="s">
        <v>26</v>
      </c>
      <c r="G3487">
        <v>39572</v>
      </c>
      <c r="H3487">
        <v>31657.600000000002</v>
      </c>
      <c r="I3487" s="13">
        <v>1</v>
      </c>
      <c r="J3487" t="s">
        <v>6208</v>
      </c>
      <c r="K3487">
        <v>3</v>
      </c>
      <c r="L3487">
        <v>0</v>
      </c>
      <c r="M3487" t="s">
        <v>0</v>
      </c>
      <c r="N3487" s="2">
        <v>0.51</v>
      </c>
      <c r="O3487" s="2">
        <v>0.49</v>
      </c>
      <c r="P3487">
        <v>12</v>
      </c>
      <c r="Q3487">
        <v>19</v>
      </c>
      <c r="R3487">
        <v>12</v>
      </c>
      <c r="S3487">
        <v>1</v>
      </c>
      <c r="T3487">
        <v>13</v>
      </c>
      <c r="U3487">
        <v>13</v>
      </c>
      <c r="V3487">
        <v>0</v>
      </c>
      <c r="W3487">
        <v>3</v>
      </c>
      <c r="X3487">
        <v>0</v>
      </c>
      <c r="Y3487">
        <v>0</v>
      </c>
      <c r="Z3487">
        <v>1</v>
      </c>
    </row>
    <row r="3488" spans="1:26" x14ac:dyDescent="0.2">
      <c r="A3488" t="s">
        <v>3606</v>
      </c>
      <c r="B3488" t="s">
        <v>61</v>
      </c>
      <c r="C3488">
        <v>2018</v>
      </c>
      <c r="D3488" t="s">
        <v>46</v>
      </c>
      <c r="E3488" t="s">
        <v>85</v>
      </c>
      <c r="F3488" t="s">
        <v>20</v>
      </c>
      <c r="G3488">
        <v>60704</v>
      </c>
      <c r="H3488">
        <v>48563.200000000004</v>
      </c>
      <c r="I3488" s="13">
        <v>0.75</v>
      </c>
      <c r="J3488" t="s">
        <v>6207</v>
      </c>
      <c r="K3488">
        <v>2</v>
      </c>
      <c r="L3488">
        <v>0</v>
      </c>
      <c r="M3488" t="s">
        <v>0</v>
      </c>
      <c r="N3488" s="2">
        <v>0.63</v>
      </c>
      <c r="O3488" s="2">
        <v>0.37</v>
      </c>
      <c r="P3488">
        <v>20</v>
      </c>
      <c r="Q3488">
        <v>12</v>
      </c>
      <c r="R3488">
        <v>6</v>
      </c>
      <c r="S3488">
        <v>6</v>
      </c>
      <c r="T3488">
        <v>11</v>
      </c>
      <c r="U3488">
        <v>17</v>
      </c>
      <c r="V3488">
        <v>2</v>
      </c>
      <c r="W3488">
        <v>2</v>
      </c>
      <c r="X3488">
        <v>0</v>
      </c>
      <c r="Y3488">
        <v>0</v>
      </c>
      <c r="Z3488">
        <v>0</v>
      </c>
    </row>
    <row r="3489" spans="1:26" x14ac:dyDescent="0.2">
      <c r="A3489" t="s">
        <v>3607</v>
      </c>
      <c r="B3489" t="s">
        <v>37</v>
      </c>
      <c r="C3489">
        <v>2018</v>
      </c>
      <c r="D3489" t="s">
        <v>18</v>
      </c>
      <c r="E3489" t="s">
        <v>26</v>
      </c>
      <c r="F3489" t="s">
        <v>20</v>
      </c>
      <c r="G3489">
        <v>40341</v>
      </c>
      <c r="H3489">
        <v>32272.800000000003</v>
      </c>
      <c r="I3489" s="13">
        <v>0.5</v>
      </c>
      <c r="J3489" t="s">
        <v>6206</v>
      </c>
      <c r="K3489">
        <v>1</v>
      </c>
      <c r="L3489">
        <v>1</v>
      </c>
      <c r="M3489" t="s">
        <v>58</v>
      </c>
      <c r="N3489" s="2">
        <v>0.47</v>
      </c>
      <c r="O3489" s="2">
        <v>0.53</v>
      </c>
      <c r="P3489">
        <v>11</v>
      </c>
      <c r="Q3489">
        <v>9</v>
      </c>
      <c r="R3489">
        <v>4</v>
      </c>
      <c r="S3489">
        <v>4</v>
      </c>
      <c r="T3489">
        <v>7</v>
      </c>
      <c r="U3489">
        <v>9</v>
      </c>
      <c r="V3489">
        <v>0</v>
      </c>
      <c r="W3489">
        <v>2</v>
      </c>
      <c r="X3489">
        <v>0</v>
      </c>
      <c r="Y3489">
        <v>0</v>
      </c>
      <c r="Z3489">
        <v>0</v>
      </c>
    </row>
    <row r="3490" spans="1:26" x14ac:dyDescent="0.2">
      <c r="A3490" t="s">
        <v>3608</v>
      </c>
      <c r="B3490" t="s">
        <v>32</v>
      </c>
      <c r="C3490">
        <v>2018</v>
      </c>
      <c r="D3490" t="s">
        <v>78</v>
      </c>
      <c r="E3490" t="s">
        <v>28</v>
      </c>
      <c r="F3490" t="s">
        <v>78</v>
      </c>
      <c r="G3490">
        <v>33280</v>
      </c>
      <c r="H3490">
        <v>26624</v>
      </c>
      <c r="I3490" s="13">
        <v>0.25</v>
      </c>
      <c r="J3490" t="s">
        <v>6207</v>
      </c>
      <c r="K3490">
        <v>1</v>
      </c>
      <c r="L3490">
        <v>2</v>
      </c>
      <c r="M3490" t="s">
        <v>1</v>
      </c>
      <c r="N3490" s="2">
        <v>0.54</v>
      </c>
      <c r="O3490" s="2">
        <v>0.46</v>
      </c>
      <c r="P3490">
        <v>16</v>
      </c>
      <c r="Q3490">
        <v>13</v>
      </c>
      <c r="R3490">
        <v>10</v>
      </c>
      <c r="S3490">
        <v>2</v>
      </c>
      <c r="T3490">
        <v>11</v>
      </c>
      <c r="U3490">
        <v>15</v>
      </c>
      <c r="V3490">
        <v>1</v>
      </c>
      <c r="W3490">
        <v>3</v>
      </c>
      <c r="X3490">
        <v>0</v>
      </c>
      <c r="Y3490">
        <v>0</v>
      </c>
      <c r="Z3490">
        <v>0</v>
      </c>
    </row>
    <row r="3491" spans="1:26" x14ac:dyDescent="0.2">
      <c r="A3491" t="s">
        <v>3609</v>
      </c>
      <c r="B3491" t="s">
        <v>41</v>
      </c>
      <c r="C3491">
        <v>2018</v>
      </c>
      <c r="D3491" t="s">
        <v>86</v>
      </c>
      <c r="E3491" t="s">
        <v>79</v>
      </c>
      <c r="F3491" t="s">
        <v>86</v>
      </c>
      <c r="G3491">
        <v>11364</v>
      </c>
      <c r="H3491">
        <v>9091.2000000000007</v>
      </c>
      <c r="I3491" s="13">
        <v>0.5714285714285714</v>
      </c>
      <c r="J3491" t="s">
        <v>6207</v>
      </c>
      <c r="K3491">
        <v>2</v>
      </c>
      <c r="L3491">
        <v>1</v>
      </c>
      <c r="M3491" t="s">
        <v>0</v>
      </c>
      <c r="N3491" s="2">
        <v>0.44</v>
      </c>
      <c r="O3491" s="2">
        <v>0.56000000000000005</v>
      </c>
      <c r="P3491">
        <v>13</v>
      </c>
      <c r="Q3491">
        <v>11</v>
      </c>
      <c r="R3491">
        <v>3</v>
      </c>
      <c r="S3491">
        <v>3</v>
      </c>
      <c r="T3491">
        <v>9</v>
      </c>
      <c r="U3491">
        <v>12</v>
      </c>
      <c r="V3491">
        <v>3</v>
      </c>
      <c r="W3491">
        <v>4</v>
      </c>
      <c r="X3491">
        <v>0</v>
      </c>
      <c r="Y3491">
        <v>0</v>
      </c>
      <c r="Z3491">
        <v>1</v>
      </c>
    </row>
    <row r="3492" spans="1:26" x14ac:dyDescent="0.2">
      <c r="A3492" t="s">
        <v>3610</v>
      </c>
      <c r="B3492" t="s">
        <v>60</v>
      </c>
      <c r="C3492">
        <v>2018</v>
      </c>
      <c r="D3492" t="s">
        <v>90</v>
      </c>
      <c r="E3492" t="s">
        <v>23</v>
      </c>
      <c r="F3492" t="s">
        <v>91</v>
      </c>
      <c r="G3492">
        <v>31876</v>
      </c>
      <c r="H3492">
        <v>25500.800000000003</v>
      </c>
      <c r="I3492" s="13">
        <v>0.8</v>
      </c>
      <c r="J3492" t="s">
        <v>6208</v>
      </c>
      <c r="K3492">
        <v>1</v>
      </c>
      <c r="L3492">
        <v>0</v>
      </c>
      <c r="M3492" t="s">
        <v>0</v>
      </c>
      <c r="N3492" s="2">
        <v>0.35</v>
      </c>
      <c r="O3492" s="2">
        <v>0.65</v>
      </c>
      <c r="P3492">
        <v>8</v>
      </c>
      <c r="Q3492">
        <v>18</v>
      </c>
      <c r="R3492">
        <v>2</v>
      </c>
      <c r="S3492">
        <v>9</v>
      </c>
      <c r="T3492">
        <v>12</v>
      </c>
      <c r="U3492">
        <v>8</v>
      </c>
      <c r="V3492">
        <v>3</v>
      </c>
      <c r="W3492">
        <v>2</v>
      </c>
      <c r="X3492">
        <v>0</v>
      </c>
      <c r="Y3492">
        <v>0</v>
      </c>
      <c r="Z3492">
        <v>0</v>
      </c>
    </row>
    <row r="3493" spans="1:26" x14ac:dyDescent="0.2">
      <c r="A3493" t="s">
        <v>3611</v>
      </c>
      <c r="B3493" t="s">
        <v>68</v>
      </c>
      <c r="C3493">
        <v>2018</v>
      </c>
      <c r="D3493" t="s">
        <v>85</v>
      </c>
      <c r="E3493" t="s">
        <v>86</v>
      </c>
      <c r="F3493" t="s">
        <v>85</v>
      </c>
      <c r="G3493">
        <v>22220</v>
      </c>
      <c r="H3493">
        <v>17776</v>
      </c>
      <c r="I3493" s="13">
        <v>0.5</v>
      </c>
      <c r="J3493" t="s">
        <v>6207</v>
      </c>
      <c r="K3493">
        <v>0</v>
      </c>
      <c r="L3493">
        <v>4</v>
      </c>
      <c r="M3493" t="s">
        <v>1</v>
      </c>
      <c r="N3493" s="2">
        <v>0.47</v>
      </c>
      <c r="O3493" s="2">
        <v>0.53</v>
      </c>
      <c r="P3493">
        <v>11</v>
      </c>
      <c r="Q3493">
        <v>11</v>
      </c>
      <c r="R3493">
        <v>10</v>
      </c>
      <c r="S3493">
        <v>7</v>
      </c>
      <c r="T3493">
        <v>11</v>
      </c>
      <c r="U3493">
        <v>9</v>
      </c>
      <c r="V3493">
        <v>4</v>
      </c>
      <c r="W3493">
        <v>1</v>
      </c>
      <c r="X3493">
        <v>1</v>
      </c>
      <c r="Y3493">
        <v>0</v>
      </c>
      <c r="Z3493">
        <v>1</v>
      </c>
    </row>
    <row r="3494" spans="1:26" x14ac:dyDescent="0.2">
      <c r="A3494" t="s">
        <v>3612</v>
      </c>
      <c r="B3494" t="s">
        <v>41</v>
      </c>
      <c r="C3494">
        <v>2018</v>
      </c>
      <c r="D3494" t="s">
        <v>51</v>
      </c>
      <c r="E3494" t="s">
        <v>78</v>
      </c>
      <c r="F3494" t="s">
        <v>20</v>
      </c>
      <c r="G3494">
        <v>36284</v>
      </c>
      <c r="H3494">
        <v>29027.200000000001</v>
      </c>
      <c r="I3494" s="13">
        <v>0.6</v>
      </c>
      <c r="J3494" t="s">
        <v>6207</v>
      </c>
      <c r="K3494">
        <v>1</v>
      </c>
      <c r="L3494">
        <v>0</v>
      </c>
      <c r="M3494" t="s">
        <v>0</v>
      </c>
      <c r="N3494" s="2">
        <v>0.76</v>
      </c>
      <c r="O3494" s="2">
        <v>0.24</v>
      </c>
      <c r="P3494">
        <v>14</v>
      </c>
      <c r="Q3494">
        <v>7</v>
      </c>
      <c r="R3494">
        <v>6</v>
      </c>
      <c r="S3494">
        <v>2</v>
      </c>
      <c r="T3494">
        <v>7</v>
      </c>
      <c r="U3494">
        <v>11</v>
      </c>
      <c r="V3494">
        <v>3</v>
      </c>
      <c r="W3494">
        <v>1</v>
      </c>
      <c r="X3494">
        <v>0</v>
      </c>
      <c r="Y3494">
        <v>1</v>
      </c>
      <c r="Z3494">
        <v>0</v>
      </c>
    </row>
    <row r="3495" spans="1:26" x14ac:dyDescent="0.2">
      <c r="A3495" t="s">
        <v>3613</v>
      </c>
      <c r="B3495" t="s">
        <v>37</v>
      </c>
      <c r="C3495">
        <v>2018</v>
      </c>
      <c r="D3495" t="s">
        <v>80</v>
      </c>
      <c r="E3495" t="s">
        <v>45</v>
      </c>
      <c r="F3495" t="s">
        <v>80</v>
      </c>
      <c r="G3495">
        <v>32261</v>
      </c>
      <c r="H3495">
        <v>25808.800000000003</v>
      </c>
      <c r="I3495" s="13">
        <v>0.4</v>
      </c>
      <c r="J3495" t="s">
        <v>6206</v>
      </c>
      <c r="K3495">
        <v>1</v>
      </c>
      <c r="L3495">
        <v>2</v>
      </c>
      <c r="M3495" t="s">
        <v>1</v>
      </c>
      <c r="N3495" s="2">
        <v>0.51</v>
      </c>
      <c r="O3495" s="2">
        <v>0.49</v>
      </c>
      <c r="P3495">
        <v>11</v>
      </c>
      <c r="Q3495">
        <v>15</v>
      </c>
      <c r="R3495">
        <v>2</v>
      </c>
      <c r="S3495">
        <v>10</v>
      </c>
      <c r="T3495">
        <v>10</v>
      </c>
      <c r="U3495">
        <v>11</v>
      </c>
      <c r="V3495">
        <v>3</v>
      </c>
      <c r="W3495">
        <v>1</v>
      </c>
      <c r="X3495">
        <v>1</v>
      </c>
      <c r="Y3495">
        <v>0</v>
      </c>
      <c r="Z3495">
        <v>0</v>
      </c>
    </row>
    <row r="3496" spans="1:26" x14ac:dyDescent="0.2">
      <c r="A3496" t="s">
        <v>3614</v>
      </c>
      <c r="B3496" t="s">
        <v>66</v>
      </c>
      <c r="C3496">
        <v>2018</v>
      </c>
      <c r="D3496" t="s">
        <v>79</v>
      </c>
      <c r="E3496" t="s">
        <v>22</v>
      </c>
      <c r="F3496" t="s">
        <v>20</v>
      </c>
      <c r="G3496">
        <v>25486</v>
      </c>
      <c r="H3496">
        <v>20388.800000000003</v>
      </c>
      <c r="I3496" s="13">
        <v>0.42857142857142855</v>
      </c>
      <c r="J3496" t="s">
        <v>6207</v>
      </c>
      <c r="K3496">
        <v>0</v>
      </c>
      <c r="L3496">
        <v>1</v>
      </c>
      <c r="M3496" t="s">
        <v>1</v>
      </c>
      <c r="N3496" s="2">
        <v>0.67</v>
      </c>
      <c r="O3496" s="2">
        <v>0.33</v>
      </c>
      <c r="P3496">
        <v>14</v>
      </c>
      <c r="Q3496">
        <v>12</v>
      </c>
      <c r="R3496">
        <v>6</v>
      </c>
      <c r="S3496">
        <v>3</v>
      </c>
      <c r="T3496">
        <v>11</v>
      </c>
      <c r="U3496">
        <v>13</v>
      </c>
      <c r="V3496">
        <v>3</v>
      </c>
      <c r="W3496">
        <v>4</v>
      </c>
      <c r="X3496">
        <v>0</v>
      </c>
      <c r="Y3496">
        <v>0</v>
      </c>
      <c r="Z3496">
        <v>0</v>
      </c>
    </row>
    <row r="3497" spans="1:26" x14ac:dyDescent="0.2">
      <c r="A3497" t="s">
        <v>3615</v>
      </c>
      <c r="B3497" t="s">
        <v>88</v>
      </c>
      <c r="C3497">
        <v>2018</v>
      </c>
      <c r="D3497" t="s">
        <v>28</v>
      </c>
      <c r="E3497" t="s">
        <v>89</v>
      </c>
      <c r="F3497" t="s">
        <v>28</v>
      </c>
      <c r="G3497">
        <v>21944</v>
      </c>
      <c r="H3497">
        <v>17555.2</v>
      </c>
      <c r="I3497" s="13">
        <v>0.5</v>
      </c>
      <c r="J3497" t="s">
        <v>6207</v>
      </c>
      <c r="K3497">
        <v>1</v>
      </c>
      <c r="L3497">
        <v>1</v>
      </c>
      <c r="M3497" t="s">
        <v>58</v>
      </c>
      <c r="N3497" s="2">
        <v>0.32</v>
      </c>
      <c r="O3497" s="2">
        <v>0.68</v>
      </c>
      <c r="P3497">
        <v>11</v>
      </c>
      <c r="Q3497">
        <v>11</v>
      </c>
      <c r="R3497">
        <v>1</v>
      </c>
      <c r="S3497">
        <v>10</v>
      </c>
      <c r="T3497">
        <v>9</v>
      </c>
      <c r="U3497">
        <v>11</v>
      </c>
      <c r="V3497">
        <v>2</v>
      </c>
      <c r="W3497">
        <v>2</v>
      </c>
      <c r="X3497">
        <v>0</v>
      </c>
      <c r="Y3497">
        <v>0</v>
      </c>
      <c r="Z3497">
        <v>0</v>
      </c>
    </row>
    <row r="3498" spans="1:26" x14ac:dyDescent="0.2">
      <c r="A3498" t="s">
        <v>3616</v>
      </c>
      <c r="B3498" t="s">
        <v>61</v>
      </c>
      <c r="C3498">
        <v>2018</v>
      </c>
      <c r="D3498" t="s">
        <v>48</v>
      </c>
      <c r="E3498" t="s">
        <v>64</v>
      </c>
      <c r="F3498" t="s">
        <v>49</v>
      </c>
      <c r="G3498">
        <v>74197</v>
      </c>
      <c r="H3498">
        <v>59357.600000000006</v>
      </c>
      <c r="I3498" s="13">
        <v>0.5</v>
      </c>
      <c r="J3498" t="s">
        <v>6207</v>
      </c>
      <c r="K3498">
        <v>3</v>
      </c>
      <c r="L3498">
        <v>2</v>
      </c>
      <c r="M3498" t="s">
        <v>0</v>
      </c>
      <c r="N3498" s="2">
        <v>0.73</v>
      </c>
      <c r="O3498" s="2">
        <v>0.27</v>
      </c>
      <c r="P3498">
        <v>9</v>
      </c>
      <c r="Q3498">
        <v>18</v>
      </c>
      <c r="R3498">
        <v>10</v>
      </c>
      <c r="S3498">
        <v>6</v>
      </c>
      <c r="T3498">
        <v>16</v>
      </c>
      <c r="U3498">
        <v>8</v>
      </c>
      <c r="V3498">
        <v>2</v>
      </c>
      <c r="W3498">
        <v>2</v>
      </c>
      <c r="X3498">
        <v>0</v>
      </c>
      <c r="Y3498">
        <v>0</v>
      </c>
      <c r="Z3498">
        <v>0</v>
      </c>
    </row>
    <row r="3499" spans="1:26" x14ac:dyDescent="0.2">
      <c r="A3499" t="s">
        <v>3617</v>
      </c>
      <c r="B3499" t="s">
        <v>81</v>
      </c>
      <c r="C3499">
        <v>2018</v>
      </c>
      <c r="D3499" t="s">
        <v>31</v>
      </c>
      <c r="E3499" t="s">
        <v>46</v>
      </c>
      <c r="F3499" t="s">
        <v>20</v>
      </c>
      <c r="G3499">
        <v>28500</v>
      </c>
      <c r="H3499">
        <v>22800</v>
      </c>
      <c r="I3499" s="13">
        <v>1</v>
      </c>
      <c r="J3499" t="s">
        <v>6207</v>
      </c>
      <c r="K3499">
        <v>1</v>
      </c>
      <c r="L3499">
        <v>5</v>
      </c>
      <c r="M3499" t="s">
        <v>1</v>
      </c>
      <c r="N3499" s="2">
        <v>0.49</v>
      </c>
      <c r="O3499" s="2">
        <v>0.51</v>
      </c>
      <c r="P3499">
        <v>13</v>
      </c>
      <c r="Q3499">
        <v>15</v>
      </c>
      <c r="R3499">
        <v>4</v>
      </c>
      <c r="S3499">
        <v>2</v>
      </c>
      <c r="T3499">
        <v>11</v>
      </c>
      <c r="U3499">
        <v>12</v>
      </c>
      <c r="V3499">
        <v>2</v>
      </c>
      <c r="W3499">
        <v>0</v>
      </c>
      <c r="X3499">
        <v>0</v>
      </c>
      <c r="Y3499">
        <v>0</v>
      </c>
      <c r="Z3499">
        <v>0</v>
      </c>
    </row>
    <row r="3500" spans="1:26" x14ac:dyDescent="0.2">
      <c r="A3500" t="s">
        <v>3618</v>
      </c>
      <c r="B3500" t="s">
        <v>76</v>
      </c>
      <c r="C3500">
        <v>2018</v>
      </c>
      <c r="D3500" t="s">
        <v>73</v>
      </c>
      <c r="E3500" t="s">
        <v>18</v>
      </c>
      <c r="F3500" t="s">
        <v>73</v>
      </c>
      <c r="G3500">
        <v>32384</v>
      </c>
      <c r="H3500">
        <v>25907.200000000001</v>
      </c>
      <c r="I3500" s="13">
        <v>0.5</v>
      </c>
      <c r="J3500" t="s">
        <v>6207</v>
      </c>
      <c r="K3500">
        <v>0</v>
      </c>
      <c r="L3500">
        <v>3</v>
      </c>
      <c r="M3500" t="s">
        <v>1</v>
      </c>
      <c r="N3500" s="2">
        <v>0.35</v>
      </c>
      <c r="O3500" s="2">
        <v>0.65</v>
      </c>
      <c r="P3500">
        <v>11</v>
      </c>
      <c r="Q3500">
        <v>13</v>
      </c>
      <c r="R3500">
        <v>4</v>
      </c>
      <c r="S3500">
        <v>12</v>
      </c>
      <c r="T3500">
        <v>13</v>
      </c>
      <c r="U3500">
        <v>11</v>
      </c>
      <c r="V3500">
        <v>6</v>
      </c>
      <c r="W3500">
        <v>0</v>
      </c>
      <c r="X3500">
        <v>0</v>
      </c>
      <c r="Y3500">
        <v>0</v>
      </c>
      <c r="Z3500">
        <v>0</v>
      </c>
    </row>
    <row r="3501" spans="1:26" x14ac:dyDescent="0.2">
      <c r="A3501" t="s">
        <v>3619</v>
      </c>
      <c r="B3501" t="s">
        <v>32</v>
      </c>
      <c r="C3501">
        <v>2018</v>
      </c>
      <c r="D3501" t="s">
        <v>26</v>
      </c>
      <c r="E3501" t="s">
        <v>40</v>
      </c>
      <c r="F3501" t="s">
        <v>26</v>
      </c>
      <c r="G3501">
        <v>61276</v>
      </c>
      <c r="H3501">
        <v>49020.800000000003</v>
      </c>
      <c r="I3501" s="13">
        <v>1</v>
      </c>
      <c r="J3501" t="s">
        <v>6207</v>
      </c>
      <c r="K3501">
        <v>0</v>
      </c>
      <c r="L3501">
        <v>0</v>
      </c>
      <c r="M3501" t="s">
        <v>58</v>
      </c>
      <c r="N3501" s="2">
        <v>0.49</v>
      </c>
      <c r="O3501" s="2">
        <v>0.51</v>
      </c>
      <c r="P3501">
        <v>15</v>
      </c>
      <c r="Q3501">
        <v>11</v>
      </c>
      <c r="R3501">
        <v>2</v>
      </c>
      <c r="S3501">
        <v>6</v>
      </c>
      <c r="T3501">
        <v>10</v>
      </c>
      <c r="U3501">
        <v>10</v>
      </c>
      <c r="V3501">
        <v>1</v>
      </c>
      <c r="W3501">
        <v>3</v>
      </c>
      <c r="X3501">
        <v>0</v>
      </c>
      <c r="Y3501">
        <v>0</v>
      </c>
      <c r="Z3501">
        <v>1</v>
      </c>
    </row>
    <row r="3502" spans="1:26" x14ac:dyDescent="0.2">
      <c r="A3502" t="s">
        <v>3620</v>
      </c>
      <c r="B3502" t="s">
        <v>41</v>
      </c>
      <c r="C3502">
        <v>2018</v>
      </c>
      <c r="D3502" t="s">
        <v>18</v>
      </c>
      <c r="E3502" t="s">
        <v>48</v>
      </c>
      <c r="F3502" t="s">
        <v>20</v>
      </c>
      <c r="G3502">
        <v>40341</v>
      </c>
      <c r="H3502">
        <v>32272.800000000003</v>
      </c>
      <c r="I3502" s="13">
        <v>0.8571428571428571</v>
      </c>
      <c r="J3502" t="s">
        <v>6207</v>
      </c>
      <c r="K3502">
        <v>2</v>
      </c>
      <c r="L3502">
        <v>2</v>
      </c>
      <c r="M3502" t="s">
        <v>58</v>
      </c>
      <c r="N3502" s="2">
        <v>0.62</v>
      </c>
      <c r="O3502" s="2">
        <v>0.38</v>
      </c>
      <c r="P3502">
        <v>18</v>
      </c>
      <c r="Q3502">
        <v>11</v>
      </c>
      <c r="R3502">
        <v>5</v>
      </c>
      <c r="S3502">
        <v>3</v>
      </c>
      <c r="T3502">
        <v>9</v>
      </c>
      <c r="U3502">
        <v>17</v>
      </c>
      <c r="V3502">
        <v>2</v>
      </c>
      <c r="W3502">
        <v>5</v>
      </c>
      <c r="X3502">
        <v>0</v>
      </c>
      <c r="Y3502">
        <v>0</v>
      </c>
      <c r="Z3502">
        <v>0</v>
      </c>
    </row>
    <row r="3503" spans="1:26" x14ac:dyDescent="0.2">
      <c r="A3503" t="s">
        <v>3621</v>
      </c>
      <c r="B3503" t="s">
        <v>50</v>
      </c>
      <c r="C3503">
        <v>2018</v>
      </c>
      <c r="D3503" t="s">
        <v>22</v>
      </c>
      <c r="E3503" t="s">
        <v>85</v>
      </c>
      <c r="F3503" t="s">
        <v>24</v>
      </c>
      <c r="G3503">
        <v>31750</v>
      </c>
      <c r="H3503">
        <v>25400</v>
      </c>
      <c r="I3503" s="13">
        <v>0.5</v>
      </c>
      <c r="J3503" t="s">
        <v>6207</v>
      </c>
      <c r="K3503">
        <v>0</v>
      </c>
      <c r="L3503">
        <v>2</v>
      </c>
      <c r="M3503" t="s">
        <v>1</v>
      </c>
      <c r="N3503" s="2">
        <v>0.45</v>
      </c>
      <c r="O3503" s="2">
        <v>0.55000000000000004</v>
      </c>
      <c r="P3503">
        <v>14</v>
      </c>
      <c r="Q3503">
        <v>25</v>
      </c>
      <c r="R3503">
        <v>8</v>
      </c>
      <c r="S3503">
        <v>2</v>
      </c>
      <c r="T3503">
        <v>23</v>
      </c>
      <c r="U3503">
        <v>13</v>
      </c>
      <c r="V3503">
        <v>3</v>
      </c>
      <c r="W3503">
        <v>1</v>
      </c>
      <c r="X3503">
        <v>0</v>
      </c>
      <c r="Y3503">
        <v>0</v>
      </c>
      <c r="Z3503">
        <v>0</v>
      </c>
    </row>
    <row r="3504" spans="1:26" x14ac:dyDescent="0.2">
      <c r="A3504" t="s">
        <v>3622</v>
      </c>
      <c r="B3504" t="s">
        <v>32</v>
      </c>
      <c r="C3504">
        <v>2018</v>
      </c>
      <c r="D3504" t="s">
        <v>23</v>
      </c>
      <c r="E3504" t="s">
        <v>51</v>
      </c>
      <c r="F3504" t="s">
        <v>20</v>
      </c>
      <c r="G3504">
        <v>62500</v>
      </c>
      <c r="H3504">
        <v>50000</v>
      </c>
      <c r="I3504" s="13">
        <v>0.33333333333333331</v>
      </c>
      <c r="J3504" t="s">
        <v>6207</v>
      </c>
      <c r="K3504">
        <v>0</v>
      </c>
      <c r="L3504">
        <v>1</v>
      </c>
      <c r="M3504" t="s">
        <v>1</v>
      </c>
      <c r="N3504" s="2">
        <v>0.44</v>
      </c>
      <c r="O3504" s="2">
        <v>0.56000000000000005</v>
      </c>
      <c r="P3504">
        <v>11</v>
      </c>
      <c r="Q3504">
        <v>11</v>
      </c>
      <c r="R3504">
        <v>10</v>
      </c>
      <c r="S3504">
        <v>6</v>
      </c>
      <c r="T3504">
        <v>8</v>
      </c>
      <c r="U3504">
        <v>10</v>
      </c>
      <c r="V3504">
        <v>3</v>
      </c>
      <c r="W3504">
        <v>0</v>
      </c>
      <c r="X3504">
        <v>0</v>
      </c>
      <c r="Y3504">
        <v>0</v>
      </c>
      <c r="Z3504">
        <v>0</v>
      </c>
    </row>
    <row r="3505" spans="1:26" x14ac:dyDescent="0.2">
      <c r="A3505" t="s">
        <v>3623</v>
      </c>
      <c r="B3505" t="s">
        <v>37</v>
      </c>
      <c r="C3505">
        <v>2018</v>
      </c>
      <c r="D3505" t="s">
        <v>64</v>
      </c>
      <c r="E3505" t="s">
        <v>90</v>
      </c>
      <c r="F3505" t="s">
        <v>64</v>
      </c>
      <c r="G3505">
        <v>52264</v>
      </c>
      <c r="H3505">
        <v>41811.200000000004</v>
      </c>
      <c r="I3505" s="13">
        <v>1</v>
      </c>
      <c r="J3505" t="s">
        <v>6206</v>
      </c>
      <c r="K3505">
        <v>0</v>
      </c>
      <c r="L3505">
        <v>1</v>
      </c>
      <c r="M3505" t="s">
        <v>1</v>
      </c>
      <c r="N3505" s="2">
        <v>0.68</v>
      </c>
      <c r="O3505" s="2">
        <v>0.32</v>
      </c>
      <c r="P3505">
        <v>19</v>
      </c>
      <c r="Q3505">
        <v>11</v>
      </c>
      <c r="R3505">
        <v>10</v>
      </c>
      <c r="S3505">
        <v>2</v>
      </c>
      <c r="T3505">
        <v>13</v>
      </c>
      <c r="U3505">
        <v>17</v>
      </c>
      <c r="V3505">
        <v>0</v>
      </c>
      <c r="W3505">
        <v>2</v>
      </c>
      <c r="X3505">
        <v>0</v>
      </c>
      <c r="Y3505">
        <v>0</v>
      </c>
      <c r="Z3505">
        <v>0</v>
      </c>
    </row>
    <row r="3506" spans="1:26" x14ac:dyDescent="0.2">
      <c r="A3506" t="s">
        <v>3624</v>
      </c>
      <c r="B3506" t="s">
        <v>68</v>
      </c>
      <c r="C3506">
        <v>2018</v>
      </c>
      <c r="D3506" t="s">
        <v>40</v>
      </c>
      <c r="E3506" t="s">
        <v>28</v>
      </c>
      <c r="F3506" t="s">
        <v>49</v>
      </c>
      <c r="G3506">
        <v>53400</v>
      </c>
      <c r="H3506">
        <v>42720</v>
      </c>
      <c r="I3506" s="13">
        <v>0.75</v>
      </c>
      <c r="J3506" t="s">
        <v>6207</v>
      </c>
      <c r="K3506">
        <v>5</v>
      </c>
      <c r="L3506">
        <v>0</v>
      </c>
      <c r="M3506" t="s">
        <v>0</v>
      </c>
      <c r="N3506" s="2">
        <v>0.69</v>
      </c>
      <c r="O3506" s="2">
        <v>0.31</v>
      </c>
      <c r="P3506">
        <v>5</v>
      </c>
      <c r="Q3506">
        <v>10</v>
      </c>
      <c r="R3506">
        <v>10</v>
      </c>
      <c r="S3506">
        <v>1</v>
      </c>
      <c r="T3506">
        <v>11</v>
      </c>
      <c r="U3506">
        <v>5</v>
      </c>
      <c r="V3506">
        <v>2</v>
      </c>
      <c r="W3506">
        <v>2</v>
      </c>
      <c r="X3506">
        <v>0</v>
      </c>
      <c r="Y3506">
        <v>0</v>
      </c>
      <c r="Z3506">
        <v>0</v>
      </c>
    </row>
    <row r="3507" spans="1:26" x14ac:dyDescent="0.2">
      <c r="A3507" t="s">
        <v>3625</v>
      </c>
      <c r="B3507" t="s">
        <v>60</v>
      </c>
      <c r="C3507">
        <v>2018</v>
      </c>
      <c r="D3507" t="s">
        <v>78</v>
      </c>
      <c r="E3507" t="s">
        <v>31</v>
      </c>
      <c r="F3507" t="s">
        <v>78</v>
      </c>
      <c r="G3507">
        <v>33280</v>
      </c>
      <c r="H3507">
        <v>26624</v>
      </c>
      <c r="I3507" s="13">
        <v>0.5</v>
      </c>
      <c r="J3507" t="s">
        <v>6208</v>
      </c>
      <c r="K3507">
        <v>4</v>
      </c>
      <c r="L3507">
        <v>2</v>
      </c>
      <c r="M3507" t="s">
        <v>0</v>
      </c>
      <c r="N3507" s="2">
        <v>0.4</v>
      </c>
      <c r="O3507" s="2">
        <v>0.6</v>
      </c>
      <c r="P3507">
        <v>15</v>
      </c>
      <c r="Q3507">
        <v>15</v>
      </c>
      <c r="R3507">
        <v>4</v>
      </c>
      <c r="S3507">
        <v>4</v>
      </c>
      <c r="T3507">
        <v>15</v>
      </c>
      <c r="U3507">
        <v>16</v>
      </c>
      <c r="V3507">
        <v>3</v>
      </c>
      <c r="W3507">
        <v>3</v>
      </c>
      <c r="X3507">
        <v>0</v>
      </c>
      <c r="Y3507">
        <v>0</v>
      </c>
      <c r="Z3507">
        <v>0</v>
      </c>
    </row>
    <row r="3508" spans="1:26" x14ac:dyDescent="0.2">
      <c r="A3508" t="s">
        <v>3626</v>
      </c>
      <c r="B3508" t="s">
        <v>54</v>
      </c>
      <c r="C3508">
        <v>2018</v>
      </c>
      <c r="D3508" t="s">
        <v>86</v>
      </c>
      <c r="E3508" t="s">
        <v>73</v>
      </c>
      <c r="F3508" t="s">
        <v>86</v>
      </c>
      <c r="G3508">
        <v>11364</v>
      </c>
      <c r="H3508">
        <v>9091.2000000000007</v>
      </c>
      <c r="I3508" s="13">
        <v>0.33333333333333331</v>
      </c>
      <c r="J3508" t="s">
        <v>6206</v>
      </c>
      <c r="K3508">
        <v>0</v>
      </c>
      <c r="L3508">
        <v>0</v>
      </c>
      <c r="M3508" t="s">
        <v>58</v>
      </c>
      <c r="N3508" s="2">
        <v>0.56999999999999995</v>
      </c>
      <c r="O3508" s="2">
        <v>0.43</v>
      </c>
      <c r="P3508">
        <v>18</v>
      </c>
      <c r="Q3508">
        <v>11</v>
      </c>
      <c r="R3508">
        <v>6</v>
      </c>
      <c r="S3508">
        <v>4</v>
      </c>
      <c r="T3508">
        <v>11</v>
      </c>
      <c r="U3508">
        <v>14</v>
      </c>
      <c r="V3508">
        <v>1</v>
      </c>
      <c r="W3508">
        <v>2</v>
      </c>
      <c r="X3508">
        <v>0</v>
      </c>
      <c r="Y3508">
        <v>0</v>
      </c>
      <c r="Z3508">
        <v>0</v>
      </c>
    </row>
    <row r="3509" spans="1:26" x14ac:dyDescent="0.2">
      <c r="A3509" t="s">
        <v>3627</v>
      </c>
      <c r="B3509" t="s">
        <v>66</v>
      </c>
      <c r="C3509">
        <v>2018</v>
      </c>
      <c r="D3509" t="s">
        <v>89</v>
      </c>
      <c r="E3509" t="s">
        <v>26</v>
      </c>
      <c r="F3509" t="s">
        <v>89</v>
      </c>
      <c r="G3509">
        <v>24500</v>
      </c>
      <c r="H3509">
        <v>19600</v>
      </c>
      <c r="I3509" s="13">
        <v>0</v>
      </c>
      <c r="J3509" t="s">
        <v>6207</v>
      </c>
      <c r="K3509">
        <v>0</v>
      </c>
      <c r="L3509">
        <v>1</v>
      </c>
      <c r="M3509" t="s">
        <v>1</v>
      </c>
      <c r="N3509" s="2">
        <v>0.48</v>
      </c>
      <c r="O3509" s="2">
        <v>0.52</v>
      </c>
      <c r="P3509">
        <v>7</v>
      </c>
      <c r="Q3509">
        <v>12</v>
      </c>
      <c r="R3509">
        <v>2</v>
      </c>
      <c r="S3509">
        <v>4</v>
      </c>
      <c r="T3509">
        <v>9</v>
      </c>
      <c r="U3509">
        <v>6</v>
      </c>
      <c r="V3509">
        <v>0</v>
      </c>
      <c r="W3509">
        <v>2</v>
      </c>
      <c r="X3509">
        <v>0</v>
      </c>
      <c r="Y3509">
        <v>0</v>
      </c>
      <c r="Z3509">
        <v>0</v>
      </c>
    </row>
    <row r="3510" spans="1:26" x14ac:dyDescent="0.2">
      <c r="A3510" t="s">
        <v>3628</v>
      </c>
      <c r="B3510" t="s">
        <v>61</v>
      </c>
      <c r="C3510">
        <v>2018</v>
      </c>
      <c r="D3510" t="s">
        <v>45</v>
      </c>
      <c r="E3510" t="s">
        <v>79</v>
      </c>
      <c r="F3510" t="s">
        <v>26</v>
      </c>
      <c r="G3510">
        <v>39572</v>
      </c>
      <c r="H3510">
        <v>31657.600000000002</v>
      </c>
      <c r="I3510" s="13">
        <v>1</v>
      </c>
      <c r="J3510" t="s">
        <v>6207</v>
      </c>
      <c r="K3510">
        <v>2</v>
      </c>
      <c r="L3510">
        <v>0</v>
      </c>
      <c r="M3510" t="s">
        <v>0</v>
      </c>
      <c r="N3510" s="2">
        <v>0.6</v>
      </c>
      <c r="O3510" s="2">
        <v>0.4</v>
      </c>
      <c r="P3510">
        <v>17</v>
      </c>
      <c r="Q3510">
        <v>13</v>
      </c>
      <c r="R3510">
        <v>10</v>
      </c>
      <c r="S3510">
        <v>5</v>
      </c>
      <c r="T3510">
        <v>13</v>
      </c>
      <c r="U3510">
        <v>17</v>
      </c>
      <c r="V3510">
        <v>2</v>
      </c>
      <c r="W3510">
        <v>1</v>
      </c>
      <c r="X3510">
        <v>0</v>
      </c>
      <c r="Y3510">
        <v>0</v>
      </c>
      <c r="Z3510">
        <v>1</v>
      </c>
    </row>
    <row r="3511" spans="1:26" x14ac:dyDescent="0.2">
      <c r="A3511" t="s">
        <v>3629</v>
      </c>
      <c r="B3511" t="s">
        <v>88</v>
      </c>
      <c r="C3511">
        <v>2018</v>
      </c>
      <c r="D3511" t="s">
        <v>46</v>
      </c>
      <c r="E3511" t="s">
        <v>80</v>
      </c>
      <c r="F3511" t="s">
        <v>20</v>
      </c>
      <c r="G3511">
        <v>60704</v>
      </c>
      <c r="H3511">
        <v>48563.200000000004</v>
      </c>
      <c r="I3511" s="13">
        <v>0.5</v>
      </c>
      <c r="J3511" t="s">
        <v>6207</v>
      </c>
      <c r="K3511">
        <v>3</v>
      </c>
      <c r="L3511">
        <v>1</v>
      </c>
      <c r="M3511" t="s">
        <v>0</v>
      </c>
      <c r="N3511" s="2">
        <v>0.69</v>
      </c>
      <c r="O3511" s="2">
        <v>0.31</v>
      </c>
      <c r="P3511">
        <v>11</v>
      </c>
      <c r="Q3511">
        <v>12</v>
      </c>
      <c r="R3511">
        <v>6</v>
      </c>
      <c r="S3511">
        <v>4</v>
      </c>
      <c r="T3511">
        <v>10</v>
      </c>
      <c r="U3511">
        <v>10</v>
      </c>
      <c r="V3511">
        <v>2</v>
      </c>
      <c r="W3511">
        <v>2</v>
      </c>
      <c r="X3511">
        <v>0</v>
      </c>
      <c r="Y3511">
        <v>0</v>
      </c>
      <c r="Z3511">
        <v>0</v>
      </c>
    </row>
    <row r="3512" spans="1:26" x14ac:dyDescent="0.2">
      <c r="A3512" t="s">
        <v>3630</v>
      </c>
      <c r="B3512" t="s">
        <v>41</v>
      </c>
      <c r="C3512">
        <v>2018</v>
      </c>
      <c r="D3512" t="s">
        <v>85</v>
      </c>
      <c r="E3512" t="s">
        <v>89</v>
      </c>
      <c r="F3512" t="s">
        <v>85</v>
      </c>
      <c r="G3512">
        <v>22220</v>
      </c>
      <c r="H3512">
        <v>17776</v>
      </c>
      <c r="I3512" s="13">
        <v>1</v>
      </c>
      <c r="J3512" t="s">
        <v>6207</v>
      </c>
      <c r="K3512">
        <v>3</v>
      </c>
      <c r="L3512">
        <v>0</v>
      </c>
      <c r="M3512" t="s">
        <v>0</v>
      </c>
      <c r="N3512" s="2">
        <v>0.48</v>
      </c>
      <c r="O3512" s="2">
        <v>0.52</v>
      </c>
      <c r="P3512">
        <v>16</v>
      </c>
      <c r="Q3512">
        <v>12</v>
      </c>
      <c r="R3512">
        <v>3</v>
      </c>
      <c r="S3512">
        <v>3</v>
      </c>
      <c r="T3512">
        <v>9</v>
      </c>
      <c r="U3512">
        <v>13</v>
      </c>
      <c r="V3512">
        <v>1</v>
      </c>
      <c r="W3512">
        <v>2</v>
      </c>
      <c r="X3512">
        <v>0</v>
      </c>
      <c r="Y3512">
        <v>0</v>
      </c>
      <c r="Z3512">
        <v>0</v>
      </c>
    </row>
    <row r="3513" spans="1:26" x14ac:dyDescent="0.2">
      <c r="A3513" t="s">
        <v>3631</v>
      </c>
      <c r="B3513" t="s">
        <v>88</v>
      </c>
      <c r="C3513">
        <v>2018</v>
      </c>
      <c r="D3513" t="s">
        <v>73</v>
      </c>
      <c r="E3513" t="s">
        <v>64</v>
      </c>
      <c r="F3513" t="s">
        <v>73</v>
      </c>
      <c r="G3513">
        <v>32384</v>
      </c>
      <c r="H3513">
        <v>25907.200000000001</v>
      </c>
      <c r="I3513" s="13">
        <v>1</v>
      </c>
      <c r="J3513" t="s">
        <v>6207</v>
      </c>
      <c r="K3513">
        <v>0</v>
      </c>
      <c r="L3513">
        <v>0</v>
      </c>
      <c r="M3513" t="s">
        <v>58</v>
      </c>
      <c r="N3513" s="2">
        <v>0.5</v>
      </c>
      <c r="O3513" s="2">
        <v>0.5</v>
      </c>
      <c r="P3513">
        <v>15</v>
      </c>
      <c r="Q3513">
        <v>10</v>
      </c>
      <c r="R3513">
        <v>7</v>
      </c>
      <c r="S3513">
        <v>2</v>
      </c>
      <c r="T3513">
        <v>9</v>
      </c>
      <c r="U3513">
        <v>12</v>
      </c>
      <c r="V3513">
        <v>0</v>
      </c>
      <c r="W3513">
        <v>1</v>
      </c>
      <c r="X3513">
        <v>0</v>
      </c>
      <c r="Y3513">
        <v>0</v>
      </c>
      <c r="Z3513">
        <v>0</v>
      </c>
    </row>
    <row r="3514" spans="1:26" x14ac:dyDescent="0.2">
      <c r="A3514" t="s">
        <v>3632</v>
      </c>
      <c r="B3514" t="s">
        <v>59</v>
      </c>
      <c r="C3514">
        <v>2018</v>
      </c>
      <c r="D3514" t="s">
        <v>26</v>
      </c>
      <c r="E3514" t="s">
        <v>78</v>
      </c>
      <c r="F3514" t="s">
        <v>26</v>
      </c>
      <c r="G3514">
        <v>61276</v>
      </c>
      <c r="H3514">
        <v>49020.800000000003</v>
      </c>
      <c r="I3514" s="13">
        <v>0</v>
      </c>
      <c r="J3514" t="s">
        <v>6206</v>
      </c>
      <c r="K3514">
        <v>4</v>
      </c>
      <c r="L3514">
        <v>1</v>
      </c>
      <c r="M3514" t="s">
        <v>0</v>
      </c>
      <c r="N3514" s="2">
        <v>0.8</v>
      </c>
      <c r="O3514" s="2">
        <v>0.2</v>
      </c>
      <c r="P3514">
        <v>8</v>
      </c>
      <c r="Q3514">
        <v>6</v>
      </c>
      <c r="R3514">
        <v>8</v>
      </c>
      <c r="S3514">
        <v>0</v>
      </c>
      <c r="T3514">
        <v>6</v>
      </c>
      <c r="U3514">
        <v>4</v>
      </c>
      <c r="V3514">
        <v>0</v>
      </c>
      <c r="W3514">
        <v>0</v>
      </c>
      <c r="X3514">
        <v>0</v>
      </c>
      <c r="Y3514">
        <v>0</v>
      </c>
      <c r="Z3514">
        <v>0</v>
      </c>
    </row>
    <row r="3515" spans="1:26" x14ac:dyDescent="0.2">
      <c r="A3515" t="s">
        <v>3633</v>
      </c>
      <c r="B3515" t="s">
        <v>37</v>
      </c>
      <c r="C3515">
        <v>2018</v>
      </c>
      <c r="D3515" t="s">
        <v>31</v>
      </c>
      <c r="E3515" t="s">
        <v>86</v>
      </c>
      <c r="F3515" t="s">
        <v>20</v>
      </c>
      <c r="G3515">
        <v>28500</v>
      </c>
      <c r="H3515">
        <v>22800</v>
      </c>
      <c r="I3515" s="13">
        <v>0.4</v>
      </c>
      <c r="J3515" t="s">
        <v>6206</v>
      </c>
      <c r="K3515">
        <v>0</v>
      </c>
      <c r="L3515">
        <v>3</v>
      </c>
      <c r="M3515" t="s">
        <v>1</v>
      </c>
      <c r="N3515" s="2">
        <v>0.52</v>
      </c>
      <c r="O3515" s="2">
        <v>0.48</v>
      </c>
      <c r="P3515">
        <v>4</v>
      </c>
      <c r="Q3515">
        <v>16</v>
      </c>
      <c r="R3515">
        <v>5</v>
      </c>
      <c r="S3515">
        <v>5</v>
      </c>
      <c r="T3515">
        <v>16</v>
      </c>
      <c r="U3515">
        <v>3</v>
      </c>
      <c r="V3515">
        <v>3</v>
      </c>
      <c r="W3515">
        <v>1</v>
      </c>
      <c r="X3515">
        <v>1</v>
      </c>
      <c r="Y3515">
        <v>0</v>
      </c>
      <c r="Z3515">
        <v>1</v>
      </c>
    </row>
    <row r="3516" spans="1:26" x14ac:dyDescent="0.2">
      <c r="A3516" t="s">
        <v>3634</v>
      </c>
      <c r="B3516" t="s">
        <v>61</v>
      </c>
      <c r="C3516">
        <v>2018</v>
      </c>
      <c r="D3516" t="s">
        <v>90</v>
      </c>
      <c r="E3516" t="s">
        <v>22</v>
      </c>
      <c r="F3516" t="s">
        <v>91</v>
      </c>
      <c r="G3516">
        <v>31876</v>
      </c>
      <c r="H3516">
        <v>25500.800000000003</v>
      </c>
      <c r="I3516" s="13">
        <v>0.66666666666666663</v>
      </c>
      <c r="J3516" t="s">
        <v>6207</v>
      </c>
      <c r="K3516">
        <v>1</v>
      </c>
      <c r="L3516">
        <v>0</v>
      </c>
      <c r="M3516" t="s">
        <v>0</v>
      </c>
      <c r="N3516" s="2">
        <v>0.4</v>
      </c>
      <c r="O3516" s="2">
        <v>0.6</v>
      </c>
      <c r="P3516">
        <v>9</v>
      </c>
      <c r="Q3516">
        <v>11</v>
      </c>
      <c r="R3516">
        <v>1</v>
      </c>
      <c r="S3516">
        <v>10</v>
      </c>
      <c r="T3516">
        <v>11</v>
      </c>
      <c r="U3516">
        <v>8</v>
      </c>
      <c r="V3516">
        <v>3</v>
      </c>
      <c r="W3516">
        <v>0</v>
      </c>
      <c r="X3516">
        <v>0</v>
      </c>
      <c r="Y3516">
        <v>0</v>
      </c>
      <c r="Z3516">
        <v>0</v>
      </c>
    </row>
    <row r="3517" spans="1:26" x14ac:dyDescent="0.2">
      <c r="A3517" t="s">
        <v>3635</v>
      </c>
      <c r="B3517" t="s">
        <v>66</v>
      </c>
      <c r="C3517">
        <v>2018</v>
      </c>
      <c r="D3517" t="s">
        <v>80</v>
      </c>
      <c r="E3517" t="s">
        <v>23</v>
      </c>
      <c r="F3517" t="s">
        <v>80</v>
      </c>
      <c r="G3517">
        <v>32261</v>
      </c>
      <c r="H3517">
        <v>25808.800000000003</v>
      </c>
      <c r="I3517" s="13">
        <v>0.66666666666666663</v>
      </c>
      <c r="J3517" t="s">
        <v>6207</v>
      </c>
      <c r="K3517">
        <v>1</v>
      </c>
      <c r="L3517">
        <v>1</v>
      </c>
      <c r="M3517" t="s">
        <v>58</v>
      </c>
      <c r="N3517" s="2">
        <v>0.64</v>
      </c>
      <c r="O3517" s="2">
        <v>0.36</v>
      </c>
      <c r="P3517">
        <v>6</v>
      </c>
      <c r="Q3517">
        <v>24</v>
      </c>
      <c r="R3517">
        <v>8</v>
      </c>
      <c r="S3517">
        <v>0</v>
      </c>
      <c r="T3517">
        <v>17</v>
      </c>
      <c r="U3517">
        <v>5</v>
      </c>
      <c r="V3517">
        <v>1</v>
      </c>
      <c r="W3517">
        <v>1</v>
      </c>
      <c r="X3517">
        <v>0</v>
      </c>
      <c r="Y3517">
        <v>1</v>
      </c>
      <c r="Z3517">
        <v>0</v>
      </c>
    </row>
    <row r="3518" spans="1:26" x14ac:dyDescent="0.2">
      <c r="A3518" t="s">
        <v>3636</v>
      </c>
      <c r="B3518" t="s">
        <v>32</v>
      </c>
      <c r="C3518">
        <v>2018</v>
      </c>
      <c r="D3518" t="s">
        <v>79</v>
      </c>
      <c r="E3518" t="s">
        <v>46</v>
      </c>
      <c r="F3518" t="s">
        <v>20</v>
      </c>
      <c r="G3518">
        <v>25486</v>
      </c>
      <c r="H3518">
        <v>20388.800000000003</v>
      </c>
      <c r="I3518" s="13">
        <v>1</v>
      </c>
      <c r="J3518" t="s">
        <v>6207</v>
      </c>
      <c r="K3518">
        <v>2</v>
      </c>
      <c r="L3518">
        <v>2</v>
      </c>
      <c r="M3518" t="s">
        <v>58</v>
      </c>
      <c r="N3518" s="2">
        <v>0.42</v>
      </c>
      <c r="O3518" s="2">
        <v>0.57999999999999996</v>
      </c>
      <c r="P3518">
        <v>14</v>
      </c>
      <c r="Q3518">
        <v>12</v>
      </c>
      <c r="R3518">
        <v>6</v>
      </c>
      <c r="S3518">
        <v>4</v>
      </c>
      <c r="T3518">
        <v>10</v>
      </c>
      <c r="U3518">
        <v>16</v>
      </c>
      <c r="V3518">
        <v>1</v>
      </c>
      <c r="W3518">
        <v>2</v>
      </c>
      <c r="X3518">
        <v>0</v>
      </c>
      <c r="Y3518">
        <v>0</v>
      </c>
      <c r="Z3518">
        <v>2</v>
      </c>
    </row>
    <row r="3519" spans="1:26" x14ac:dyDescent="0.2">
      <c r="A3519" t="s">
        <v>3637</v>
      </c>
      <c r="B3519" t="s">
        <v>76</v>
      </c>
      <c r="C3519">
        <v>2018</v>
      </c>
      <c r="D3519" t="s">
        <v>28</v>
      </c>
      <c r="E3519" t="s">
        <v>18</v>
      </c>
      <c r="F3519" t="s">
        <v>28</v>
      </c>
      <c r="G3519">
        <v>21944</v>
      </c>
      <c r="H3519">
        <v>17555.2</v>
      </c>
      <c r="I3519" s="13">
        <v>0.83333333333333337</v>
      </c>
      <c r="J3519" t="s">
        <v>6207</v>
      </c>
      <c r="K3519">
        <v>0</v>
      </c>
      <c r="L3519">
        <v>4</v>
      </c>
      <c r="M3519" t="s">
        <v>1</v>
      </c>
      <c r="N3519" s="2">
        <v>0.3</v>
      </c>
      <c r="O3519" s="2">
        <v>0.7</v>
      </c>
      <c r="P3519">
        <v>10</v>
      </c>
      <c r="Q3519">
        <v>19</v>
      </c>
      <c r="R3519">
        <v>4</v>
      </c>
      <c r="S3519">
        <v>4</v>
      </c>
      <c r="T3519">
        <v>14</v>
      </c>
      <c r="U3519">
        <v>10</v>
      </c>
      <c r="V3519">
        <v>4</v>
      </c>
      <c r="W3519">
        <v>2</v>
      </c>
      <c r="X3519">
        <v>0</v>
      </c>
      <c r="Y3519">
        <v>0</v>
      </c>
      <c r="Z3519">
        <v>0</v>
      </c>
    </row>
    <row r="3520" spans="1:26" x14ac:dyDescent="0.2">
      <c r="A3520" t="s">
        <v>3638</v>
      </c>
      <c r="B3520" t="s">
        <v>68</v>
      </c>
      <c r="C3520">
        <v>2018</v>
      </c>
      <c r="D3520" t="s">
        <v>48</v>
      </c>
      <c r="E3520" t="s">
        <v>45</v>
      </c>
      <c r="F3520" t="s">
        <v>49</v>
      </c>
      <c r="G3520">
        <v>74197</v>
      </c>
      <c r="H3520">
        <v>59357.600000000006</v>
      </c>
      <c r="I3520" s="13">
        <v>0.66666666666666663</v>
      </c>
      <c r="J3520" t="s">
        <v>6207</v>
      </c>
      <c r="K3520">
        <v>2</v>
      </c>
      <c r="L3520">
        <v>1</v>
      </c>
      <c r="M3520" t="s">
        <v>0</v>
      </c>
      <c r="N3520" s="2">
        <v>0.54</v>
      </c>
      <c r="O3520" s="2">
        <v>0.46</v>
      </c>
      <c r="P3520">
        <v>11</v>
      </c>
      <c r="Q3520">
        <v>22</v>
      </c>
      <c r="R3520">
        <v>8</v>
      </c>
      <c r="S3520">
        <v>4</v>
      </c>
      <c r="T3520">
        <v>15</v>
      </c>
      <c r="U3520">
        <v>12</v>
      </c>
      <c r="V3520">
        <v>2</v>
      </c>
      <c r="W3520">
        <v>1</v>
      </c>
      <c r="X3520">
        <v>0</v>
      </c>
      <c r="Y3520">
        <v>0</v>
      </c>
      <c r="Z3520">
        <v>2</v>
      </c>
    </row>
    <row r="3521" spans="1:26" x14ac:dyDescent="0.2">
      <c r="A3521" t="s">
        <v>3639</v>
      </c>
      <c r="B3521" t="s">
        <v>60</v>
      </c>
      <c r="C3521">
        <v>2018</v>
      </c>
      <c r="D3521" t="s">
        <v>51</v>
      </c>
      <c r="E3521" t="s">
        <v>40</v>
      </c>
      <c r="F3521" t="s">
        <v>20</v>
      </c>
      <c r="G3521">
        <v>36284</v>
      </c>
      <c r="H3521">
        <v>29027.200000000001</v>
      </c>
      <c r="I3521" s="13">
        <v>0.75</v>
      </c>
      <c r="J3521" t="s">
        <v>6208</v>
      </c>
      <c r="K3521">
        <v>0</v>
      </c>
      <c r="L3521">
        <v>1</v>
      </c>
      <c r="M3521" t="s">
        <v>1</v>
      </c>
      <c r="N3521" s="2">
        <v>0.48</v>
      </c>
      <c r="O3521" s="2">
        <v>0.52</v>
      </c>
      <c r="P3521">
        <v>17</v>
      </c>
      <c r="Q3521">
        <v>16</v>
      </c>
      <c r="R3521">
        <v>3</v>
      </c>
      <c r="S3521">
        <v>6</v>
      </c>
      <c r="T3521">
        <v>13</v>
      </c>
      <c r="U3521">
        <v>13</v>
      </c>
      <c r="V3521">
        <v>2</v>
      </c>
      <c r="W3521">
        <v>2</v>
      </c>
      <c r="X3521">
        <v>0</v>
      </c>
      <c r="Y3521">
        <v>0</v>
      </c>
      <c r="Z3521">
        <v>0</v>
      </c>
    </row>
    <row r="3522" spans="1:26" x14ac:dyDescent="0.2">
      <c r="A3522" t="s">
        <v>3640</v>
      </c>
      <c r="B3522" t="s">
        <v>81</v>
      </c>
      <c r="C3522">
        <v>2018</v>
      </c>
      <c r="D3522" t="s">
        <v>86</v>
      </c>
      <c r="E3522" t="s">
        <v>48</v>
      </c>
      <c r="F3522" t="s">
        <v>86</v>
      </c>
      <c r="G3522">
        <v>11364</v>
      </c>
      <c r="H3522">
        <v>9091.2000000000007</v>
      </c>
      <c r="I3522" s="13">
        <v>0.14285714285714285</v>
      </c>
      <c r="J3522" t="s">
        <v>6207</v>
      </c>
      <c r="K3522">
        <v>1</v>
      </c>
      <c r="L3522">
        <v>2</v>
      </c>
      <c r="M3522" t="s">
        <v>1</v>
      </c>
      <c r="N3522" s="2">
        <v>0.49</v>
      </c>
      <c r="O3522" s="2">
        <v>0.51</v>
      </c>
      <c r="P3522">
        <v>17</v>
      </c>
      <c r="Q3522">
        <v>12</v>
      </c>
      <c r="R3522">
        <v>9</v>
      </c>
      <c r="S3522">
        <v>5</v>
      </c>
      <c r="T3522">
        <v>12</v>
      </c>
      <c r="U3522">
        <v>12</v>
      </c>
      <c r="V3522">
        <v>4</v>
      </c>
      <c r="W3522">
        <v>3</v>
      </c>
      <c r="X3522">
        <v>0</v>
      </c>
      <c r="Y3522">
        <v>0</v>
      </c>
      <c r="Z3522">
        <v>0</v>
      </c>
    </row>
    <row r="3523" spans="1:26" x14ac:dyDescent="0.2">
      <c r="A3523" t="s">
        <v>3641</v>
      </c>
      <c r="B3523" t="s">
        <v>74</v>
      </c>
      <c r="C3523">
        <v>2018</v>
      </c>
      <c r="D3523" t="s">
        <v>23</v>
      </c>
      <c r="E3523" t="s">
        <v>28</v>
      </c>
      <c r="F3523" t="s">
        <v>20</v>
      </c>
      <c r="G3523">
        <v>62500</v>
      </c>
      <c r="H3523">
        <v>50000</v>
      </c>
      <c r="I3523" s="13">
        <v>0.4</v>
      </c>
      <c r="J3523" t="s">
        <v>6208</v>
      </c>
      <c r="K3523">
        <v>4</v>
      </c>
      <c r="L3523">
        <v>2</v>
      </c>
      <c r="M3523" t="s">
        <v>0</v>
      </c>
      <c r="N3523" s="2">
        <v>0.63</v>
      </c>
      <c r="O3523" s="2">
        <v>0.37</v>
      </c>
      <c r="P3523">
        <v>11</v>
      </c>
      <c r="Q3523">
        <v>9</v>
      </c>
      <c r="R3523">
        <v>10</v>
      </c>
      <c r="S3523">
        <v>4</v>
      </c>
      <c r="T3523">
        <v>7</v>
      </c>
      <c r="U3523">
        <v>9</v>
      </c>
      <c r="V3523">
        <v>1</v>
      </c>
      <c r="W3523">
        <v>4</v>
      </c>
      <c r="X3523">
        <v>0</v>
      </c>
      <c r="Y3523">
        <v>0</v>
      </c>
      <c r="Z3523">
        <v>0</v>
      </c>
    </row>
    <row r="3524" spans="1:26" x14ac:dyDescent="0.2">
      <c r="A3524" t="s">
        <v>3642</v>
      </c>
      <c r="B3524" t="s">
        <v>76</v>
      </c>
      <c r="C3524">
        <v>2018</v>
      </c>
      <c r="D3524" t="s">
        <v>64</v>
      </c>
      <c r="E3524" t="s">
        <v>85</v>
      </c>
      <c r="F3524" t="s">
        <v>64</v>
      </c>
      <c r="G3524">
        <v>52264</v>
      </c>
      <c r="H3524">
        <v>41811.200000000004</v>
      </c>
      <c r="I3524" s="13">
        <v>0.83333333333333337</v>
      </c>
      <c r="J3524" t="s">
        <v>6207</v>
      </c>
      <c r="K3524">
        <v>1</v>
      </c>
      <c r="L3524">
        <v>0</v>
      </c>
      <c r="M3524" t="s">
        <v>0</v>
      </c>
      <c r="N3524" s="2">
        <v>0.42</v>
      </c>
      <c r="O3524" s="2">
        <v>0.57999999999999996</v>
      </c>
      <c r="P3524">
        <v>13</v>
      </c>
      <c r="Q3524">
        <v>16</v>
      </c>
      <c r="R3524">
        <v>8</v>
      </c>
      <c r="S3524">
        <v>9</v>
      </c>
      <c r="T3524">
        <v>12</v>
      </c>
      <c r="U3524">
        <v>11</v>
      </c>
      <c r="V3524">
        <v>1</v>
      </c>
      <c r="W3524">
        <v>5</v>
      </c>
      <c r="X3524">
        <v>0</v>
      </c>
      <c r="Y3524">
        <v>0</v>
      </c>
      <c r="Z3524">
        <v>0</v>
      </c>
    </row>
    <row r="3525" spans="1:26" x14ac:dyDescent="0.2">
      <c r="A3525" t="s">
        <v>3643</v>
      </c>
      <c r="B3525" t="s">
        <v>93</v>
      </c>
      <c r="C3525">
        <v>2018</v>
      </c>
      <c r="D3525" t="s">
        <v>45</v>
      </c>
      <c r="E3525" t="s">
        <v>90</v>
      </c>
      <c r="F3525" t="s">
        <v>26</v>
      </c>
      <c r="G3525">
        <v>39572</v>
      </c>
      <c r="H3525">
        <v>31657.600000000002</v>
      </c>
      <c r="I3525" s="13">
        <v>0</v>
      </c>
      <c r="J3525" t="s">
        <v>6206</v>
      </c>
      <c r="K3525">
        <v>3</v>
      </c>
      <c r="L3525">
        <v>1</v>
      </c>
      <c r="M3525" t="s">
        <v>0</v>
      </c>
      <c r="N3525" s="2">
        <v>0.61</v>
      </c>
      <c r="O3525" s="2">
        <v>0.39</v>
      </c>
      <c r="P3525">
        <v>19</v>
      </c>
      <c r="Q3525">
        <v>11</v>
      </c>
      <c r="R3525">
        <v>6</v>
      </c>
      <c r="S3525">
        <v>4</v>
      </c>
      <c r="T3525">
        <v>9</v>
      </c>
      <c r="U3525">
        <v>17</v>
      </c>
      <c r="V3525">
        <v>0</v>
      </c>
      <c r="W3525">
        <v>1</v>
      </c>
      <c r="X3525">
        <v>0</v>
      </c>
      <c r="Y3525">
        <v>0</v>
      </c>
      <c r="Z3525">
        <v>0</v>
      </c>
    </row>
    <row r="3526" spans="1:26" x14ac:dyDescent="0.2">
      <c r="A3526" t="s">
        <v>3644</v>
      </c>
      <c r="B3526" t="s">
        <v>54</v>
      </c>
      <c r="C3526">
        <v>2018</v>
      </c>
      <c r="D3526" t="s">
        <v>78</v>
      </c>
      <c r="E3526" t="s">
        <v>80</v>
      </c>
      <c r="F3526" t="s">
        <v>78</v>
      </c>
      <c r="G3526">
        <v>33280</v>
      </c>
      <c r="H3526">
        <v>26624</v>
      </c>
      <c r="I3526" s="13">
        <v>1</v>
      </c>
      <c r="J3526" t="s">
        <v>6206</v>
      </c>
      <c r="K3526">
        <v>0</v>
      </c>
      <c r="L3526">
        <v>1</v>
      </c>
      <c r="M3526" t="s">
        <v>1</v>
      </c>
      <c r="N3526" s="2">
        <v>0.4</v>
      </c>
      <c r="O3526" s="2">
        <v>0.6</v>
      </c>
      <c r="P3526">
        <v>15</v>
      </c>
      <c r="Q3526">
        <v>17</v>
      </c>
      <c r="R3526">
        <v>6</v>
      </c>
      <c r="S3526">
        <v>12</v>
      </c>
      <c r="T3526">
        <v>13</v>
      </c>
      <c r="U3526">
        <v>12</v>
      </c>
      <c r="V3526">
        <v>2</v>
      </c>
      <c r="W3526">
        <v>2</v>
      </c>
      <c r="X3526">
        <v>0</v>
      </c>
      <c r="Y3526">
        <v>0</v>
      </c>
      <c r="Z3526">
        <v>0</v>
      </c>
    </row>
    <row r="3527" spans="1:26" x14ac:dyDescent="0.2">
      <c r="A3527" t="s">
        <v>3645</v>
      </c>
      <c r="B3527" t="s">
        <v>37</v>
      </c>
      <c r="C3527">
        <v>2018</v>
      </c>
      <c r="D3527" t="s">
        <v>46</v>
      </c>
      <c r="E3527" t="s">
        <v>26</v>
      </c>
      <c r="F3527" t="s">
        <v>20</v>
      </c>
      <c r="G3527">
        <v>60704</v>
      </c>
      <c r="H3527">
        <v>48563.200000000004</v>
      </c>
      <c r="I3527" s="13">
        <v>1</v>
      </c>
      <c r="J3527" t="s">
        <v>6206</v>
      </c>
      <c r="K3527">
        <v>1</v>
      </c>
      <c r="L3527">
        <v>1</v>
      </c>
      <c r="M3527" t="s">
        <v>58</v>
      </c>
      <c r="N3527" s="2">
        <v>0.62</v>
      </c>
      <c r="O3527" s="2">
        <v>0.38</v>
      </c>
      <c r="P3527">
        <v>8</v>
      </c>
      <c r="Q3527">
        <v>14</v>
      </c>
      <c r="R3527">
        <v>5</v>
      </c>
      <c r="S3527">
        <v>8</v>
      </c>
      <c r="T3527">
        <v>7</v>
      </c>
      <c r="U3527">
        <v>7</v>
      </c>
      <c r="V3527">
        <v>1</v>
      </c>
      <c r="W3527">
        <v>1</v>
      </c>
      <c r="X3527">
        <v>0</v>
      </c>
      <c r="Y3527">
        <v>0</v>
      </c>
      <c r="Z3527">
        <v>0</v>
      </c>
    </row>
    <row r="3528" spans="1:26" x14ac:dyDescent="0.2">
      <c r="A3528" t="s">
        <v>3646</v>
      </c>
      <c r="B3528" t="s">
        <v>41</v>
      </c>
      <c r="C3528">
        <v>2018</v>
      </c>
      <c r="D3528" t="s">
        <v>22</v>
      </c>
      <c r="E3528" t="s">
        <v>51</v>
      </c>
      <c r="F3528" t="s">
        <v>24</v>
      </c>
      <c r="G3528">
        <v>31750</v>
      </c>
      <c r="H3528">
        <v>25400</v>
      </c>
      <c r="I3528" s="13">
        <v>0.33333333333333331</v>
      </c>
      <c r="J3528" t="s">
        <v>6207</v>
      </c>
      <c r="K3528">
        <v>2</v>
      </c>
      <c r="L3528">
        <v>3</v>
      </c>
      <c r="M3528" t="s">
        <v>1</v>
      </c>
      <c r="N3528" s="2">
        <v>0.49</v>
      </c>
      <c r="O3528" s="2">
        <v>0.51</v>
      </c>
      <c r="P3528">
        <v>9</v>
      </c>
      <c r="Q3528">
        <v>16</v>
      </c>
      <c r="R3528">
        <v>5</v>
      </c>
      <c r="S3528">
        <v>1</v>
      </c>
      <c r="T3528">
        <v>11</v>
      </c>
      <c r="U3528">
        <v>8</v>
      </c>
      <c r="V3528">
        <v>1</v>
      </c>
      <c r="W3528">
        <v>2</v>
      </c>
      <c r="X3528">
        <v>0</v>
      </c>
      <c r="Y3528">
        <v>0</v>
      </c>
      <c r="Z3528">
        <v>2</v>
      </c>
    </row>
    <row r="3529" spans="1:26" x14ac:dyDescent="0.2">
      <c r="A3529" t="s">
        <v>3647</v>
      </c>
      <c r="B3529" t="s">
        <v>50</v>
      </c>
      <c r="C3529">
        <v>2018</v>
      </c>
      <c r="D3529" t="s">
        <v>40</v>
      </c>
      <c r="E3529" t="s">
        <v>73</v>
      </c>
      <c r="F3529" t="s">
        <v>49</v>
      </c>
      <c r="G3529">
        <v>53400</v>
      </c>
      <c r="H3529">
        <v>42720</v>
      </c>
      <c r="I3529" s="13">
        <v>0.5</v>
      </c>
      <c r="J3529" t="s">
        <v>6207</v>
      </c>
      <c r="K3529">
        <v>6</v>
      </c>
      <c r="L3529">
        <v>1</v>
      </c>
      <c r="M3529" t="s">
        <v>0</v>
      </c>
      <c r="N3529" s="2">
        <v>0.67</v>
      </c>
      <c r="O3529" s="2">
        <v>0.33</v>
      </c>
      <c r="P3529">
        <v>10</v>
      </c>
      <c r="Q3529">
        <v>14</v>
      </c>
      <c r="R3529">
        <v>4</v>
      </c>
      <c r="S3529">
        <v>4</v>
      </c>
      <c r="T3529">
        <v>14</v>
      </c>
      <c r="U3529">
        <v>9</v>
      </c>
      <c r="V3529">
        <v>1</v>
      </c>
      <c r="W3529">
        <v>1</v>
      </c>
      <c r="X3529">
        <v>0</v>
      </c>
      <c r="Y3529">
        <v>0</v>
      </c>
      <c r="Z3529">
        <v>1</v>
      </c>
    </row>
    <row r="3530" spans="1:26" x14ac:dyDescent="0.2">
      <c r="A3530" t="s">
        <v>3648</v>
      </c>
      <c r="B3530" t="s">
        <v>66</v>
      </c>
      <c r="C3530">
        <v>2018</v>
      </c>
      <c r="D3530" t="s">
        <v>18</v>
      </c>
      <c r="E3530" t="s">
        <v>79</v>
      </c>
      <c r="F3530" t="s">
        <v>20</v>
      </c>
      <c r="G3530">
        <v>40341</v>
      </c>
      <c r="H3530">
        <v>32272.800000000003</v>
      </c>
      <c r="I3530" s="13">
        <v>1</v>
      </c>
      <c r="J3530" t="s">
        <v>6207</v>
      </c>
      <c r="K3530">
        <v>3</v>
      </c>
      <c r="L3530">
        <v>1</v>
      </c>
      <c r="M3530" t="s">
        <v>0</v>
      </c>
      <c r="N3530" s="2">
        <v>0.74</v>
      </c>
      <c r="O3530" s="2">
        <v>0.26</v>
      </c>
      <c r="P3530">
        <v>14</v>
      </c>
      <c r="Q3530">
        <v>12</v>
      </c>
      <c r="R3530">
        <v>4</v>
      </c>
      <c r="S3530">
        <v>2</v>
      </c>
      <c r="T3530">
        <v>6</v>
      </c>
      <c r="U3530">
        <v>13</v>
      </c>
      <c r="V3530">
        <v>0</v>
      </c>
      <c r="W3530">
        <v>1</v>
      </c>
      <c r="X3530">
        <v>0</v>
      </c>
      <c r="Y3530">
        <v>0</v>
      </c>
      <c r="Z3530">
        <v>0</v>
      </c>
    </row>
    <row r="3531" spans="1:26" x14ac:dyDescent="0.2">
      <c r="A3531" t="s">
        <v>3649</v>
      </c>
      <c r="B3531" t="s">
        <v>61</v>
      </c>
      <c r="C3531">
        <v>2018</v>
      </c>
      <c r="D3531" t="s">
        <v>89</v>
      </c>
      <c r="E3531" t="s">
        <v>31</v>
      </c>
      <c r="F3531" t="s">
        <v>89</v>
      </c>
      <c r="G3531">
        <v>24500</v>
      </c>
      <c r="H3531">
        <v>19600</v>
      </c>
      <c r="I3531" s="13">
        <v>1</v>
      </c>
      <c r="J3531" t="s">
        <v>6207</v>
      </c>
      <c r="K3531">
        <v>1</v>
      </c>
      <c r="L3531">
        <v>0</v>
      </c>
      <c r="M3531" t="s">
        <v>0</v>
      </c>
      <c r="N3531" s="2">
        <v>0.45</v>
      </c>
      <c r="O3531" s="2">
        <v>0.55000000000000004</v>
      </c>
      <c r="P3531">
        <v>14</v>
      </c>
      <c r="Q3531">
        <v>14</v>
      </c>
      <c r="R3531">
        <v>5</v>
      </c>
      <c r="S3531">
        <v>4</v>
      </c>
      <c r="T3531">
        <v>11</v>
      </c>
      <c r="U3531">
        <v>8</v>
      </c>
      <c r="V3531">
        <v>1</v>
      </c>
      <c r="W3531">
        <v>2</v>
      </c>
      <c r="X3531">
        <v>0</v>
      </c>
      <c r="Y3531">
        <v>0</v>
      </c>
      <c r="Z3531">
        <v>0</v>
      </c>
    </row>
    <row r="3532" spans="1:26" x14ac:dyDescent="0.2">
      <c r="A3532" t="s">
        <v>3650</v>
      </c>
      <c r="B3532" t="s">
        <v>32</v>
      </c>
      <c r="C3532">
        <v>2018</v>
      </c>
      <c r="D3532" t="s">
        <v>78</v>
      </c>
      <c r="E3532" t="s">
        <v>90</v>
      </c>
      <c r="F3532" t="s">
        <v>78</v>
      </c>
      <c r="G3532">
        <v>33280</v>
      </c>
      <c r="H3532">
        <v>26624</v>
      </c>
      <c r="I3532" s="13">
        <v>0.5</v>
      </c>
      <c r="J3532" t="s">
        <v>6207</v>
      </c>
      <c r="K3532">
        <v>2</v>
      </c>
      <c r="L3532">
        <v>1</v>
      </c>
      <c r="M3532" t="s">
        <v>0</v>
      </c>
      <c r="N3532" s="2">
        <v>0.6</v>
      </c>
      <c r="O3532" s="2">
        <v>0.4</v>
      </c>
      <c r="P3532">
        <v>21</v>
      </c>
      <c r="Q3532">
        <v>7</v>
      </c>
      <c r="R3532">
        <v>4</v>
      </c>
      <c r="S3532">
        <v>1</v>
      </c>
      <c r="T3532">
        <v>7</v>
      </c>
      <c r="U3532">
        <v>21</v>
      </c>
      <c r="V3532">
        <v>2</v>
      </c>
      <c r="W3532">
        <v>1</v>
      </c>
      <c r="X3532">
        <v>0</v>
      </c>
      <c r="Y3532">
        <v>1</v>
      </c>
      <c r="Z3532">
        <v>0</v>
      </c>
    </row>
    <row r="3533" spans="1:26" x14ac:dyDescent="0.2">
      <c r="A3533" t="s">
        <v>3651</v>
      </c>
      <c r="B3533" t="s">
        <v>84</v>
      </c>
      <c r="C3533">
        <v>2018</v>
      </c>
      <c r="D3533" t="s">
        <v>73</v>
      </c>
      <c r="E3533" t="s">
        <v>85</v>
      </c>
      <c r="F3533" t="s">
        <v>73</v>
      </c>
      <c r="G3533">
        <v>32384</v>
      </c>
      <c r="H3533">
        <v>25907.200000000001</v>
      </c>
      <c r="I3533" s="13">
        <v>0.4</v>
      </c>
      <c r="J3533" t="s">
        <v>6208</v>
      </c>
      <c r="K3533">
        <v>1</v>
      </c>
      <c r="L3533">
        <v>1</v>
      </c>
      <c r="M3533" t="s">
        <v>58</v>
      </c>
      <c r="N3533" s="2">
        <v>0.42</v>
      </c>
      <c r="O3533" s="2">
        <v>0.57999999999999996</v>
      </c>
      <c r="P3533">
        <v>17</v>
      </c>
      <c r="Q3533">
        <v>18</v>
      </c>
      <c r="R3533">
        <v>7</v>
      </c>
      <c r="S3533">
        <v>6</v>
      </c>
      <c r="T3533">
        <v>13</v>
      </c>
      <c r="U3533">
        <v>13</v>
      </c>
      <c r="V3533">
        <v>3</v>
      </c>
      <c r="W3533">
        <v>2</v>
      </c>
      <c r="X3533">
        <v>0</v>
      </c>
      <c r="Y3533">
        <v>0</v>
      </c>
      <c r="Z3533">
        <v>0</v>
      </c>
    </row>
    <row r="3534" spans="1:26" x14ac:dyDescent="0.2">
      <c r="A3534" t="s">
        <v>3652</v>
      </c>
      <c r="B3534" t="s">
        <v>54</v>
      </c>
      <c r="C3534">
        <v>2018</v>
      </c>
      <c r="D3534" t="s">
        <v>64</v>
      </c>
      <c r="E3534" t="s">
        <v>86</v>
      </c>
      <c r="F3534" t="s">
        <v>64</v>
      </c>
      <c r="G3534">
        <v>52264</v>
      </c>
      <c r="H3534">
        <v>41811.200000000004</v>
      </c>
      <c r="I3534" s="13">
        <v>0.66666666666666663</v>
      </c>
      <c r="J3534" t="s">
        <v>6206</v>
      </c>
      <c r="K3534">
        <v>2</v>
      </c>
      <c r="L3534">
        <v>1</v>
      </c>
      <c r="M3534" t="s">
        <v>0</v>
      </c>
      <c r="N3534" s="2">
        <v>0.39</v>
      </c>
      <c r="O3534" s="2">
        <v>0.61</v>
      </c>
      <c r="P3534">
        <v>13</v>
      </c>
      <c r="Q3534">
        <v>11</v>
      </c>
      <c r="R3534">
        <v>7</v>
      </c>
      <c r="S3534">
        <v>10</v>
      </c>
      <c r="T3534">
        <v>9</v>
      </c>
      <c r="U3534">
        <v>11</v>
      </c>
      <c r="V3534">
        <v>2</v>
      </c>
      <c r="W3534">
        <v>1</v>
      </c>
      <c r="X3534">
        <v>0</v>
      </c>
      <c r="Y3534">
        <v>0</v>
      </c>
      <c r="Z3534">
        <v>0</v>
      </c>
    </row>
    <row r="3535" spans="1:26" x14ac:dyDescent="0.2">
      <c r="A3535" t="s">
        <v>3653</v>
      </c>
      <c r="B3535" t="s">
        <v>41</v>
      </c>
      <c r="C3535">
        <v>2018</v>
      </c>
      <c r="D3535" t="s">
        <v>80</v>
      </c>
      <c r="E3535" t="s">
        <v>28</v>
      </c>
      <c r="F3535" t="s">
        <v>80</v>
      </c>
      <c r="G3535">
        <v>32261</v>
      </c>
      <c r="H3535">
        <v>25808.800000000003</v>
      </c>
      <c r="I3535" s="13">
        <v>1</v>
      </c>
      <c r="J3535" t="s">
        <v>6207</v>
      </c>
      <c r="K3535">
        <v>0</v>
      </c>
      <c r="L3535">
        <v>0</v>
      </c>
      <c r="M3535" t="s">
        <v>58</v>
      </c>
      <c r="N3535" s="2">
        <v>0.63</v>
      </c>
      <c r="O3535" s="2">
        <v>0.37</v>
      </c>
      <c r="P3535">
        <v>12</v>
      </c>
      <c r="Q3535">
        <v>14</v>
      </c>
      <c r="R3535">
        <v>12</v>
      </c>
      <c r="S3535">
        <v>1</v>
      </c>
      <c r="T3535">
        <v>13</v>
      </c>
      <c r="U3535">
        <v>10</v>
      </c>
      <c r="V3535">
        <v>2</v>
      </c>
      <c r="W3535">
        <v>0</v>
      </c>
      <c r="X3535">
        <v>0</v>
      </c>
      <c r="Y3535">
        <v>0</v>
      </c>
      <c r="Z3535">
        <v>0</v>
      </c>
    </row>
    <row r="3536" spans="1:26" x14ac:dyDescent="0.2">
      <c r="A3536" t="s">
        <v>3654</v>
      </c>
      <c r="B3536" t="s">
        <v>88</v>
      </c>
      <c r="C3536">
        <v>2018</v>
      </c>
      <c r="D3536" t="s">
        <v>89</v>
      </c>
      <c r="E3536" t="s">
        <v>23</v>
      </c>
      <c r="F3536" t="s">
        <v>89</v>
      </c>
      <c r="G3536">
        <v>24500</v>
      </c>
      <c r="H3536">
        <v>19600</v>
      </c>
      <c r="I3536" s="13">
        <v>0.5</v>
      </c>
      <c r="J3536" t="s">
        <v>6207</v>
      </c>
      <c r="K3536">
        <v>1</v>
      </c>
      <c r="L3536">
        <v>1</v>
      </c>
      <c r="M3536" t="s">
        <v>58</v>
      </c>
      <c r="N3536" s="2">
        <v>0.44</v>
      </c>
      <c r="O3536" s="2">
        <v>0.56000000000000005</v>
      </c>
      <c r="P3536">
        <v>11</v>
      </c>
      <c r="Q3536">
        <v>16</v>
      </c>
      <c r="R3536">
        <v>5</v>
      </c>
      <c r="S3536">
        <v>6</v>
      </c>
      <c r="T3536">
        <v>9</v>
      </c>
      <c r="U3536">
        <v>8</v>
      </c>
      <c r="V3536">
        <v>1</v>
      </c>
      <c r="W3536">
        <v>1</v>
      </c>
      <c r="X3536">
        <v>0</v>
      </c>
      <c r="Y3536">
        <v>0</v>
      </c>
      <c r="Z3536">
        <v>0</v>
      </c>
    </row>
    <row r="3537" spans="1:26" x14ac:dyDescent="0.2">
      <c r="A3537" t="s">
        <v>3655</v>
      </c>
      <c r="B3537" t="s">
        <v>68</v>
      </c>
      <c r="C3537">
        <v>2018</v>
      </c>
      <c r="D3537" t="s">
        <v>79</v>
      </c>
      <c r="E3537" t="s">
        <v>51</v>
      </c>
      <c r="F3537" t="s">
        <v>20</v>
      </c>
      <c r="G3537">
        <v>25486</v>
      </c>
      <c r="H3537">
        <v>20388.800000000003</v>
      </c>
      <c r="I3537" s="13">
        <v>0</v>
      </c>
      <c r="J3537" t="s">
        <v>6207</v>
      </c>
      <c r="K3537">
        <v>0</v>
      </c>
      <c r="L3537">
        <v>1</v>
      </c>
      <c r="M3537" t="s">
        <v>1</v>
      </c>
      <c r="N3537" s="2">
        <v>0.35</v>
      </c>
      <c r="O3537" s="2">
        <v>0.65</v>
      </c>
      <c r="P3537">
        <v>10</v>
      </c>
      <c r="Q3537">
        <v>16</v>
      </c>
      <c r="R3537">
        <v>10</v>
      </c>
      <c r="S3537">
        <v>6</v>
      </c>
      <c r="T3537">
        <v>12</v>
      </c>
      <c r="U3537">
        <v>9</v>
      </c>
      <c r="V3537">
        <v>1</v>
      </c>
      <c r="W3537">
        <v>1</v>
      </c>
      <c r="X3537">
        <v>0</v>
      </c>
      <c r="Y3537">
        <v>0</v>
      </c>
      <c r="Z3537">
        <v>0</v>
      </c>
    </row>
    <row r="3538" spans="1:26" x14ac:dyDescent="0.2">
      <c r="A3538" t="s">
        <v>3656</v>
      </c>
      <c r="B3538" t="s">
        <v>81</v>
      </c>
      <c r="C3538">
        <v>2018</v>
      </c>
      <c r="D3538" t="s">
        <v>26</v>
      </c>
      <c r="E3538" t="s">
        <v>31</v>
      </c>
      <c r="F3538" t="s">
        <v>26</v>
      </c>
      <c r="G3538">
        <v>61276</v>
      </c>
      <c r="H3538">
        <v>49020.800000000003</v>
      </c>
      <c r="I3538" s="13">
        <v>0.5</v>
      </c>
      <c r="J3538" t="s">
        <v>6207</v>
      </c>
      <c r="K3538">
        <v>2</v>
      </c>
      <c r="L3538">
        <v>0</v>
      </c>
      <c r="M3538" t="s">
        <v>0</v>
      </c>
      <c r="N3538" s="2">
        <v>0.73</v>
      </c>
      <c r="O3538" s="2">
        <v>0.27</v>
      </c>
      <c r="P3538">
        <v>14</v>
      </c>
      <c r="Q3538">
        <v>13</v>
      </c>
      <c r="R3538">
        <v>6</v>
      </c>
      <c r="S3538">
        <v>3</v>
      </c>
      <c r="T3538">
        <v>11</v>
      </c>
      <c r="U3538">
        <v>9</v>
      </c>
      <c r="V3538">
        <v>1</v>
      </c>
      <c r="W3538">
        <v>1</v>
      </c>
      <c r="X3538">
        <v>0</v>
      </c>
      <c r="Y3538">
        <v>0</v>
      </c>
      <c r="Z3538">
        <v>0</v>
      </c>
    </row>
    <row r="3539" spans="1:26" x14ac:dyDescent="0.2">
      <c r="A3539" t="s">
        <v>3657</v>
      </c>
      <c r="B3539" t="s">
        <v>60</v>
      </c>
      <c r="C3539">
        <v>2018</v>
      </c>
      <c r="D3539" t="s">
        <v>18</v>
      </c>
      <c r="E3539" t="s">
        <v>45</v>
      </c>
      <c r="F3539" t="s">
        <v>20</v>
      </c>
      <c r="G3539">
        <v>40341</v>
      </c>
      <c r="H3539">
        <v>32272.800000000003</v>
      </c>
      <c r="I3539" s="13">
        <v>0.8571428571428571</v>
      </c>
      <c r="J3539" t="s">
        <v>6208</v>
      </c>
      <c r="K3539">
        <v>0</v>
      </c>
      <c r="L3539">
        <v>0</v>
      </c>
      <c r="M3539" t="s">
        <v>58</v>
      </c>
      <c r="N3539" s="2">
        <v>0.69</v>
      </c>
      <c r="O3539" s="2">
        <v>0.31</v>
      </c>
      <c r="P3539">
        <v>18</v>
      </c>
      <c r="Q3539">
        <v>12</v>
      </c>
      <c r="R3539">
        <v>5</v>
      </c>
      <c r="S3539">
        <v>5</v>
      </c>
      <c r="T3539">
        <v>7</v>
      </c>
      <c r="U3539">
        <v>11</v>
      </c>
      <c r="V3539">
        <v>4</v>
      </c>
      <c r="W3539">
        <v>3</v>
      </c>
      <c r="X3539">
        <v>0</v>
      </c>
      <c r="Y3539">
        <v>0</v>
      </c>
      <c r="Z3539">
        <v>0</v>
      </c>
    </row>
    <row r="3540" spans="1:26" x14ac:dyDescent="0.2">
      <c r="A3540" t="s">
        <v>3658</v>
      </c>
      <c r="B3540" t="s">
        <v>61</v>
      </c>
      <c r="C3540">
        <v>2018</v>
      </c>
      <c r="D3540" t="s">
        <v>40</v>
      </c>
      <c r="E3540" t="s">
        <v>48</v>
      </c>
      <c r="F3540" t="s">
        <v>49</v>
      </c>
      <c r="G3540">
        <v>53400</v>
      </c>
      <c r="H3540">
        <v>42720</v>
      </c>
      <c r="I3540" s="13">
        <v>0.5</v>
      </c>
      <c r="J3540" t="s">
        <v>6207</v>
      </c>
      <c r="K3540">
        <v>3</v>
      </c>
      <c r="L3540">
        <v>1</v>
      </c>
      <c r="M3540" t="s">
        <v>0</v>
      </c>
      <c r="N3540" s="2">
        <v>0.65</v>
      </c>
      <c r="O3540" s="2">
        <v>0.35</v>
      </c>
      <c r="P3540">
        <v>12</v>
      </c>
      <c r="Q3540">
        <v>11</v>
      </c>
      <c r="R3540">
        <v>5</v>
      </c>
      <c r="S3540">
        <v>1</v>
      </c>
      <c r="T3540">
        <v>12</v>
      </c>
      <c r="U3540">
        <v>12</v>
      </c>
      <c r="V3540">
        <v>1</v>
      </c>
      <c r="W3540">
        <v>1</v>
      </c>
      <c r="X3540">
        <v>0</v>
      </c>
      <c r="Y3540">
        <v>0</v>
      </c>
      <c r="Z3540">
        <v>1</v>
      </c>
    </row>
    <row r="3541" spans="1:26" x14ac:dyDescent="0.2">
      <c r="A3541" t="s">
        <v>3659</v>
      </c>
      <c r="B3541" t="s">
        <v>59</v>
      </c>
      <c r="C3541">
        <v>2018</v>
      </c>
      <c r="D3541" t="s">
        <v>46</v>
      </c>
      <c r="E3541" t="s">
        <v>22</v>
      </c>
      <c r="F3541" t="s">
        <v>20</v>
      </c>
      <c r="G3541">
        <v>60704</v>
      </c>
      <c r="H3541">
        <v>48563.200000000004</v>
      </c>
      <c r="I3541" s="13">
        <v>1</v>
      </c>
      <c r="J3541" t="s">
        <v>6206</v>
      </c>
      <c r="K3541">
        <v>1</v>
      </c>
      <c r="L3541">
        <v>1</v>
      </c>
      <c r="M3541" t="s">
        <v>58</v>
      </c>
      <c r="N3541" s="2">
        <v>0.72</v>
      </c>
      <c r="O3541" s="2">
        <v>0.28000000000000003</v>
      </c>
      <c r="P3541">
        <v>18</v>
      </c>
      <c r="Q3541">
        <v>10</v>
      </c>
      <c r="R3541">
        <v>11</v>
      </c>
      <c r="S3541">
        <v>2</v>
      </c>
      <c r="T3541">
        <v>9</v>
      </c>
      <c r="U3541">
        <v>16</v>
      </c>
      <c r="V3541">
        <v>2</v>
      </c>
      <c r="W3541">
        <v>2</v>
      </c>
      <c r="X3541">
        <v>0</v>
      </c>
      <c r="Y3541">
        <v>0</v>
      </c>
      <c r="Z3541">
        <v>0</v>
      </c>
    </row>
    <row r="3542" spans="1:26" x14ac:dyDescent="0.2">
      <c r="A3542" t="s">
        <v>3660</v>
      </c>
      <c r="B3542" t="s">
        <v>37</v>
      </c>
      <c r="C3542">
        <v>2018</v>
      </c>
      <c r="D3542" t="s">
        <v>23</v>
      </c>
      <c r="E3542" t="s">
        <v>40</v>
      </c>
      <c r="F3542" t="s">
        <v>20</v>
      </c>
      <c r="G3542">
        <v>62500</v>
      </c>
      <c r="H3542">
        <v>50000</v>
      </c>
      <c r="I3542" s="13">
        <v>0</v>
      </c>
      <c r="J3542" t="s">
        <v>6206</v>
      </c>
      <c r="K3542">
        <v>0</v>
      </c>
      <c r="L3542">
        <v>4</v>
      </c>
      <c r="M3542" t="s">
        <v>1</v>
      </c>
      <c r="N3542" s="2">
        <v>0.31</v>
      </c>
      <c r="O3542" s="2">
        <v>0.69</v>
      </c>
      <c r="P3542">
        <v>4</v>
      </c>
      <c r="Q3542">
        <v>4</v>
      </c>
      <c r="R3542">
        <v>8</v>
      </c>
      <c r="S3542">
        <v>1</v>
      </c>
      <c r="T3542">
        <v>6</v>
      </c>
      <c r="U3542">
        <v>3</v>
      </c>
      <c r="V3542">
        <v>0</v>
      </c>
      <c r="W3542">
        <v>0</v>
      </c>
      <c r="X3542">
        <v>0</v>
      </c>
      <c r="Y3542">
        <v>0</v>
      </c>
      <c r="Z3542">
        <v>0</v>
      </c>
    </row>
    <row r="3543" spans="1:26" x14ac:dyDescent="0.2">
      <c r="A3543" t="s">
        <v>3661</v>
      </c>
      <c r="B3543" t="s">
        <v>68</v>
      </c>
      <c r="C3543">
        <v>2018</v>
      </c>
      <c r="D3543" t="s">
        <v>85</v>
      </c>
      <c r="E3543" t="s">
        <v>26</v>
      </c>
      <c r="F3543" t="s">
        <v>85</v>
      </c>
      <c r="G3543">
        <v>22220</v>
      </c>
      <c r="H3543">
        <v>17776</v>
      </c>
      <c r="I3543" s="13">
        <v>0</v>
      </c>
      <c r="J3543" t="s">
        <v>6207</v>
      </c>
      <c r="K3543">
        <v>0</v>
      </c>
      <c r="L3543">
        <v>3</v>
      </c>
      <c r="M3543" t="s">
        <v>1</v>
      </c>
      <c r="N3543" s="2">
        <v>0.36</v>
      </c>
      <c r="O3543" s="2">
        <v>0.64</v>
      </c>
      <c r="P3543">
        <v>13</v>
      </c>
      <c r="Q3543">
        <v>12</v>
      </c>
      <c r="R3543">
        <v>5</v>
      </c>
      <c r="S3543">
        <v>5</v>
      </c>
      <c r="T3543">
        <v>12</v>
      </c>
      <c r="U3543">
        <v>13</v>
      </c>
      <c r="V3543">
        <v>0</v>
      </c>
      <c r="W3543">
        <v>1</v>
      </c>
      <c r="X3543">
        <v>0</v>
      </c>
      <c r="Y3543">
        <v>1</v>
      </c>
      <c r="Z3543">
        <v>0</v>
      </c>
    </row>
    <row r="3544" spans="1:26" x14ac:dyDescent="0.2">
      <c r="A3544" t="s">
        <v>3662</v>
      </c>
      <c r="B3544" t="s">
        <v>50</v>
      </c>
      <c r="C3544">
        <v>2018</v>
      </c>
      <c r="D3544" t="s">
        <v>48</v>
      </c>
      <c r="E3544" t="s">
        <v>79</v>
      </c>
      <c r="F3544" t="s">
        <v>49</v>
      </c>
      <c r="G3544">
        <v>74197</v>
      </c>
      <c r="H3544">
        <v>59357.600000000006</v>
      </c>
      <c r="I3544" s="13">
        <v>0.66666666666666663</v>
      </c>
      <c r="J3544" t="s">
        <v>6207</v>
      </c>
      <c r="K3544">
        <v>0</v>
      </c>
      <c r="L3544">
        <v>0</v>
      </c>
      <c r="M3544" t="s">
        <v>58</v>
      </c>
      <c r="N3544" s="2">
        <v>0.6</v>
      </c>
      <c r="O3544" s="2">
        <v>0.4</v>
      </c>
      <c r="P3544">
        <v>11</v>
      </c>
      <c r="Q3544">
        <v>13</v>
      </c>
      <c r="R3544">
        <v>10</v>
      </c>
      <c r="S3544">
        <v>3</v>
      </c>
      <c r="T3544">
        <v>13</v>
      </c>
      <c r="U3544">
        <v>12</v>
      </c>
      <c r="V3544">
        <v>1</v>
      </c>
      <c r="W3544">
        <v>2</v>
      </c>
      <c r="X3544">
        <v>0</v>
      </c>
      <c r="Y3544">
        <v>0</v>
      </c>
      <c r="Z3544">
        <v>0</v>
      </c>
    </row>
    <row r="3545" spans="1:26" x14ac:dyDescent="0.2">
      <c r="A3545" t="s">
        <v>3663</v>
      </c>
      <c r="B3545" t="s">
        <v>66</v>
      </c>
      <c r="C3545">
        <v>2018</v>
      </c>
      <c r="D3545" t="s">
        <v>31</v>
      </c>
      <c r="E3545" t="s">
        <v>73</v>
      </c>
      <c r="F3545" t="s">
        <v>20</v>
      </c>
      <c r="G3545">
        <v>28500</v>
      </c>
      <c r="H3545">
        <v>22800</v>
      </c>
      <c r="I3545" s="13">
        <v>0.8</v>
      </c>
      <c r="J3545" t="s">
        <v>6207</v>
      </c>
      <c r="K3545">
        <v>3</v>
      </c>
      <c r="L3545">
        <v>2</v>
      </c>
      <c r="M3545" t="s">
        <v>0</v>
      </c>
      <c r="N3545" s="2">
        <v>0.37</v>
      </c>
      <c r="O3545" s="2">
        <v>0.63</v>
      </c>
      <c r="P3545">
        <v>7</v>
      </c>
      <c r="Q3545">
        <v>14</v>
      </c>
      <c r="R3545">
        <v>2</v>
      </c>
      <c r="S3545">
        <v>5</v>
      </c>
      <c r="T3545">
        <v>10</v>
      </c>
      <c r="U3545">
        <v>6</v>
      </c>
      <c r="V3545">
        <v>2</v>
      </c>
      <c r="W3545">
        <v>3</v>
      </c>
      <c r="X3545">
        <v>0</v>
      </c>
      <c r="Y3545">
        <v>0</v>
      </c>
      <c r="Z3545">
        <v>0</v>
      </c>
    </row>
    <row r="3546" spans="1:26" x14ac:dyDescent="0.2">
      <c r="A3546" t="s">
        <v>3664</v>
      </c>
      <c r="B3546" t="s">
        <v>81</v>
      </c>
      <c r="C3546">
        <v>2018</v>
      </c>
      <c r="D3546" t="s">
        <v>45</v>
      </c>
      <c r="E3546" t="s">
        <v>78</v>
      </c>
      <c r="F3546" t="s">
        <v>26</v>
      </c>
      <c r="G3546">
        <v>39572</v>
      </c>
      <c r="H3546">
        <v>31657.600000000002</v>
      </c>
      <c r="I3546" s="13">
        <v>0.66666666666666663</v>
      </c>
      <c r="J3546" t="s">
        <v>6207</v>
      </c>
      <c r="K3546">
        <v>1</v>
      </c>
      <c r="L3546">
        <v>0</v>
      </c>
      <c r="M3546" t="s">
        <v>0</v>
      </c>
      <c r="N3546" s="2">
        <v>0.71</v>
      </c>
      <c r="O3546" s="2">
        <v>0.28999999999999998</v>
      </c>
      <c r="P3546">
        <v>13</v>
      </c>
      <c r="Q3546">
        <v>12</v>
      </c>
      <c r="R3546">
        <v>7</v>
      </c>
      <c r="S3546">
        <v>3</v>
      </c>
      <c r="T3546">
        <v>12</v>
      </c>
      <c r="U3546">
        <v>13</v>
      </c>
      <c r="V3546">
        <v>0</v>
      </c>
      <c r="W3546">
        <v>3</v>
      </c>
      <c r="X3546">
        <v>0</v>
      </c>
      <c r="Y3546">
        <v>0</v>
      </c>
      <c r="Z3546">
        <v>0</v>
      </c>
    </row>
    <row r="3547" spans="1:26" x14ac:dyDescent="0.2">
      <c r="A3547" t="s">
        <v>3665</v>
      </c>
      <c r="B3547" t="s">
        <v>88</v>
      </c>
      <c r="C3547">
        <v>2018</v>
      </c>
      <c r="D3547" t="s">
        <v>90</v>
      </c>
      <c r="E3547" t="s">
        <v>80</v>
      </c>
      <c r="F3547" t="s">
        <v>91</v>
      </c>
      <c r="G3547">
        <v>31876</v>
      </c>
      <c r="H3547">
        <v>25500.800000000003</v>
      </c>
      <c r="I3547" s="13">
        <v>0.5</v>
      </c>
      <c r="J3547" t="s">
        <v>6207</v>
      </c>
      <c r="K3547">
        <v>1</v>
      </c>
      <c r="L3547">
        <v>1</v>
      </c>
      <c r="M3547" t="s">
        <v>58</v>
      </c>
      <c r="N3547" s="2">
        <v>0.55000000000000004</v>
      </c>
      <c r="O3547" s="2">
        <v>0.45</v>
      </c>
      <c r="P3547">
        <v>8</v>
      </c>
      <c r="Q3547">
        <v>15</v>
      </c>
      <c r="R3547">
        <v>6</v>
      </c>
      <c r="S3547">
        <v>1</v>
      </c>
      <c r="T3547">
        <v>10</v>
      </c>
      <c r="U3547">
        <v>7</v>
      </c>
      <c r="V3547">
        <v>3</v>
      </c>
      <c r="W3547">
        <v>2</v>
      </c>
      <c r="X3547">
        <v>0</v>
      </c>
      <c r="Y3547">
        <v>1</v>
      </c>
      <c r="Z3547">
        <v>1</v>
      </c>
    </row>
    <row r="3548" spans="1:26" x14ac:dyDescent="0.2">
      <c r="A3548" t="s">
        <v>3666</v>
      </c>
      <c r="B3548" t="s">
        <v>32</v>
      </c>
      <c r="C3548">
        <v>2018</v>
      </c>
      <c r="D3548" t="s">
        <v>51</v>
      </c>
      <c r="E3548" t="s">
        <v>18</v>
      </c>
      <c r="F3548" t="s">
        <v>20</v>
      </c>
      <c r="G3548">
        <v>36284</v>
      </c>
      <c r="H3548">
        <v>29027.200000000001</v>
      </c>
      <c r="I3548" s="13">
        <v>1</v>
      </c>
      <c r="J3548" t="s">
        <v>6207</v>
      </c>
      <c r="K3548">
        <v>3</v>
      </c>
      <c r="L3548">
        <v>1</v>
      </c>
      <c r="M3548" t="s">
        <v>0</v>
      </c>
      <c r="N3548" s="2">
        <v>0.4</v>
      </c>
      <c r="O3548" s="2">
        <v>0.6</v>
      </c>
      <c r="P3548">
        <v>12</v>
      </c>
      <c r="Q3548">
        <v>10</v>
      </c>
      <c r="R3548">
        <v>4</v>
      </c>
      <c r="S3548">
        <v>4</v>
      </c>
      <c r="T3548">
        <v>19</v>
      </c>
      <c r="U3548">
        <v>12</v>
      </c>
      <c r="V3548">
        <v>0</v>
      </c>
      <c r="W3548">
        <v>3</v>
      </c>
      <c r="X3548">
        <v>0</v>
      </c>
      <c r="Y3548">
        <v>0</v>
      </c>
      <c r="Z3548">
        <v>0</v>
      </c>
    </row>
    <row r="3549" spans="1:26" x14ac:dyDescent="0.2">
      <c r="A3549" t="s">
        <v>3667</v>
      </c>
      <c r="B3549" t="s">
        <v>76</v>
      </c>
      <c r="C3549">
        <v>2018</v>
      </c>
      <c r="D3549" t="s">
        <v>86</v>
      </c>
      <c r="E3549" t="s">
        <v>46</v>
      </c>
      <c r="F3549" t="s">
        <v>86</v>
      </c>
      <c r="G3549">
        <v>11364</v>
      </c>
      <c r="H3549">
        <v>9091.2000000000007</v>
      </c>
      <c r="I3549" s="13">
        <v>1</v>
      </c>
      <c r="J3549" t="s">
        <v>6207</v>
      </c>
      <c r="K3549">
        <v>1</v>
      </c>
      <c r="L3549">
        <v>2</v>
      </c>
      <c r="M3549" t="s">
        <v>1</v>
      </c>
      <c r="N3549" s="2">
        <v>0.41</v>
      </c>
      <c r="O3549" s="2">
        <v>0.59</v>
      </c>
      <c r="P3549">
        <v>10</v>
      </c>
      <c r="Q3549">
        <v>11</v>
      </c>
      <c r="R3549">
        <v>5</v>
      </c>
      <c r="S3549">
        <v>8</v>
      </c>
      <c r="T3549">
        <v>6</v>
      </c>
      <c r="U3549">
        <v>9</v>
      </c>
      <c r="V3549">
        <v>2</v>
      </c>
      <c r="W3549">
        <v>1</v>
      </c>
      <c r="X3549">
        <v>0</v>
      </c>
      <c r="Y3549">
        <v>0</v>
      </c>
      <c r="Z3549">
        <v>0</v>
      </c>
    </row>
    <row r="3550" spans="1:26" x14ac:dyDescent="0.2">
      <c r="A3550" t="s">
        <v>3668</v>
      </c>
      <c r="B3550" t="s">
        <v>60</v>
      </c>
      <c r="C3550">
        <v>2018</v>
      </c>
      <c r="D3550" t="s">
        <v>22</v>
      </c>
      <c r="E3550" t="s">
        <v>89</v>
      </c>
      <c r="F3550" t="s">
        <v>24</v>
      </c>
      <c r="G3550">
        <v>31750</v>
      </c>
      <c r="H3550">
        <v>25400</v>
      </c>
      <c r="I3550" s="13">
        <v>0.33333333333333331</v>
      </c>
      <c r="J3550" t="s">
        <v>6208</v>
      </c>
      <c r="K3550">
        <v>0</v>
      </c>
      <c r="L3550">
        <v>2</v>
      </c>
      <c r="M3550" t="s">
        <v>1</v>
      </c>
      <c r="N3550" s="2">
        <v>0.45</v>
      </c>
      <c r="O3550" s="2">
        <v>0.55000000000000004</v>
      </c>
      <c r="P3550">
        <v>9</v>
      </c>
      <c r="Q3550">
        <v>10</v>
      </c>
      <c r="R3550">
        <v>3</v>
      </c>
      <c r="S3550">
        <v>5</v>
      </c>
      <c r="T3550">
        <v>9</v>
      </c>
      <c r="U3550">
        <v>8</v>
      </c>
      <c r="V3550">
        <v>1</v>
      </c>
      <c r="W3550">
        <v>2</v>
      </c>
      <c r="X3550">
        <v>0</v>
      </c>
      <c r="Y3550">
        <v>0</v>
      </c>
      <c r="Z3550">
        <v>0</v>
      </c>
    </row>
    <row r="3551" spans="1:26" x14ac:dyDescent="0.2">
      <c r="A3551" t="s">
        <v>3669</v>
      </c>
      <c r="B3551" t="s">
        <v>61</v>
      </c>
      <c r="C3551">
        <v>2018</v>
      </c>
      <c r="D3551" t="s">
        <v>28</v>
      </c>
      <c r="E3551" t="s">
        <v>64</v>
      </c>
      <c r="F3551" t="s">
        <v>28</v>
      </c>
      <c r="G3551">
        <v>21944</v>
      </c>
      <c r="H3551">
        <v>17555.2</v>
      </c>
      <c r="I3551" s="13">
        <v>0</v>
      </c>
      <c r="J3551" t="s">
        <v>6207</v>
      </c>
      <c r="K3551">
        <v>1</v>
      </c>
      <c r="L3551">
        <v>2</v>
      </c>
      <c r="M3551" t="s">
        <v>1</v>
      </c>
      <c r="N3551" s="2">
        <v>0.56000000000000005</v>
      </c>
      <c r="O3551" s="2">
        <v>0.44</v>
      </c>
      <c r="P3551">
        <v>12</v>
      </c>
      <c r="Q3551">
        <v>7</v>
      </c>
      <c r="R3551">
        <v>5</v>
      </c>
      <c r="S3551">
        <v>5</v>
      </c>
      <c r="T3551">
        <v>6</v>
      </c>
      <c r="U3551">
        <v>11</v>
      </c>
      <c r="V3551">
        <v>0</v>
      </c>
      <c r="W3551">
        <v>1</v>
      </c>
      <c r="X3551">
        <v>0</v>
      </c>
      <c r="Y3551">
        <v>0</v>
      </c>
      <c r="Z3551">
        <v>0</v>
      </c>
    </row>
    <row r="3552" spans="1:26" x14ac:dyDescent="0.2">
      <c r="A3552" t="s">
        <v>3670</v>
      </c>
      <c r="B3552" t="s">
        <v>37</v>
      </c>
      <c r="C3552">
        <v>2018</v>
      </c>
      <c r="D3552" t="s">
        <v>78</v>
      </c>
      <c r="E3552" t="s">
        <v>22</v>
      </c>
      <c r="F3552" t="s">
        <v>78</v>
      </c>
      <c r="G3552">
        <v>33280</v>
      </c>
      <c r="H3552">
        <v>26624</v>
      </c>
      <c r="I3552" s="13">
        <v>0.66666666666666663</v>
      </c>
      <c r="J3552" t="s">
        <v>6206</v>
      </c>
      <c r="K3552">
        <v>2</v>
      </c>
      <c r="L3552">
        <v>1</v>
      </c>
      <c r="M3552" t="s">
        <v>0</v>
      </c>
      <c r="N3552" s="2">
        <v>0.48</v>
      </c>
      <c r="O3552" s="2">
        <v>0.52</v>
      </c>
      <c r="P3552">
        <v>12</v>
      </c>
      <c r="Q3552">
        <v>6</v>
      </c>
      <c r="R3552">
        <v>7</v>
      </c>
      <c r="S3552">
        <v>6</v>
      </c>
      <c r="T3552">
        <v>3</v>
      </c>
      <c r="U3552">
        <v>12</v>
      </c>
      <c r="V3552">
        <v>1</v>
      </c>
      <c r="W3552">
        <v>2</v>
      </c>
      <c r="X3552">
        <v>0</v>
      </c>
      <c r="Y3552">
        <v>0</v>
      </c>
      <c r="Z3552">
        <v>0</v>
      </c>
    </row>
    <row r="3553" spans="1:26" x14ac:dyDescent="0.2">
      <c r="A3553" t="s">
        <v>3671</v>
      </c>
      <c r="B3553" t="s">
        <v>81</v>
      </c>
      <c r="C3553">
        <v>2018</v>
      </c>
      <c r="D3553" t="s">
        <v>64</v>
      </c>
      <c r="E3553" t="s">
        <v>23</v>
      </c>
      <c r="F3553" t="s">
        <v>64</v>
      </c>
      <c r="G3553">
        <v>52264</v>
      </c>
      <c r="H3553">
        <v>41811.200000000004</v>
      </c>
      <c r="I3553" s="13">
        <v>0.5</v>
      </c>
      <c r="J3553" t="s">
        <v>6207</v>
      </c>
      <c r="K3553">
        <v>0</v>
      </c>
      <c r="L3553">
        <v>3</v>
      </c>
      <c r="M3553" t="s">
        <v>1</v>
      </c>
      <c r="N3553" s="2">
        <v>0.59</v>
      </c>
      <c r="O3553" s="2">
        <v>0.41</v>
      </c>
      <c r="P3553">
        <v>13</v>
      </c>
      <c r="Q3553">
        <v>13</v>
      </c>
      <c r="R3553">
        <v>7</v>
      </c>
      <c r="S3553">
        <v>3</v>
      </c>
      <c r="T3553">
        <v>10</v>
      </c>
      <c r="U3553">
        <v>10</v>
      </c>
      <c r="V3553">
        <v>3</v>
      </c>
      <c r="W3553">
        <v>3</v>
      </c>
      <c r="X3553">
        <v>0</v>
      </c>
      <c r="Y3553">
        <v>0</v>
      </c>
      <c r="Z3553">
        <v>0</v>
      </c>
    </row>
    <row r="3554" spans="1:26" x14ac:dyDescent="0.2">
      <c r="A3554" t="s">
        <v>3672</v>
      </c>
      <c r="B3554" t="s">
        <v>59</v>
      </c>
      <c r="C3554">
        <v>2018</v>
      </c>
      <c r="D3554" t="s">
        <v>40</v>
      </c>
      <c r="E3554" t="s">
        <v>86</v>
      </c>
      <c r="F3554" t="s">
        <v>49</v>
      </c>
      <c r="G3554">
        <v>53400</v>
      </c>
      <c r="H3554">
        <v>42720</v>
      </c>
      <c r="I3554" s="13">
        <v>0</v>
      </c>
      <c r="J3554" t="s">
        <v>6206</v>
      </c>
      <c r="K3554">
        <v>3</v>
      </c>
      <c r="L3554">
        <v>1</v>
      </c>
      <c r="M3554" t="s">
        <v>0</v>
      </c>
      <c r="N3554" s="2">
        <v>0.73</v>
      </c>
      <c r="O3554" s="2">
        <v>0.27</v>
      </c>
      <c r="P3554">
        <v>6</v>
      </c>
      <c r="Q3554">
        <v>11</v>
      </c>
      <c r="R3554">
        <v>8</v>
      </c>
      <c r="S3554">
        <v>4</v>
      </c>
      <c r="T3554">
        <v>9</v>
      </c>
      <c r="U3554">
        <v>3</v>
      </c>
      <c r="V3554">
        <v>0</v>
      </c>
      <c r="W3554">
        <v>0</v>
      </c>
      <c r="X3554">
        <v>0</v>
      </c>
      <c r="Y3554">
        <v>0</v>
      </c>
      <c r="Z3554">
        <v>0</v>
      </c>
    </row>
    <row r="3555" spans="1:26" x14ac:dyDescent="0.2">
      <c r="A3555" t="s">
        <v>3673</v>
      </c>
      <c r="B3555" t="s">
        <v>83</v>
      </c>
      <c r="C3555">
        <v>2018</v>
      </c>
      <c r="D3555" t="s">
        <v>80</v>
      </c>
      <c r="E3555" t="s">
        <v>85</v>
      </c>
      <c r="F3555" t="s">
        <v>80</v>
      </c>
      <c r="G3555">
        <v>32261</v>
      </c>
      <c r="H3555">
        <v>25808.800000000003</v>
      </c>
      <c r="I3555" s="13">
        <v>0.5</v>
      </c>
      <c r="J3555" t="s">
        <v>6208</v>
      </c>
      <c r="K3555">
        <v>2</v>
      </c>
      <c r="L3555">
        <v>0</v>
      </c>
      <c r="M3555" t="s">
        <v>0</v>
      </c>
      <c r="N3555" s="2">
        <v>0.38</v>
      </c>
      <c r="O3555" s="2">
        <v>0.62</v>
      </c>
      <c r="P3555">
        <v>6</v>
      </c>
      <c r="Q3555">
        <v>8</v>
      </c>
      <c r="R3555">
        <v>4</v>
      </c>
      <c r="S3555">
        <v>8</v>
      </c>
      <c r="T3555">
        <v>7</v>
      </c>
      <c r="U3555">
        <v>6</v>
      </c>
      <c r="V3555">
        <v>2</v>
      </c>
      <c r="W3555">
        <v>1</v>
      </c>
      <c r="X3555">
        <v>0</v>
      </c>
      <c r="Y3555">
        <v>1</v>
      </c>
      <c r="Z3555">
        <v>1</v>
      </c>
    </row>
    <row r="3556" spans="1:26" x14ac:dyDescent="0.2">
      <c r="A3556" t="s">
        <v>3674</v>
      </c>
      <c r="B3556" t="s">
        <v>66</v>
      </c>
      <c r="C3556">
        <v>2018</v>
      </c>
      <c r="D3556" t="s">
        <v>89</v>
      </c>
      <c r="E3556" t="s">
        <v>90</v>
      </c>
      <c r="F3556" t="s">
        <v>89</v>
      </c>
      <c r="G3556">
        <v>24500</v>
      </c>
      <c r="H3556">
        <v>19600</v>
      </c>
      <c r="I3556" s="13">
        <v>0.66666666666666663</v>
      </c>
      <c r="J3556" t="s">
        <v>6207</v>
      </c>
      <c r="K3556">
        <v>1</v>
      </c>
      <c r="L3556">
        <v>2</v>
      </c>
      <c r="M3556" t="s">
        <v>1</v>
      </c>
      <c r="N3556" s="2">
        <v>0.32</v>
      </c>
      <c r="O3556" s="2">
        <v>0.68</v>
      </c>
      <c r="P3556">
        <v>17</v>
      </c>
      <c r="Q3556">
        <v>9</v>
      </c>
      <c r="R3556">
        <v>2</v>
      </c>
      <c r="S3556">
        <v>6</v>
      </c>
      <c r="T3556">
        <v>10</v>
      </c>
      <c r="U3556">
        <v>12</v>
      </c>
      <c r="V3556">
        <v>0</v>
      </c>
      <c r="W3556">
        <v>2</v>
      </c>
      <c r="X3556">
        <v>1</v>
      </c>
      <c r="Y3556">
        <v>0</v>
      </c>
      <c r="Z3556">
        <v>0</v>
      </c>
    </row>
    <row r="3557" spans="1:26" x14ac:dyDescent="0.2">
      <c r="A3557" t="s">
        <v>3675</v>
      </c>
      <c r="B3557" t="s">
        <v>54</v>
      </c>
      <c r="C3557">
        <v>2018</v>
      </c>
      <c r="D3557" t="s">
        <v>79</v>
      </c>
      <c r="E3557" t="s">
        <v>28</v>
      </c>
      <c r="F3557" t="s">
        <v>20</v>
      </c>
      <c r="G3557">
        <v>25486</v>
      </c>
      <c r="H3557">
        <v>20388.800000000003</v>
      </c>
      <c r="I3557" s="13">
        <v>0.5</v>
      </c>
      <c r="J3557" t="s">
        <v>6206</v>
      </c>
      <c r="K3557">
        <v>2</v>
      </c>
      <c r="L3557">
        <v>0</v>
      </c>
      <c r="M3557" t="s">
        <v>0</v>
      </c>
      <c r="N3557" s="2">
        <v>0.59</v>
      </c>
      <c r="O3557" s="2">
        <v>0.41</v>
      </c>
      <c r="P3557">
        <v>12</v>
      </c>
      <c r="Q3557">
        <v>11</v>
      </c>
      <c r="R3557">
        <v>10</v>
      </c>
      <c r="S3557">
        <v>2</v>
      </c>
      <c r="T3557">
        <v>9</v>
      </c>
      <c r="U3557">
        <v>10</v>
      </c>
      <c r="V3557">
        <v>1</v>
      </c>
      <c r="W3557">
        <v>1</v>
      </c>
      <c r="X3557">
        <v>0</v>
      </c>
      <c r="Y3557">
        <v>0</v>
      </c>
      <c r="Z3557">
        <v>0</v>
      </c>
    </row>
    <row r="3558" spans="1:26" x14ac:dyDescent="0.2">
      <c r="A3558" t="s">
        <v>3676</v>
      </c>
      <c r="B3558" t="s">
        <v>60</v>
      </c>
      <c r="C3558">
        <v>2018</v>
      </c>
      <c r="D3558" t="s">
        <v>73</v>
      </c>
      <c r="E3558" t="s">
        <v>48</v>
      </c>
      <c r="F3558" t="s">
        <v>73</v>
      </c>
      <c r="G3558">
        <v>32384</v>
      </c>
      <c r="H3558">
        <v>25907.200000000001</v>
      </c>
      <c r="I3558" s="13">
        <v>0.625</v>
      </c>
      <c r="J3558" t="s">
        <v>6208</v>
      </c>
      <c r="K3558">
        <v>2</v>
      </c>
      <c r="L3558">
        <v>2</v>
      </c>
      <c r="M3558" t="s">
        <v>58</v>
      </c>
      <c r="N3558" s="2">
        <v>0.4</v>
      </c>
      <c r="O3558" s="2">
        <v>0.6</v>
      </c>
      <c r="P3558">
        <v>15</v>
      </c>
      <c r="Q3558">
        <v>12</v>
      </c>
      <c r="R3558">
        <v>3</v>
      </c>
      <c r="S3558">
        <v>5</v>
      </c>
      <c r="T3558">
        <v>12</v>
      </c>
      <c r="U3558">
        <v>13</v>
      </c>
      <c r="V3558">
        <v>4</v>
      </c>
      <c r="W3558">
        <v>4</v>
      </c>
      <c r="X3558">
        <v>0</v>
      </c>
      <c r="Y3558">
        <v>0</v>
      </c>
      <c r="Z3558">
        <v>0</v>
      </c>
    </row>
    <row r="3559" spans="1:26" x14ac:dyDescent="0.2">
      <c r="A3559" t="s">
        <v>3677</v>
      </c>
      <c r="B3559" t="s">
        <v>76</v>
      </c>
      <c r="C3559">
        <v>2018</v>
      </c>
      <c r="D3559" t="s">
        <v>18</v>
      </c>
      <c r="E3559" t="s">
        <v>31</v>
      </c>
      <c r="F3559" t="s">
        <v>20</v>
      </c>
      <c r="G3559">
        <v>40341</v>
      </c>
      <c r="H3559">
        <v>32272.800000000003</v>
      </c>
      <c r="I3559" s="13">
        <v>1</v>
      </c>
      <c r="J3559" t="s">
        <v>6207</v>
      </c>
      <c r="K3559">
        <v>2</v>
      </c>
      <c r="L3559">
        <v>0</v>
      </c>
      <c r="M3559" t="s">
        <v>0</v>
      </c>
      <c r="N3559" s="2">
        <v>0.66</v>
      </c>
      <c r="O3559" s="2">
        <v>0.34</v>
      </c>
      <c r="P3559">
        <v>18</v>
      </c>
      <c r="Q3559">
        <v>6</v>
      </c>
      <c r="R3559">
        <v>4</v>
      </c>
      <c r="S3559">
        <v>6</v>
      </c>
      <c r="T3559">
        <v>8</v>
      </c>
      <c r="U3559">
        <v>17</v>
      </c>
      <c r="V3559">
        <v>2</v>
      </c>
      <c r="W3559">
        <v>1</v>
      </c>
      <c r="X3559">
        <v>0</v>
      </c>
      <c r="Y3559">
        <v>0</v>
      </c>
      <c r="Z3559">
        <v>0</v>
      </c>
    </row>
    <row r="3560" spans="1:26" x14ac:dyDescent="0.2">
      <c r="A3560" t="s">
        <v>3678</v>
      </c>
      <c r="B3560" t="s">
        <v>41</v>
      </c>
      <c r="C3560">
        <v>2018</v>
      </c>
      <c r="D3560" t="s">
        <v>46</v>
      </c>
      <c r="E3560" t="s">
        <v>51</v>
      </c>
      <c r="F3560" t="s">
        <v>20</v>
      </c>
      <c r="G3560">
        <v>60704</v>
      </c>
      <c r="H3560">
        <v>48563.200000000004</v>
      </c>
      <c r="I3560" s="13">
        <v>0.625</v>
      </c>
      <c r="J3560" t="s">
        <v>6207</v>
      </c>
      <c r="K3560">
        <v>4</v>
      </c>
      <c r="L3560">
        <v>2</v>
      </c>
      <c r="M3560" t="s">
        <v>0</v>
      </c>
      <c r="N3560" s="2">
        <v>0.59</v>
      </c>
      <c r="O3560" s="2">
        <v>0.41</v>
      </c>
      <c r="P3560">
        <v>15</v>
      </c>
      <c r="Q3560">
        <v>13</v>
      </c>
      <c r="R3560">
        <v>8</v>
      </c>
      <c r="S3560">
        <v>5</v>
      </c>
      <c r="T3560">
        <v>15</v>
      </c>
      <c r="U3560">
        <v>17</v>
      </c>
      <c r="V3560">
        <v>3</v>
      </c>
      <c r="W3560">
        <v>4</v>
      </c>
      <c r="X3560">
        <v>0</v>
      </c>
      <c r="Y3560">
        <v>1</v>
      </c>
      <c r="Z3560">
        <v>2</v>
      </c>
    </row>
    <row r="3561" spans="1:26" x14ac:dyDescent="0.2">
      <c r="A3561" t="s">
        <v>3679</v>
      </c>
      <c r="B3561" t="s">
        <v>88</v>
      </c>
      <c r="C3561">
        <v>2018</v>
      </c>
      <c r="D3561" t="s">
        <v>26</v>
      </c>
      <c r="E3561" t="s">
        <v>45</v>
      </c>
      <c r="F3561" t="s">
        <v>26</v>
      </c>
      <c r="G3561">
        <v>61276</v>
      </c>
      <c r="H3561">
        <v>49020.800000000003</v>
      </c>
      <c r="I3561" s="13">
        <v>1</v>
      </c>
      <c r="J3561" t="s">
        <v>6207</v>
      </c>
      <c r="K3561">
        <v>1</v>
      </c>
      <c r="L3561">
        <v>0</v>
      </c>
      <c r="M3561" t="s">
        <v>0</v>
      </c>
      <c r="N3561" s="2">
        <v>0.57999999999999996</v>
      </c>
      <c r="O3561" s="2">
        <v>0.42</v>
      </c>
      <c r="P3561">
        <v>6</v>
      </c>
      <c r="Q3561">
        <v>12</v>
      </c>
      <c r="R3561">
        <v>8</v>
      </c>
      <c r="S3561">
        <v>1</v>
      </c>
      <c r="T3561">
        <v>12</v>
      </c>
      <c r="U3561">
        <v>7</v>
      </c>
      <c r="V3561">
        <v>3</v>
      </c>
      <c r="W3561">
        <v>2</v>
      </c>
      <c r="X3561">
        <v>0</v>
      </c>
      <c r="Y3561">
        <v>0</v>
      </c>
      <c r="Z3561">
        <v>0</v>
      </c>
    </row>
    <row r="3562" spans="1:26" x14ac:dyDescent="0.2">
      <c r="A3562" t="s">
        <v>3680</v>
      </c>
      <c r="B3562" t="s">
        <v>83</v>
      </c>
      <c r="C3562">
        <v>2018</v>
      </c>
      <c r="D3562" t="s">
        <v>23</v>
      </c>
      <c r="E3562" t="s">
        <v>78</v>
      </c>
      <c r="F3562" t="s">
        <v>20</v>
      </c>
      <c r="G3562">
        <v>62500</v>
      </c>
      <c r="H3562">
        <v>50000</v>
      </c>
      <c r="I3562" s="13">
        <v>0.66666666666666663</v>
      </c>
      <c r="J3562" t="s">
        <v>6208</v>
      </c>
      <c r="K3562">
        <v>3</v>
      </c>
      <c r="L3562">
        <v>1</v>
      </c>
      <c r="M3562" t="s">
        <v>0</v>
      </c>
      <c r="N3562" s="2">
        <v>0.61</v>
      </c>
      <c r="O3562" s="2">
        <v>0.39</v>
      </c>
      <c r="P3562">
        <v>15</v>
      </c>
      <c r="Q3562">
        <v>11</v>
      </c>
      <c r="R3562">
        <v>10</v>
      </c>
      <c r="S3562">
        <v>4</v>
      </c>
      <c r="T3562">
        <v>10</v>
      </c>
      <c r="U3562">
        <v>10</v>
      </c>
      <c r="V3562">
        <v>1</v>
      </c>
      <c r="W3562">
        <v>2</v>
      </c>
      <c r="X3562">
        <v>0</v>
      </c>
      <c r="Y3562">
        <v>0</v>
      </c>
      <c r="Z3562">
        <v>1</v>
      </c>
    </row>
    <row r="3563" spans="1:26" x14ac:dyDescent="0.2">
      <c r="A3563" t="s">
        <v>3681</v>
      </c>
      <c r="B3563" t="s">
        <v>60</v>
      </c>
      <c r="C3563">
        <v>2018</v>
      </c>
      <c r="D3563" t="s">
        <v>90</v>
      </c>
      <c r="E3563" t="s">
        <v>79</v>
      </c>
      <c r="F3563" t="s">
        <v>91</v>
      </c>
      <c r="G3563">
        <v>31876</v>
      </c>
      <c r="H3563">
        <v>25500.800000000003</v>
      </c>
      <c r="I3563" s="13">
        <v>0.83333333333333337</v>
      </c>
      <c r="J3563" t="s">
        <v>6208</v>
      </c>
      <c r="K3563">
        <v>3</v>
      </c>
      <c r="L3563">
        <v>1</v>
      </c>
      <c r="M3563" t="s">
        <v>0</v>
      </c>
      <c r="N3563" s="2">
        <v>0.31</v>
      </c>
      <c r="O3563" s="2">
        <v>0.69</v>
      </c>
      <c r="P3563">
        <v>9</v>
      </c>
      <c r="Q3563">
        <v>13</v>
      </c>
      <c r="R3563">
        <v>4</v>
      </c>
      <c r="S3563">
        <v>5</v>
      </c>
      <c r="T3563">
        <v>14</v>
      </c>
      <c r="U3563">
        <v>12</v>
      </c>
      <c r="V3563">
        <v>2</v>
      </c>
      <c r="W3563">
        <v>3</v>
      </c>
      <c r="X3563">
        <v>1</v>
      </c>
      <c r="Y3563">
        <v>0</v>
      </c>
      <c r="Z3563">
        <v>2</v>
      </c>
    </row>
    <row r="3564" spans="1:26" x14ac:dyDescent="0.2">
      <c r="A3564" t="s">
        <v>3682</v>
      </c>
      <c r="B3564" t="s">
        <v>74</v>
      </c>
      <c r="C3564">
        <v>2018</v>
      </c>
      <c r="D3564" t="s">
        <v>86</v>
      </c>
      <c r="E3564" t="s">
        <v>89</v>
      </c>
      <c r="F3564" t="s">
        <v>86</v>
      </c>
      <c r="G3564">
        <v>11364</v>
      </c>
      <c r="H3564">
        <v>9091.2000000000007</v>
      </c>
      <c r="I3564" s="13">
        <v>0.5</v>
      </c>
      <c r="J3564" t="s">
        <v>6208</v>
      </c>
      <c r="K3564">
        <v>2</v>
      </c>
      <c r="L3564">
        <v>1</v>
      </c>
      <c r="M3564" t="s">
        <v>0</v>
      </c>
      <c r="N3564" s="2">
        <v>0.33</v>
      </c>
      <c r="O3564" s="2">
        <v>0.67</v>
      </c>
      <c r="P3564">
        <v>7</v>
      </c>
      <c r="Q3564">
        <v>8</v>
      </c>
      <c r="R3564">
        <v>4</v>
      </c>
      <c r="S3564">
        <v>8</v>
      </c>
      <c r="T3564">
        <v>14</v>
      </c>
      <c r="U3564">
        <v>11</v>
      </c>
      <c r="V3564">
        <v>4</v>
      </c>
      <c r="W3564">
        <v>2</v>
      </c>
      <c r="X3564">
        <v>0</v>
      </c>
      <c r="Y3564">
        <v>0</v>
      </c>
      <c r="Z3564">
        <v>0</v>
      </c>
    </row>
    <row r="3565" spans="1:26" x14ac:dyDescent="0.2">
      <c r="A3565" t="s">
        <v>3683</v>
      </c>
      <c r="B3565" t="s">
        <v>81</v>
      </c>
      <c r="C3565">
        <v>2018</v>
      </c>
      <c r="D3565" t="s">
        <v>85</v>
      </c>
      <c r="E3565" t="s">
        <v>40</v>
      </c>
      <c r="F3565" t="s">
        <v>85</v>
      </c>
      <c r="G3565">
        <v>22220</v>
      </c>
      <c r="H3565">
        <v>17776</v>
      </c>
      <c r="I3565" s="13">
        <v>1</v>
      </c>
      <c r="J3565" t="s">
        <v>6207</v>
      </c>
      <c r="K3565">
        <v>1</v>
      </c>
      <c r="L3565">
        <v>2</v>
      </c>
      <c r="M3565" t="s">
        <v>1</v>
      </c>
      <c r="N3565" s="2">
        <v>0.3</v>
      </c>
      <c r="O3565" s="2">
        <v>0.7</v>
      </c>
      <c r="P3565">
        <v>9</v>
      </c>
      <c r="Q3565">
        <v>3</v>
      </c>
      <c r="R3565">
        <v>3</v>
      </c>
      <c r="S3565">
        <v>11</v>
      </c>
      <c r="T3565">
        <v>4</v>
      </c>
      <c r="U3565">
        <v>8</v>
      </c>
      <c r="V3565">
        <v>0</v>
      </c>
      <c r="W3565">
        <v>1</v>
      </c>
      <c r="X3565">
        <v>0</v>
      </c>
      <c r="Y3565">
        <v>0</v>
      </c>
      <c r="Z3565">
        <v>0</v>
      </c>
    </row>
    <row r="3566" spans="1:26" x14ac:dyDescent="0.2">
      <c r="A3566" t="s">
        <v>3684</v>
      </c>
      <c r="B3566" t="s">
        <v>68</v>
      </c>
      <c r="C3566">
        <v>2018</v>
      </c>
      <c r="D3566" t="s">
        <v>22</v>
      </c>
      <c r="E3566" t="s">
        <v>18</v>
      </c>
      <c r="F3566" t="s">
        <v>24</v>
      </c>
      <c r="G3566">
        <v>31750</v>
      </c>
      <c r="H3566">
        <v>25400</v>
      </c>
      <c r="I3566" s="13">
        <v>0.875</v>
      </c>
      <c r="J3566" t="s">
        <v>6207</v>
      </c>
      <c r="K3566">
        <v>2</v>
      </c>
      <c r="L3566">
        <v>1</v>
      </c>
      <c r="M3566" t="s">
        <v>0</v>
      </c>
      <c r="N3566" s="2">
        <v>0.3</v>
      </c>
      <c r="O3566" s="2">
        <v>0.7</v>
      </c>
      <c r="P3566">
        <v>10</v>
      </c>
      <c r="Q3566">
        <v>18</v>
      </c>
      <c r="R3566">
        <v>1</v>
      </c>
      <c r="S3566">
        <v>5</v>
      </c>
      <c r="T3566">
        <v>18</v>
      </c>
      <c r="U3566">
        <v>10</v>
      </c>
      <c r="V3566">
        <v>4</v>
      </c>
      <c r="W3566">
        <v>4</v>
      </c>
      <c r="X3566">
        <v>0</v>
      </c>
      <c r="Y3566">
        <v>0</v>
      </c>
      <c r="Z3566">
        <v>0</v>
      </c>
    </row>
    <row r="3567" spans="1:26" x14ac:dyDescent="0.2">
      <c r="A3567" t="s">
        <v>3685</v>
      </c>
      <c r="B3567" t="s">
        <v>93</v>
      </c>
      <c r="C3567">
        <v>2018</v>
      </c>
      <c r="D3567" t="s">
        <v>31</v>
      </c>
      <c r="E3567" t="s">
        <v>80</v>
      </c>
      <c r="F3567" t="s">
        <v>20</v>
      </c>
      <c r="G3567">
        <v>28500</v>
      </c>
      <c r="H3567">
        <v>22800</v>
      </c>
      <c r="I3567" s="13">
        <v>0</v>
      </c>
      <c r="J3567" t="s">
        <v>6206</v>
      </c>
      <c r="K3567">
        <v>1</v>
      </c>
      <c r="L3567">
        <v>1</v>
      </c>
      <c r="M3567" t="s">
        <v>58</v>
      </c>
      <c r="N3567" s="2">
        <v>0.46</v>
      </c>
      <c r="O3567" s="2">
        <v>0.54</v>
      </c>
      <c r="P3567">
        <v>8</v>
      </c>
      <c r="Q3567">
        <v>12</v>
      </c>
      <c r="R3567">
        <v>10</v>
      </c>
      <c r="S3567">
        <v>8</v>
      </c>
      <c r="T3567">
        <v>12</v>
      </c>
      <c r="U3567">
        <v>7</v>
      </c>
      <c r="V3567">
        <v>0</v>
      </c>
      <c r="W3567">
        <v>0</v>
      </c>
      <c r="X3567">
        <v>0</v>
      </c>
      <c r="Y3567">
        <v>0</v>
      </c>
      <c r="Z3567">
        <v>0</v>
      </c>
    </row>
    <row r="3568" spans="1:26" x14ac:dyDescent="0.2">
      <c r="A3568" t="s">
        <v>3686</v>
      </c>
      <c r="B3568" t="s">
        <v>50</v>
      </c>
      <c r="C3568">
        <v>2018</v>
      </c>
      <c r="D3568" t="s">
        <v>45</v>
      </c>
      <c r="E3568" t="s">
        <v>64</v>
      </c>
      <c r="F3568" t="s">
        <v>26</v>
      </c>
      <c r="G3568">
        <v>39572</v>
      </c>
      <c r="H3568">
        <v>31657.600000000002</v>
      </c>
      <c r="I3568" s="13">
        <v>1</v>
      </c>
      <c r="J3568" t="s">
        <v>6207</v>
      </c>
      <c r="K3568">
        <v>1</v>
      </c>
      <c r="L3568">
        <v>1</v>
      </c>
      <c r="M3568" t="s">
        <v>58</v>
      </c>
      <c r="N3568" s="2">
        <v>0.76</v>
      </c>
      <c r="O3568" s="2">
        <v>0.24</v>
      </c>
      <c r="P3568">
        <v>19</v>
      </c>
      <c r="Q3568">
        <v>6</v>
      </c>
      <c r="R3568">
        <v>14</v>
      </c>
      <c r="S3568">
        <v>2</v>
      </c>
      <c r="T3568">
        <v>7</v>
      </c>
      <c r="U3568">
        <v>18</v>
      </c>
      <c r="V3568">
        <v>0</v>
      </c>
      <c r="W3568">
        <v>5</v>
      </c>
      <c r="X3568">
        <v>0</v>
      </c>
      <c r="Y3568">
        <v>0</v>
      </c>
      <c r="Z3568">
        <v>0</v>
      </c>
    </row>
    <row r="3569" spans="1:26" x14ac:dyDescent="0.2">
      <c r="A3569" t="s">
        <v>3687</v>
      </c>
      <c r="B3569" t="s">
        <v>59</v>
      </c>
      <c r="C3569">
        <v>2018</v>
      </c>
      <c r="D3569" t="s">
        <v>28</v>
      </c>
      <c r="E3569" t="s">
        <v>26</v>
      </c>
      <c r="F3569" t="s">
        <v>28</v>
      </c>
      <c r="G3569">
        <v>21944</v>
      </c>
      <c r="H3569">
        <v>17555.2</v>
      </c>
      <c r="I3569" s="13">
        <v>1</v>
      </c>
      <c r="J3569" t="s">
        <v>6206</v>
      </c>
      <c r="K3569">
        <v>1</v>
      </c>
      <c r="L3569">
        <v>3</v>
      </c>
      <c r="M3569" t="s">
        <v>1</v>
      </c>
      <c r="N3569" s="2">
        <v>0.26</v>
      </c>
      <c r="O3569" s="2">
        <v>0.74</v>
      </c>
      <c r="P3569">
        <v>7</v>
      </c>
      <c r="Q3569">
        <v>18</v>
      </c>
      <c r="R3569">
        <v>5</v>
      </c>
      <c r="S3569">
        <v>9</v>
      </c>
      <c r="T3569">
        <v>10</v>
      </c>
      <c r="U3569">
        <v>3</v>
      </c>
      <c r="V3569">
        <v>1</v>
      </c>
      <c r="W3569">
        <v>0</v>
      </c>
      <c r="X3569">
        <v>0</v>
      </c>
      <c r="Y3569">
        <v>0</v>
      </c>
      <c r="Z3569">
        <v>0</v>
      </c>
    </row>
    <row r="3570" spans="1:26" x14ac:dyDescent="0.2">
      <c r="A3570" t="s">
        <v>3688</v>
      </c>
      <c r="B3570" t="s">
        <v>61</v>
      </c>
      <c r="C3570">
        <v>2018</v>
      </c>
      <c r="D3570" t="s">
        <v>51</v>
      </c>
      <c r="E3570" t="s">
        <v>73</v>
      </c>
      <c r="F3570" t="s">
        <v>20</v>
      </c>
      <c r="G3570">
        <v>36284</v>
      </c>
      <c r="H3570">
        <v>29027.200000000001</v>
      </c>
      <c r="I3570" s="13">
        <v>0</v>
      </c>
      <c r="J3570" t="s">
        <v>6207</v>
      </c>
      <c r="K3570">
        <v>3</v>
      </c>
      <c r="L3570">
        <v>1</v>
      </c>
      <c r="M3570" t="s">
        <v>0</v>
      </c>
      <c r="N3570" s="2">
        <v>0.52</v>
      </c>
      <c r="O3570" s="2">
        <v>0.48</v>
      </c>
      <c r="P3570">
        <v>7</v>
      </c>
      <c r="Q3570">
        <v>12</v>
      </c>
      <c r="R3570">
        <v>8</v>
      </c>
      <c r="S3570">
        <v>6</v>
      </c>
      <c r="T3570">
        <v>7</v>
      </c>
      <c r="U3570">
        <v>5</v>
      </c>
      <c r="V3570">
        <v>0</v>
      </c>
      <c r="W3570">
        <v>0</v>
      </c>
      <c r="X3570">
        <v>0</v>
      </c>
      <c r="Y3570">
        <v>0</v>
      </c>
      <c r="Z3570">
        <v>0</v>
      </c>
    </row>
    <row r="3571" spans="1:26" x14ac:dyDescent="0.2">
      <c r="A3571" t="s">
        <v>3689</v>
      </c>
      <c r="B3571" t="s">
        <v>37</v>
      </c>
      <c r="C3571">
        <v>2018</v>
      </c>
      <c r="D3571" t="s">
        <v>48</v>
      </c>
      <c r="E3571" t="s">
        <v>46</v>
      </c>
      <c r="F3571" t="s">
        <v>49</v>
      </c>
      <c r="G3571">
        <v>74197</v>
      </c>
      <c r="H3571">
        <v>59357.600000000006</v>
      </c>
      <c r="I3571" s="13">
        <v>0.83333333333333337</v>
      </c>
      <c r="J3571" t="s">
        <v>6206</v>
      </c>
      <c r="K3571">
        <v>2</v>
      </c>
      <c r="L3571">
        <v>2</v>
      </c>
      <c r="M3571" t="s">
        <v>58</v>
      </c>
      <c r="N3571" s="2">
        <v>0.45</v>
      </c>
      <c r="O3571" s="2">
        <v>0.55000000000000004</v>
      </c>
      <c r="P3571">
        <v>15</v>
      </c>
      <c r="Q3571">
        <v>17</v>
      </c>
      <c r="R3571">
        <v>4</v>
      </c>
      <c r="S3571">
        <v>4</v>
      </c>
      <c r="T3571">
        <v>13</v>
      </c>
      <c r="U3571">
        <v>10</v>
      </c>
      <c r="V3571">
        <v>3</v>
      </c>
      <c r="W3571">
        <v>3</v>
      </c>
      <c r="X3571">
        <v>0</v>
      </c>
      <c r="Y3571">
        <v>0</v>
      </c>
      <c r="Z3571">
        <v>0</v>
      </c>
    </row>
    <row r="3572" spans="1:26" x14ac:dyDescent="0.2">
      <c r="A3572" t="s">
        <v>3690</v>
      </c>
      <c r="B3572" t="s">
        <v>50</v>
      </c>
      <c r="C3572">
        <v>2018</v>
      </c>
      <c r="D3572" t="s">
        <v>86</v>
      </c>
      <c r="E3572" t="s">
        <v>26</v>
      </c>
      <c r="F3572" t="s">
        <v>86</v>
      </c>
      <c r="G3572">
        <v>11364</v>
      </c>
      <c r="H3572">
        <v>9091.2000000000007</v>
      </c>
      <c r="I3572" s="13">
        <v>1</v>
      </c>
      <c r="J3572" t="s">
        <v>6207</v>
      </c>
      <c r="K3572">
        <v>0</v>
      </c>
      <c r="L3572">
        <v>4</v>
      </c>
      <c r="M3572" t="s">
        <v>1</v>
      </c>
      <c r="N3572" s="2">
        <v>0.4</v>
      </c>
      <c r="O3572" s="2">
        <v>0.6</v>
      </c>
      <c r="P3572">
        <v>13</v>
      </c>
      <c r="Q3572">
        <v>12</v>
      </c>
      <c r="R3572">
        <v>6</v>
      </c>
      <c r="S3572">
        <v>6</v>
      </c>
      <c r="T3572">
        <v>9</v>
      </c>
      <c r="U3572">
        <v>11</v>
      </c>
      <c r="V3572">
        <v>2</v>
      </c>
      <c r="W3572">
        <v>1</v>
      </c>
      <c r="X3572">
        <v>0</v>
      </c>
      <c r="Y3572">
        <v>0</v>
      </c>
      <c r="Z3572">
        <v>0</v>
      </c>
    </row>
    <row r="3573" spans="1:26" x14ac:dyDescent="0.2">
      <c r="A3573" t="s">
        <v>3691</v>
      </c>
      <c r="B3573" t="s">
        <v>61</v>
      </c>
      <c r="C3573">
        <v>2018</v>
      </c>
      <c r="D3573" t="s">
        <v>23</v>
      </c>
      <c r="E3573" t="s">
        <v>79</v>
      </c>
      <c r="F3573" t="s">
        <v>20</v>
      </c>
      <c r="G3573">
        <v>62500</v>
      </c>
      <c r="H3573">
        <v>50000</v>
      </c>
      <c r="I3573" s="13">
        <v>0.66666666666666663</v>
      </c>
      <c r="J3573" t="s">
        <v>6207</v>
      </c>
      <c r="K3573">
        <v>3</v>
      </c>
      <c r="L3573">
        <v>2</v>
      </c>
      <c r="M3573" t="s">
        <v>0</v>
      </c>
      <c r="N3573" s="2">
        <v>0.49</v>
      </c>
      <c r="O3573" s="2">
        <v>0.51</v>
      </c>
      <c r="P3573">
        <v>8</v>
      </c>
      <c r="Q3573">
        <v>13</v>
      </c>
      <c r="R3573">
        <v>5</v>
      </c>
      <c r="S3573">
        <v>3</v>
      </c>
      <c r="T3573">
        <v>10</v>
      </c>
      <c r="U3573">
        <v>8</v>
      </c>
      <c r="V3573">
        <v>1</v>
      </c>
      <c r="W3573">
        <v>2</v>
      </c>
      <c r="X3573">
        <v>0</v>
      </c>
      <c r="Y3573">
        <v>0</v>
      </c>
      <c r="Z3573">
        <v>0</v>
      </c>
    </row>
    <row r="3574" spans="1:26" x14ac:dyDescent="0.2">
      <c r="A3574" t="s">
        <v>3692</v>
      </c>
      <c r="B3574" t="s">
        <v>54</v>
      </c>
      <c r="C3574">
        <v>2018</v>
      </c>
      <c r="D3574" t="s">
        <v>48</v>
      </c>
      <c r="E3574" t="s">
        <v>31</v>
      </c>
      <c r="F3574" t="s">
        <v>49</v>
      </c>
      <c r="G3574">
        <v>74197</v>
      </c>
      <c r="H3574">
        <v>59357.600000000006</v>
      </c>
      <c r="I3574" s="13">
        <v>0.5</v>
      </c>
      <c r="J3574" t="s">
        <v>6206</v>
      </c>
      <c r="K3574">
        <v>4</v>
      </c>
      <c r="L3574">
        <v>1</v>
      </c>
      <c r="M3574" t="s">
        <v>0</v>
      </c>
      <c r="N3574" s="2">
        <v>0.63</v>
      </c>
      <c r="O3574" s="2">
        <v>0.37</v>
      </c>
      <c r="P3574">
        <v>18</v>
      </c>
      <c r="Q3574">
        <v>13</v>
      </c>
      <c r="R3574">
        <v>10</v>
      </c>
      <c r="S3574">
        <v>3</v>
      </c>
      <c r="T3574">
        <v>11</v>
      </c>
      <c r="U3574">
        <v>15</v>
      </c>
      <c r="V3574">
        <v>1</v>
      </c>
      <c r="W3574">
        <v>2</v>
      </c>
      <c r="X3574">
        <v>0</v>
      </c>
      <c r="Y3574">
        <v>1</v>
      </c>
      <c r="Z3574">
        <v>1</v>
      </c>
    </row>
    <row r="3575" spans="1:26" x14ac:dyDescent="0.2">
      <c r="A3575" t="s">
        <v>3693</v>
      </c>
      <c r="B3575" t="s">
        <v>68</v>
      </c>
      <c r="C3575">
        <v>2018</v>
      </c>
      <c r="D3575" t="s">
        <v>78</v>
      </c>
      <c r="E3575" t="s">
        <v>73</v>
      </c>
      <c r="F3575" t="s">
        <v>78</v>
      </c>
      <c r="G3575">
        <v>33280</v>
      </c>
      <c r="H3575">
        <v>26624</v>
      </c>
      <c r="I3575" s="13">
        <v>0.5</v>
      </c>
      <c r="J3575" t="s">
        <v>6207</v>
      </c>
      <c r="K3575">
        <v>1</v>
      </c>
      <c r="L3575">
        <v>0</v>
      </c>
      <c r="M3575" t="s">
        <v>0</v>
      </c>
      <c r="N3575" s="2">
        <v>0.37</v>
      </c>
      <c r="O3575" s="2">
        <v>0.63</v>
      </c>
      <c r="P3575">
        <v>11</v>
      </c>
      <c r="Q3575">
        <v>13</v>
      </c>
      <c r="R3575">
        <v>7</v>
      </c>
      <c r="S3575">
        <v>7</v>
      </c>
      <c r="T3575">
        <v>9</v>
      </c>
      <c r="U3575">
        <v>10</v>
      </c>
      <c r="V3575">
        <v>2</v>
      </c>
      <c r="W3575">
        <v>2</v>
      </c>
      <c r="X3575">
        <v>0</v>
      </c>
      <c r="Y3575">
        <v>0</v>
      </c>
      <c r="Z3575">
        <v>0</v>
      </c>
    </row>
    <row r="3576" spans="1:26" x14ac:dyDescent="0.2">
      <c r="A3576" t="s">
        <v>3694</v>
      </c>
      <c r="B3576" t="s">
        <v>32</v>
      </c>
      <c r="C3576">
        <v>2018</v>
      </c>
      <c r="D3576" t="s">
        <v>28</v>
      </c>
      <c r="E3576" t="s">
        <v>90</v>
      </c>
      <c r="F3576" t="s">
        <v>28</v>
      </c>
      <c r="G3576">
        <v>21944</v>
      </c>
      <c r="H3576">
        <v>17555.2</v>
      </c>
      <c r="I3576" s="13">
        <v>0</v>
      </c>
      <c r="J3576" t="s">
        <v>6207</v>
      </c>
      <c r="K3576">
        <v>1</v>
      </c>
      <c r="L3576">
        <v>0</v>
      </c>
      <c r="M3576" t="s">
        <v>0</v>
      </c>
      <c r="N3576" s="2">
        <v>0.38</v>
      </c>
      <c r="O3576" s="2">
        <v>0.62</v>
      </c>
      <c r="P3576">
        <v>13</v>
      </c>
      <c r="Q3576">
        <v>13</v>
      </c>
      <c r="R3576">
        <v>2</v>
      </c>
      <c r="S3576">
        <v>7</v>
      </c>
      <c r="T3576">
        <v>11</v>
      </c>
      <c r="U3576">
        <v>11</v>
      </c>
      <c r="V3576">
        <v>2</v>
      </c>
      <c r="W3576">
        <v>0</v>
      </c>
      <c r="X3576">
        <v>0</v>
      </c>
      <c r="Y3576">
        <v>0</v>
      </c>
      <c r="Z3576">
        <v>0</v>
      </c>
    </row>
    <row r="3577" spans="1:26" x14ac:dyDescent="0.2">
      <c r="A3577" t="s">
        <v>3695</v>
      </c>
      <c r="B3577" t="s">
        <v>81</v>
      </c>
      <c r="C3577">
        <v>2018</v>
      </c>
      <c r="D3577" t="s">
        <v>46</v>
      </c>
      <c r="E3577" t="s">
        <v>89</v>
      </c>
      <c r="F3577" t="s">
        <v>20</v>
      </c>
      <c r="G3577">
        <v>60704</v>
      </c>
      <c r="H3577">
        <v>48563.200000000004</v>
      </c>
      <c r="I3577" s="13">
        <v>0.77777777777777779</v>
      </c>
      <c r="J3577" t="s">
        <v>6207</v>
      </c>
      <c r="K3577">
        <v>1</v>
      </c>
      <c r="L3577">
        <v>0</v>
      </c>
      <c r="M3577" t="s">
        <v>0</v>
      </c>
      <c r="N3577" s="2">
        <v>0.62</v>
      </c>
      <c r="O3577" s="2">
        <v>0.38</v>
      </c>
      <c r="P3577">
        <v>20</v>
      </c>
      <c r="Q3577">
        <v>15</v>
      </c>
      <c r="R3577">
        <v>7</v>
      </c>
      <c r="S3577">
        <v>1</v>
      </c>
      <c r="T3577">
        <v>13</v>
      </c>
      <c r="U3577">
        <v>20</v>
      </c>
      <c r="V3577">
        <v>5</v>
      </c>
      <c r="W3577">
        <v>4</v>
      </c>
      <c r="X3577">
        <v>0</v>
      </c>
      <c r="Y3577">
        <v>0</v>
      </c>
      <c r="Z3577">
        <v>0</v>
      </c>
    </row>
    <row r="3578" spans="1:26" x14ac:dyDescent="0.2">
      <c r="A3578" t="s">
        <v>3696</v>
      </c>
      <c r="B3578" t="s">
        <v>66</v>
      </c>
      <c r="C3578">
        <v>2018</v>
      </c>
      <c r="D3578" t="s">
        <v>18</v>
      </c>
      <c r="E3578" t="s">
        <v>40</v>
      </c>
      <c r="F3578" t="s">
        <v>20</v>
      </c>
      <c r="G3578">
        <v>40341</v>
      </c>
      <c r="H3578">
        <v>32272.800000000003</v>
      </c>
      <c r="I3578" s="13">
        <v>1</v>
      </c>
      <c r="J3578" t="s">
        <v>6207</v>
      </c>
      <c r="K3578">
        <v>2</v>
      </c>
      <c r="L3578">
        <v>0</v>
      </c>
      <c r="M3578" t="s">
        <v>0</v>
      </c>
      <c r="N3578" s="2">
        <v>0.39</v>
      </c>
      <c r="O3578" s="2">
        <v>0.61</v>
      </c>
      <c r="P3578">
        <v>13</v>
      </c>
      <c r="Q3578">
        <v>13</v>
      </c>
      <c r="R3578">
        <v>1</v>
      </c>
      <c r="S3578">
        <v>13</v>
      </c>
      <c r="T3578">
        <v>12</v>
      </c>
      <c r="U3578">
        <v>11</v>
      </c>
      <c r="V3578">
        <v>2</v>
      </c>
      <c r="W3578">
        <v>0</v>
      </c>
      <c r="X3578">
        <v>0</v>
      </c>
      <c r="Y3578">
        <v>0</v>
      </c>
      <c r="Z3578">
        <v>0</v>
      </c>
    </row>
    <row r="3579" spans="1:26" x14ac:dyDescent="0.2">
      <c r="A3579" t="s">
        <v>3697</v>
      </c>
      <c r="B3579" t="s">
        <v>76</v>
      </c>
      <c r="C3579">
        <v>2018</v>
      </c>
      <c r="D3579" t="s">
        <v>80</v>
      </c>
      <c r="E3579" t="s">
        <v>51</v>
      </c>
      <c r="F3579" t="s">
        <v>80</v>
      </c>
      <c r="G3579">
        <v>32261</v>
      </c>
      <c r="H3579">
        <v>25808.800000000003</v>
      </c>
      <c r="I3579" s="13">
        <v>0.5</v>
      </c>
      <c r="J3579" t="s">
        <v>6207</v>
      </c>
      <c r="K3579">
        <v>0</v>
      </c>
      <c r="L3579">
        <v>2</v>
      </c>
      <c r="M3579" t="s">
        <v>1</v>
      </c>
      <c r="N3579" s="2">
        <v>0.42</v>
      </c>
      <c r="O3579" s="2">
        <v>0.57999999999999996</v>
      </c>
      <c r="P3579">
        <v>8</v>
      </c>
      <c r="Q3579">
        <v>15</v>
      </c>
      <c r="R3579">
        <v>6</v>
      </c>
      <c r="S3579">
        <v>5</v>
      </c>
      <c r="T3579">
        <v>12</v>
      </c>
      <c r="U3579">
        <v>7</v>
      </c>
      <c r="V3579">
        <v>3</v>
      </c>
      <c r="W3579">
        <v>1</v>
      </c>
      <c r="X3579">
        <v>0</v>
      </c>
      <c r="Y3579">
        <v>0</v>
      </c>
      <c r="Z3579">
        <v>0</v>
      </c>
    </row>
    <row r="3580" spans="1:26" x14ac:dyDescent="0.2">
      <c r="A3580" t="s">
        <v>3698</v>
      </c>
      <c r="B3580" t="s">
        <v>41</v>
      </c>
      <c r="C3580">
        <v>2018</v>
      </c>
      <c r="D3580" t="s">
        <v>64</v>
      </c>
      <c r="E3580" t="s">
        <v>22</v>
      </c>
      <c r="F3580" t="s">
        <v>64</v>
      </c>
      <c r="G3580">
        <v>52264</v>
      </c>
      <c r="H3580">
        <v>41811.200000000004</v>
      </c>
      <c r="I3580" s="13">
        <v>0.625</v>
      </c>
      <c r="J3580" t="s">
        <v>6207</v>
      </c>
      <c r="K3580">
        <v>1</v>
      </c>
      <c r="L3580">
        <v>2</v>
      </c>
      <c r="M3580" t="s">
        <v>1</v>
      </c>
      <c r="N3580" s="2">
        <v>0.5</v>
      </c>
      <c r="O3580" s="2">
        <v>0.5</v>
      </c>
      <c r="P3580">
        <v>16</v>
      </c>
      <c r="Q3580">
        <v>9</v>
      </c>
      <c r="R3580">
        <v>4</v>
      </c>
      <c r="S3580">
        <v>6</v>
      </c>
      <c r="T3580">
        <v>10</v>
      </c>
      <c r="U3580">
        <v>17</v>
      </c>
      <c r="V3580">
        <v>2</v>
      </c>
      <c r="W3580">
        <v>5</v>
      </c>
      <c r="X3580">
        <v>1</v>
      </c>
      <c r="Y3580">
        <v>0</v>
      </c>
      <c r="Z3580">
        <v>0</v>
      </c>
    </row>
    <row r="3581" spans="1:26" x14ac:dyDescent="0.2">
      <c r="A3581" t="s">
        <v>3699</v>
      </c>
      <c r="B3581" t="s">
        <v>60</v>
      </c>
      <c r="C3581">
        <v>2018</v>
      </c>
      <c r="D3581" t="s">
        <v>45</v>
      </c>
      <c r="E3581" t="s">
        <v>85</v>
      </c>
      <c r="F3581" t="s">
        <v>26</v>
      </c>
      <c r="G3581">
        <v>39572</v>
      </c>
      <c r="H3581">
        <v>31657.600000000002</v>
      </c>
      <c r="I3581" s="13">
        <v>0.5</v>
      </c>
      <c r="J3581" t="s">
        <v>6208</v>
      </c>
      <c r="K3581">
        <v>2</v>
      </c>
      <c r="L3581">
        <v>2</v>
      </c>
      <c r="M3581" t="s">
        <v>58</v>
      </c>
      <c r="N3581" s="2">
        <v>0.56999999999999995</v>
      </c>
      <c r="O3581" s="2">
        <v>0.43</v>
      </c>
      <c r="P3581">
        <v>10</v>
      </c>
      <c r="Q3581">
        <v>13</v>
      </c>
      <c r="R3581">
        <v>6</v>
      </c>
      <c r="S3581">
        <v>6</v>
      </c>
      <c r="T3581">
        <v>13</v>
      </c>
      <c r="U3581">
        <v>13</v>
      </c>
      <c r="V3581">
        <v>1</v>
      </c>
      <c r="W3581">
        <v>1</v>
      </c>
      <c r="X3581">
        <v>0</v>
      </c>
      <c r="Y3581">
        <v>0</v>
      </c>
      <c r="Z3581">
        <v>1</v>
      </c>
    </row>
    <row r="3582" spans="1:26" x14ac:dyDescent="0.2">
      <c r="A3582" t="s">
        <v>3700</v>
      </c>
      <c r="B3582" t="s">
        <v>76</v>
      </c>
      <c r="C3582">
        <v>2018</v>
      </c>
      <c r="D3582" t="s">
        <v>40</v>
      </c>
      <c r="E3582" t="s">
        <v>45</v>
      </c>
      <c r="F3582" t="s">
        <v>49</v>
      </c>
      <c r="G3582">
        <v>53400</v>
      </c>
      <c r="H3582">
        <v>42720</v>
      </c>
      <c r="I3582" s="13">
        <v>0.33333333333333331</v>
      </c>
      <c r="J3582" t="s">
        <v>6207</v>
      </c>
      <c r="K3582">
        <v>3</v>
      </c>
      <c r="L3582">
        <v>1</v>
      </c>
      <c r="M3582" t="s">
        <v>0</v>
      </c>
      <c r="N3582" s="2">
        <v>0.67</v>
      </c>
      <c r="O3582" s="2">
        <v>0.33</v>
      </c>
      <c r="P3582">
        <v>11</v>
      </c>
      <c r="Q3582">
        <v>10</v>
      </c>
      <c r="R3582">
        <v>6</v>
      </c>
      <c r="S3582">
        <v>2</v>
      </c>
      <c r="T3582">
        <v>7</v>
      </c>
      <c r="U3582">
        <v>9</v>
      </c>
      <c r="V3582">
        <v>1</v>
      </c>
      <c r="W3582">
        <v>2</v>
      </c>
      <c r="X3582">
        <v>0</v>
      </c>
      <c r="Y3582">
        <v>0</v>
      </c>
      <c r="Z3582">
        <v>0</v>
      </c>
    </row>
    <row r="3583" spans="1:26" x14ac:dyDescent="0.2">
      <c r="A3583" t="s">
        <v>3701</v>
      </c>
      <c r="B3583" t="s">
        <v>84</v>
      </c>
      <c r="C3583">
        <v>2018</v>
      </c>
      <c r="D3583" t="s">
        <v>22</v>
      </c>
      <c r="E3583" t="s">
        <v>86</v>
      </c>
      <c r="F3583" t="s">
        <v>24</v>
      </c>
      <c r="G3583">
        <v>31750</v>
      </c>
      <c r="H3583">
        <v>25400</v>
      </c>
      <c r="I3583" s="13">
        <v>0.66666666666666663</v>
      </c>
      <c r="J3583" t="s">
        <v>6208</v>
      </c>
      <c r="K3583">
        <v>2</v>
      </c>
      <c r="L3583">
        <v>0</v>
      </c>
      <c r="M3583" t="s">
        <v>0</v>
      </c>
      <c r="N3583" s="2">
        <v>0.38</v>
      </c>
      <c r="O3583" s="2">
        <v>0.62</v>
      </c>
      <c r="P3583">
        <v>7</v>
      </c>
      <c r="Q3583">
        <v>21</v>
      </c>
      <c r="R3583">
        <v>5</v>
      </c>
      <c r="S3583">
        <v>3</v>
      </c>
      <c r="T3583">
        <v>15</v>
      </c>
      <c r="U3583">
        <v>7</v>
      </c>
      <c r="V3583">
        <v>1</v>
      </c>
      <c r="W3583">
        <v>2</v>
      </c>
      <c r="X3583">
        <v>0</v>
      </c>
      <c r="Y3583">
        <v>0</v>
      </c>
      <c r="Z3583">
        <v>0</v>
      </c>
    </row>
    <row r="3584" spans="1:26" x14ac:dyDescent="0.2">
      <c r="A3584" t="s">
        <v>3702</v>
      </c>
      <c r="B3584" t="s">
        <v>92</v>
      </c>
      <c r="C3584">
        <v>2018</v>
      </c>
      <c r="D3584" t="s">
        <v>85</v>
      </c>
      <c r="E3584" t="s">
        <v>78</v>
      </c>
      <c r="F3584" t="s">
        <v>85</v>
      </c>
      <c r="G3584">
        <v>22220</v>
      </c>
      <c r="H3584">
        <v>17776</v>
      </c>
      <c r="I3584" s="13">
        <v>0</v>
      </c>
      <c r="J3584" t="s">
        <v>6207</v>
      </c>
      <c r="K3584">
        <v>3</v>
      </c>
      <c r="L3584">
        <v>2</v>
      </c>
      <c r="M3584" t="s">
        <v>0</v>
      </c>
      <c r="N3584" s="2">
        <v>0.72</v>
      </c>
      <c r="O3584" s="2">
        <v>0.28000000000000003</v>
      </c>
      <c r="P3584">
        <v>6</v>
      </c>
      <c r="Q3584">
        <v>9</v>
      </c>
      <c r="R3584">
        <v>5</v>
      </c>
      <c r="S3584">
        <v>0</v>
      </c>
      <c r="T3584">
        <v>7</v>
      </c>
      <c r="U3584">
        <v>5</v>
      </c>
      <c r="V3584">
        <v>0</v>
      </c>
      <c r="W3584">
        <v>0</v>
      </c>
      <c r="X3584">
        <v>0</v>
      </c>
      <c r="Y3584">
        <v>0</v>
      </c>
      <c r="Z3584">
        <v>0</v>
      </c>
    </row>
    <row r="3585" spans="1:26" x14ac:dyDescent="0.2">
      <c r="A3585" t="s">
        <v>3703</v>
      </c>
      <c r="B3585" t="s">
        <v>83</v>
      </c>
      <c r="C3585">
        <v>2018</v>
      </c>
      <c r="D3585" t="s">
        <v>51</v>
      </c>
      <c r="E3585" t="s">
        <v>28</v>
      </c>
      <c r="F3585" t="s">
        <v>20</v>
      </c>
      <c r="G3585">
        <v>36284</v>
      </c>
      <c r="H3585">
        <v>29027.200000000001</v>
      </c>
      <c r="I3585" s="13">
        <v>0.5</v>
      </c>
      <c r="J3585" t="s">
        <v>6208</v>
      </c>
      <c r="K3585">
        <v>1</v>
      </c>
      <c r="L3585">
        <v>0</v>
      </c>
      <c r="M3585" t="s">
        <v>0</v>
      </c>
      <c r="N3585" s="2">
        <v>0.7</v>
      </c>
      <c r="O3585" s="2">
        <v>0.3</v>
      </c>
      <c r="P3585">
        <v>6</v>
      </c>
      <c r="Q3585">
        <v>8</v>
      </c>
      <c r="R3585">
        <v>8</v>
      </c>
      <c r="S3585">
        <v>3</v>
      </c>
      <c r="T3585">
        <v>7</v>
      </c>
      <c r="U3585">
        <v>8</v>
      </c>
      <c r="V3585">
        <v>0</v>
      </c>
      <c r="W3585">
        <v>2</v>
      </c>
      <c r="X3585">
        <v>0</v>
      </c>
      <c r="Y3585">
        <v>0</v>
      </c>
      <c r="Z3585">
        <v>0</v>
      </c>
    </row>
    <row r="3586" spans="1:26" x14ac:dyDescent="0.2">
      <c r="A3586" t="s">
        <v>3704</v>
      </c>
      <c r="B3586" t="s">
        <v>61</v>
      </c>
      <c r="C3586">
        <v>2018</v>
      </c>
      <c r="D3586" t="s">
        <v>89</v>
      </c>
      <c r="E3586" t="s">
        <v>64</v>
      </c>
      <c r="F3586" t="s">
        <v>89</v>
      </c>
      <c r="G3586">
        <v>24500</v>
      </c>
      <c r="H3586">
        <v>19600</v>
      </c>
      <c r="I3586" s="13">
        <v>0</v>
      </c>
      <c r="J3586" t="s">
        <v>6207</v>
      </c>
      <c r="K3586">
        <v>0</v>
      </c>
      <c r="L3586">
        <v>1</v>
      </c>
      <c r="M3586" t="s">
        <v>1</v>
      </c>
      <c r="N3586" s="2">
        <v>0.74</v>
      </c>
      <c r="O3586" s="2">
        <v>0.26</v>
      </c>
      <c r="P3586">
        <v>13</v>
      </c>
      <c r="Q3586">
        <v>8</v>
      </c>
      <c r="R3586">
        <v>10</v>
      </c>
      <c r="S3586">
        <v>1</v>
      </c>
      <c r="T3586">
        <v>5</v>
      </c>
      <c r="U3586">
        <v>13</v>
      </c>
      <c r="V3586">
        <v>1</v>
      </c>
      <c r="W3586">
        <v>1</v>
      </c>
      <c r="X3586">
        <v>0</v>
      </c>
      <c r="Y3586">
        <v>0</v>
      </c>
      <c r="Z3586">
        <v>0</v>
      </c>
    </row>
    <row r="3587" spans="1:26" x14ac:dyDescent="0.2">
      <c r="A3587" t="s">
        <v>3705</v>
      </c>
      <c r="B3587" t="s">
        <v>66</v>
      </c>
      <c r="C3587">
        <v>2018</v>
      </c>
      <c r="D3587" t="s">
        <v>79</v>
      </c>
      <c r="E3587" t="s">
        <v>80</v>
      </c>
      <c r="F3587" t="s">
        <v>20</v>
      </c>
      <c r="G3587">
        <v>25486</v>
      </c>
      <c r="H3587">
        <v>20388.800000000003</v>
      </c>
      <c r="I3587" s="13">
        <v>0.66666666666666663</v>
      </c>
      <c r="J3587" t="s">
        <v>6207</v>
      </c>
      <c r="K3587">
        <v>1</v>
      </c>
      <c r="L3587">
        <v>0</v>
      </c>
      <c r="M3587" t="s">
        <v>0</v>
      </c>
      <c r="N3587" s="2">
        <v>0.43</v>
      </c>
      <c r="O3587" s="2">
        <v>0.56999999999999995</v>
      </c>
      <c r="P3587">
        <v>14</v>
      </c>
      <c r="Q3587">
        <v>15</v>
      </c>
      <c r="R3587">
        <v>4</v>
      </c>
      <c r="S3587">
        <v>4</v>
      </c>
      <c r="T3587">
        <v>10</v>
      </c>
      <c r="U3587">
        <v>8</v>
      </c>
      <c r="V3587">
        <v>2</v>
      </c>
      <c r="W3587">
        <v>1</v>
      </c>
      <c r="X3587">
        <v>0</v>
      </c>
      <c r="Y3587">
        <v>0</v>
      </c>
      <c r="Z3587">
        <v>0</v>
      </c>
    </row>
    <row r="3588" spans="1:26" x14ac:dyDescent="0.2">
      <c r="A3588" t="s">
        <v>3706</v>
      </c>
      <c r="B3588" t="s">
        <v>41</v>
      </c>
      <c r="C3588">
        <v>2018</v>
      </c>
      <c r="D3588" t="s">
        <v>31</v>
      </c>
      <c r="E3588" t="s">
        <v>23</v>
      </c>
      <c r="F3588" t="s">
        <v>20</v>
      </c>
      <c r="G3588">
        <v>28500</v>
      </c>
      <c r="H3588">
        <v>22800</v>
      </c>
      <c r="I3588" s="13">
        <v>0.33333333333333331</v>
      </c>
      <c r="J3588" t="s">
        <v>6207</v>
      </c>
      <c r="K3588">
        <v>0</v>
      </c>
      <c r="L3588">
        <v>2</v>
      </c>
      <c r="M3588" t="s">
        <v>1</v>
      </c>
      <c r="N3588" s="2">
        <v>0.56000000000000005</v>
      </c>
      <c r="O3588" s="2">
        <v>0.44</v>
      </c>
      <c r="P3588">
        <v>12</v>
      </c>
      <c r="Q3588">
        <v>20</v>
      </c>
      <c r="R3588">
        <v>6</v>
      </c>
      <c r="S3588">
        <v>4</v>
      </c>
      <c r="T3588">
        <v>14</v>
      </c>
      <c r="U3588">
        <v>10</v>
      </c>
      <c r="V3588">
        <v>2</v>
      </c>
      <c r="W3588">
        <v>1</v>
      </c>
      <c r="X3588">
        <v>0</v>
      </c>
      <c r="Y3588">
        <v>0</v>
      </c>
      <c r="Z3588">
        <v>0</v>
      </c>
    </row>
    <row r="3589" spans="1:26" x14ac:dyDescent="0.2">
      <c r="A3589" t="s">
        <v>3707</v>
      </c>
      <c r="B3589" t="s">
        <v>88</v>
      </c>
      <c r="C3589">
        <v>2018</v>
      </c>
      <c r="D3589" t="s">
        <v>73</v>
      </c>
      <c r="E3589" t="s">
        <v>46</v>
      </c>
      <c r="F3589" t="s">
        <v>73</v>
      </c>
      <c r="G3589">
        <v>32384</v>
      </c>
      <c r="H3589">
        <v>25907.200000000001</v>
      </c>
      <c r="I3589" s="13">
        <v>0.75</v>
      </c>
      <c r="J3589" t="s">
        <v>6207</v>
      </c>
      <c r="K3589">
        <v>3</v>
      </c>
      <c r="L3589">
        <v>2</v>
      </c>
      <c r="M3589" t="s">
        <v>0</v>
      </c>
      <c r="N3589" s="2">
        <v>0.34</v>
      </c>
      <c r="O3589" s="2">
        <v>0.66</v>
      </c>
      <c r="P3589">
        <v>12</v>
      </c>
      <c r="Q3589">
        <v>13</v>
      </c>
      <c r="R3589">
        <v>4</v>
      </c>
      <c r="S3589">
        <v>5</v>
      </c>
      <c r="T3589">
        <v>12</v>
      </c>
      <c r="U3589">
        <v>10</v>
      </c>
      <c r="V3589">
        <v>3</v>
      </c>
      <c r="W3589">
        <v>1</v>
      </c>
      <c r="X3589">
        <v>0</v>
      </c>
      <c r="Y3589">
        <v>0</v>
      </c>
      <c r="Z3589">
        <v>0</v>
      </c>
    </row>
    <row r="3590" spans="1:26" x14ac:dyDescent="0.2">
      <c r="A3590" t="s">
        <v>3708</v>
      </c>
      <c r="B3590" t="s">
        <v>59</v>
      </c>
      <c r="C3590">
        <v>2018</v>
      </c>
      <c r="D3590" t="s">
        <v>90</v>
      </c>
      <c r="E3590" t="s">
        <v>18</v>
      </c>
      <c r="F3590" t="s">
        <v>91</v>
      </c>
      <c r="G3590">
        <v>31876</v>
      </c>
      <c r="H3590">
        <v>25500.800000000003</v>
      </c>
      <c r="I3590" s="13">
        <v>0.75</v>
      </c>
      <c r="J3590" t="s">
        <v>6206</v>
      </c>
      <c r="K3590">
        <v>1</v>
      </c>
      <c r="L3590">
        <v>2</v>
      </c>
      <c r="M3590" t="s">
        <v>1</v>
      </c>
      <c r="N3590" s="2">
        <v>0.42</v>
      </c>
      <c r="O3590" s="2">
        <v>0.57999999999999996</v>
      </c>
      <c r="P3590">
        <v>10</v>
      </c>
      <c r="Q3590">
        <v>20</v>
      </c>
      <c r="R3590">
        <v>4</v>
      </c>
      <c r="S3590">
        <v>1</v>
      </c>
      <c r="T3590">
        <v>14</v>
      </c>
      <c r="U3590">
        <v>6</v>
      </c>
      <c r="V3590">
        <v>2</v>
      </c>
      <c r="W3590">
        <v>2</v>
      </c>
      <c r="X3590">
        <v>0</v>
      </c>
      <c r="Y3590">
        <v>0</v>
      </c>
      <c r="Z3590">
        <v>0</v>
      </c>
    </row>
    <row r="3591" spans="1:26" x14ac:dyDescent="0.2">
      <c r="A3591" t="s">
        <v>3709</v>
      </c>
      <c r="B3591" t="s">
        <v>32</v>
      </c>
      <c r="C3591">
        <v>2018</v>
      </c>
      <c r="D3591" t="s">
        <v>26</v>
      </c>
      <c r="E3591" t="s">
        <v>48</v>
      </c>
      <c r="F3591" t="s">
        <v>26</v>
      </c>
      <c r="G3591">
        <v>61276</v>
      </c>
      <c r="H3591">
        <v>49020.800000000003</v>
      </c>
      <c r="I3591" s="13">
        <v>1</v>
      </c>
      <c r="J3591" t="s">
        <v>6207</v>
      </c>
      <c r="K3591">
        <v>3</v>
      </c>
      <c r="L3591">
        <v>1</v>
      </c>
      <c r="M3591" t="s">
        <v>0</v>
      </c>
      <c r="N3591" s="2">
        <v>0.64</v>
      </c>
      <c r="O3591" s="2">
        <v>0.36</v>
      </c>
      <c r="P3591">
        <v>17</v>
      </c>
      <c r="Q3591">
        <v>8</v>
      </c>
      <c r="R3591">
        <v>13</v>
      </c>
      <c r="S3591">
        <v>2</v>
      </c>
      <c r="T3591">
        <v>6</v>
      </c>
      <c r="U3591">
        <v>14</v>
      </c>
      <c r="V3591">
        <v>0</v>
      </c>
      <c r="W3591">
        <v>2</v>
      </c>
      <c r="X3591">
        <v>0</v>
      </c>
      <c r="Y3591">
        <v>0</v>
      </c>
      <c r="Z3591">
        <v>0</v>
      </c>
    </row>
    <row r="3592" spans="1:26" x14ac:dyDescent="0.2">
      <c r="A3592" t="s">
        <v>3710</v>
      </c>
      <c r="B3592" t="s">
        <v>76</v>
      </c>
      <c r="C3592">
        <v>2018</v>
      </c>
      <c r="D3592" t="s">
        <v>22</v>
      </c>
      <c r="E3592" t="s">
        <v>26</v>
      </c>
      <c r="F3592" t="s">
        <v>24</v>
      </c>
      <c r="G3592">
        <v>31750</v>
      </c>
      <c r="H3592">
        <v>25400</v>
      </c>
      <c r="I3592" s="13">
        <v>0</v>
      </c>
      <c r="J3592" t="s">
        <v>6207</v>
      </c>
      <c r="K3592">
        <v>0</v>
      </c>
      <c r="L3592">
        <v>2</v>
      </c>
      <c r="M3592" t="s">
        <v>1</v>
      </c>
      <c r="N3592" s="2">
        <v>0.38</v>
      </c>
      <c r="O3592" s="2">
        <v>0.62</v>
      </c>
      <c r="P3592">
        <v>5</v>
      </c>
      <c r="Q3592">
        <v>11</v>
      </c>
      <c r="R3592">
        <v>1</v>
      </c>
      <c r="S3592">
        <v>10</v>
      </c>
      <c r="T3592">
        <v>7</v>
      </c>
      <c r="U3592">
        <v>3</v>
      </c>
      <c r="V3592">
        <v>0</v>
      </c>
      <c r="W3592">
        <v>0</v>
      </c>
      <c r="X3592">
        <v>0</v>
      </c>
      <c r="Y3592">
        <v>0</v>
      </c>
      <c r="Z3592">
        <v>0</v>
      </c>
    </row>
    <row r="3593" spans="1:26" x14ac:dyDescent="0.2">
      <c r="A3593" t="s">
        <v>3711</v>
      </c>
      <c r="B3593" t="s">
        <v>60</v>
      </c>
      <c r="C3593">
        <v>2018</v>
      </c>
      <c r="D3593" t="s">
        <v>46</v>
      </c>
      <c r="E3593" t="s">
        <v>28</v>
      </c>
      <c r="F3593" t="s">
        <v>20</v>
      </c>
      <c r="G3593">
        <v>60704</v>
      </c>
      <c r="H3593">
        <v>48563.200000000004</v>
      </c>
      <c r="I3593" s="13">
        <v>0.42857142857142855</v>
      </c>
      <c r="J3593" t="s">
        <v>6208</v>
      </c>
      <c r="K3593">
        <v>3</v>
      </c>
      <c r="L3593">
        <v>1</v>
      </c>
      <c r="M3593" t="s">
        <v>0</v>
      </c>
      <c r="N3593" s="2">
        <v>0.6</v>
      </c>
      <c r="O3593" s="2">
        <v>0.4</v>
      </c>
      <c r="P3593">
        <v>16</v>
      </c>
      <c r="Q3593">
        <v>12</v>
      </c>
      <c r="R3593">
        <v>1</v>
      </c>
      <c r="S3593">
        <v>3</v>
      </c>
      <c r="T3593">
        <v>10</v>
      </c>
      <c r="U3593">
        <v>14</v>
      </c>
      <c r="V3593">
        <v>2</v>
      </c>
      <c r="W3593">
        <v>5</v>
      </c>
      <c r="X3593">
        <v>0</v>
      </c>
      <c r="Y3593">
        <v>0</v>
      </c>
      <c r="Z3593">
        <v>0</v>
      </c>
    </row>
    <row r="3594" spans="1:26" x14ac:dyDescent="0.2">
      <c r="A3594" t="s">
        <v>3712</v>
      </c>
      <c r="B3594" t="s">
        <v>50</v>
      </c>
      <c r="C3594">
        <v>2018</v>
      </c>
      <c r="D3594" t="s">
        <v>23</v>
      </c>
      <c r="E3594" t="s">
        <v>85</v>
      </c>
      <c r="F3594" t="s">
        <v>20</v>
      </c>
      <c r="G3594">
        <v>62500</v>
      </c>
      <c r="H3594">
        <v>50000</v>
      </c>
      <c r="I3594" s="13">
        <v>1</v>
      </c>
      <c r="J3594" t="s">
        <v>6207</v>
      </c>
      <c r="K3594">
        <v>0</v>
      </c>
      <c r="L3594">
        <v>2</v>
      </c>
      <c r="M3594" t="s">
        <v>1</v>
      </c>
      <c r="N3594" s="2">
        <v>0.51</v>
      </c>
      <c r="O3594" s="2">
        <v>0.49</v>
      </c>
      <c r="P3594">
        <v>12</v>
      </c>
      <c r="Q3594">
        <v>12</v>
      </c>
      <c r="R3594">
        <v>10</v>
      </c>
      <c r="S3594">
        <v>4</v>
      </c>
      <c r="T3594">
        <v>9</v>
      </c>
      <c r="U3594">
        <v>11</v>
      </c>
      <c r="V3594">
        <v>3</v>
      </c>
      <c r="W3594">
        <v>2</v>
      </c>
      <c r="X3594">
        <v>0</v>
      </c>
      <c r="Y3594">
        <v>0</v>
      </c>
      <c r="Z3594">
        <v>1</v>
      </c>
    </row>
    <row r="3595" spans="1:26" x14ac:dyDescent="0.2">
      <c r="A3595" t="s">
        <v>3713</v>
      </c>
      <c r="B3595" t="s">
        <v>32</v>
      </c>
      <c r="C3595">
        <v>2018</v>
      </c>
      <c r="D3595" t="s">
        <v>64</v>
      </c>
      <c r="E3595" t="s">
        <v>31</v>
      </c>
      <c r="F3595" t="s">
        <v>64</v>
      </c>
      <c r="G3595">
        <v>52264</v>
      </c>
      <c r="H3595">
        <v>41811.200000000004</v>
      </c>
      <c r="I3595" s="13">
        <v>0.66666666666666663</v>
      </c>
      <c r="J3595" t="s">
        <v>6207</v>
      </c>
      <c r="K3595">
        <v>0</v>
      </c>
      <c r="L3595">
        <v>0</v>
      </c>
      <c r="M3595" t="s">
        <v>58</v>
      </c>
      <c r="N3595" s="2">
        <v>0.54</v>
      </c>
      <c r="O3595" s="2">
        <v>0.46</v>
      </c>
      <c r="P3595">
        <v>15</v>
      </c>
      <c r="Q3595">
        <v>13</v>
      </c>
      <c r="R3595">
        <v>6</v>
      </c>
      <c r="S3595">
        <v>0</v>
      </c>
      <c r="T3595">
        <v>9</v>
      </c>
      <c r="U3595">
        <v>12</v>
      </c>
      <c r="V3595">
        <v>1</v>
      </c>
      <c r="W3595">
        <v>2</v>
      </c>
      <c r="X3595">
        <v>0</v>
      </c>
      <c r="Y3595">
        <v>0</v>
      </c>
      <c r="Z3595">
        <v>0</v>
      </c>
    </row>
    <row r="3596" spans="1:26" x14ac:dyDescent="0.2">
      <c r="A3596" t="s">
        <v>3714</v>
      </c>
      <c r="B3596" t="s">
        <v>37</v>
      </c>
      <c r="C3596">
        <v>2018</v>
      </c>
      <c r="D3596" t="s">
        <v>40</v>
      </c>
      <c r="E3596" t="s">
        <v>79</v>
      </c>
      <c r="F3596" t="s">
        <v>49</v>
      </c>
      <c r="G3596">
        <v>53400</v>
      </c>
      <c r="H3596">
        <v>42720</v>
      </c>
      <c r="I3596" s="13">
        <v>0.5</v>
      </c>
      <c r="J3596" t="s">
        <v>6206</v>
      </c>
      <c r="K3596">
        <v>2</v>
      </c>
      <c r="L3596">
        <v>3</v>
      </c>
      <c r="M3596" t="s">
        <v>1</v>
      </c>
      <c r="N3596" s="2">
        <v>0.78</v>
      </c>
      <c r="O3596" s="2">
        <v>0.22</v>
      </c>
      <c r="P3596">
        <v>7</v>
      </c>
      <c r="Q3596">
        <v>8</v>
      </c>
      <c r="R3596">
        <v>13</v>
      </c>
      <c r="S3596">
        <v>0</v>
      </c>
      <c r="T3596">
        <v>7</v>
      </c>
      <c r="U3596">
        <v>6</v>
      </c>
      <c r="V3596">
        <v>0</v>
      </c>
      <c r="W3596">
        <v>4</v>
      </c>
      <c r="X3596">
        <v>0</v>
      </c>
      <c r="Y3596">
        <v>0</v>
      </c>
      <c r="Z3596">
        <v>1</v>
      </c>
    </row>
    <row r="3597" spans="1:26" x14ac:dyDescent="0.2">
      <c r="A3597" t="s">
        <v>3715</v>
      </c>
      <c r="B3597" t="s">
        <v>59</v>
      </c>
      <c r="C3597">
        <v>2018</v>
      </c>
      <c r="D3597" t="s">
        <v>89</v>
      </c>
      <c r="E3597" t="s">
        <v>73</v>
      </c>
      <c r="F3597" t="s">
        <v>89</v>
      </c>
      <c r="G3597">
        <v>24500</v>
      </c>
      <c r="H3597">
        <v>19600</v>
      </c>
      <c r="I3597" s="13">
        <v>0.8</v>
      </c>
      <c r="J3597" t="s">
        <v>6206</v>
      </c>
      <c r="K3597">
        <v>1</v>
      </c>
      <c r="L3597">
        <v>3</v>
      </c>
      <c r="M3597" t="s">
        <v>1</v>
      </c>
      <c r="N3597" s="2">
        <v>0.63</v>
      </c>
      <c r="O3597" s="2">
        <v>0.37</v>
      </c>
      <c r="P3597">
        <v>10</v>
      </c>
      <c r="Q3597">
        <v>14</v>
      </c>
      <c r="R3597">
        <v>8</v>
      </c>
      <c r="S3597">
        <v>2</v>
      </c>
      <c r="T3597">
        <v>12</v>
      </c>
      <c r="U3597">
        <v>9</v>
      </c>
      <c r="V3597">
        <v>2</v>
      </c>
      <c r="W3597">
        <v>3</v>
      </c>
      <c r="X3597">
        <v>0</v>
      </c>
      <c r="Y3597">
        <v>0</v>
      </c>
      <c r="Z3597">
        <v>1</v>
      </c>
    </row>
    <row r="3598" spans="1:26" x14ac:dyDescent="0.2">
      <c r="A3598" t="s">
        <v>3716</v>
      </c>
      <c r="B3598" t="s">
        <v>54</v>
      </c>
      <c r="C3598">
        <v>2018</v>
      </c>
      <c r="D3598" t="s">
        <v>18</v>
      </c>
      <c r="E3598" t="s">
        <v>80</v>
      </c>
      <c r="F3598" t="s">
        <v>20</v>
      </c>
      <c r="G3598">
        <v>40341</v>
      </c>
      <c r="H3598">
        <v>32272.800000000003</v>
      </c>
      <c r="I3598" s="13">
        <v>1</v>
      </c>
      <c r="J3598" t="s">
        <v>6206</v>
      </c>
      <c r="K3598">
        <v>0</v>
      </c>
      <c r="L3598">
        <v>1</v>
      </c>
      <c r="M3598" t="s">
        <v>1</v>
      </c>
      <c r="N3598" s="2">
        <v>0.72</v>
      </c>
      <c r="O3598" s="2">
        <v>0.28000000000000003</v>
      </c>
      <c r="P3598">
        <v>11</v>
      </c>
      <c r="Q3598">
        <v>14</v>
      </c>
      <c r="R3598">
        <v>9</v>
      </c>
      <c r="S3598">
        <v>5</v>
      </c>
      <c r="T3598">
        <v>10</v>
      </c>
      <c r="U3598">
        <v>9</v>
      </c>
      <c r="V3598">
        <v>0</v>
      </c>
      <c r="W3598">
        <v>2</v>
      </c>
      <c r="X3598">
        <v>0</v>
      </c>
      <c r="Y3598">
        <v>0</v>
      </c>
      <c r="Z3598">
        <v>0</v>
      </c>
    </row>
    <row r="3599" spans="1:26" x14ac:dyDescent="0.2">
      <c r="A3599" t="s">
        <v>3717</v>
      </c>
      <c r="B3599" t="s">
        <v>41</v>
      </c>
      <c r="C3599">
        <v>2018</v>
      </c>
      <c r="D3599" t="s">
        <v>86</v>
      </c>
      <c r="E3599" t="s">
        <v>90</v>
      </c>
      <c r="F3599" t="s">
        <v>86</v>
      </c>
      <c r="G3599">
        <v>11364</v>
      </c>
      <c r="H3599">
        <v>9091.2000000000007</v>
      </c>
      <c r="I3599" s="13">
        <v>0.25</v>
      </c>
      <c r="J3599" t="s">
        <v>6207</v>
      </c>
      <c r="K3599">
        <v>2</v>
      </c>
      <c r="L3599">
        <v>0</v>
      </c>
      <c r="M3599" t="s">
        <v>0</v>
      </c>
      <c r="N3599" s="2">
        <v>0.56999999999999995</v>
      </c>
      <c r="O3599" s="2">
        <v>0.43</v>
      </c>
      <c r="P3599">
        <v>19</v>
      </c>
      <c r="Q3599">
        <v>11</v>
      </c>
      <c r="R3599">
        <v>6</v>
      </c>
      <c r="S3599">
        <v>5</v>
      </c>
      <c r="T3599">
        <v>8</v>
      </c>
      <c r="U3599">
        <v>18</v>
      </c>
      <c r="V3599">
        <v>2</v>
      </c>
      <c r="W3599">
        <v>1</v>
      </c>
      <c r="X3599">
        <v>0</v>
      </c>
      <c r="Y3599">
        <v>1</v>
      </c>
      <c r="Z3599">
        <v>0</v>
      </c>
    </row>
    <row r="3600" spans="1:26" x14ac:dyDescent="0.2">
      <c r="A3600" t="s">
        <v>3718</v>
      </c>
      <c r="B3600" t="s">
        <v>66</v>
      </c>
      <c r="C3600">
        <v>2018</v>
      </c>
      <c r="D3600" t="s">
        <v>78</v>
      </c>
      <c r="E3600" t="s">
        <v>48</v>
      </c>
      <c r="F3600" t="s">
        <v>78</v>
      </c>
      <c r="G3600">
        <v>33280</v>
      </c>
      <c r="H3600">
        <v>26624</v>
      </c>
      <c r="I3600" s="13">
        <v>0.66666666666666663</v>
      </c>
      <c r="J3600" t="s">
        <v>6207</v>
      </c>
      <c r="K3600">
        <v>1</v>
      </c>
      <c r="L3600">
        <v>5</v>
      </c>
      <c r="M3600" t="s">
        <v>1</v>
      </c>
      <c r="N3600" s="2">
        <v>0.26</v>
      </c>
      <c r="O3600" s="2">
        <v>0.74</v>
      </c>
      <c r="P3600">
        <v>12</v>
      </c>
      <c r="Q3600">
        <v>15</v>
      </c>
      <c r="R3600">
        <v>4</v>
      </c>
      <c r="S3600">
        <v>7</v>
      </c>
      <c r="T3600">
        <v>13</v>
      </c>
      <c r="U3600">
        <v>13</v>
      </c>
      <c r="V3600">
        <v>2</v>
      </c>
      <c r="W3600">
        <v>1</v>
      </c>
      <c r="X3600">
        <v>0</v>
      </c>
      <c r="Y3600">
        <v>0</v>
      </c>
      <c r="Z3600">
        <v>2</v>
      </c>
    </row>
    <row r="3601" spans="1:26" x14ac:dyDescent="0.2">
      <c r="A3601" t="s">
        <v>3719</v>
      </c>
      <c r="B3601" t="s">
        <v>81</v>
      </c>
      <c r="C3601">
        <v>2018</v>
      </c>
      <c r="D3601" t="s">
        <v>45</v>
      </c>
      <c r="E3601" t="s">
        <v>51</v>
      </c>
      <c r="F3601" t="s">
        <v>26</v>
      </c>
      <c r="G3601">
        <v>39572</v>
      </c>
      <c r="H3601">
        <v>31657.600000000002</v>
      </c>
      <c r="I3601" s="13">
        <v>0.5</v>
      </c>
      <c r="J3601" t="s">
        <v>6207</v>
      </c>
      <c r="K3601">
        <v>2</v>
      </c>
      <c r="L3601">
        <v>6</v>
      </c>
      <c r="M3601" t="s">
        <v>1</v>
      </c>
      <c r="N3601" s="2">
        <v>0.42</v>
      </c>
      <c r="O3601" s="2">
        <v>0.57999999999999996</v>
      </c>
      <c r="P3601">
        <v>11</v>
      </c>
      <c r="Q3601">
        <v>17</v>
      </c>
      <c r="R3601">
        <v>2</v>
      </c>
      <c r="S3601">
        <v>1</v>
      </c>
      <c r="T3601">
        <v>13</v>
      </c>
      <c r="U3601">
        <v>9</v>
      </c>
      <c r="V3601">
        <v>0</v>
      </c>
      <c r="W3601">
        <v>2</v>
      </c>
      <c r="X3601">
        <v>0</v>
      </c>
      <c r="Y3601">
        <v>0</v>
      </c>
      <c r="Z3601">
        <v>0</v>
      </c>
    </row>
    <row r="3602" spans="1:26" x14ac:dyDescent="0.2">
      <c r="A3602" t="s">
        <v>3720</v>
      </c>
      <c r="B3602" t="s">
        <v>37</v>
      </c>
      <c r="C3602">
        <v>2018</v>
      </c>
      <c r="D3602" t="s">
        <v>31</v>
      </c>
      <c r="E3602" t="s">
        <v>22</v>
      </c>
      <c r="F3602" t="s">
        <v>20</v>
      </c>
      <c r="G3602">
        <v>28500</v>
      </c>
      <c r="H3602">
        <v>22800</v>
      </c>
      <c r="I3602" s="13">
        <v>0.66666666666666663</v>
      </c>
      <c r="J3602" t="s">
        <v>6206</v>
      </c>
      <c r="K3602">
        <v>1</v>
      </c>
      <c r="L3602">
        <v>1</v>
      </c>
      <c r="M3602" t="s">
        <v>58</v>
      </c>
      <c r="N3602" s="2">
        <v>0.3</v>
      </c>
      <c r="O3602" s="2">
        <v>0.7</v>
      </c>
      <c r="P3602">
        <v>8</v>
      </c>
      <c r="Q3602">
        <v>9</v>
      </c>
      <c r="R3602">
        <v>2</v>
      </c>
      <c r="S3602">
        <v>0</v>
      </c>
      <c r="T3602">
        <v>9</v>
      </c>
      <c r="U3602">
        <v>6</v>
      </c>
      <c r="V3602">
        <v>2</v>
      </c>
      <c r="W3602">
        <v>1</v>
      </c>
      <c r="X3602">
        <v>0</v>
      </c>
      <c r="Y3602">
        <v>0</v>
      </c>
      <c r="Z3602">
        <v>0</v>
      </c>
    </row>
    <row r="3603" spans="1:26" x14ac:dyDescent="0.2">
      <c r="A3603" t="s">
        <v>3721</v>
      </c>
      <c r="B3603" t="s">
        <v>88</v>
      </c>
      <c r="C3603">
        <v>2018</v>
      </c>
      <c r="D3603" t="s">
        <v>51</v>
      </c>
      <c r="E3603" t="s">
        <v>86</v>
      </c>
      <c r="F3603" t="s">
        <v>20</v>
      </c>
      <c r="G3603">
        <v>36284</v>
      </c>
      <c r="H3603">
        <v>29027.200000000001</v>
      </c>
      <c r="I3603" s="13">
        <v>0.33333333333333331</v>
      </c>
      <c r="J3603" t="s">
        <v>6207</v>
      </c>
      <c r="K3603">
        <v>5</v>
      </c>
      <c r="L3603">
        <v>0</v>
      </c>
      <c r="M3603" t="s">
        <v>0</v>
      </c>
      <c r="N3603" s="2">
        <v>0.56999999999999995</v>
      </c>
      <c r="O3603" s="2">
        <v>0.43</v>
      </c>
      <c r="P3603">
        <v>11</v>
      </c>
      <c r="Q3603">
        <v>5</v>
      </c>
      <c r="R3603">
        <v>3</v>
      </c>
      <c r="S3603">
        <v>4</v>
      </c>
      <c r="T3603">
        <v>4</v>
      </c>
      <c r="U3603">
        <v>8</v>
      </c>
      <c r="V3603">
        <v>2</v>
      </c>
      <c r="W3603">
        <v>1</v>
      </c>
      <c r="X3603">
        <v>0</v>
      </c>
      <c r="Y3603">
        <v>0</v>
      </c>
      <c r="Z3603">
        <v>0</v>
      </c>
    </row>
    <row r="3604" spans="1:26" x14ac:dyDescent="0.2">
      <c r="A3604" t="s">
        <v>3722</v>
      </c>
      <c r="B3604" t="s">
        <v>68</v>
      </c>
      <c r="C3604">
        <v>2018</v>
      </c>
      <c r="D3604" t="s">
        <v>48</v>
      </c>
      <c r="E3604" t="s">
        <v>89</v>
      </c>
      <c r="F3604" t="s">
        <v>49</v>
      </c>
      <c r="G3604">
        <v>74197</v>
      </c>
      <c r="H3604">
        <v>59357.600000000006</v>
      </c>
      <c r="I3604" s="13">
        <v>1</v>
      </c>
      <c r="J3604" t="s">
        <v>6207</v>
      </c>
      <c r="K3604">
        <v>3</v>
      </c>
      <c r="L3604">
        <v>1</v>
      </c>
      <c r="M3604" t="s">
        <v>0</v>
      </c>
      <c r="N3604" s="2">
        <v>0.65</v>
      </c>
      <c r="O3604" s="2">
        <v>0.35</v>
      </c>
      <c r="P3604">
        <v>14</v>
      </c>
      <c r="Q3604">
        <v>7</v>
      </c>
      <c r="R3604">
        <v>5</v>
      </c>
      <c r="S3604">
        <v>3</v>
      </c>
      <c r="T3604">
        <v>9</v>
      </c>
      <c r="U3604">
        <v>13</v>
      </c>
      <c r="V3604">
        <v>1</v>
      </c>
      <c r="W3604">
        <v>1</v>
      </c>
      <c r="X3604">
        <v>0</v>
      </c>
      <c r="Y3604">
        <v>0</v>
      </c>
      <c r="Z3604">
        <v>0</v>
      </c>
    </row>
    <row r="3605" spans="1:26" x14ac:dyDescent="0.2">
      <c r="A3605" t="s">
        <v>3723</v>
      </c>
      <c r="B3605" t="s">
        <v>83</v>
      </c>
      <c r="C3605">
        <v>2018</v>
      </c>
      <c r="D3605" t="s">
        <v>26</v>
      </c>
      <c r="E3605" t="s">
        <v>64</v>
      </c>
      <c r="F3605" t="s">
        <v>26</v>
      </c>
      <c r="G3605">
        <v>61276</v>
      </c>
      <c r="H3605">
        <v>49020.800000000003</v>
      </c>
      <c r="I3605" s="13">
        <v>0</v>
      </c>
      <c r="J3605" t="s">
        <v>6208</v>
      </c>
      <c r="K3605">
        <v>4</v>
      </c>
      <c r="L3605">
        <v>0</v>
      </c>
      <c r="M3605" t="s">
        <v>0</v>
      </c>
      <c r="N3605" s="2">
        <v>0.75</v>
      </c>
      <c r="O3605" s="2">
        <v>0.25</v>
      </c>
      <c r="P3605">
        <v>10</v>
      </c>
      <c r="Q3605">
        <v>9</v>
      </c>
      <c r="R3605">
        <v>10</v>
      </c>
      <c r="S3605">
        <v>2</v>
      </c>
      <c r="T3605">
        <v>7</v>
      </c>
      <c r="U3605">
        <v>9</v>
      </c>
      <c r="V3605">
        <v>0</v>
      </c>
      <c r="W3605">
        <v>0</v>
      </c>
      <c r="X3605">
        <v>0</v>
      </c>
      <c r="Y3605">
        <v>0</v>
      </c>
      <c r="Z3605">
        <v>1</v>
      </c>
    </row>
    <row r="3606" spans="1:26" x14ac:dyDescent="0.2">
      <c r="A3606" t="s">
        <v>3724</v>
      </c>
      <c r="B3606" t="s">
        <v>41</v>
      </c>
      <c r="C3606">
        <v>2018</v>
      </c>
      <c r="D3606" t="s">
        <v>80</v>
      </c>
      <c r="E3606" t="s">
        <v>40</v>
      </c>
      <c r="F3606" t="s">
        <v>80</v>
      </c>
      <c r="G3606">
        <v>32261</v>
      </c>
      <c r="H3606">
        <v>25808.800000000003</v>
      </c>
      <c r="I3606" s="13">
        <v>0.2</v>
      </c>
      <c r="J3606" t="s">
        <v>6207</v>
      </c>
      <c r="K3606">
        <v>2</v>
      </c>
      <c r="L3606">
        <v>1</v>
      </c>
      <c r="M3606" t="s">
        <v>0</v>
      </c>
      <c r="N3606" s="2">
        <v>0.34</v>
      </c>
      <c r="O3606" s="2">
        <v>0.66</v>
      </c>
      <c r="P3606">
        <v>11</v>
      </c>
      <c r="Q3606">
        <v>6</v>
      </c>
      <c r="R3606">
        <v>3</v>
      </c>
      <c r="S3606">
        <v>7</v>
      </c>
      <c r="T3606">
        <v>5</v>
      </c>
      <c r="U3606">
        <v>8</v>
      </c>
      <c r="V3606">
        <v>2</v>
      </c>
      <c r="W3606">
        <v>2</v>
      </c>
      <c r="X3606">
        <v>0</v>
      </c>
      <c r="Y3606">
        <v>1</v>
      </c>
      <c r="Z3606">
        <v>0</v>
      </c>
    </row>
    <row r="3607" spans="1:26" x14ac:dyDescent="0.2">
      <c r="A3607" t="s">
        <v>3725</v>
      </c>
      <c r="B3607" t="s">
        <v>54</v>
      </c>
      <c r="C3607">
        <v>2018</v>
      </c>
      <c r="D3607" t="s">
        <v>79</v>
      </c>
      <c r="E3607" t="s">
        <v>78</v>
      </c>
      <c r="F3607" t="s">
        <v>20</v>
      </c>
      <c r="G3607">
        <v>25486</v>
      </c>
      <c r="H3607">
        <v>20388.800000000003</v>
      </c>
      <c r="I3607" s="13">
        <v>1</v>
      </c>
      <c r="J3607" t="s">
        <v>6206</v>
      </c>
      <c r="K3607">
        <v>0</v>
      </c>
      <c r="L3607">
        <v>0</v>
      </c>
      <c r="M3607" t="s">
        <v>58</v>
      </c>
      <c r="N3607" s="2">
        <v>0.63</v>
      </c>
      <c r="O3607" s="2">
        <v>0.37</v>
      </c>
      <c r="P3607">
        <v>13</v>
      </c>
      <c r="Q3607">
        <v>9</v>
      </c>
      <c r="R3607">
        <v>12</v>
      </c>
      <c r="S3607">
        <v>1</v>
      </c>
      <c r="T3607">
        <v>9</v>
      </c>
      <c r="U3607">
        <v>11</v>
      </c>
      <c r="V3607">
        <v>0</v>
      </c>
      <c r="W3607">
        <v>3</v>
      </c>
      <c r="X3607">
        <v>0</v>
      </c>
      <c r="Y3607">
        <v>0</v>
      </c>
      <c r="Z3607">
        <v>0</v>
      </c>
    </row>
    <row r="3608" spans="1:26" x14ac:dyDescent="0.2">
      <c r="A3608" t="s">
        <v>3726</v>
      </c>
      <c r="B3608" t="s">
        <v>66</v>
      </c>
      <c r="C3608">
        <v>2018</v>
      </c>
      <c r="D3608" t="s">
        <v>28</v>
      </c>
      <c r="E3608" t="s">
        <v>45</v>
      </c>
      <c r="F3608" t="s">
        <v>28</v>
      </c>
      <c r="G3608">
        <v>21944</v>
      </c>
      <c r="H3608">
        <v>17555.2</v>
      </c>
      <c r="I3608" s="13">
        <v>0.66666666666666663</v>
      </c>
      <c r="J3608" t="s">
        <v>6207</v>
      </c>
      <c r="K3608">
        <v>1</v>
      </c>
      <c r="L3608">
        <v>5</v>
      </c>
      <c r="M3608" t="s">
        <v>1</v>
      </c>
      <c r="N3608" s="2">
        <v>0.49</v>
      </c>
      <c r="O3608" s="2">
        <v>0.51</v>
      </c>
      <c r="P3608">
        <v>19</v>
      </c>
      <c r="Q3608">
        <v>15</v>
      </c>
      <c r="R3608">
        <v>5</v>
      </c>
      <c r="S3608">
        <v>7</v>
      </c>
      <c r="T3608">
        <v>11</v>
      </c>
      <c r="U3608">
        <v>19</v>
      </c>
      <c r="V3608">
        <v>2</v>
      </c>
      <c r="W3608">
        <v>4</v>
      </c>
      <c r="X3608">
        <v>0</v>
      </c>
      <c r="Y3608">
        <v>0</v>
      </c>
      <c r="Z3608">
        <v>1</v>
      </c>
    </row>
    <row r="3609" spans="1:26" x14ac:dyDescent="0.2">
      <c r="A3609" t="s">
        <v>3727</v>
      </c>
      <c r="B3609" t="s">
        <v>61</v>
      </c>
      <c r="C3609">
        <v>2018</v>
      </c>
      <c r="D3609" t="s">
        <v>90</v>
      </c>
      <c r="E3609" t="s">
        <v>46</v>
      </c>
      <c r="F3609" t="s">
        <v>91</v>
      </c>
      <c r="G3609">
        <v>31876</v>
      </c>
      <c r="H3609">
        <v>25500.800000000003</v>
      </c>
      <c r="I3609" s="13">
        <v>0.66666666666666663</v>
      </c>
      <c r="J3609" t="s">
        <v>6207</v>
      </c>
      <c r="K3609">
        <v>1</v>
      </c>
      <c r="L3609">
        <v>1</v>
      </c>
      <c r="M3609" t="s">
        <v>58</v>
      </c>
      <c r="N3609" s="2">
        <v>0.32</v>
      </c>
      <c r="O3609" s="2">
        <v>0.68</v>
      </c>
      <c r="P3609">
        <v>5</v>
      </c>
      <c r="Q3609">
        <v>11</v>
      </c>
      <c r="R3609">
        <v>4</v>
      </c>
      <c r="S3609">
        <v>9</v>
      </c>
      <c r="T3609">
        <v>10</v>
      </c>
      <c r="U3609">
        <v>4</v>
      </c>
      <c r="V3609">
        <v>2</v>
      </c>
      <c r="W3609">
        <v>1</v>
      </c>
      <c r="X3609">
        <v>0</v>
      </c>
      <c r="Y3609">
        <v>0</v>
      </c>
      <c r="Z3609">
        <v>0</v>
      </c>
    </row>
    <row r="3610" spans="1:26" x14ac:dyDescent="0.2">
      <c r="A3610" t="s">
        <v>3728</v>
      </c>
      <c r="B3610" t="s">
        <v>32</v>
      </c>
      <c r="C3610">
        <v>2018</v>
      </c>
      <c r="D3610" t="s">
        <v>85</v>
      </c>
      <c r="E3610" t="s">
        <v>18</v>
      </c>
      <c r="F3610" t="s">
        <v>85</v>
      </c>
      <c r="G3610">
        <v>22220</v>
      </c>
      <c r="H3610">
        <v>17776</v>
      </c>
      <c r="I3610" s="13">
        <v>0</v>
      </c>
      <c r="J3610" t="s">
        <v>6207</v>
      </c>
      <c r="K3610">
        <v>1</v>
      </c>
      <c r="L3610">
        <v>2</v>
      </c>
      <c r="M3610" t="s">
        <v>1</v>
      </c>
      <c r="N3610" s="2">
        <v>0.35</v>
      </c>
      <c r="O3610" s="2">
        <v>0.65</v>
      </c>
      <c r="P3610">
        <v>7</v>
      </c>
      <c r="Q3610">
        <v>13</v>
      </c>
      <c r="R3610">
        <v>3</v>
      </c>
      <c r="S3610">
        <v>4</v>
      </c>
      <c r="T3610">
        <v>15</v>
      </c>
      <c r="U3610">
        <v>5</v>
      </c>
      <c r="V3610">
        <v>1</v>
      </c>
      <c r="W3610">
        <v>0</v>
      </c>
      <c r="X3610">
        <v>0</v>
      </c>
      <c r="Y3610">
        <v>0</v>
      </c>
      <c r="Z3610">
        <v>1</v>
      </c>
    </row>
    <row r="3611" spans="1:26" x14ac:dyDescent="0.2">
      <c r="A3611" t="s">
        <v>3729</v>
      </c>
      <c r="B3611" t="s">
        <v>76</v>
      </c>
      <c r="C3611">
        <v>2018</v>
      </c>
      <c r="D3611" t="s">
        <v>73</v>
      </c>
      <c r="E3611" t="s">
        <v>23</v>
      </c>
      <c r="F3611" t="s">
        <v>73</v>
      </c>
      <c r="G3611">
        <v>32384</v>
      </c>
      <c r="H3611">
        <v>25907.200000000001</v>
      </c>
      <c r="I3611" s="13">
        <v>0.5</v>
      </c>
      <c r="J3611" t="s">
        <v>6207</v>
      </c>
      <c r="K3611">
        <v>1</v>
      </c>
      <c r="L3611">
        <v>2</v>
      </c>
      <c r="M3611" t="s">
        <v>1</v>
      </c>
      <c r="N3611" s="2">
        <v>0.46</v>
      </c>
      <c r="O3611" s="2">
        <v>0.54</v>
      </c>
      <c r="P3611">
        <v>6</v>
      </c>
      <c r="Q3611">
        <v>13</v>
      </c>
      <c r="R3611">
        <v>4</v>
      </c>
      <c r="S3611">
        <v>6</v>
      </c>
      <c r="T3611">
        <v>10</v>
      </c>
      <c r="U3611">
        <v>3</v>
      </c>
      <c r="V3611">
        <v>2</v>
      </c>
      <c r="W3611">
        <v>0</v>
      </c>
      <c r="X3611">
        <v>0</v>
      </c>
      <c r="Y3611">
        <v>0</v>
      </c>
      <c r="Z3611">
        <v>0</v>
      </c>
    </row>
    <row r="3612" spans="1:26" x14ac:dyDescent="0.2">
      <c r="A3612" t="s">
        <v>3730</v>
      </c>
      <c r="B3612" t="s">
        <v>74</v>
      </c>
      <c r="C3612">
        <v>2018</v>
      </c>
      <c r="D3612" t="s">
        <v>85</v>
      </c>
      <c r="E3612" t="s">
        <v>64</v>
      </c>
      <c r="F3612" t="s">
        <v>85</v>
      </c>
      <c r="G3612">
        <v>22220</v>
      </c>
      <c r="H3612">
        <v>17776</v>
      </c>
      <c r="I3612" s="13">
        <v>1</v>
      </c>
      <c r="J3612" t="s">
        <v>6208</v>
      </c>
      <c r="K3612">
        <v>1</v>
      </c>
      <c r="L3612">
        <v>1</v>
      </c>
      <c r="M3612" t="s">
        <v>58</v>
      </c>
      <c r="N3612" s="2">
        <v>0.63</v>
      </c>
      <c r="O3612" s="2">
        <v>0.37</v>
      </c>
      <c r="P3612">
        <v>20</v>
      </c>
      <c r="Q3612">
        <v>18</v>
      </c>
      <c r="R3612">
        <v>3</v>
      </c>
      <c r="S3612">
        <v>6</v>
      </c>
      <c r="T3612">
        <v>17</v>
      </c>
      <c r="U3612">
        <v>16</v>
      </c>
      <c r="V3612">
        <v>1</v>
      </c>
      <c r="W3612">
        <v>2</v>
      </c>
      <c r="X3612">
        <v>0</v>
      </c>
      <c r="Y3612">
        <v>0</v>
      </c>
      <c r="Z3612">
        <v>0</v>
      </c>
    </row>
    <row r="3613" spans="1:26" x14ac:dyDescent="0.2">
      <c r="A3613" t="s">
        <v>3731</v>
      </c>
      <c r="B3613" t="s">
        <v>59</v>
      </c>
      <c r="C3613">
        <v>2018</v>
      </c>
      <c r="D3613" t="s">
        <v>51</v>
      </c>
      <c r="E3613" t="s">
        <v>22</v>
      </c>
      <c r="F3613" t="s">
        <v>20</v>
      </c>
      <c r="G3613">
        <v>36284</v>
      </c>
      <c r="H3613">
        <v>29027.200000000001</v>
      </c>
      <c r="I3613" s="13">
        <v>0.4</v>
      </c>
      <c r="J3613" t="s">
        <v>6206</v>
      </c>
      <c r="K3613">
        <v>1</v>
      </c>
      <c r="L3613">
        <v>3</v>
      </c>
      <c r="M3613" t="s">
        <v>1</v>
      </c>
      <c r="N3613" s="2">
        <v>0.61</v>
      </c>
      <c r="O3613" s="2">
        <v>0.39</v>
      </c>
      <c r="P3613">
        <v>12</v>
      </c>
      <c r="Q3613">
        <v>6</v>
      </c>
      <c r="R3613">
        <v>6</v>
      </c>
      <c r="S3613">
        <v>7</v>
      </c>
      <c r="T3613">
        <v>7</v>
      </c>
      <c r="U3613">
        <v>7</v>
      </c>
      <c r="V3613">
        <v>3</v>
      </c>
      <c r="W3613">
        <v>2</v>
      </c>
      <c r="X3613">
        <v>0</v>
      </c>
      <c r="Y3613">
        <v>0</v>
      </c>
      <c r="Z3613">
        <v>0</v>
      </c>
    </row>
    <row r="3614" spans="1:26" x14ac:dyDescent="0.2">
      <c r="A3614" t="s">
        <v>3732</v>
      </c>
      <c r="B3614" t="s">
        <v>84</v>
      </c>
      <c r="C3614">
        <v>2018</v>
      </c>
      <c r="D3614" t="s">
        <v>80</v>
      </c>
      <c r="E3614" t="s">
        <v>78</v>
      </c>
      <c r="F3614" t="s">
        <v>80</v>
      </c>
      <c r="G3614">
        <v>32261</v>
      </c>
      <c r="H3614">
        <v>25808.800000000003</v>
      </c>
      <c r="I3614" s="13">
        <v>0.5</v>
      </c>
      <c r="J3614" t="s">
        <v>6208</v>
      </c>
      <c r="K3614">
        <v>0</v>
      </c>
      <c r="L3614">
        <v>1</v>
      </c>
      <c r="M3614" t="s">
        <v>1</v>
      </c>
      <c r="N3614" s="2">
        <v>0.62</v>
      </c>
      <c r="O3614" s="2">
        <v>0.38</v>
      </c>
      <c r="P3614">
        <v>16</v>
      </c>
      <c r="Q3614">
        <v>12</v>
      </c>
      <c r="R3614">
        <v>10</v>
      </c>
      <c r="S3614">
        <v>4</v>
      </c>
      <c r="T3614">
        <v>14</v>
      </c>
      <c r="U3614">
        <v>16</v>
      </c>
      <c r="V3614">
        <v>0</v>
      </c>
      <c r="W3614">
        <v>2</v>
      </c>
      <c r="X3614">
        <v>0</v>
      </c>
      <c r="Y3614">
        <v>0</v>
      </c>
      <c r="Z3614">
        <v>1</v>
      </c>
    </row>
    <row r="3615" spans="1:26" x14ac:dyDescent="0.2">
      <c r="A3615" t="s">
        <v>3733</v>
      </c>
      <c r="B3615" t="s">
        <v>60</v>
      </c>
      <c r="C3615">
        <v>2018</v>
      </c>
      <c r="D3615" t="s">
        <v>31</v>
      </c>
      <c r="E3615" t="s">
        <v>89</v>
      </c>
      <c r="F3615" t="s">
        <v>20</v>
      </c>
      <c r="G3615">
        <v>28500</v>
      </c>
      <c r="H3615">
        <v>22800</v>
      </c>
      <c r="I3615" s="13">
        <v>0.5</v>
      </c>
      <c r="J3615" t="s">
        <v>6208</v>
      </c>
      <c r="K3615">
        <v>1</v>
      </c>
      <c r="L3615">
        <v>0</v>
      </c>
      <c r="M3615" t="s">
        <v>0</v>
      </c>
      <c r="N3615" s="2">
        <v>0.44</v>
      </c>
      <c r="O3615" s="2">
        <v>0.56000000000000005</v>
      </c>
      <c r="P3615">
        <v>10</v>
      </c>
      <c r="Q3615">
        <v>15</v>
      </c>
      <c r="R3615">
        <v>4</v>
      </c>
      <c r="S3615">
        <v>3</v>
      </c>
      <c r="T3615">
        <v>12</v>
      </c>
      <c r="U3615">
        <v>10</v>
      </c>
      <c r="V3615">
        <v>3</v>
      </c>
      <c r="W3615">
        <v>1</v>
      </c>
      <c r="X3615">
        <v>0</v>
      </c>
      <c r="Y3615">
        <v>0</v>
      </c>
      <c r="Z3615">
        <v>1</v>
      </c>
    </row>
    <row r="3616" spans="1:26" x14ac:dyDescent="0.2">
      <c r="A3616" t="s">
        <v>3734</v>
      </c>
      <c r="B3616" t="s">
        <v>92</v>
      </c>
      <c r="C3616">
        <v>2018</v>
      </c>
      <c r="D3616" t="s">
        <v>90</v>
      </c>
      <c r="E3616" t="s">
        <v>45</v>
      </c>
      <c r="F3616" t="s">
        <v>91</v>
      </c>
      <c r="G3616">
        <v>31876</v>
      </c>
      <c r="H3616">
        <v>25500.800000000003</v>
      </c>
      <c r="I3616" s="13">
        <v>1</v>
      </c>
      <c r="J3616" t="s">
        <v>6207</v>
      </c>
      <c r="K3616">
        <v>1</v>
      </c>
      <c r="L3616">
        <v>0</v>
      </c>
      <c r="M3616" t="s">
        <v>0</v>
      </c>
      <c r="N3616" s="2">
        <v>0.45</v>
      </c>
      <c r="O3616" s="2">
        <v>0.55000000000000004</v>
      </c>
      <c r="P3616">
        <v>12</v>
      </c>
      <c r="Q3616">
        <v>11</v>
      </c>
      <c r="R3616">
        <v>6</v>
      </c>
      <c r="S3616">
        <v>6</v>
      </c>
      <c r="T3616">
        <v>10</v>
      </c>
      <c r="U3616">
        <v>11</v>
      </c>
      <c r="V3616">
        <v>0</v>
      </c>
      <c r="W3616">
        <v>2</v>
      </c>
      <c r="X3616">
        <v>0</v>
      </c>
      <c r="Y3616">
        <v>0</v>
      </c>
      <c r="Z3616">
        <v>0</v>
      </c>
    </row>
    <row r="3617" spans="1:26" x14ac:dyDescent="0.2">
      <c r="A3617" t="s">
        <v>3735</v>
      </c>
      <c r="B3617" t="s">
        <v>66</v>
      </c>
      <c r="C3617">
        <v>2018</v>
      </c>
      <c r="D3617" t="s">
        <v>26</v>
      </c>
      <c r="E3617" t="s">
        <v>46</v>
      </c>
      <c r="F3617" t="s">
        <v>26</v>
      </c>
      <c r="G3617">
        <v>61276</v>
      </c>
      <c r="H3617">
        <v>49020.800000000003</v>
      </c>
      <c r="I3617" s="13">
        <v>0.66666666666666663</v>
      </c>
      <c r="J3617" t="s">
        <v>6207</v>
      </c>
      <c r="K3617">
        <v>5</v>
      </c>
      <c r="L3617">
        <v>1</v>
      </c>
      <c r="M3617" t="s">
        <v>0</v>
      </c>
      <c r="N3617" s="2">
        <v>0.48</v>
      </c>
      <c r="O3617" s="2">
        <v>0.52</v>
      </c>
      <c r="P3617">
        <v>16</v>
      </c>
      <c r="Q3617">
        <v>10</v>
      </c>
      <c r="R3617">
        <v>5</v>
      </c>
      <c r="S3617">
        <v>3</v>
      </c>
      <c r="T3617">
        <v>8</v>
      </c>
      <c r="U3617">
        <v>13</v>
      </c>
      <c r="V3617">
        <v>1</v>
      </c>
      <c r="W3617">
        <v>2</v>
      </c>
      <c r="X3617">
        <v>0</v>
      </c>
      <c r="Y3617">
        <v>0</v>
      </c>
      <c r="Z3617">
        <v>2</v>
      </c>
    </row>
    <row r="3618" spans="1:26" x14ac:dyDescent="0.2">
      <c r="A3618" t="s">
        <v>3736</v>
      </c>
      <c r="B3618" t="s">
        <v>76</v>
      </c>
      <c r="C3618">
        <v>2018</v>
      </c>
      <c r="D3618" t="s">
        <v>79</v>
      </c>
      <c r="E3618" t="s">
        <v>18</v>
      </c>
      <c r="F3618" t="s">
        <v>20</v>
      </c>
      <c r="G3618">
        <v>25486</v>
      </c>
      <c r="H3618">
        <v>20388.800000000003</v>
      </c>
      <c r="I3618" s="13">
        <v>1</v>
      </c>
      <c r="J3618" t="s">
        <v>6207</v>
      </c>
      <c r="K3618">
        <v>0</v>
      </c>
      <c r="L3618">
        <v>1</v>
      </c>
      <c r="M3618" t="s">
        <v>1</v>
      </c>
      <c r="N3618" s="2">
        <v>0.34</v>
      </c>
      <c r="O3618" s="2">
        <v>0.66</v>
      </c>
      <c r="P3618">
        <v>11</v>
      </c>
      <c r="Q3618">
        <v>14</v>
      </c>
      <c r="R3618">
        <v>3</v>
      </c>
      <c r="S3618">
        <v>4</v>
      </c>
      <c r="T3618">
        <v>11</v>
      </c>
      <c r="U3618">
        <v>8</v>
      </c>
      <c r="V3618">
        <v>0</v>
      </c>
      <c r="W3618">
        <v>1</v>
      </c>
      <c r="X3618">
        <v>0</v>
      </c>
      <c r="Y3618">
        <v>0</v>
      </c>
      <c r="Z3618">
        <v>0</v>
      </c>
    </row>
    <row r="3619" spans="1:26" x14ac:dyDescent="0.2">
      <c r="A3619" t="s">
        <v>3737</v>
      </c>
      <c r="B3619" t="s">
        <v>81</v>
      </c>
      <c r="C3619">
        <v>2018</v>
      </c>
      <c r="D3619" t="s">
        <v>73</v>
      </c>
      <c r="E3619" t="s">
        <v>40</v>
      </c>
      <c r="F3619" t="s">
        <v>73</v>
      </c>
      <c r="G3619">
        <v>32384</v>
      </c>
      <c r="H3619">
        <v>25907.200000000001</v>
      </c>
      <c r="I3619" s="13">
        <v>0.83333333333333337</v>
      </c>
      <c r="J3619" t="s">
        <v>6207</v>
      </c>
      <c r="K3619">
        <v>1</v>
      </c>
      <c r="L3619">
        <v>3</v>
      </c>
      <c r="M3619" t="s">
        <v>1</v>
      </c>
      <c r="N3619" s="2">
        <v>0.24</v>
      </c>
      <c r="O3619" s="2">
        <v>0.76</v>
      </c>
      <c r="P3619">
        <v>13</v>
      </c>
      <c r="Q3619">
        <v>12</v>
      </c>
      <c r="R3619">
        <v>3</v>
      </c>
      <c r="S3619">
        <v>8</v>
      </c>
      <c r="T3619">
        <v>11</v>
      </c>
      <c r="U3619">
        <v>10</v>
      </c>
      <c r="V3619">
        <v>2</v>
      </c>
      <c r="W3619">
        <v>3</v>
      </c>
      <c r="X3619">
        <v>1</v>
      </c>
      <c r="Y3619">
        <v>0</v>
      </c>
      <c r="Z3619">
        <v>0</v>
      </c>
    </row>
    <row r="3620" spans="1:26" x14ac:dyDescent="0.2">
      <c r="A3620" t="s">
        <v>3738</v>
      </c>
      <c r="B3620" t="s">
        <v>93</v>
      </c>
      <c r="C3620">
        <v>2018</v>
      </c>
      <c r="D3620" t="s">
        <v>28</v>
      </c>
      <c r="E3620" t="s">
        <v>23</v>
      </c>
      <c r="F3620" t="s">
        <v>28</v>
      </c>
      <c r="G3620">
        <v>21944</v>
      </c>
      <c r="H3620">
        <v>17555.2</v>
      </c>
      <c r="I3620" s="13">
        <v>0</v>
      </c>
      <c r="J3620" t="s">
        <v>6206</v>
      </c>
      <c r="K3620">
        <v>2</v>
      </c>
      <c r="L3620">
        <v>0</v>
      </c>
      <c r="M3620" t="s">
        <v>0</v>
      </c>
      <c r="N3620" s="2">
        <v>0.43</v>
      </c>
      <c r="O3620" s="2">
        <v>0.56999999999999995</v>
      </c>
      <c r="P3620">
        <v>12</v>
      </c>
      <c r="Q3620">
        <v>19</v>
      </c>
      <c r="R3620">
        <v>5</v>
      </c>
      <c r="S3620">
        <v>5</v>
      </c>
      <c r="T3620">
        <v>15</v>
      </c>
      <c r="U3620">
        <v>11</v>
      </c>
      <c r="V3620">
        <v>1</v>
      </c>
      <c r="W3620">
        <v>4</v>
      </c>
      <c r="X3620">
        <v>0</v>
      </c>
      <c r="Y3620">
        <v>0</v>
      </c>
      <c r="Z3620">
        <v>0</v>
      </c>
    </row>
    <row r="3621" spans="1:26" x14ac:dyDescent="0.2">
      <c r="A3621" t="s">
        <v>3739</v>
      </c>
      <c r="B3621" t="s">
        <v>50</v>
      </c>
      <c r="C3621">
        <v>2018</v>
      </c>
      <c r="D3621" t="s">
        <v>48</v>
      </c>
      <c r="E3621" t="s">
        <v>86</v>
      </c>
      <c r="F3621" t="s">
        <v>49</v>
      </c>
      <c r="G3621">
        <v>74197</v>
      </c>
      <c r="H3621">
        <v>59357.600000000006</v>
      </c>
      <c r="I3621" s="13">
        <v>0.66666666666666663</v>
      </c>
      <c r="J3621" t="s">
        <v>6207</v>
      </c>
      <c r="K3621">
        <v>4</v>
      </c>
      <c r="L3621">
        <v>1</v>
      </c>
      <c r="M3621" t="s">
        <v>0</v>
      </c>
      <c r="N3621" s="2">
        <v>0.64</v>
      </c>
      <c r="O3621" s="2">
        <v>0.36</v>
      </c>
      <c r="P3621">
        <v>6</v>
      </c>
      <c r="Q3621">
        <v>14</v>
      </c>
      <c r="R3621">
        <v>4</v>
      </c>
      <c r="S3621">
        <v>5</v>
      </c>
      <c r="T3621">
        <v>10</v>
      </c>
      <c r="U3621">
        <v>7</v>
      </c>
      <c r="V3621">
        <v>2</v>
      </c>
      <c r="W3621">
        <v>0</v>
      </c>
      <c r="X3621">
        <v>1</v>
      </c>
      <c r="Y3621">
        <v>0</v>
      </c>
      <c r="Z3621">
        <v>0</v>
      </c>
    </row>
    <row r="3622" spans="1:26" x14ac:dyDescent="0.2">
      <c r="A3622" t="s">
        <v>3740</v>
      </c>
      <c r="B3622" t="s">
        <v>32</v>
      </c>
      <c r="C3622">
        <v>2018</v>
      </c>
      <c r="D3622" t="s">
        <v>45</v>
      </c>
      <c r="E3622" t="s">
        <v>80</v>
      </c>
      <c r="F3622" t="s">
        <v>26</v>
      </c>
      <c r="G3622">
        <v>39572</v>
      </c>
      <c r="H3622">
        <v>31657.600000000002</v>
      </c>
      <c r="I3622" s="13">
        <v>0.75</v>
      </c>
      <c r="J3622" t="s">
        <v>6207</v>
      </c>
      <c r="K3622">
        <v>0</v>
      </c>
      <c r="L3622">
        <v>1</v>
      </c>
      <c r="M3622" t="s">
        <v>1</v>
      </c>
      <c r="N3622" s="2">
        <v>0.6</v>
      </c>
      <c r="O3622" s="2">
        <v>0.4</v>
      </c>
      <c r="P3622">
        <v>10</v>
      </c>
      <c r="Q3622">
        <v>6</v>
      </c>
      <c r="R3622">
        <v>6</v>
      </c>
      <c r="S3622">
        <v>5</v>
      </c>
      <c r="T3622">
        <v>5</v>
      </c>
      <c r="U3622">
        <v>8</v>
      </c>
      <c r="V3622">
        <v>3</v>
      </c>
      <c r="W3622">
        <v>1</v>
      </c>
      <c r="X3622">
        <v>0</v>
      </c>
      <c r="Y3622">
        <v>0</v>
      </c>
      <c r="Z3622">
        <v>0</v>
      </c>
    </row>
    <row r="3623" spans="1:26" x14ac:dyDescent="0.2">
      <c r="A3623" t="s">
        <v>3741</v>
      </c>
      <c r="B3623" t="s">
        <v>83</v>
      </c>
      <c r="C3623">
        <v>2018</v>
      </c>
      <c r="D3623" t="s">
        <v>46</v>
      </c>
      <c r="E3623" t="s">
        <v>31</v>
      </c>
      <c r="F3623" t="s">
        <v>20</v>
      </c>
      <c r="G3623">
        <v>60704</v>
      </c>
      <c r="H3623">
        <v>48563.200000000004</v>
      </c>
      <c r="I3623" s="13">
        <v>1</v>
      </c>
      <c r="J3623" t="s">
        <v>6208</v>
      </c>
      <c r="K3623">
        <v>4</v>
      </c>
      <c r="L3623">
        <v>1</v>
      </c>
      <c r="M3623" t="s">
        <v>0</v>
      </c>
      <c r="N3623" s="2">
        <v>0.6</v>
      </c>
      <c r="O3623" s="2">
        <v>0.4</v>
      </c>
      <c r="P3623">
        <v>16</v>
      </c>
      <c r="Q3623">
        <v>11</v>
      </c>
      <c r="R3623">
        <v>8</v>
      </c>
      <c r="S3623">
        <v>3</v>
      </c>
      <c r="T3623">
        <v>7</v>
      </c>
      <c r="U3623">
        <v>12</v>
      </c>
      <c r="V3623">
        <v>0</v>
      </c>
      <c r="W3623">
        <v>1</v>
      </c>
      <c r="X3623">
        <v>0</v>
      </c>
      <c r="Y3623">
        <v>0</v>
      </c>
      <c r="Z3623">
        <v>0</v>
      </c>
    </row>
    <row r="3624" spans="1:26" x14ac:dyDescent="0.2">
      <c r="A3624" t="s">
        <v>3742</v>
      </c>
      <c r="B3624" t="s">
        <v>60</v>
      </c>
      <c r="C3624">
        <v>2018</v>
      </c>
      <c r="D3624" t="s">
        <v>78</v>
      </c>
      <c r="E3624" t="s">
        <v>51</v>
      </c>
      <c r="F3624" t="s">
        <v>78</v>
      </c>
      <c r="G3624">
        <v>33280</v>
      </c>
      <c r="H3624">
        <v>26624</v>
      </c>
      <c r="I3624" s="13">
        <v>1</v>
      </c>
      <c r="J3624" t="s">
        <v>6208</v>
      </c>
      <c r="K3624">
        <v>0</v>
      </c>
      <c r="L3624">
        <v>3</v>
      </c>
      <c r="M3624" t="s">
        <v>1</v>
      </c>
      <c r="N3624" s="2">
        <v>0.27</v>
      </c>
      <c r="O3624" s="2">
        <v>0.73</v>
      </c>
      <c r="P3624">
        <v>8</v>
      </c>
      <c r="Q3624">
        <v>12</v>
      </c>
      <c r="R3624">
        <v>5</v>
      </c>
      <c r="S3624">
        <v>3</v>
      </c>
      <c r="T3624">
        <v>6</v>
      </c>
      <c r="U3624">
        <v>6</v>
      </c>
      <c r="V3624">
        <v>1</v>
      </c>
      <c r="W3624">
        <v>0</v>
      </c>
      <c r="X3624">
        <v>0</v>
      </c>
      <c r="Y3624">
        <v>0</v>
      </c>
      <c r="Z3624">
        <v>0</v>
      </c>
    </row>
    <row r="3625" spans="1:26" x14ac:dyDescent="0.2">
      <c r="A3625" t="s">
        <v>3743</v>
      </c>
      <c r="B3625" t="s">
        <v>74</v>
      </c>
      <c r="C3625">
        <v>2018</v>
      </c>
      <c r="D3625" t="s">
        <v>22</v>
      </c>
      <c r="E3625" t="s">
        <v>79</v>
      </c>
      <c r="F3625" t="s">
        <v>24</v>
      </c>
      <c r="G3625">
        <v>31750</v>
      </c>
      <c r="H3625">
        <v>25400</v>
      </c>
      <c r="I3625" s="13">
        <v>0.6</v>
      </c>
      <c r="J3625" t="s">
        <v>6208</v>
      </c>
      <c r="K3625">
        <v>0</v>
      </c>
      <c r="L3625">
        <v>2</v>
      </c>
      <c r="M3625" t="s">
        <v>1</v>
      </c>
      <c r="N3625" s="2">
        <v>0.52</v>
      </c>
      <c r="O3625" s="2">
        <v>0.48</v>
      </c>
      <c r="P3625">
        <v>7</v>
      </c>
      <c r="Q3625">
        <v>9</v>
      </c>
      <c r="R3625">
        <v>3</v>
      </c>
      <c r="S3625">
        <v>10</v>
      </c>
      <c r="T3625">
        <v>9</v>
      </c>
      <c r="U3625">
        <v>7</v>
      </c>
      <c r="V3625">
        <v>4</v>
      </c>
      <c r="W3625">
        <v>1</v>
      </c>
      <c r="X3625">
        <v>0</v>
      </c>
      <c r="Y3625">
        <v>0</v>
      </c>
      <c r="Z3625">
        <v>1</v>
      </c>
    </row>
    <row r="3626" spans="1:26" x14ac:dyDescent="0.2">
      <c r="A3626" t="s">
        <v>3744</v>
      </c>
      <c r="B3626" t="s">
        <v>88</v>
      </c>
      <c r="C3626">
        <v>2018</v>
      </c>
      <c r="D3626" t="s">
        <v>23</v>
      </c>
      <c r="E3626" t="s">
        <v>90</v>
      </c>
      <c r="F3626" t="s">
        <v>20</v>
      </c>
      <c r="G3626">
        <v>62500</v>
      </c>
      <c r="H3626">
        <v>50000</v>
      </c>
      <c r="I3626" s="13">
        <v>0</v>
      </c>
      <c r="J3626" t="s">
        <v>6207</v>
      </c>
      <c r="K3626">
        <v>2</v>
      </c>
      <c r="L3626">
        <v>2</v>
      </c>
      <c r="M3626" t="s">
        <v>58</v>
      </c>
      <c r="N3626" s="2">
        <v>0.54</v>
      </c>
      <c r="O3626" s="2">
        <v>0.46</v>
      </c>
      <c r="P3626">
        <v>14</v>
      </c>
      <c r="Q3626">
        <v>4</v>
      </c>
      <c r="R3626">
        <v>1</v>
      </c>
      <c r="S3626">
        <v>5</v>
      </c>
      <c r="T3626">
        <v>9</v>
      </c>
      <c r="U3626">
        <v>11</v>
      </c>
      <c r="V3626">
        <v>0</v>
      </c>
      <c r="W3626">
        <v>1</v>
      </c>
      <c r="X3626">
        <v>0</v>
      </c>
      <c r="Y3626">
        <v>0</v>
      </c>
      <c r="Z3626">
        <v>0</v>
      </c>
    </row>
    <row r="3627" spans="1:26" x14ac:dyDescent="0.2">
      <c r="A3627" t="s">
        <v>3745</v>
      </c>
      <c r="B3627" t="s">
        <v>41</v>
      </c>
      <c r="C3627">
        <v>2018</v>
      </c>
      <c r="D3627" t="s">
        <v>89</v>
      </c>
      <c r="E3627" t="s">
        <v>28</v>
      </c>
      <c r="F3627" t="s">
        <v>89</v>
      </c>
      <c r="G3627">
        <v>24500</v>
      </c>
      <c r="H3627">
        <v>19600</v>
      </c>
      <c r="I3627" s="13">
        <v>0.42857142857142855</v>
      </c>
      <c r="J3627" t="s">
        <v>6207</v>
      </c>
      <c r="K3627">
        <v>1</v>
      </c>
      <c r="L3627">
        <v>2</v>
      </c>
      <c r="M3627" t="s">
        <v>1</v>
      </c>
      <c r="N3627" s="2">
        <v>0.43</v>
      </c>
      <c r="O3627" s="2">
        <v>0.56999999999999995</v>
      </c>
      <c r="P3627">
        <v>11</v>
      </c>
      <c r="Q3627">
        <v>11</v>
      </c>
      <c r="R3627">
        <v>5</v>
      </c>
      <c r="S3627">
        <v>2</v>
      </c>
      <c r="T3627">
        <v>11</v>
      </c>
      <c r="U3627">
        <v>9</v>
      </c>
      <c r="V3627">
        <v>1</v>
      </c>
      <c r="W3627">
        <v>4</v>
      </c>
      <c r="X3627">
        <v>1</v>
      </c>
      <c r="Y3627">
        <v>1</v>
      </c>
      <c r="Z3627">
        <v>0</v>
      </c>
    </row>
    <row r="3628" spans="1:26" x14ac:dyDescent="0.2">
      <c r="A3628" t="s">
        <v>3746</v>
      </c>
      <c r="B3628" t="s">
        <v>68</v>
      </c>
      <c r="C3628">
        <v>2018</v>
      </c>
      <c r="D3628" t="s">
        <v>18</v>
      </c>
      <c r="E3628" t="s">
        <v>73</v>
      </c>
      <c r="F3628" t="s">
        <v>20</v>
      </c>
      <c r="G3628">
        <v>40341</v>
      </c>
      <c r="H3628">
        <v>32272.800000000003</v>
      </c>
      <c r="I3628" s="13">
        <v>1</v>
      </c>
      <c r="J3628" t="s">
        <v>6207</v>
      </c>
      <c r="K3628">
        <v>0</v>
      </c>
      <c r="L3628">
        <v>0</v>
      </c>
      <c r="M3628" t="s">
        <v>58</v>
      </c>
      <c r="N3628" s="2">
        <v>0.72</v>
      </c>
      <c r="O3628" s="2">
        <v>0.28000000000000003</v>
      </c>
      <c r="P3628">
        <v>14</v>
      </c>
      <c r="Q3628">
        <v>13</v>
      </c>
      <c r="R3628">
        <v>7</v>
      </c>
      <c r="S3628">
        <v>2</v>
      </c>
      <c r="T3628">
        <v>8</v>
      </c>
      <c r="U3628">
        <v>11</v>
      </c>
      <c r="V3628">
        <v>1</v>
      </c>
      <c r="W3628">
        <v>2</v>
      </c>
      <c r="X3628">
        <v>0</v>
      </c>
      <c r="Y3628">
        <v>0</v>
      </c>
      <c r="Z3628">
        <v>0</v>
      </c>
    </row>
    <row r="3629" spans="1:26" x14ac:dyDescent="0.2">
      <c r="A3629" t="s">
        <v>3747</v>
      </c>
      <c r="B3629" t="s">
        <v>93</v>
      </c>
      <c r="C3629">
        <v>2018</v>
      </c>
      <c r="D3629" t="s">
        <v>86</v>
      </c>
      <c r="E3629" t="s">
        <v>85</v>
      </c>
      <c r="F3629" t="s">
        <v>86</v>
      </c>
      <c r="G3629">
        <v>11364</v>
      </c>
      <c r="H3629">
        <v>9091.2000000000007</v>
      </c>
      <c r="I3629" s="13">
        <v>0.6</v>
      </c>
      <c r="J3629" t="s">
        <v>6206</v>
      </c>
      <c r="K3629">
        <v>3</v>
      </c>
      <c r="L3629">
        <v>3</v>
      </c>
      <c r="M3629" t="s">
        <v>58</v>
      </c>
      <c r="N3629" s="2">
        <v>0.56999999999999995</v>
      </c>
      <c r="O3629" s="2">
        <v>0.43</v>
      </c>
      <c r="P3629">
        <v>17</v>
      </c>
      <c r="Q3629">
        <v>12</v>
      </c>
      <c r="R3629">
        <v>4</v>
      </c>
      <c r="S3629">
        <v>2</v>
      </c>
      <c r="T3629">
        <v>9</v>
      </c>
      <c r="U3629">
        <v>15</v>
      </c>
      <c r="V3629">
        <v>1</v>
      </c>
      <c r="W3629">
        <v>4</v>
      </c>
      <c r="X3629">
        <v>0</v>
      </c>
      <c r="Y3629">
        <v>0</v>
      </c>
      <c r="Z3629">
        <v>0</v>
      </c>
    </row>
    <row r="3630" spans="1:26" x14ac:dyDescent="0.2">
      <c r="A3630" t="s">
        <v>3748</v>
      </c>
      <c r="B3630" t="s">
        <v>37</v>
      </c>
      <c r="C3630">
        <v>2018</v>
      </c>
      <c r="D3630" t="s">
        <v>64</v>
      </c>
      <c r="E3630" t="s">
        <v>48</v>
      </c>
      <c r="F3630" t="s">
        <v>64</v>
      </c>
      <c r="G3630">
        <v>52264</v>
      </c>
      <c r="H3630">
        <v>41811.200000000004</v>
      </c>
      <c r="I3630" s="13">
        <v>0.33333333333333331</v>
      </c>
      <c r="J3630" t="s">
        <v>6206</v>
      </c>
      <c r="K3630">
        <v>0</v>
      </c>
      <c r="L3630">
        <v>2</v>
      </c>
      <c r="M3630" t="s">
        <v>1</v>
      </c>
      <c r="N3630" s="2">
        <v>0.35</v>
      </c>
      <c r="O3630" s="2">
        <v>0.65</v>
      </c>
      <c r="P3630">
        <v>8</v>
      </c>
      <c r="Q3630">
        <v>9</v>
      </c>
      <c r="R3630">
        <v>1</v>
      </c>
      <c r="S3630">
        <v>2</v>
      </c>
      <c r="T3630">
        <v>10</v>
      </c>
      <c r="U3630">
        <v>9</v>
      </c>
      <c r="V3630">
        <v>1</v>
      </c>
      <c r="W3630">
        <v>2</v>
      </c>
      <c r="X3630">
        <v>0</v>
      </c>
      <c r="Y3630">
        <v>0</v>
      </c>
      <c r="Z3630">
        <v>0</v>
      </c>
    </row>
    <row r="3631" spans="1:26" x14ac:dyDescent="0.2">
      <c r="A3631" t="s">
        <v>3749</v>
      </c>
      <c r="B3631" t="s">
        <v>61</v>
      </c>
      <c r="C3631">
        <v>2018</v>
      </c>
      <c r="D3631" t="s">
        <v>40</v>
      </c>
      <c r="E3631" t="s">
        <v>26</v>
      </c>
      <c r="F3631" t="s">
        <v>49</v>
      </c>
      <c r="G3631">
        <v>53400</v>
      </c>
      <c r="H3631">
        <v>42720</v>
      </c>
      <c r="I3631" s="13">
        <v>1</v>
      </c>
      <c r="J3631" t="s">
        <v>6207</v>
      </c>
      <c r="K3631">
        <v>2</v>
      </c>
      <c r="L3631">
        <v>1</v>
      </c>
      <c r="M3631" t="s">
        <v>0</v>
      </c>
      <c r="N3631" s="2">
        <v>0.5</v>
      </c>
      <c r="O3631" s="2">
        <v>0.5</v>
      </c>
      <c r="P3631">
        <v>8</v>
      </c>
      <c r="Q3631">
        <v>14</v>
      </c>
      <c r="R3631">
        <v>2</v>
      </c>
      <c r="S3631">
        <v>1</v>
      </c>
      <c r="T3631">
        <v>12</v>
      </c>
      <c r="U3631">
        <v>7</v>
      </c>
      <c r="V3631">
        <v>4</v>
      </c>
      <c r="W3631">
        <v>2</v>
      </c>
      <c r="X3631">
        <v>0</v>
      </c>
      <c r="Y3631">
        <v>0</v>
      </c>
      <c r="Z3631">
        <v>0</v>
      </c>
    </row>
    <row r="3632" spans="1:26" x14ac:dyDescent="0.2">
      <c r="A3632" t="s">
        <v>3750</v>
      </c>
      <c r="B3632" t="s">
        <v>68</v>
      </c>
      <c r="C3632">
        <v>2018</v>
      </c>
      <c r="D3632" t="s">
        <v>23</v>
      </c>
      <c r="E3632" t="s">
        <v>46</v>
      </c>
      <c r="F3632" t="s">
        <v>20</v>
      </c>
      <c r="G3632">
        <v>62500</v>
      </c>
      <c r="H3632">
        <v>50000</v>
      </c>
      <c r="I3632" s="13">
        <v>1</v>
      </c>
      <c r="J3632" t="s">
        <v>6207</v>
      </c>
      <c r="K3632">
        <v>1</v>
      </c>
      <c r="L3632">
        <v>0</v>
      </c>
      <c r="M3632" t="s">
        <v>0</v>
      </c>
      <c r="N3632" s="2">
        <v>0.42</v>
      </c>
      <c r="O3632" s="2">
        <v>0.57999999999999996</v>
      </c>
      <c r="P3632">
        <v>13</v>
      </c>
      <c r="Q3632">
        <v>12</v>
      </c>
      <c r="R3632">
        <v>7</v>
      </c>
      <c r="S3632">
        <v>3</v>
      </c>
      <c r="T3632">
        <v>7</v>
      </c>
      <c r="U3632">
        <v>10</v>
      </c>
      <c r="V3632">
        <v>0</v>
      </c>
      <c r="W3632">
        <v>2</v>
      </c>
      <c r="X3632">
        <v>0</v>
      </c>
      <c r="Y3632">
        <v>0</v>
      </c>
      <c r="Z3632">
        <v>0</v>
      </c>
    </row>
    <row r="3633" spans="1:26" x14ac:dyDescent="0.2">
      <c r="A3633" t="s">
        <v>3751</v>
      </c>
      <c r="B3633" t="s">
        <v>66</v>
      </c>
      <c r="C3633">
        <v>2018</v>
      </c>
      <c r="D3633" t="s">
        <v>80</v>
      </c>
      <c r="E3633" t="s">
        <v>73</v>
      </c>
      <c r="F3633" t="s">
        <v>80</v>
      </c>
      <c r="G3633">
        <v>32261</v>
      </c>
      <c r="H3633">
        <v>25808.800000000003</v>
      </c>
      <c r="I3633" s="13">
        <v>0.2</v>
      </c>
      <c r="J3633" t="s">
        <v>6207</v>
      </c>
      <c r="K3633">
        <v>1</v>
      </c>
      <c r="L3633">
        <v>2</v>
      </c>
      <c r="M3633" t="s">
        <v>1</v>
      </c>
      <c r="N3633" s="2">
        <v>0.72</v>
      </c>
      <c r="O3633" s="2">
        <v>0.28000000000000003</v>
      </c>
      <c r="P3633">
        <v>14</v>
      </c>
      <c r="Q3633">
        <v>11</v>
      </c>
      <c r="R3633">
        <v>10</v>
      </c>
      <c r="S3633">
        <v>3</v>
      </c>
      <c r="T3633">
        <v>7</v>
      </c>
      <c r="U3633">
        <v>9</v>
      </c>
      <c r="V3633">
        <v>2</v>
      </c>
      <c r="W3633">
        <v>2</v>
      </c>
      <c r="X3633">
        <v>0</v>
      </c>
      <c r="Y3633">
        <v>1</v>
      </c>
      <c r="Z3633">
        <v>1</v>
      </c>
    </row>
    <row r="3634" spans="1:26" x14ac:dyDescent="0.2">
      <c r="A3634" t="s">
        <v>3752</v>
      </c>
      <c r="B3634" t="s">
        <v>81</v>
      </c>
      <c r="C3634">
        <v>2018</v>
      </c>
      <c r="D3634" t="s">
        <v>79</v>
      </c>
      <c r="E3634" t="s">
        <v>85</v>
      </c>
      <c r="F3634" t="s">
        <v>20</v>
      </c>
      <c r="G3634">
        <v>25486</v>
      </c>
      <c r="H3634">
        <v>20388.800000000003</v>
      </c>
      <c r="I3634" s="13">
        <v>0.8</v>
      </c>
      <c r="J3634" t="s">
        <v>6207</v>
      </c>
      <c r="K3634">
        <v>1</v>
      </c>
      <c r="L3634">
        <v>2</v>
      </c>
      <c r="M3634" t="s">
        <v>1</v>
      </c>
      <c r="N3634" s="2">
        <v>0.55000000000000004</v>
      </c>
      <c r="O3634" s="2">
        <v>0.45</v>
      </c>
      <c r="P3634">
        <v>14</v>
      </c>
      <c r="Q3634">
        <v>14</v>
      </c>
      <c r="R3634">
        <v>7</v>
      </c>
      <c r="S3634">
        <v>7</v>
      </c>
      <c r="T3634">
        <v>11</v>
      </c>
      <c r="U3634">
        <v>11</v>
      </c>
      <c r="V3634">
        <v>1</v>
      </c>
      <c r="W3634">
        <v>4</v>
      </c>
      <c r="X3634">
        <v>0</v>
      </c>
      <c r="Y3634">
        <v>0</v>
      </c>
      <c r="Z3634">
        <v>0</v>
      </c>
    </row>
    <row r="3635" spans="1:26" x14ac:dyDescent="0.2">
      <c r="A3635" t="s">
        <v>3753</v>
      </c>
      <c r="B3635" t="s">
        <v>50</v>
      </c>
      <c r="C3635">
        <v>2018</v>
      </c>
      <c r="D3635" t="s">
        <v>78</v>
      </c>
      <c r="E3635" t="s">
        <v>89</v>
      </c>
      <c r="F3635" t="s">
        <v>78</v>
      </c>
      <c r="G3635">
        <v>33280</v>
      </c>
      <c r="H3635">
        <v>26624</v>
      </c>
      <c r="I3635" s="13">
        <v>0.75</v>
      </c>
      <c r="J3635" t="s">
        <v>6207</v>
      </c>
      <c r="K3635">
        <v>0</v>
      </c>
      <c r="L3635">
        <v>0</v>
      </c>
      <c r="M3635" t="s">
        <v>58</v>
      </c>
      <c r="N3635" s="2">
        <v>0.39</v>
      </c>
      <c r="O3635" s="2">
        <v>0.61</v>
      </c>
      <c r="P3635">
        <v>16</v>
      </c>
      <c r="Q3635">
        <v>15</v>
      </c>
      <c r="R3635">
        <v>3</v>
      </c>
      <c r="S3635">
        <v>10</v>
      </c>
      <c r="T3635">
        <v>12</v>
      </c>
      <c r="U3635">
        <v>14</v>
      </c>
      <c r="V3635">
        <v>3</v>
      </c>
      <c r="W3635">
        <v>1</v>
      </c>
      <c r="X3635">
        <v>0</v>
      </c>
      <c r="Y3635">
        <v>0</v>
      </c>
      <c r="Z3635">
        <v>0</v>
      </c>
    </row>
    <row r="3636" spans="1:26" x14ac:dyDescent="0.2">
      <c r="A3636" t="s">
        <v>3754</v>
      </c>
      <c r="B3636" t="s">
        <v>32</v>
      </c>
      <c r="C3636">
        <v>2018</v>
      </c>
      <c r="D3636" t="s">
        <v>28</v>
      </c>
      <c r="E3636" t="s">
        <v>31</v>
      </c>
      <c r="F3636" t="s">
        <v>28</v>
      </c>
      <c r="G3636">
        <v>21944</v>
      </c>
      <c r="H3636">
        <v>17555.2</v>
      </c>
      <c r="I3636" s="13">
        <v>0.33333333333333331</v>
      </c>
      <c r="J3636" t="s">
        <v>6207</v>
      </c>
      <c r="K3636">
        <v>2</v>
      </c>
      <c r="L3636">
        <v>1</v>
      </c>
      <c r="M3636" t="s">
        <v>0</v>
      </c>
      <c r="N3636" s="2">
        <v>0.42</v>
      </c>
      <c r="O3636" s="2">
        <v>0.57999999999999996</v>
      </c>
      <c r="P3636">
        <v>9</v>
      </c>
      <c r="Q3636">
        <v>7</v>
      </c>
      <c r="R3636">
        <v>2</v>
      </c>
      <c r="S3636">
        <v>6</v>
      </c>
      <c r="T3636">
        <v>5</v>
      </c>
      <c r="U3636">
        <v>9</v>
      </c>
      <c r="V3636">
        <v>1</v>
      </c>
      <c r="W3636">
        <v>2</v>
      </c>
      <c r="X3636">
        <v>0</v>
      </c>
      <c r="Y3636">
        <v>0</v>
      </c>
      <c r="Z3636">
        <v>0</v>
      </c>
    </row>
    <row r="3637" spans="1:26" x14ac:dyDescent="0.2">
      <c r="A3637" t="s">
        <v>3755</v>
      </c>
      <c r="B3637" t="s">
        <v>60</v>
      </c>
      <c r="C3637">
        <v>2018</v>
      </c>
      <c r="D3637" t="s">
        <v>90</v>
      </c>
      <c r="E3637" t="s">
        <v>26</v>
      </c>
      <c r="F3637" t="s">
        <v>91</v>
      </c>
      <c r="G3637">
        <v>31876</v>
      </c>
      <c r="H3637">
        <v>25500.800000000003</v>
      </c>
      <c r="I3637" s="13">
        <v>0</v>
      </c>
      <c r="J3637" t="s">
        <v>6208</v>
      </c>
      <c r="K3637">
        <v>0</v>
      </c>
      <c r="L3637">
        <v>1</v>
      </c>
      <c r="M3637" t="s">
        <v>1</v>
      </c>
      <c r="N3637" s="2">
        <v>0.28999999999999998</v>
      </c>
      <c r="O3637" s="2">
        <v>0.71</v>
      </c>
      <c r="P3637">
        <v>5</v>
      </c>
      <c r="Q3637">
        <v>20</v>
      </c>
      <c r="R3637">
        <v>2</v>
      </c>
      <c r="S3637">
        <v>7</v>
      </c>
      <c r="T3637">
        <v>15</v>
      </c>
      <c r="U3637">
        <v>5</v>
      </c>
      <c r="V3637">
        <v>0</v>
      </c>
      <c r="W3637">
        <v>0</v>
      </c>
      <c r="X3637">
        <v>0</v>
      </c>
      <c r="Y3637">
        <v>0</v>
      </c>
      <c r="Z3637">
        <v>1</v>
      </c>
    </row>
    <row r="3638" spans="1:26" x14ac:dyDescent="0.2">
      <c r="A3638" t="s">
        <v>3756</v>
      </c>
      <c r="B3638" t="s">
        <v>88</v>
      </c>
      <c r="C3638">
        <v>2018</v>
      </c>
      <c r="D3638" t="s">
        <v>18</v>
      </c>
      <c r="E3638" t="s">
        <v>64</v>
      </c>
      <c r="F3638" t="s">
        <v>20</v>
      </c>
      <c r="G3638">
        <v>40341</v>
      </c>
      <c r="H3638">
        <v>32272.800000000003</v>
      </c>
      <c r="I3638" s="13">
        <v>0.5</v>
      </c>
      <c r="J3638" t="s">
        <v>6207</v>
      </c>
      <c r="K3638">
        <v>2</v>
      </c>
      <c r="L3638">
        <v>1</v>
      </c>
      <c r="M3638" t="s">
        <v>0</v>
      </c>
      <c r="N3638" s="2">
        <v>0.66</v>
      </c>
      <c r="O3638" s="2">
        <v>0.34</v>
      </c>
      <c r="P3638">
        <v>14</v>
      </c>
      <c r="Q3638">
        <v>11</v>
      </c>
      <c r="R3638">
        <v>8</v>
      </c>
      <c r="S3638">
        <v>5</v>
      </c>
      <c r="T3638">
        <v>6</v>
      </c>
      <c r="U3638">
        <v>13</v>
      </c>
      <c r="V3638">
        <v>1</v>
      </c>
      <c r="W3638">
        <v>1</v>
      </c>
      <c r="X3638">
        <v>0</v>
      </c>
      <c r="Y3638">
        <v>0</v>
      </c>
      <c r="Z3638">
        <v>0</v>
      </c>
    </row>
    <row r="3639" spans="1:26" x14ac:dyDescent="0.2">
      <c r="A3639" t="s">
        <v>3757</v>
      </c>
      <c r="B3639" t="s">
        <v>61</v>
      </c>
      <c r="C3639">
        <v>2018</v>
      </c>
      <c r="D3639" t="s">
        <v>45</v>
      </c>
      <c r="E3639" t="s">
        <v>86</v>
      </c>
      <c r="F3639" t="s">
        <v>26</v>
      </c>
      <c r="G3639">
        <v>39572</v>
      </c>
      <c r="H3639">
        <v>31657.600000000002</v>
      </c>
      <c r="I3639" s="13">
        <v>0.8</v>
      </c>
      <c r="J3639" t="s">
        <v>6207</v>
      </c>
      <c r="K3639">
        <v>2</v>
      </c>
      <c r="L3639">
        <v>0</v>
      </c>
      <c r="M3639" t="s">
        <v>0</v>
      </c>
      <c r="N3639" s="2">
        <v>0.51</v>
      </c>
      <c r="O3639" s="2">
        <v>0.49</v>
      </c>
      <c r="P3639">
        <v>9</v>
      </c>
      <c r="Q3639">
        <v>18</v>
      </c>
      <c r="R3639">
        <v>5</v>
      </c>
      <c r="S3639">
        <v>9</v>
      </c>
      <c r="T3639">
        <v>17</v>
      </c>
      <c r="U3639">
        <v>8</v>
      </c>
      <c r="V3639">
        <v>5</v>
      </c>
      <c r="W3639">
        <v>0</v>
      </c>
      <c r="X3639">
        <v>0</v>
      </c>
      <c r="Y3639">
        <v>0</v>
      </c>
      <c r="Z3639">
        <v>0</v>
      </c>
    </row>
    <row r="3640" spans="1:26" x14ac:dyDescent="0.2">
      <c r="A3640" t="s">
        <v>3758</v>
      </c>
      <c r="B3640" t="s">
        <v>41</v>
      </c>
      <c r="C3640">
        <v>2018</v>
      </c>
      <c r="D3640" t="s">
        <v>51</v>
      </c>
      <c r="E3640" t="s">
        <v>48</v>
      </c>
      <c r="F3640" t="s">
        <v>20</v>
      </c>
      <c r="G3640">
        <v>36284</v>
      </c>
      <c r="H3640">
        <v>29027.200000000001</v>
      </c>
      <c r="I3640" s="13">
        <v>0.66666666666666663</v>
      </c>
      <c r="J3640" t="s">
        <v>6207</v>
      </c>
      <c r="K3640">
        <v>0</v>
      </c>
      <c r="L3640">
        <v>1</v>
      </c>
      <c r="M3640" t="s">
        <v>1</v>
      </c>
      <c r="N3640" s="2">
        <v>0.61</v>
      </c>
      <c r="O3640" s="2">
        <v>0.39</v>
      </c>
      <c r="P3640">
        <v>9</v>
      </c>
      <c r="Q3640">
        <v>12</v>
      </c>
      <c r="R3640">
        <v>7</v>
      </c>
      <c r="S3640">
        <v>4</v>
      </c>
      <c r="T3640">
        <v>8</v>
      </c>
      <c r="U3640">
        <v>8</v>
      </c>
      <c r="V3640">
        <v>1</v>
      </c>
      <c r="W3640">
        <v>2</v>
      </c>
      <c r="X3640">
        <v>0</v>
      </c>
      <c r="Y3640">
        <v>0</v>
      </c>
      <c r="Z3640">
        <v>0</v>
      </c>
    </row>
    <row r="3641" spans="1:26" x14ac:dyDescent="0.2">
      <c r="A3641" t="s">
        <v>3759</v>
      </c>
      <c r="B3641" t="s">
        <v>76</v>
      </c>
      <c r="C3641">
        <v>2018</v>
      </c>
      <c r="D3641" t="s">
        <v>40</v>
      </c>
      <c r="E3641" t="s">
        <v>22</v>
      </c>
      <c r="F3641" t="s">
        <v>49</v>
      </c>
      <c r="G3641">
        <v>53400</v>
      </c>
      <c r="H3641">
        <v>42720</v>
      </c>
      <c r="I3641" s="13">
        <v>1</v>
      </c>
      <c r="J3641" t="s">
        <v>6207</v>
      </c>
      <c r="K3641">
        <v>3</v>
      </c>
      <c r="L3641">
        <v>0</v>
      </c>
      <c r="M3641" t="s">
        <v>0</v>
      </c>
      <c r="N3641" s="2">
        <v>0.76</v>
      </c>
      <c r="O3641" s="2">
        <v>0.24</v>
      </c>
      <c r="P3641">
        <v>4</v>
      </c>
      <c r="Q3641">
        <v>10</v>
      </c>
      <c r="R3641">
        <v>12</v>
      </c>
      <c r="S3641">
        <v>1</v>
      </c>
      <c r="T3641">
        <v>6</v>
      </c>
      <c r="U3641">
        <v>3</v>
      </c>
      <c r="V3641">
        <v>1</v>
      </c>
      <c r="W3641">
        <v>0</v>
      </c>
      <c r="X3641">
        <v>0</v>
      </c>
      <c r="Y3641">
        <v>1</v>
      </c>
      <c r="Z3641">
        <v>1</v>
      </c>
    </row>
    <row r="3642" spans="1:26" x14ac:dyDescent="0.2">
      <c r="A3642" t="s">
        <v>3760</v>
      </c>
      <c r="B3642" t="s">
        <v>88</v>
      </c>
      <c r="C3642">
        <v>2018</v>
      </c>
      <c r="D3642" t="s">
        <v>22</v>
      </c>
      <c r="E3642" t="s">
        <v>80</v>
      </c>
      <c r="F3642" t="s">
        <v>24</v>
      </c>
      <c r="G3642">
        <v>31750</v>
      </c>
      <c r="H3642">
        <v>25400</v>
      </c>
      <c r="I3642" s="13">
        <v>0.66666666666666663</v>
      </c>
      <c r="J3642" t="s">
        <v>6207</v>
      </c>
      <c r="K3642">
        <v>4</v>
      </c>
      <c r="L3642">
        <v>3</v>
      </c>
      <c r="M3642" t="s">
        <v>0</v>
      </c>
      <c r="N3642" s="2">
        <v>0.46</v>
      </c>
      <c r="O3642" s="2">
        <v>0.54</v>
      </c>
      <c r="P3642">
        <v>9</v>
      </c>
      <c r="Q3642">
        <v>12</v>
      </c>
      <c r="R3642">
        <v>5</v>
      </c>
      <c r="S3642">
        <v>9</v>
      </c>
      <c r="T3642">
        <v>11</v>
      </c>
      <c r="U3642">
        <v>10</v>
      </c>
      <c r="V3642">
        <v>3</v>
      </c>
      <c r="W3642">
        <v>3</v>
      </c>
      <c r="X3642">
        <v>0</v>
      </c>
      <c r="Y3642">
        <v>0</v>
      </c>
      <c r="Z3642">
        <v>0</v>
      </c>
    </row>
    <row r="3643" spans="1:26" x14ac:dyDescent="0.2">
      <c r="A3643" t="s">
        <v>3761</v>
      </c>
      <c r="B3643" t="s">
        <v>66</v>
      </c>
      <c r="C3643">
        <v>2018</v>
      </c>
      <c r="D3643" t="s">
        <v>85</v>
      </c>
      <c r="E3643" t="s">
        <v>28</v>
      </c>
      <c r="F3643" t="s">
        <v>85</v>
      </c>
      <c r="G3643">
        <v>22220</v>
      </c>
      <c r="H3643">
        <v>17776</v>
      </c>
      <c r="I3643" s="13">
        <v>0.33333333333333331</v>
      </c>
      <c r="J3643" t="s">
        <v>6207</v>
      </c>
      <c r="K3643">
        <v>0</v>
      </c>
      <c r="L3643">
        <v>0</v>
      </c>
      <c r="M3643" t="s">
        <v>58</v>
      </c>
      <c r="N3643" s="2">
        <v>0.55000000000000004</v>
      </c>
      <c r="O3643" s="2">
        <v>0.45</v>
      </c>
      <c r="P3643">
        <v>16</v>
      </c>
      <c r="Q3643">
        <v>21</v>
      </c>
      <c r="R3643">
        <v>1</v>
      </c>
      <c r="S3643">
        <v>7</v>
      </c>
      <c r="T3643">
        <v>14</v>
      </c>
      <c r="U3643">
        <v>9</v>
      </c>
      <c r="V3643">
        <v>1</v>
      </c>
      <c r="W3643">
        <v>2</v>
      </c>
      <c r="X3643">
        <v>0</v>
      </c>
      <c r="Y3643">
        <v>0</v>
      </c>
      <c r="Z3643">
        <v>0</v>
      </c>
    </row>
    <row r="3644" spans="1:26" x14ac:dyDescent="0.2">
      <c r="A3644" t="s">
        <v>3762</v>
      </c>
      <c r="B3644" t="s">
        <v>83</v>
      </c>
      <c r="C3644">
        <v>2018</v>
      </c>
      <c r="D3644" t="s">
        <v>73</v>
      </c>
      <c r="E3644" t="s">
        <v>45</v>
      </c>
      <c r="F3644" t="s">
        <v>73</v>
      </c>
      <c r="G3644">
        <v>32384</v>
      </c>
      <c r="H3644">
        <v>25907.200000000001</v>
      </c>
      <c r="I3644" s="13">
        <v>0.66666666666666663</v>
      </c>
      <c r="J3644" t="s">
        <v>6208</v>
      </c>
      <c r="K3644">
        <v>2</v>
      </c>
      <c r="L3644">
        <v>1</v>
      </c>
      <c r="M3644" t="s">
        <v>0</v>
      </c>
      <c r="N3644" s="2">
        <v>0.39</v>
      </c>
      <c r="O3644" s="2">
        <v>0.61</v>
      </c>
      <c r="P3644">
        <v>13</v>
      </c>
      <c r="Q3644">
        <v>15</v>
      </c>
      <c r="R3644">
        <v>7</v>
      </c>
      <c r="S3644">
        <v>6</v>
      </c>
      <c r="T3644">
        <v>12</v>
      </c>
      <c r="U3644">
        <v>11</v>
      </c>
      <c r="V3644">
        <v>2</v>
      </c>
      <c r="W3644">
        <v>1</v>
      </c>
      <c r="X3644">
        <v>0</v>
      </c>
      <c r="Y3644">
        <v>0</v>
      </c>
      <c r="Z3644">
        <v>0</v>
      </c>
    </row>
    <row r="3645" spans="1:26" x14ac:dyDescent="0.2">
      <c r="A3645" t="s">
        <v>3763</v>
      </c>
      <c r="B3645" t="s">
        <v>59</v>
      </c>
      <c r="C3645">
        <v>2018</v>
      </c>
      <c r="D3645" t="s">
        <v>64</v>
      </c>
      <c r="E3645" t="s">
        <v>78</v>
      </c>
      <c r="F3645" t="s">
        <v>64</v>
      </c>
      <c r="G3645">
        <v>52264</v>
      </c>
      <c r="H3645">
        <v>41811.200000000004</v>
      </c>
      <c r="I3645" s="13">
        <v>1</v>
      </c>
      <c r="J3645" t="s">
        <v>6206</v>
      </c>
      <c r="K3645">
        <v>3</v>
      </c>
      <c r="L3645">
        <v>0</v>
      </c>
      <c r="M3645" t="s">
        <v>0</v>
      </c>
      <c r="N3645" s="2">
        <v>0.53</v>
      </c>
      <c r="O3645" s="2">
        <v>0.47</v>
      </c>
      <c r="P3645">
        <v>5</v>
      </c>
      <c r="Q3645">
        <v>12</v>
      </c>
      <c r="R3645">
        <v>7</v>
      </c>
      <c r="S3645">
        <v>10</v>
      </c>
      <c r="T3645">
        <v>11</v>
      </c>
      <c r="U3645">
        <v>6</v>
      </c>
      <c r="V3645">
        <v>0</v>
      </c>
      <c r="W3645">
        <v>1</v>
      </c>
      <c r="X3645">
        <v>0</v>
      </c>
      <c r="Y3645">
        <v>0</v>
      </c>
      <c r="Z3645">
        <v>0</v>
      </c>
    </row>
    <row r="3646" spans="1:26" x14ac:dyDescent="0.2">
      <c r="A3646" t="s">
        <v>3764</v>
      </c>
      <c r="B3646" t="s">
        <v>81</v>
      </c>
      <c r="C3646">
        <v>2018</v>
      </c>
      <c r="D3646" t="s">
        <v>48</v>
      </c>
      <c r="E3646" t="s">
        <v>90</v>
      </c>
      <c r="F3646" t="s">
        <v>49</v>
      </c>
      <c r="G3646">
        <v>74197</v>
      </c>
      <c r="H3646">
        <v>59357.600000000006</v>
      </c>
      <c r="I3646" s="13">
        <v>0</v>
      </c>
      <c r="J3646" t="s">
        <v>6207</v>
      </c>
      <c r="K3646">
        <v>2</v>
      </c>
      <c r="L3646">
        <v>1</v>
      </c>
      <c r="M3646" t="s">
        <v>0</v>
      </c>
      <c r="N3646" s="2">
        <v>0.56000000000000005</v>
      </c>
      <c r="O3646" s="2">
        <v>0.44</v>
      </c>
      <c r="P3646">
        <v>12</v>
      </c>
      <c r="Q3646">
        <v>12</v>
      </c>
      <c r="R3646">
        <v>6</v>
      </c>
      <c r="S3646">
        <v>5</v>
      </c>
      <c r="T3646">
        <v>11</v>
      </c>
      <c r="U3646">
        <v>11</v>
      </c>
      <c r="V3646">
        <v>1</v>
      </c>
      <c r="W3646">
        <v>0</v>
      </c>
      <c r="X3646">
        <v>0</v>
      </c>
      <c r="Y3646">
        <v>0</v>
      </c>
      <c r="Z3646">
        <v>1</v>
      </c>
    </row>
    <row r="3647" spans="1:26" x14ac:dyDescent="0.2">
      <c r="A3647" t="s">
        <v>3765</v>
      </c>
      <c r="B3647" t="s">
        <v>68</v>
      </c>
      <c r="C3647">
        <v>2018</v>
      </c>
      <c r="D3647" t="s">
        <v>26</v>
      </c>
      <c r="E3647" t="s">
        <v>79</v>
      </c>
      <c r="F3647" t="s">
        <v>26</v>
      </c>
      <c r="G3647">
        <v>61276</v>
      </c>
      <c r="H3647">
        <v>49020.800000000003</v>
      </c>
      <c r="I3647" s="13">
        <v>0.33333333333333331</v>
      </c>
      <c r="J3647" t="s">
        <v>6207</v>
      </c>
      <c r="K3647">
        <v>4</v>
      </c>
      <c r="L3647">
        <v>3</v>
      </c>
      <c r="M3647" t="s">
        <v>0</v>
      </c>
      <c r="N3647" s="2">
        <v>0.7</v>
      </c>
      <c r="O3647" s="2">
        <v>0.3</v>
      </c>
      <c r="P3647">
        <v>10</v>
      </c>
      <c r="Q3647">
        <v>7</v>
      </c>
      <c r="R3647">
        <v>8</v>
      </c>
      <c r="S3647">
        <v>3</v>
      </c>
      <c r="T3647">
        <v>6</v>
      </c>
      <c r="U3647">
        <v>8</v>
      </c>
      <c r="V3647">
        <v>1</v>
      </c>
      <c r="W3647">
        <v>1</v>
      </c>
      <c r="X3647">
        <v>1</v>
      </c>
      <c r="Y3647">
        <v>0</v>
      </c>
      <c r="Z3647">
        <v>0</v>
      </c>
    </row>
    <row r="3648" spans="1:26" x14ac:dyDescent="0.2">
      <c r="A3648" t="s">
        <v>3766</v>
      </c>
      <c r="B3648" t="s">
        <v>84</v>
      </c>
      <c r="C3648">
        <v>2018</v>
      </c>
      <c r="D3648" t="s">
        <v>86</v>
      </c>
      <c r="E3648" t="s">
        <v>23</v>
      </c>
      <c r="F3648" t="s">
        <v>86</v>
      </c>
      <c r="G3648">
        <v>11364</v>
      </c>
      <c r="H3648">
        <v>9091.2000000000007</v>
      </c>
      <c r="I3648" s="13">
        <v>0</v>
      </c>
      <c r="J3648" t="s">
        <v>6208</v>
      </c>
      <c r="K3648">
        <v>2</v>
      </c>
      <c r="L3648">
        <v>0</v>
      </c>
      <c r="M3648" t="s">
        <v>0</v>
      </c>
      <c r="N3648" s="2">
        <v>0.39</v>
      </c>
      <c r="O3648" s="2">
        <v>0.61</v>
      </c>
      <c r="P3648">
        <v>10</v>
      </c>
      <c r="Q3648">
        <v>11</v>
      </c>
      <c r="R3648">
        <v>2</v>
      </c>
      <c r="S3648">
        <v>3</v>
      </c>
      <c r="T3648">
        <v>6</v>
      </c>
      <c r="U3648">
        <v>10</v>
      </c>
      <c r="V3648">
        <v>0</v>
      </c>
      <c r="W3648">
        <v>1</v>
      </c>
      <c r="X3648">
        <v>0</v>
      </c>
      <c r="Y3648">
        <v>0</v>
      </c>
      <c r="Z3648">
        <v>0</v>
      </c>
    </row>
    <row r="3649" spans="1:26" x14ac:dyDescent="0.2">
      <c r="A3649" t="s">
        <v>3767</v>
      </c>
      <c r="B3649" t="s">
        <v>61</v>
      </c>
      <c r="C3649">
        <v>2018</v>
      </c>
      <c r="D3649" t="s">
        <v>46</v>
      </c>
      <c r="E3649" t="s">
        <v>18</v>
      </c>
      <c r="F3649" t="s">
        <v>20</v>
      </c>
      <c r="G3649">
        <v>60704</v>
      </c>
      <c r="H3649">
        <v>48563.200000000004</v>
      </c>
      <c r="I3649" s="13">
        <v>0.5</v>
      </c>
      <c r="J3649" t="s">
        <v>6207</v>
      </c>
      <c r="K3649">
        <v>2</v>
      </c>
      <c r="L3649">
        <v>0</v>
      </c>
      <c r="M3649" t="s">
        <v>0</v>
      </c>
      <c r="N3649" s="2">
        <v>0.36</v>
      </c>
      <c r="O3649" s="2">
        <v>0.64</v>
      </c>
      <c r="P3649">
        <v>15</v>
      </c>
      <c r="Q3649">
        <v>13</v>
      </c>
      <c r="R3649">
        <v>5</v>
      </c>
      <c r="S3649">
        <v>6</v>
      </c>
      <c r="T3649">
        <v>13</v>
      </c>
      <c r="U3649">
        <v>15</v>
      </c>
      <c r="V3649">
        <v>0</v>
      </c>
      <c r="W3649">
        <v>2</v>
      </c>
      <c r="X3649">
        <v>0</v>
      </c>
      <c r="Y3649">
        <v>0</v>
      </c>
      <c r="Z3649">
        <v>0</v>
      </c>
    </row>
    <row r="3650" spans="1:26" x14ac:dyDescent="0.2">
      <c r="A3650" t="s">
        <v>3768</v>
      </c>
      <c r="B3650" t="s">
        <v>37</v>
      </c>
      <c r="C3650">
        <v>2018</v>
      </c>
      <c r="D3650" t="s">
        <v>89</v>
      </c>
      <c r="E3650" t="s">
        <v>40</v>
      </c>
      <c r="F3650" t="s">
        <v>89</v>
      </c>
      <c r="G3650">
        <v>24500</v>
      </c>
      <c r="H3650">
        <v>19600</v>
      </c>
      <c r="I3650" s="13">
        <v>0.5</v>
      </c>
      <c r="J3650" t="s">
        <v>6206</v>
      </c>
      <c r="K3650">
        <v>0</v>
      </c>
      <c r="L3650">
        <v>3</v>
      </c>
      <c r="M3650" t="s">
        <v>1</v>
      </c>
      <c r="N3650" s="2">
        <v>0.32</v>
      </c>
      <c r="O3650" s="2">
        <v>0.68</v>
      </c>
      <c r="P3650">
        <v>11</v>
      </c>
      <c r="Q3650">
        <v>12</v>
      </c>
      <c r="R3650">
        <v>1</v>
      </c>
      <c r="S3650">
        <v>4</v>
      </c>
      <c r="T3650">
        <v>10</v>
      </c>
      <c r="U3650">
        <v>9</v>
      </c>
      <c r="V3650">
        <v>2</v>
      </c>
      <c r="W3650">
        <v>2</v>
      </c>
      <c r="X3650">
        <v>0</v>
      </c>
      <c r="Y3650">
        <v>0</v>
      </c>
      <c r="Z3650">
        <v>0</v>
      </c>
    </row>
    <row r="3651" spans="1:26" x14ac:dyDescent="0.2">
      <c r="A3651" t="s">
        <v>3769</v>
      </c>
      <c r="B3651" t="s">
        <v>76</v>
      </c>
      <c r="C3651">
        <v>2018</v>
      </c>
      <c r="D3651" t="s">
        <v>31</v>
      </c>
      <c r="E3651" t="s">
        <v>51</v>
      </c>
      <c r="F3651" t="s">
        <v>20</v>
      </c>
      <c r="G3651">
        <v>28500</v>
      </c>
      <c r="H3651">
        <v>22800</v>
      </c>
      <c r="I3651" s="13">
        <v>0.6</v>
      </c>
      <c r="J3651" t="s">
        <v>6207</v>
      </c>
      <c r="K3651">
        <v>1</v>
      </c>
      <c r="L3651">
        <v>2</v>
      </c>
      <c r="M3651" t="s">
        <v>1</v>
      </c>
      <c r="N3651" s="2">
        <v>0.27</v>
      </c>
      <c r="O3651" s="2">
        <v>0.73</v>
      </c>
      <c r="P3651">
        <v>9</v>
      </c>
      <c r="Q3651">
        <v>17</v>
      </c>
      <c r="R3651">
        <v>7</v>
      </c>
      <c r="S3651">
        <v>10</v>
      </c>
      <c r="T3651">
        <v>10</v>
      </c>
      <c r="U3651">
        <v>8</v>
      </c>
      <c r="V3651">
        <v>2</v>
      </c>
      <c r="W3651">
        <v>3</v>
      </c>
      <c r="X3651">
        <v>0</v>
      </c>
      <c r="Y3651">
        <v>0</v>
      </c>
      <c r="Z3651">
        <v>0</v>
      </c>
    </row>
    <row r="3652" spans="1:26" x14ac:dyDescent="0.2">
      <c r="A3652" t="s">
        <v>3770</v>
      </c>
      <c r="B3652" t="s">
        <v>93</v>
      </c>
      <c r="C3652">
        <v>2018</v>
      </c>
      <c r="D3652" t="s">
        <v>22</v>
      </c>
      <c r="E3652" t="s">
        <v>23</v>
      </c>
      <c r="F3652" t="s">
        <v>24</v>
      </c>
      <c r="G3652">
        <v>31750</v>
      </c>
      <c r="H3652">
        <v>25400</v>
      </c>
      <c r="I3652" s="13">
        <v>0.6</v>
      </c>
      <c r="J3652" t="s">
        <v>6206</v>
      </c>
      <c r="K3652">
        <v>3</v>
      </c>
      <c r="L3652">
        <v>0</v>
      </c>
      <c r="M3652" t="s">
        <v>0</v>
      </c>
      <c r="N3652" s="2">
        <v>0.55000000000000004</v>
      </c>
      <c r="O3652" s="2">
        <v>0.45</v>
      </c>
      <c r="P3652">
        <v>10</v>
      </c>
      <c r="Q3652">
        <v>10</v>
      </c>
      <c r="R3652">
        <v>5</v>
      </c>
      <c r="S3652">
        <v>1</v>
      </c>
      <c r="T3652">
        <v>8</v>
      </c>
      <c r="U3652">
        <v>10</v>
      </c>
      <c r="V3652">
        <v>4</v>
      </c>
      <c r="W3652">
        <v>1</v>
      </c>
      <c r="X3652">
        <v>0</v>
      </c>
      <c r="Y3652">
        <v>0</v>
      </c>
      <c r="Z3652">
        <v>0</v>
      </c>
    </row>
    <row r="3653" spans="1:26" x14ac:dyDescent="0.2">
      <c r="A3653" t="s">
        <v>3771</v>
      </c>
      <c r="B3653" t="s">
        <v>59</v>
      </c>
      <c r="C3653">
        <v>2018</v>
      </c>
      <c r="D3653" t="s">
        <v>89</v>
      </c>
      <c r="E3653" t="s">
        <v>45</v>
      </c>
      <c r="F3653" t="s">
        <v>89</v>
      </c>
      <c r="G3653">
        <v>24500</v>
      </c>
      <c r="H3653">
        <v>19600</v>
      </c>
      <c r="I3653" s="13">
        <v>0.66666666666666663</v>
      </c>
      <c r="J3653" t="s">
        <v>6206</v>
      </c>
      <c r="K3653">
        <v>0</v>
      </c>
      <c r="L3653">
        <v>1</v>
      </c>
      <c r="M3653" t="s">
        <v>1</v>
      </c>
      <c r="N3653" s="2">
        <v>0.57999999999999996</v>
      </c>
      <c r="O3653" s="2">
        <v>0.42</v>
      </c>
      <c r="P3653">
        <v>9</v>
      </c>
      <c r="Q3653">
        <v>14</v>
      </c>
      <c r="R3653">
        <v>3</v>
      </c>
      <c r="S3653">
        <v>4</v>
      </c>
      <c r="T3653">
        <v>13</v>
      </c>
      <c r="U3653">
        <v>10</v>
      </c>
      <c r="V3653">
        <v>1</v>
      </c>
      <c r="W3653">
        <v>4</v>
      </c>
      <c r="X3653">
        <v>0</v>
      </c>
      <c r="Y3653">
        <v>1</v>
      </c>
      <c r="Z3653">
        <v>0</v>
      </c>
    </row>
    <row r="3654" spans="1:26" x14ac:dyDescent="0.2">
      <c r="A3654" t="s">
        <v>3772</v>
      </c>
      <c r="B3654" t="s">
        <v>54</v>
      </c>
      <c r="C3654">
        <v>2018</v>
      </c>
      <c r="D3654" t="s">
        <v>31</v>
      </c>
      <c r="E3654" t="s">
        <v>90</v>
      </c>
      <c r="F3654" t="s">
        <v>20</v>
      </c>
      <c r="G3654">
        <v>28500</v>
      </c>
      <c r="H3654">
        <v>22800</v>
      </c>
      <c r="I3654" s="13">
        <v>0.4</v>
      </c>
      <c r="J3654" t="s">
        <v>6206</v>
      </c>
      <c r="K3654">
        <v>4</v>
      </c>
      <c r="L3654">
        <v>2</v>
      </c>
      <c r="M3654" t="s">
        <v>0</v>
      </c>
      <c r="N3654" s="2">
        <v>0.62</v>
      </c>
      <c r="O3654" s="2">
        <v>0.38</v>
      </c>
      <c r="P3654">
        <v>6</v>
      </c>
      <c r="Q3654">
        <v>12</v>
      </c>
      <c r="R3654">
        <v>10</v>
      </c>
      <c r="S3654">
        <v>1</v>
      </c>
      <c r="T3654">
        <v>10</v>
      </c>
      <c r="U3654">
        <v>5</v>
      </c>
      <c r="V3654">
        <v>2</v>
      </c>
      <c r="W3654">
        <v>3</v>
      </c>
      <c r="X3654">
        <v>0</v>
      </c>
      <c r="Y3654">
        <v>0</v>
      </c>
      <c r="Z3654">
        <v>0</v>
      </c>
    </row>
    <row r="3655" spans="1:26" x14ac:dyDescent="0.2">
      <c r="A3655" t="s">
        <v>3773</v>
      </c>
      <c r="B3655" t="s">
        <v>41</v>
      </c>
      <c r="C3655">
        <v>2018</v>
      </c>
      <c r="D3655" t="s">
        <v>46</v>
      </c>
      <c r="E3655" t="s">
        <v>78</v>
      </c>
      <c r="F3655" t="s">
        <v>20</v>
      </c>
      <c r="G3655">
        <v>60704</v>
      </c>
      <c r="H3655">
        <v>48563.200000000004</v>
      </c>
      <c r="I3655" s="13">
        <v>0.66666666666666663</v>
      </c>
      <c r="J3655" t="s">
        <v>6207</v>
      </c>
      <c r="K3655">
        <v>2</v>
      </c>
      <c r="L3655">
        <v>1</v>
      </c>
      <c r="M3655" t="s">
        <v>0</v>
      </c>
      <c r="N3655" s="2">
        <v>0.71</v>
      </c>
      <c r="O3655" s="2">
        <v>0.28999999999999998</v>
      </c>
      <c r="P3655">
        <v>14</v>
      </c>
      <c r="Q3655">
        <v>13</v>
      </c>
      <c r="R3655">
        <v>4</v>
      </c>
      <c r="S3655">
        <v>7</v>
      </c>
      <c r="T3655">
        <v>14</v>
      </c>
      <c r="U3655">
        <v>12</v>
      </c>
      <c r="V3655">
        <v>3</v>
      </c>
      <c r="W3655">
        <v>3</v>
      </c>
      <c r="X3655">
        <v>0</v>
      </c>
      <c r="Y3655">
        <v>0</v>
      </c>
      <c r="Z3655">
        <v>1</v>
      </c>
    </row>
    <row r="3656" spans="1:26" x14ac:dyDescent="0.2">
      <c r="A3656" t="s">
        <v>3774</v>
      </c>
      <c r="B3656" t="s">
        <v>81</v>
      </c>
      <c r="C3656">
        <v>2018</v>
      </c>
      <c r="D3656" t="s">
        <v>64</v>
      </c>
      <c r="E3656" t="s">
        <v>40</v>
      </c>
      <c r="F3656" t="s">
        <v>64</v>
      </c>
      <c r="G3656">
        <v>52264</v>
      </c>
      <c r="H3656">
        <v>41811.200000000004</v>
      </c>
      <c r="I3656" s="13">
        <v>0.8</v>
      </c>
      <c r="J3656" t="s">
        <v>6207</v>
      </c>
      <c r="K3656">
        <v>2</v>
      </c>
      <c r="L3656">
        <v>1</v>
      </c>
      <c r="M3656" t="s">
        <v>0</v>
      </c>
      <c r="N3656" s="2">
        <v>0.24</v>
      </c>
      <c r="O3656" s="2">
        <v>0.76</v>
      </c>
      <c r="P3656">
        <v>10</v>
      </c>
      <c r="Q3656">
        <v>11</v>
      </c>
      <c r="R3656">
        <v>1</v>
      </c>
      <c r="S3656">
        <v>8</v>
      </c>
      <c r="T3656">
        <v>9</v>
      </c>
      <c r="U3656">
        <v>7</v>
      </c>
      <c r="V3656">
        <v>2</v>
      </c>
      <c r="W3656">
        <v>3</v>
      </c>
      <c r="X3656">
        <v>0</v>
      </c>
      <c r="Y3656">
        <v>0</v>
      </c>
      <c r="Z3656">
        <v>1</v>
      </c>
    </row>
    <row r="3657" spans="1:26" x14ac:dyDescent="0.2">
      <c r="A3657" t="s">
        <v>3775</v>
      </c>
      <c r="B3657" t="s">
        <v>68</v>
      </c>
      <c r="C3657">
        <v>2018</v>
      </c>
      <c r="D3657" t="s">
        <v>48</v>
      </c>
      <c r="E3657" t="s">
        <v>28</v>
      </c>
      <c r="F3657" t="s">
        <v>49</v>
      </c>
      <c r="G3657">
        <v>74197</v>
      </c>
      <c r="H3657">
        <v>59357.600000000006</v>
      </c>
      <c r="I3657" s="13">
        <v>0.25</v>
      </c>
      <c r="J3657" t="s">
        <v>6207</v>
      </c>
      <c r="K3657">
        <v>2</v>
      </c>
      <c r="L3657">
        <v>2</v>
      </c>
      <c r="M3657" t="s">
        <v>58</v>
      </c>
      <c r="N3657" s="2">
        <v>0.74</v>
      </c>
      <c r="O3657" s="2">
        <v>0.26</v>
      </c>
      <c r="P3657">
        <v>11</v>
      </c>
      <c r="Q3657">
        <v>12</v>
      </c>
      <c r="R3657">
        <v>11</v>
      </c>
      <c r="S3657">
        <v>3</v>
      </c>
      <c r="T3657">
        <v>10</v>
      </c>
      <c r="U3657">
        <v>9</v>
      </c>
      <c r="V3657">
        <v>1</v>
      </c>
      <c r="W3657">
        <v>3</v>
      </c>
      <c r="X3657">
        <v>0</v>
      </c>
      <c r="Y3657">
        <v>0</v>
      </c>
      <c r="Z3657">
        <v>1</v>
      </c>
    </row>
    <row r="3658" spans="1:26" x14ac:dyDescent="0.2">
      <c r="A3658" t="s">
        <v>3776</v>
      </c>
      <c r="B3658" t="s">
        <v>37</v>
      </c>
      <c r="C3658">
        <v>2018</v>
      </c>
      <c r="D3658" t="s">
        <v>73</v>
      </c>
      <c r="E3658" t="s">
        <v>79</v>
      </c>
      <c r="F3658" t="s">
        <v>73</v>
      </c>
      <c r="G3658">
        <v>32384</v>
      </c>
      <c r="H3658">
        <v>25907.200000000001</v>
      </c>
      <c r="I3658" s="13">
        <v>0.83333333333333337</v>
      </c>
      <c r="J3658" t="s">
        <v>6206</v>
      </c>
      <c r="K3658">
        <v>1</v>
      </c>
      <c r="L3658">
        <v>1</v>
      </c>
      <c r="M3658" t="s">
        <v>58</v>
      </c>
      <c r="N3658" s="2">
        <v>0.59</v>
      </c>
      <c r="O3658" s="2">
        <v>0.41</v>
      </c>
      <c r="P3658">
        <v>8</v>
      </c>
      <c r="Q3658">
        <v>13</v>
      </c>
      <c r="R3658">
        <v>3</v>
      </c>
      <c r="S3658">
        <v>8</v>
      </c>
      <c r="T3658">
        <v>11</v>
      </c>
      <c r="U3658">
        <v>8</v>
      </c>
      <c r="V3658">
        <v>2</v>
      </c>
      <c r="W3658">
        <v>3</v>
      </c>
      <c r="X3658">
        <v>0</v>
      </c>
      <c r="Y3658">
        <v>1</v>
      </c>
      <c r="Z3658">
        <v>0</v>
      </c>
    </row>
    <row r="3659" spans="1:26" x14ac:dyDescent="0.2">
      <c r="A3659" t="s">
        <v>3777</v>
      </c>
      <c r="B3659" t="s">
        <v>74</v>
      </c>
      <c r="C3659">
        <v>2018</v>
      </c>
      <c r="D3659" t="s">
        <v>86</v>
      </c>
      <c r="E3659" t="s">
        <v>18</v>
      </c>
      <c r="F3659" t="s">
        <v>86</v>
      </c>
      <c r="G3659">
        <v>11364</v>
      </c>
      <c r="H3659">
        <v>9091.2000000000007</v>
      </c>
      <c r="I3659" s="13">
        <v>0</v>
      </c>
      <c r="J3659" t="s">
        <v>6208</v>
      </c>
      <c r="K3659">
        <v>4</v>
      </c>
      <c r="L3659">
        <v>0</v>
      </c>
      <c r="M3659" t="s">
        <v>0</v>
      </c>
      <c r="N3659" s="2">
        <v>0.32</v>
      </c>
      <c r="O3659" s="2">
        <v>0.68</v>
      </c>
      <c r="P3659">
        <v>12</v>
      </c>
      <c r="Q3659">
        <v>8</v>
      </c>
      <c r="R3659">
        <v>3</v>
      </c>
      <c r="S3659">
        <v>7</v>
      </c>
      <c r="T3659">
        <v>8</v>
      </c>
      <c r="U3659">
        <v>6</v>
      </c>
      <c r="V3659">
        <v>1</v>
      </c>
      <c r="W3659">
        <v>0</v>
      </c>
      <c r="X3659">
        <v>0</v>
      </c>
      <c r="Y3659">
        <v>0</v>
      </c>
      <c r="Z3659">
        <v>0</v>
      </c>
    </row>
    <row r="3660" spans="1:26" x14ac:dyDescent="0.2">
      <c r="A3660" t="s">
        <v>3778</v>
      </c>
      <c r="B3660" t="s">
        <v>83</v>
      </c>
      <c r="C3660">
        <v>2018</v>
      </c>
      <c r="D3660" t="s">
        <v>51</v>
      </c>
      <c r="E3660" t="s">
        <v>85</v>
      </c>
      <c r="F3660" t="s">
        <v>20</v>
      </c>
      <c r="G3660">
        <v>36284</v>
      </c>
      <c r="H3660">
        <v>29027.200000000001</v>
      </c>
      <c r="I3660" s="13">
        <v>1</v>
      </c>
      <c r="J3660" t="s">
        <v>6208</v>
      </c>
      <c r="K3660">
        <v>2</v>
      </c>
      <c r="L3660">
        <v>1</v>
      </c>
      <c r="M3660" t="s">
        <v>0</v>
      </c>
      <c r="N3660" s="2">
        <v>0.69</v>
      </c>
      <c r="O3660" s="2">
        <v>0.31</v>
      </c>
      <c r="P3660">
        <v>13</v>
      </c>
      <c r="Q3660">
        <v>8</v>
      </c>
      <c r="R3660">
        <v>9</v>
      </c>
      <c r="S3660">
        <v>5</v>
      </c>
      <c r="T3660">
        <v>6</v>
      </c>
      <c r="U3660">
        <v>9</v>
      </c>
      <c r="V3660">
        <v>0</v>
      </c>
      <c r="W3660">
        <v>4</v>
      </c>
      <c r="X3660">
        <v>0</v>
      </c>
      <c r="Y3660">
        <v>0</v>
      </c>
      <c r="Z3660">
        <v>0</v>
      </c>
    </row>
    <row r="3661" spans="1:26" x14ac:dyDescent="0.2">
      <c r="A3661" t="s">
        <v>3779</v>
      </c>
      <c r="B3661" t="s">
        <v>32</v>
      </c>
      <c r="C3661">
        <v>2018</v>
      </c>
      <c r="D3661" t="s">
        <v>26</v>
      </c>
      <c r="E3661" t="s">
        <v>80</v>
      </c>
      <c r="F3661" t="s">
        <v>26</v>
      </c>
      <c r="G3661">
        <v>61276</v>
      </c>
      <c r="H3661">
        <v>49020.800000000003</v>
      </c>
      <c r="I3661" s="13">
        <v>0.5</v>
      </c>
      <c r="J3661" t="s">
        <v>6207</v>
      </c>
      <c r="K3661">
        <v>1</v>
      </c>
      <c r="L3661">
        <v>1</v>
      </c>
      <c r="M3661" t="s">
        <v>58</v>
      </c>
      <c r="N3661" s="2">
        <v>0.72</v>
      </c>
      <c r="O3661" s="2">
        <v>0.28000000000000003</v>
      </c>
      <c r="P3661">
        <v>9</v>
      </c>
      <c r="Q3661">
        <v>18</v>
      </c>
      <c r="R3661">
        <v>7</v>
      </c>
      <c r="S3661">
        <v>1</v>
      </c>
      <c r="T3661">
        <v>13</v>
      </c>
      <c r="U3661">
        <v>6</v>
      </c>
      <c r="V3661">
        <v>1</v>
      </c>
      <c r="W3661">
        <v>3</v>
      </c>
      <c r="X3661">
        <v>0</v>
      </c>
      <c r="Y3661">
        <v>0</v>
      </c>
      <c r="Z3661">
        <v>0</v>
      </c>
    </row>
    <row r="3662" spans="1:26" x14ac:dyDescent="0.2">
      <c r="A3662" t="s">
        <v>3780</v>
      </c>
      <c r="B3662" t="s">
        <v>37</v>
      </c>
      <c r="C3662">
        <v>2018</v>
      </c>
      <c r="D3662" t="s">
        <v>51</v>
      </c>
      <c r="E3662" t="s">
        <v>64</v>
      </c>
      <c r="F3662" t="s">
        <v>20</v>
      </c>
      <c r="G3662">
        <v>36284</v>
      </c>
      <c r="H3662">
        <v>29027.200000000001</v>
      </c>
      <c r="I3662" s="13">
        <v>1</v>
      </c>
      <c r="J3662" t="s">
        <v>6206</v>
      </c>
      <c r="K3662">
        <v>1</v>
      </c>
      <c r="L3662">
        <v>0</v>
      </c>
      <c r="M3662" t="s">
        <v>0</v>
      </c>
      <c r="N3662" s="2">
        <v>0.72</v>
      </c>
      <c r="O3662" s="2">
        <v>0.28000000000000003</v>
      </c>
      <c r="P3662">
        <v>7</v>
      </c>
      <c r="Q3662">
        <v>8</v>
      </c>
      <c r="R3662">
        <v>6</v>
      </c>
      <c r="S3662">
        <v>3</v>
      </c>
      <c r="T3662">
        <v>6</v>
      </c>
      <c r="U3662">
        <v>6</v>
      </c>
      <c r="V3662">
        <v>0</v>
      </c>
      <c r="W3662">
        <v>1</v>
      </c>
      <c r="X3662">
        <v>0</v>
      </c>
      <c r="Y3662">
        <v>0</v>
      </c>
      <c r="Z3662">
        <v>0</v>
      </c>
    </row>
    <row r="3663" spans="1:26" x14ac:dyDescent="0.2">
      <c r="A3663" t="s">
        <v>3781</v>
      </c>
      <c r="B3663" t="s">
        <v>50</v>
      </c>
      <c r="C3663">
        <v>2018</v>
      </c>
      <c r="D3663" t="s">
        <v>45</v>
      </c>
      <c r="E3663" t="s">
        <v>22</v>
      </c>
      <c r="F3663" t="s">
        <v>26</v>
      </c>
      <c r="G3663">
        <v>39572</v>
      </c>
      <c r="H3663">
        <v>31657.600000000002</v>
      </c>
      <c r="I3663" s="13">
        <v>0.25</v>
      </c>
      <c r="J3663" t="s">
        <v>6207</v>
      </c>
      <c r="K3663">
        <v>1</v>
      </c>
      <c r="L3663">
        <v>3</v>
      </c>
      <c r="M3663" t="s">
        <v>1</v>
      </c>
      <c r="N3663" s="2">
        <v>0.64</v>
      </c>
      <c r="O3663" s="2">
        <v>0.36</v>
      </c>
      <c r="P3663">
        <v>14</v>
      </c>
      <c r="Q3663">
        <v>13</v>
      </c>
      <c r="R3663">
        <v>3</v>
      </c>
      <c r="S3663">
        <v>1</v>
      </c>
      <c r="T3663">
        <v>12</v>
      </c>
      <c r="U3663">
        <v>14</v>
      </c>
      <c r="V3663">
        <v>3</v>
      </c>
      <c r="W3663">
        <v>1</v>
      </c>
      <c r="X3663">
        <v>0</v>
      </c>
      <c r="Y3663">
        <v>0</v>
      </c>
      <c r="Z3663">
        <v>1</v>
      </c>
    </row>
    <row r="3664" spans="1:26" x14ac:dyDescent="0.2">
      <c r="A3664" t="s">
        <v>3782</v>
      </c>
      <c r="B3664" t="s">
        <v>66</v>
      </c>
      <c r="C3664">
        <v>2018</v>
      </c>
      <c r="D3664" t="s">
        <v>79</v>
      </c>
      <c r="E3664" t="s">
        <v>31</v>
      </c>
      <c r="F3664" t="s">
        <v>20</v>
      </c>
      <c r="G3664">
        <v>25486</v>
      </c>
      <c r="H3664">
        <v>20388.800000000003</v>
      </c>
      <c r="I3664" s="13">
        <v>1</v>
      </c>
      <c r="J3664" t="s">
        <v>6207</v>
      </c>
      <c r="K3664">
        <v>2</v>
      </c>
      <c r="L3664">
        <v>0</v>
      </c>
      <c r="M3664" t="s">
        <v>0</v>
      </c>
      <c r="N3664" s="2">
        <v>0.37</v>
      </c>
      <c r="O3664" s="2">
        <v>0.63</v>
      </c>
      <c r="P3664">
        <v>11</v>
      </c>
      <c r="Q3664">
        <v>10</v>
      </c>
      <c r="R3664">
        <v>11</v>
      </c>
      <c r="S3664">
        <v>1</v>
      </c>
      <c r="T3664">
        <v>9</v>
      </c>
      <c r="U3664">
        <v>12</v>
      </c>
      <c r="V3664">
        <v>2</v>
      </c>
      <c r="W3664">
        <v>3</v>
      </c>
      <c r="X3664">
        <v>0</v>
      </c>
      <c r="Y3664">
        <v>0</v>
      </c>
      <c r="Z3664">
        <v>1</v>
      </c>
    </row>
    <row r="3665" spans="1:26" x14ac:dyDescent="0.2">
      <c r="A3665" t="s">
        <v>3783</v>
      </c>
      <c r="B3665" t="s">
        <v>81</v>
      </c>
      <c r="C3665">
        <v>2018</v>
      </c>
      <c r="D3665" t="s">
        <v>18</v>
      </c>
      <c r="E3665" t="s">
        <v>89</v>
      </c>
      <c r="F3665" t="s">
        <v>20</v>
      </c>
      <c r="G3665">
        <v>40341</v>
      </c>
      <c r="H3665">
        <v>32272.800000000003</v>
      </c>
      <c r="I3665" s="13">
        <v>0</v>
      </c>
      <c r="J3665" t="s">
        <v>6207</v>
      </c>
      <c r="K3665">
        <v>5</v>
      </c>
      <c r="L3665">
        <v>0</v>
      </c>
      <c r="M3665" t="s">
        <v>0</v>
      </c>
      <c r="N3665" s="2">
        <v>0.65</v>
      </c>
      <c r="O3665" s="2">
        <v>0.35</v>
      </c>
      <c r="P3665">
        <v>5</v>
      </c>
      <c r="Q3665">
        <v>10</v>
      </c>
      <c r="R3665">
        <v>11</v>
      </c>
      <c r="S3665">
        <v>2</v>
      </c>
      <c r="T3665">
        <v>8</v>
      </c>
      <c r="U3665">
        <v>5</v>
      </c>
      <c r="V3665">
        <v>0</v>
      </c>
      <c r="W3665">
        <v>0</v>
      </c>
      <c r="X3665">
        <v>0</v>
      </c>
      <c r="Y3665">
        <v>0</v>
      </c>
      <c r="Z3665">
        <v>1</v>
      </c>
    </row>
    <row r="3666" spans="1:26" x14ac:dyDescent="0.2">
      <c r="A3666" t="s">
        <v>3784</v>
      </c>
      <c r="B3666" t="s">
        <v>61</v>
      </c>
      <c r="C3666">
        <v>2018</v>
      </c>
      <c r="D3666" t="s">
        <v>28</v>
      </c>
      <c r="E3666" t="s">
        <v>73</v>
      </c>
      <c r="F3666" t="s">
        <v>28</v>
      </c>
      <c r="G3666">
        <v>21944</v>
      </c>
      <c r="H3666">
        <v>17555.2</v>
      </c>
      <c r="I3666" s="13">
        <v>0</v>
      </c>
      <c r="J3666" t="s">
        <v>6207</v>
      </c>
      <c r="K3666">
        <v>1</v>
      </c>
      <c r="L3666">
        <v>1</v>
      </c>
      <c r="M3666" t="s">
        <v>58</v>
      </c>
      <c r="N3666" s="2">
        <v>0.54</v>
      </c>
      <c r="O3666" s="2">
        <v>0.46</v>
      </c>
      <c r="P3666">
        <v>8</v>
      </c>
      <c r="Q3666">
        <v>12</v>
      </c>
      <c r="R3666">
        <v>4</v>
      </c>
      <c r="S3666">
        <v>2</v>
      </c>
      <c r="T3666">
        <v>10</v>
      </c>
      <c r="U3666">
        <v>9</v>
      </c>
      <c r="V3666">
        <v>3</v>
      </c>
      <c r="W3666">
        <v>1</v>
      </c>
      <c r="X3666">
        <v>0</v>
      </c>
      <c r="Y3666">
        <v>0</v>
      </c>
      <c r="Z3666">
        <v>1</v>
      </c>
    </row>
    <row r="3667" spans="1:26" x14ac:dyDescent="0.2">
      <c r="A3667" t="s">
        <v>3785</v>
      </c>
      <c r="B3667" t="s">
        <v>84</v>
      </c>
      <c r="C3667">
        <v>2018</v>
      </c>
      <c r="D3667" t="s">
        <v>90</v>
      </c>
      <c r="E3667" t="s">
        <v>85</v>
      </c>
      <c r="F3667" t="s">
        <v>91</v>
      </c>
      <c r="G3667">
        <v>31876</v>
      </c>
      <c r="H3667">
        <v>25500.800000000003</v>
      </c>
      <c r="I3667" s="13">
        <v>1</v>
      </c>
      <c r="J3667" t="s">
        <v>6208</v>
      </c>
      <c r="K3667">
        <v>0</v>
      </c>
      <c r="L3667">
        <v>0</v>
      </c>
      <c r="M3667" t="s">
        <v>58</v>
      </c>
      <c r="N3667" s="2">
        <v>0.55000000000000004</v>
      </c>
      <c r="O3667" s="2">
        <v>0.45</v>
      </c>
      <c r="P3667">
        <v>12</v>
      </c>
      <c r="Q3667">
        <v>17</v>
      </c>
      <c r="R3667">
        <v>7</v>
      </c>
      <c r="S3667">
        <v>0</v>
      </c>
      <c r="T3667">
        <v>15</v>
      </c>
      <c r="U3667">
        <v>10</v>
      </c>
      <c r="V3667">
        <v>1</v>
      </c>
      <c r="W3667">
        <v>0</v>
      </c>
      <c r="X3667">
        <v>0</v>
      </c>
      <c r="Y3667">
        <v>0</v>
      </c>
      <c r="Z3667">
        <v>0</v>
      </c>
    </row>
    <row r="3668" spans="1:26" x14ac:dyDescent="0.2">
      <c r="A3668" t="s">
        <v>3786</v>
      </c>
      <c r="B3668" t="s">
        <v>68</v>
      </c>
      <c r="C3668">
        <v>2018</v>
      </c>
      <c r="D3668" t="s">
        <v>78</v>
      </c>
      <c r="E3668" t="s">
        <v>86</v>
      </c>
      <c r="F3668" t="s">
        <v>78</v>
      </c>
      <c r="G3668">
        <v>33280</v>
      </c>
      <c r="H3668">
        <v>26624</v>
      </c>
      <c r="I3668" s="13">
        <v>0.33333333333333331</v>
      </c>
      <c r="J3668" t="s">
        <v>6207</v>
      </c>
      <c r="K3668">
        <v>2</v>
      </c>
      <c r="L3668">
        <v>0</v>
      </c>
      <c r="M3668" t="s">
        <v>0</v>
      </c>
      <c r="N3668" s="2">
        <v>0.27</v>
      </c>
      <c r="O3668" s="2">
        <v>0.73</v>
      </c>
      <c r="P3668">
        <v>13</v>
      </c>
      <c r="Q3668">
        <v>18</v>
      </c>
      <c r="R3668">
        <v>6</v>
      </c>
      <c r="S3668">
        <v>7</v>
      </c>
      <c r="T3668">
        <v>17</v>
      </c>
      <c r="U3668">
        <v>14</v>
      </c>
      <c r="V3668">
        <v>1</v>
      </c>
      <c r="W3668">
        <v>2</v>
      </c>
      <c r="X3668">
        <v>0</v>
      </c>
      <c r="Y3668">
        <v>0</v>
      </c>
      <c r="Z3668">
        <v>1</v>
      </c>
    </row>
    <row r="3669" spans="1:26" x14ac:dyDescent="0.2">
      <c r="A3669" t="s">
        <v>3787</v>
      </c>
      <c r="B3669" t="s">
        <v>41</v>
      </c>
      <c r="C3669">
        <v>2018</v>
      </c>
      <c r="D3669" t="s">
        <v>80</v>
      </c>
      <c r="E3669" t="s">
        <v>48</v>
      </c>
      <c r="F3669" t="s">
        <v>80</v>
      </c>
      <c r="G3669">
        <v>32261</v>
      </c>
      <c r="H3669">
        <v>25808.800000000003</v>
      </c>
      <c r="I3669" s="13">
        <v>0.625</v>
      </c>
      <c r="J3669" t="s">
        <v>6207</v>
      </c>
      <c r="K3669">
        <v>0</v>
      </c>
      <c r="L3669">
        <v>1</v>
      </c>
      <c r="M3669" t="s">
        <v>1</v>
      </c>
      <c r="N3669" s="2">
        <v>0.45</v>
      </c>
      <c r="O3669" s="2">
        <v>0.55000000000000004</v>
      </c>
      <c r="P3669">
        <v>10</v>
      </c>
      <c r="Q3669">
        <v>14</v>
      </c>
      <c r="R3669">
        <v>7</v>
      </c>
      <c r="S3669">
        <v>2</v>
      </c>
      <c r="T3669">
        <v>14</v>
      </c>
      <c r="U3669">
        <v>9</v>
      </c>
      <c r="V3669">
        <v>4</v>
      </c>
      <c r="W3669">
        <v>4</v>
      </c>
      <c r="X3669">
        <v>0</v>
      </c>
      <c r="Y3669">
        <v>0</v>
      </c>
      <c r="Z3669">
        <v>0</v>
      </c>
    </row>
    <row r="3670" spans="1:26" x14ac:dyDescent="0.2">
      <c r="A3670" t="s">
        <v>3788</v>
      </c>
      <c r="B3670" t="s">
        <v>32</v>
      </c>
      <c r="C3670">
        <v>2018</v>
      </c>
      <c r="D3670" t="s">
        <v>40</v>
      </c>
      <c r="E3670" t="s">
        <v>46</v>
      </c>
      <c r="F3670" t="s">
        <v>49</v>
      </c>
      <c r="G3670">
        <v>53400</v>
      </c>
      <c r="H3670">
        <v>42720</v>
      </c>
      <c r="I3670" s="13">
        <v>1</v>
      </c>
      <c r="J3670" t="s">
        <v>6207</v>
      </c>
      <c r="K3670">
        <v>3</v>
      </c>
      <c r="L3670">
        <v>1</v>
      </c>
      <c r="M3670" t="s">
        <v>0</v>
      </c>
      <c r="N3670" s="2">
        <v>0.59</v>
      </c>
      <c r="O3670" s="2">
        <v>0.41</v>
      </c>
      <c r="P3670">
        <v>8</v>
      </c>
      <c r="Q3670">
        <v>17</v>
      </c>
      <c r="R3670">
        <v>4</v>
      </c>
      <c r="S3670">
        <v>2</v>
      </c>
      <c r="T3670">
        <v>11</v>
      </c>
      <c r="U3670">
        <v>8</v>
      </c>
      <c r="V3670">
        <v>1</v>
      </c>
      <c r="W3670">
        <v>1</v>
      </c>
      <c r="X3670">
        <v>0</v>
      </c>
      <c r="Y3670">
        <v>0</v>
      </c>
      <c r="Z3670">
        <v>0</v>
      </c>
    </row>
    <row r="3671" spans="1:26" x14ac:dyDescent="0.2">
      <c r="A3671" t="s">
        <v>3789</v>
      </c>
      <c r="B3671" t="s">
        <v>60</v>
      </c>
      <c r="C3671">
        <v>2018</v>
      </c>
      <c r="D3671" t="s">
        <v>23</v>
      </c>
      <c r="E3671" t="s">
        <v>26</v>
      </c>
      <c r="F3671" t="s">
        <v>20</v>
      </c>
      <c r="G3671">
        <v>62500</v>
      </c>
      <c r="H3671">
        <v>50000</v>
      </c>
      <c r="I3671" s="13">
        <v>1</v>
      </c>
      <c r="J3671" t="s">
        <v>6208</v>
      </c>
      <c r="K3671">
        <v>1</v>
      </c>
      <c r="L3671">
        <v>1</v>
      </c>
      <c r="M3671" t="s">
        <v>58</v>
      </c>
      <c r="N3671" s="2">
        <v>0.27</v>
      </c>
      <c r="O3671" s="2">
        <v>0.73</v>
      </c>
      <c r="P3671">
        <v>14</v>
      </c>
      <c r="Q3671">
        <v>10</v>
      </c>
      <c r="R3671">
        <v>2</v>
      </c>
      <c r="S3671">
        <v>5</v>
      </c>
      <c r="T3671">
        <v>9</v>
      </c>
      <c r="U3671">
        <v>11</v>
      </c>
      <c r="V3671">
        <v>1</v>
      </c>
      <c r="W3671">
        <v>1</v>
      </c>
      <c r="X3671">
        <v>0</v>
      </c>
      <c r="Y3671">
        <v>0</v>
      </c>
      <c r="Z3671">
        <v>0</v>
      </c>
    </row>
    <row r="3672" spans="1:26" x14ac:dyDescent="0.2">
      <c r="A3672" t="s">
        <v>3790</v>
      </c>
      <c r="B3672" t="s">
        <v>76</v>
      </c>
      <c r="C3672">
        <v>2018</v>
      </c>
      <c r="D3672" t="s">
        <v>45</v>
      </c>
      <c r="E3672" t="s">
        <v>40</v>
      </c>
      <c r="F3672" t="s">
        <v>26</v>
      </c>
      <c r="G3672">
        <v>39572</v>
      </c>
      <c r="H3672">
        <v>31657.600000000002</v>
      </c>
      <c r="I3672" s="13">
        <v>1</v>
      </c>
      <c r="J3672" t="s">
        <v>6207</v>
      </c>
      <c r="K3672">
        <v>0</v>
      </c>
      <c r="L3672">
        <v>2</v>
      </c>
      <c r="M3672" t="s">
        <v>1</v>
      </c>
      <c r="N3672" s="2">
        <v>0.39</v>
      </c>
      <c r="O3672" s="2">
        <v>0.61</v>
      </c>
      <c r="P3672">
        <v>11</v>
      </c>
      <c r="Q3672">
        <v>12</v>
      </c>
      <c r="R3672">
        <v>5</v>
      </c>
      <c r="S3672">
        <v>6</v>
      </c>
      <c r="T3672">
        <v>12</v>
      </c>
      <c r="U3672">
        <v>6</v>
      </c>
      <c r="V3672">
        <v>1</v>
      </c>
      <c r="W3672">
        <v>1</v>
      </c>
      <c r="X3672">
        <v>0</v>
      </c>
      <c r="Y3672">
        <v>0</v>
      </c>
      <c r="Z3672">
        <v>0</v>
      </c>
    </row>
    <row r="3673" spans="1:26" x14ac:dyDescent="0.2">
      <c r="A3673" t="s">
        <v>3791</v>
      </c>
      <c r="B3673" t="s">
        <v>81</v>
      </c>
      <c r="C3673">
        <v>2018</v>
      </c>
      <c r="D3673" t="s">
        <v>31</v>
      </c>
      <c r="E3673" t="s">
        <v>48</v>
      </c>
      <c r="F3673" t="s">
        <v>20</v>
      </c>
      <c r="G3673">
        <v>28500</v>
      </c>
      <c r="H3673">
        <v>22800</v>
      </c>
      <c r="I3673" s="13">
        <v>0.6</v>
      </c>
      <c r="J3673" t="s">
        <v>6207</v>
      </c>
      <c r="K3673">
        <v>0</v>
      </c>
      <c r="L3673">
        <v>3</v>
      </c>
      <c r="M3673" t="s">
        <v>1</v>
      </c>
      <c r="N3673" s="2">
        <v>0.51</v>
      </c>
      <c r="O3673" s="2">
        <v>0.49</v>
      </c>
      <c r="P3673">
        <v>12</v>
      </c>
      <c r="Q3673">
        <v>13</v>
      </c>
      <c r="R3673">
        <v>5</v>
      </c>
      <c r="S3673">
        <v>4</v>
      </c>
      <c r="T3673">
        <v>14</v>
      </c>
      <c r="U3673">
        <v>9</v>
      </c>
      <c r="V3673">
        <v>3</v>
      </c>
      <c r="W3673">
        <v>2</v>
      </c>
      <c r="X3673">
        <v>0</v>
      </c>
      <c r="Y3673">
        <v>0</v>
      </c>
      <c r="Z3673">
        <v>1</v>
      </c>
    </row>
    <row r="3674" spans="1:26" x14ac:dyDescent="0.2">
      <c r="A3674" t="s">
        <v>3792</v>
      </c>
      <c r="B3674" t="s">
        <v>54</v>
      </c>
      <c r="C3674">
        <v>2018</v>
      </c>
      <c r="D3674" t="s">
        <v>85</v>
      </c>
      <c r="E3674" t="s">
        <v>45</v>
      </c>
      <c r="F3674" t="s">
        <v>85</v>
      </c>
      <c r="G3674">
        <v>22220</v>
      </c>
      <c r="H3674">
        <v>17776</v>
      </c>
      <c r="I3674" s="13">
        <v>0.5</v>
      </c>
      <c r="J3674" t="s">
        <v>6206</v>
      </c>
      <c r="K3674">
        <v>1</v>
      </c>
      <c r="L3674">
        <v>0</v>
      </c>
      <c r="M3674" t="s">
        <v>0</v>
      </c>
      <c r="N3674" s="2">
        <v>0.44</v>
      </c>
      <c r="O3674" s="2">
        <v>0.56000000000000005</v>
      </c>
      <c r="P3674">
        <v>16</v>
      </c>
      <c r="Q3674">
        <v>22</v>
      </c>
      <c r="R3674">
        <v>8</v>
      </c>
      <c r="S3674">
        <v>2</v>
      </c>
      <c r="T3674">
        <v>21</v>
      </c>
      <c r="U3674">
        <v>10</v>
      </c>
      <c r="V3674">
        <v>2</v>
      </c>
      <c r="W3674">
        <v>1</v>
      </c>
      <c r="X3674">
        <v>0</v>
      </c>
      <c r="Y3674">
        <v>1</v>
      </c>
      <c r="Z3674">
        <v>0</v>
      </c>
    </row>
    <row r="3675" spans="1:26" x14ac:dyDescent="0.2">
      <c r="A3675" t="s">
        <v>3793</v>
      </c>
      <c r="B3675" t="s">
        <v>32</v>
      </c>
      <c r="C3675">
        <v>2018</v>
      </c>
      <c r="D3675" t="s">
        <v>73</v>
      </c>
      <c r="E3675" t="s">
        <v>78</v>
      </c>
      <c r="F3675" t="s">
        <v>73</v>
      </c>
      <c r="G3675">
        <v>32384</v>
      </c>
      <c r="H3675">
        <v>25907.200000000001</v>
      </c>
      <c r="I3675" s="13">
        <v>0.66666666666666663</v>
      </c>
      <c r="J3675" t="s">
        <v>6207</v>
      </c>
      <c r="K3675">
        <v>1</v>
      </c>
      <c r="L3675">
        <v>2</v>
      </c>
      <c r="M3675" t="s">
        <v>1</v>
      </c>
      <c r="N3675" s="2">
        <v>0.67</v>
      </c>
      <c r="O3675" s="2">
        <v>0.33</v>
      </c>
      <c r="P3675">
        <v>15</v>
      </c>
      <c r="Q3675">
        <v>15</v>
      </c>
      <c r="R3675">
        <v>8</v>
      </c>
      <c r="S3675">
        <v>2</v>
      </c>
      <c r="T3675">
        <v>15</v>
      </c>
      <c r="U3675">
        <v>12</v>
      </c>
      <c r="V3675">
        <v>3</v>
      </c>
      <c r="W3675">
        <v>3</v>
      </c>
      <c r="X3675">
        <v>0</v>
      </c>
      <c r="Y3675">
        <v>0</v>
      </c>
      <c r="Z3675">
        <v>0</v>
      </c>
    </row>
    <row r="3676" spans="1:26" x14ac:dyDescent="0.2">
      <c r="A3676" t="s">
        <v>3794</v>
      </c>
      <c r="B3676" t="s">
        <v>61</v>
      </c>
      <c r="C3676">
        <v>2018</v>
      </c>
      <c r="D3676" t="s">
        <v>26</v>
      </c>
      <c r="E3676" t="s">
        <v>86</v>
      </c>
      <c r="F3676" t="s">
        <v>26</v>
      </c>
      <c r="G3676">
        <v>61276</v>
      </c>
      <c r="H3676">
        <v>49020.800000000003</v>
      </c>
      <c r="I3676" s="13">
        <v>0.5</v>
      </c>
      <c r="J3676" t="s">
        <v>6207</v>
      </c>
      <c r="K3676">
        <v>3</v>
      </c>
      <c r="L3676">
        <v>0</v>
      </c>
      <c r="M3676" t="s">
        <v>0</v>
      </c>
      <c r="N3676" s="2">
        <v>0.66</v>
      </c>
      <c r="O3676" s="2">
        <v>0.34</v>
      </c>
      <c r="P3676">
        <v>8</v>
      </c>
      <c r="Q3676">
        <v>16</v>
      </c>
      <c r="R3676">
        <v>8</v>
      </c>
      <c r="S3676">
        <v>5</v>
      </c>
      <c r="T3676">
        <v>14</v>
      </c>
      <c r="U3676">
        <v>6</v>
      </c>
      <c r="V3676">
        <v>2</v>
      </c>
      <c r="W3676">
        <v>2</v>
      </c>
      <c r="X3676">
        <v>0</v>
      </c>
      <c r="Y3676">
        <v>0</v>
      </c>
      <c r="Z3676">
        <v>0</v>
      </c>
    </row>
    <row r="3677" spans="1:26" x14ac:dyDescent="0.2">
      <c r="A3677" t="s">
        <v>3795</v>
      </c>
      <c r="B3677" t="s">
        <v>68</v>
      </c>
      <c r="C3677">
        <v>2018</v>
      </c>
      <c r="D3677" t="s">
        <v>89</v>
      </c>
      <c r="E3677" t="s">
        <v>46</v>
      </c>
      <c r="F3677" t="s">
        <v>89</v>
      </c>
      <c r="G3677">
        <v>24500</v>
      </c>
      <c r="H3677">
        <v>19600</v>
      </c>
      <c r="I3677" s="13">
        <v>0.8</v>
      </c>
      <c r="J3677" t="s">
        <v>6207</v>
      </c>
      <c r="K3677">
        <v>1</v>
      </c>
      <c r="L3677">
        <v>2</v>
      </c>
      <c r="M3677" t="s">
        <v>1</v>
      </c>
      <c r="N3677" s="2">
        <v>0.55000000000000004</v>
      </c>
      <c r="O3677" s="2">
        <v>0.45</v>
      </c>
      <c r="P3677">
        <v>13</v>
      </c>
      <c r="Q3677">
        <v>18</v>
      </c>
      <c r="R3677">
        <v>5</v>
      </c>
      <c r="S3677">
        <v>0</v>
      </c>
      <c r="T3677">
        <v>17</v>
      </c>
      <c r="U3677">
        <v>12</v>
      </c>
      <c r="V3677">
        <v>3</v>
      </c>
      <c r="W3677">
        <v>2</v>
      </c>
      <c r="X3677">
        <v>0</v>
      </c>
      <c r="Y3677">
        <v>0</v>
      </c>
      <c r="Z3677">
        <v>0</v>
      </c>
    </row>
    <row r="3678" spans="1:26" x14ac:dyDescent="0.2">
      <c r="A3678" t="s">
        <v>3796</v>
      </c>
      <c r="B3678" t="s">
        <v>76</v>
      </c>
      <c r="C3678">
        <v>2018</v>
      </c>
      <c r="D3678" t="s">
        <v>79</v>
      </c>
      <c r="E3678" t="s">
        <v>23</v>
      </c>
      <c r="F3678" t="s">
        <v>20</v>
      </c>
      <c r="G3678">
        <v>25486</v>
      </c>
      <c r="H3678">
        <v>20388.800000000003</v>
      </c>
      <c r="I3678" s="13">
        <v>0.66666666666666663</v>
      </c>
      <c r="J3678" t="s">
        <v>6207</v>
      </c>
      <c r="K3678">
        <v>1</v>
      </c>
      <c r="L3678">
        <v>1</v>
      </c>
      <c r="M3678" t="s">
        <v>58</v>
      </c>
      <c r="N3678" s="2">
        <v>0.56999999999999995</v>
      </c>
      <c r="O3678" s="2">
        <v>0.43</v>
      </c>
      <c r="P3678">
        <v>10</v>
      </c>
      <c r="Q3678">
        <v>15</v>
      </c>
      <c r="R3678">
        <v>10</v>
      </c>
      <c r="S3678">
        <v>4</v>
      </c>
      <c r="T3678">
        <v>12</v>
      </c>
      <c r="U3678">
        <v>9</v>
      </c>
      <c r="V3678">
        <v>3</v>
      </c>
      <c r="W3678">
        <v>0</v>
      </c>
      <c r="X3678">
        <v>0</v>
      </c>
      <c r="Y3678">
        <v>0</v>
      </c>
      <c r="Z3678">
        <v>1</v>
      </c>
    </row>
    <row r="3679" spans="1:26" x14ac:dyDescent="0.2">
      <c r="A3679" t="s">
        <v>3797</v>
      </c>
      <c r="B3679" t="s">
        <v>59</v>
      </c>
      <c r="C3679">
        <v>2018</v>
      </c>
      <c r="D3679" t="s">
        <v>90</v>
      </c>
      <c r="E3679" t="s">
        <v>28</v>
      </c>
      <c r="F3679" t="s">
        <v>91</v>
      </c>
      <c r="G3679">
        <v>31876</v>
      </c>
      <c r="H3679">
        <v>25500.800000000003</v>
      </c>
      <c r="I3679" s="13">
        <v>0.5</v>
      </c>
      <c r="J3679" t="s">
        <v>6206</v>
      </c>
      <c r="K3679">
        <v>1</v>
      </c>
      <c r="L3679">
        <v>3</v>
      </c>
      <c r="M3679" t="s">
        <v>1</v>
      </c>
      <c r="N3679" s="2">
        <v>0.68</v>
      </c>
      <c r="O3679" s="2">
        <v>0.32</v>
      </c>
      <c r="P3679">
        <v>8</v>
      </c>
      <c r="Q3679">
        <v>8</v>
      </c>
      <c r="R3679">
        <v>9</v>
      </c>
      <c r="S3679">
        <v>3</v>
      </c>
      <c r="T3679">
        <v>8</v>
      </c>
      <c r="U3679">
        <v>7</v>
      </c>
      <c r="V3679">
        <v>1</v>
      </c>
      <c r="W3679">
        <v>1</v>
      </c>
      <c r="X3679">
        <v>0</v>
      </c>
      <c r="Y3679">
        <v>0</v>
      </c>
      <c r="Z3679">
        <v>1</v>
      </c>
    </row>
    <row r="3680" spans="1:26" x14ac:dyDescent="0.2">
      <c r="A3680" t="s">
        <v>3798</v>
      </c>
      <c r="B3680" t="s">
        <v>66</v>
      </c>
      <c r="C3680">
        <v>2018</v>
      </c>
      <c r="D3680" t="s">
        <v>51</v>
      </c>
      <c r="E3680" t="s">
        <v>80</v>
      </c>
      <c r="F3680" t="s">
        <v>20</v>
      </c>
      <c r="G3680">
        <v>36284</v>
      </c>
      <c r="H3680">
        <v>29027.200000000001</v>
      </c>
      <c r="I3680" s="13">
        <v>0.5</v>
      </c>
      <c r="J3680" t="s">
        <v>6207</v>
      </c>
      <c r="K3680">
        <v>3</v>
      </c>
      <c r="L3680">
        <v>1</v>
      </c>
      <c r="M3680" t="s">
        <v>0</v>
      </c>
      <c r="N3680" s="2">
        <v>0.53</v>
      </c>
      <c r="O3680" s="2">
        <v>0.47</v>
      </c>
      <c r="P3680">
        <v>9</v>
      </c>
      <c r="Q3680">
        <v>17</v>
      </c>
      <c r="R3680">
        <v>2</v>
      </c>
      <c r="S3680">
        <v>9</v>
      </c>
      <c r="T3680">
        <v>11</v>
      </c>
      <c r="U3680">
        <v>4</v>
      </c>
      <c r="V3680">
        <v>3</v>
      </c>
      <c r="W3680">
        <v>1</v>
      </c>
      <c r="X3680">
        <v>0</v>
      </c>
      <c r="Y3680">
        <v>0</v>
      </c>
      <c r="Z3680">
        <v>1</v>
      </c>
    </row>
    <row r="3681" spans="1:26" x14ac:dyDescent="0.2">
      <c r="A3681" t="s">
        <v>3799</v>
      </c>
      <c r="B3681" t="s">
        <v>41</v>
      </c>
      <c r="C3681">
        <v>2018</v>
      </c>
      <c r="D3681" t="s">
        <v>40</v>
      </c>
      <c r="E3681" t="s">
        <v>18</v>
      </c>
      <c r="F3681" t="s">
        <v>49</v>
      </c>
      <c r="G3681">
        <v>53400</v>
      </c>
      <c r="H3681">
        <v>42720</v>
      </c>
      <c r="I3681" s="13">
        <v>1</v>
      </c>
      <c r="J3681" t="s">
        <v>6207</v>
      </c>
      <c r="K3681">
        <v>6</v>
      </c>
      <c r="L3681">
        <v>0</v>
      </c>
      <c r="M3681" t="s">
        <v>0</v>
      </c>
      <c r="N3681" s="2">
        <v>0.56000000000000005</v>
      </c>
      <c r="O3681" s="2">
        <v>0.44</v>
      </c>
      <c r="P3681">
        <v>13</v>
      </c>
      <c r="Q3681">
        <v>12</v>
      </c>
      <c r="R3681">
        <v>2</v>
      </c>
      <c r="S3681">
        <v>2</v>
      </c>
      <c r="T3681">
        <v>9</v>
      </c>
      <c r="U3681">
        <v>13</v>
      </c>
      <c r="V3681">
        <v>1</v>
      </c>
      <c r="W3681">
        <v>2</v>
      </c>
      <c r="X3681">
        <v>0</v>
      </c>
      <c r="Y3681">
        <v>0</v>
      </c>
      <c r="Z3681">
        <v>1</v>
      </c>
    </row>
    <row r="3682" spans="1:26" x14ac:dyDescent="0.2">
      <c r="A3682" t="s">
        <v>3800</v>
      </c>
      <c r="B3682" t="s">
        <v>83</v>
      </c>
      <c r="C3682">
        <v>2018</v>
      </c>
      <c r="D3682" t="s">
        <v>22</v>
      </c>
      <c r="E3682" t="s">
        <v>64</v>
      </c>
      <c r="F3682" t="s">
        <v>24</v>
      </c>
      <c r="G3682">
        <v>31750</v>
      </c>
      <c r="H3682">
        <v>25400</v>
      </c>
      <c r="I3682" s="13">
        <v>0.5</v>
      </c>
      <c r="J3682" t="s">
        <v>6208</v>
      </c>
      <c r="K3682">
        <v>1</v>
      </c>
      <c r="L3682">
        <v>1</v>
      </c>
      <c r="M3682" t="s">
        <v>58</v>
      </c>
      <c r="N3682" s="2">
        <v>0.59</v>
      </c>
      <c r="O3682" s="2">
        <v>0.41</v>
      </c>
      <c r="P3682">
        <v>10</v>
      </c>
      <c r="Q3682">
        <v>8</v>
      </c>
      <c r="R3682">
        <v>13</v>
      </c>
      <c r="S3682">
        <v>1</v>
      </c>
      <c r="T3682">
        <v>7</v>
      </c>
      <c r="U3682">
        <v>9</v>
      </c>
      <c r="V3682">
        <v>1</v>
      </c>
      <c r="W3682">
        <v>3</v>
      </c>
      <c r="X3682">
        <v>0</v>
      </c>
      <c r="Y3682">
        <v>0</v>
      </c>
      <c r="Z3682">
        <v>0</v>
      </c>
    </row>
    <row r="3683" spans="1:26" x14ac:dyDescent="0.2">
      <c r="A3683" t="s">
        <v>3801</v>
      </c>
      <c r="B3683" t="s">
        <v>50</v>
      </c>
      <c r="C3683">
        <v>2018</v>
      </c>
      <c r="D3683" t="s">
        <v>23</v>
      </c>
      <c r="E3683" t="s">
        <v>31</v>
      </c>
      <c r="F3683" t="s">
        <v>20</v>
      </c>
      <c r="G3683">
        <v>62500</v>
      </c>
      <c r="H3683">
        <v>50000</v>
      </c>
      <c r="I3683" s="13">
        <v>0.5</v>
      </c>
      <c r="J3683" t="s">
        <v>6207</v>
      </c>
      <c r="K3683">
        <v>3</v>
      </c>
      <c r="L3683">
        <v>1</v>
      </c>
      <c r="M3683" t="s">
        <v>0</v>
      </c>
      <c r="N3683" s="2">
        <v>0.55000000000000004</v>
      </c>
      <c r="O3683" s="2">
        <v>0.45</v>
      </c>
      <c r="P3683">
        <v>14</v>
      </c>
      <c r="Q3683">
        <v>16</v>
      </c>
      <c r="R3683">
        <v>12</v>
      </c>
      <c r="S3683">
        <v>0</v>
      </c>
      <c r="T3683">
        <v>11</v>
      </c>
      <c r="U3683">
        <v>11</v>
      </c>
      <c r="V3683">
        <v>1</v>
      </c>
      <c r="W3683">
        <v>1</v>
      </c>
      <c r="X3683">
        <v>0</v>
      </c>
      <c r="Y3683">
        <v>0</v>
      </c>
      <c r="Z3683">
        <v>0</v>
      </c>
    </row>
    <row r="3684" spans="1:26" x14ac:dyDescent="0.2">
      <c r="A3684" t="s">
        <v>3802</v>
      </c>
      <c r="B3684" t="s">
        <v>74</v>
      </c>
      <c r="C3684">
        <v>2018</v>
      </c>
      <c r="D3684" t="s">
        <v>78</v>
      </c>
      <c r="E3684" t="s">
        <v>85</v>
      </c>
      <c r="F3684" t="s">
        <v>78</v>
      </c>
      <c r="G3684">
        <v>33280</v>
      </c>
      <c r="H3684">
        <v>26624</v>
      </c>
      <c r="I3684" s="13">
        <v>0.66666666666666663</v>
      </c>
      <c r="J3684" t="s">
        <v>6208</v>
      </c>
      <c r="K3684">
        <v>1</v>
      </c>
      <c r="L3684">
        <v>5</v>
      </c>
      <c r="M3684" t="s">
        <v>1</v>
      </c>
      <c r="N3684" s="2">
        <v>0.35</v>
      </c>
      <c r="O3684" s="2">
        <v>0.65</v>
      </c>
      <c r="P3684">
        <v>12</v>
      </c>
      <c r="Q3684">
        <v>13</v>
      </c>
      <c r="R3684">
        <v>3</v>
      </c>
      <c r="S3684">
        <v>3</v>
      </c>
      <c r="T3684">
        <v>10</v>
      </c>
      <c r="U3684">
        <v>11</v>
      </c>
      <c r="V3684">
        <v>1</v>
      </c>
      <c r="W3684">
        <v>2</v>
      </c>
      <c r="X3684">
        <v>0</v>
      </c>
      <c r="Y3684">
        <v>0</v>
      </c>
      <c r="Z3684">
        <v>0</v>
      </c>
    </row>
    <row r="3685" spans="1:26" x14ac:dyDescent="0.2">
      <c r="A3685" t="s">
        <v>3803</v>
      </c>
      <c r="B3685" t="s">
        <v>41</v>
      </c>
      <c r="C3685">
        <v>2018</v>
      </c>
      <c r="D3685" t="s">
        <v>28</v>
      </c>
      <c r="E3685" t="s">
        <v>51</v>
      </c>
      <c r="F3685" t="s">
        <v>28</v>
      </c>
      <c r="G3685">
        <v>21944</v>
      </c>
      <c r="H3685">
        <v>17555.2</v>
      </c>
      <c r="I3685" s="13">
        <v>0.75</v>
      </c>
      <c r="J3685" t="s">
        <v>6207</v>
      </c>
      <c r="K3685">
        <v>2</v>
      </c>
      <c r="L3685">
        <v>1</v>
      </c>
      <c r="M3685" t="s">
        <v>0</v>
      </c>
      <c r="N3685" s="2">
        <v>0.31</v>
      </c>
      <c r="O3685" s="2">
        <v>0.69</v>
      </c>
      <c r="P3685">
        <v>12</v>
      </c>
      <c r="Q3685">
        <v>12</v>
      </c>
      <c r="R3685">
        <v>7</v>
      </c>
      <c r="S3685">
        <v>6</v>
      </c>
      <c r="T3685">
        <v>9</v>
      </c>
      <c r="U3685">
        <v>12</v>
      </c>
      <c r="V3685">
        <v>1</v>
      </c>
      <c r="W3685">
        <v>3</v>
      </c>
      <c r="X3685">
        <v>0</v>
      </c>
      <c r="Y3685">
        <v>0</v>
      </c>
      <c r="Z3685">
        <v>0</v>
      </c>
    </row>
    <row r="3686" spans="1:26" x14ac:dyDescent="0.2">
      <c r="A3686" t="s">
        <v>3804</v>
      </c>
      <c r="B3686" t="s">
        <v>60</v>
      </c>
      <c r="C3686">
        <v>2018</v>
      </c>
      <c r="D3686" t="s">
        <v>64</v>
      </c>
      <c r="E3686" t="s">
        <v>89</v>
      </c>
      <c r="F3686" t="s">
        <v>64</v>
      </c>
      <c r="G3686">
        <v>52264</v>
      </c>
      <c r="H3686">
        <v>41811.200000000004</v>
      </c>
      <c r="I3686" s="13">
        <v>0.33333333333333331</v>
      </c>
      <c r="J3686" t="s">
        <v>6208</v>
      </c>
      <c r="K3686">
        <v>2</v>
      </c>
      <c r="L3686">
        <v>0</v>
      </c>
      <c r="M3686" t="s">
        <v>0</v>
      </c>
      <c r="N3686" s="2">
        <v>0.54</v>
      </c>
      <c r="O3686" s="2">
        <v>0.46</v>
      </c>
      <c r="P3686">
        <v>7</v>
      </c>
      <c r="Q3686">
        <v>11</v>
      </c>
      <c r="R3686">
        <v>12</v>
      </c>
      <c r="S3686">
        <v>0</v>
      </c>
      <c r="T3686">
        <v>11</v>
      </c>
      <c r="U3686">
        <v>7</v>
      </c>
      <c r="V3686">
        <v>2</v>
      </c>
      <c r="W3686">
        <v>0</v>
      </c>
      <c r="X3686">
        <v>0</v>
      </c>
      <c r="Y3686">
        <v>1</v>
      </c>
      <c r="Z3686">
        <v>0</v>
      </c>
    </row>
    <row r="3687" spans="1:26" x14ac:dyDescent="0.2">
      <c r="A3687" t="s">
        <v>3805</v>
      </c>
      <c r="B3687" t="s">
        <v>74</v>
      </c>
      <c r="C3687">
        <v>2018</v>
      </c>
      <c r="D3687" t="s">
        <v>86</v>
      </c>
      <c r="E3687" t="s">
        <v>22</v>
      </c>
      <c r="F3687" t="s">
        <v>86</v>
      </c>
      <c r="G3687">
        <v>11364</v>
      </c>
      <c r="H3687">
        <v>9091.2000000000007</v>
      </c>
      <c r="I3687" s="13">
        <v>0.66666666666666663</v>
      </c>
      <c r="J3687" t="s">
        <v>6208</v>
      </c>
      <c r="K3687">
        <v>1</v>
      </c>
      <c r="L3687">
        <v>1</v>
      </c>
      <c r="M3687" t="s">
        <v>58</v>
      </c>
      <c r="N3687" s="2">
        <v>0.45</v>
      </c>
      <c r="O3687" s="2">
        <v>0.55000000000000004</v>
      </c>
      <c r="P3687">
        <v>16</v>
      </c>
      <c r="Q3687">
        <v>10</v>
      </c>
      <c r="R3687">
        <v>9</v>
      </c>
      <c r="S3687">
        <v>8</v>
      </c>
      <c r="T3687">
        <v>10</v>
      </c>
      <c r="U3687">
        <v>15</v>
      </c>
      <c r="V3687">
        <v>4</v>
      </c>
      <c r="W3687">
        <v>5</v>
      </c>
      <c r="X3687">
        <v>0</v>
      </c>
      <c r="Y3687">
        <v>0</v>
      </c>
      <c r="Z3687">
        <v>3</v>
      </c>
    </row>
    <row r="3688" spans="1:26" x14ac:dyDescent="0.2">
      <c r="A3688" t="s">
        <v>3806</v>
      </c>
      <c r="B3688" t="s">
        <v>61</v>
      </c>
      <c r="C3688">
        <v>2018</v>
      </c>
      <c r="D3688" t="s">
        <v>80</v>
      </c>
      <c r="E3688" t="s">
        <v>79</v>
      </c>
      <c r="F3688" t="s">
        <v>80</v>
      </c>
      <c r="G3688">
        <v>32261</v>
      </c>
      <c r="H3688">
        <v>25808.800000000003</v>
      </c>
      <c r="I3688" s="13">
        <v>0.66666666666666663</v>
      </c>
      <c r="J3688" t="s">
        <v>6207</v>
      </c>
      <c r="K3688">
        <v>1</v>
      </c>
      <c r="L3688">
        <v>4</v>
      </c>
      <c r="M3688" t="s">
        <v>1</v>
      </c>
      <c r="N3688" s="2">
        <v>0.65</v>
      </c>
      <c r="O3688" s="2">
        <v>0.35</v>
      </c>
      <c r="P3688">
        <v>13</v>
      </c>
      <c r="Q3688">
        <v>5</v>
      </c>
      <c r="R3688">
        <v>8</v>
      </c>
      <c r="S3688">
        <v>3</v>
      </c>
      <c r="T3688">
        <v>7</v>
      </c>
      <c r="U3688">
        <v>14</v>
      </c>
      <c r="V3688">
        <v>2</v>
      </c>
      <c r="W3688">
        <v>1</v>
      </c>
      <c r="X3688">
        <v>0</v>
      </c>
      <c r="Y3688">
        <v>0</v>
      </c>
      <c r="Z3688">
        <v>1</v>
      </c>
    </row>
    <row r="3689" spans="1:26" x14ac:dyDescent="0.2">
      <c r="A3689" t="s">
        <v>3807</v>
      </c>
      <c r="B3689" t="s">
        <v>66</v>
      </c>
      <c r="C3689">
        <v>2018</v>
      </c>
      <c r="D3689" t="s">
        <v>48</v>
      </c>
      <c r="E3689" t="s">
        <v>26</v>
      </c>
      <c r="F3689" t="s">
        <v>49</v>
      </c>
      <c r="G3689">
        <v>74197</v>
      </c>
      <c r="H3689">
        <v>59357.600000000006</v>
      </c>
      <c r="I3689" s="13">
        <v>0.5</v>
      </c>
      <c r="J3689" t="s">
        <v>6207</v>
      </c>
      <c r="K3689">
        <v>0</v>
      </c>
      <c r="L3689">
        <v>0</v>
      </c>
      <c r="M3689" t="s">
        <v>58</v>
      </c>
      <c r="N3689" s="2">
        <v>0.35</v>
      </c>
      <c r="O3689" s="2">
        <v>0.65</v>
      </c>
      <c r="P3689">
        <v>17</v>
      </c>
      <c r="Q3689">
        <v>18</v>
      </c>
      <c r="R3689">
        <v>3</v>
      </c>
      <c r="S3689">
        <v>7</v>
      </c>
      <c r="T3689">
        <v>15</v>
      </c>
      <c r="U3689">
        <v>17</v>
      </c>
      <c r="V3689">
        <v>1</v>
      </c>
      <c r="W3689">
        <v>3</v>
      </c>
      <c r="X3689">
        <v>0</v>
      </c>
      <c r="Y3689">
        <v>0</v>
      </c>
      <c r="Z3689">
        <v>0</v>
      </c>
    </row>
    <row r="3690" spans="1:26" x14ac:dyDescent="0.2">
      <c r="A3690" t="s">
        <v>3808</v>
      </c>
      <c r="B3690" t="s">
        <v>83</v>
      </c>
      <c r="C3690">
        <v>2018</v>
      </c>
      <c r="D3690" t="s">
        <v>46</v>
      </c>
      <c r="E3690" t="s">
        <v>73</v>
      </c>
      <c r="F3690" t="s">
        <v>20</v>
      </c>
      <c r="G3690">
        <v>60704</v>
      </c>
      <c r="H3690">
        <v>48563.200000000004</v>
      </c>
      <c r="I3690" s="13">
        <v>0</v>
      </c>
      <c r="J3690" t="s">
        <v>6208</v>
      </c>
      <c r="K3690">
        <v>2</v>
      </c>
      <c r="L3690">
        <v>0</v>
      </c>
      <c r="M3690" t="s">
        <v>0</v>
      </c>
      <c r="N3690" s="2">
        <v>0.62</v>
      </c>
      <c r="O3690" s="2">
        <v>0.38</v>
      </c>
      <c r="P3690">
        <v>15</v>
      </c>
      <c r="Q3690">
        <v>10</v>
      </c>
      <c r="R3690">
        <v>6</v>
      </c>
      <c r="S3690">
        <v>4</v>
      </c>
      <c r="T3690">
        <v>7</v>
      </c>
      <c r="U3690">
        <v>14</v>
      </c>
      <c r="V3690">
        <v>0</v>
      </c>
      <c r="W3690">
        <v>0</v>
      </c>
      <c r="X3690">
        <v>0</v>
      </c>
      <c r="Y3690">
        <v>0</v>
      </c>
      <c r="Z3690">
        <v>0</v>
      </c>
    </row>
    <row r="3691" spans="1:26" x14ac:dyDescent="0.2">
      <c r="A3691" t="s">
        <v>3809</v>
      </c>
      <c r="B3691" t="s">
        <v>54</v>
      </c>
      <c r="C3691">
        <v>2018</v>
      </c>
      <c r="D3691" t="s">
        <v>80</v>
      </c>
      <c r="E3691" t="s">
        <v>90</v>
      </c>
      <c r="F3691" t="s">
        <v>80</v>
      </c>
      <c r="G3691">
        <v>32261</v>
      </c>
      <c r="H3691">
        <v>25808.800000000003</v>
      </c>
      <c r="I3691" s="13">
        <v>0.5</v>
      </c>
      <c r="J3691" t="s">
        <v>6206</v>
      </c>
      <c r="K3691">
        <v>2</v>
      </c>
      <c r="L3691">
        <v>1</v>
      </c>
      <c r="M3691" t="s">
        <v>0</v>
      </c>
      <c r="N3691" s="2">
        <v>0.49</v>
      </c>
      <c r="O3691" s="2">
        <v>0.51</v>
      </c>
      <c r="P3691">
        <v>11</v>
      </c>
      <c r="Q3691">
        <v>11</v>
      </c>
      <c r="R3691">
        <v>4</v>
      </c>
      <c r="S3691">
        <v>8</v>
      </c>
      <c r="T3691">
        <v>6</v>
      </c>
      <c r="U3691">
        <v>4</v>
      </c>
      <c r="V3691">
        <v>1</v>
      </c>
      <c r="W3691">
        <v>1</v>
      </c>
      <c r="X3691">
        <v>0</v>
      </c>
      <c r="Y3691">
        <v>0</v>
      </c>
      <c r="Z3691">
        <v>0</v>
      </c>
    </row>
    <row r="3692" spans="1:26" x14ac:dyDescent="0.2">
      <c r="A3692" t="s">
        <v>3810</v>
      </c>
      <c r="B3692" t="s">
        <v>93</v>
      </c>
      <c r="C3692">
        <v>2018</v>
      </c>
      <c r="D3692" t="s">
        <v>89</v>
      </c>
      <c r="E3692" t="s">
        <v>22</v>
      </c>
      <c r="F3692" t="s">
        <v>89</v>
      </c>
      <c r="G3692">
        <v>24500</v>
      </c>
      <c r="H3692">
        <v>19600</v>
      </c>
      <c r="I3692" s="13">
        <v>0.5</v>
      </c>
      <c r="J3692" t="s">
        <v>6206</v>
      </c>
      <c r="K3692">
        <v>1</v>
      </c>
      <c r="L3692">
        <v>0</v>
      </c>
      <c r="M3692" t="s">
        <v>0</v>
      </c>
      <c r="N3692" s="2">
        <v>0.5</v>
      </c>
      <c r="O3692" s="2">
        <v>0.5</v>
      </c>
      <c r="P3692">
        <v>13</v>
      </c>
      <c r="Q3692">
        <v>9</v>
      </c>
      <c r="R3692">
        <v>3</v>
      </c>
      <c r="S3692">
        <v>5</v>
      </c>
      <c r="T3692">
        <v>10</v>
      </c>
      <c r="U3692">
        <v>10</v>
      </c>
      <c r="V3692">
        <v>2</v>
      </c>
      <c r="W3692">
        <v>2</v>
      </c>
      <c r="X3692">
        <v>0</v>
      </c>
      <c r="Y3692">
        <v>0</v>
      </c>
      <c r="Z3692">
        <v>0</v>
      </c>
    </row>
    <row r="3693" spans="1:26" x14ac:dyDescent="0.2">
      <c r="A3693" t="s">
        <v>3811</v>
      </c>
      <c r="B3693" t="s">
        <v>60</v>
      </c>
      <c r="C3693">
        <v>2018</v>
      </c>
      <c r="D3693" t="s">
        <v>78</v>
      </c>
      <c r="E3693" t="s">
        <v>45</v>
      </c>
      <c r="F3693" t="s">
        <v>78</v>
      </c>
      <c r="G3693">
        <v>33280</v>
      </c>
      <c r="H3693">
        <v>26624</v>
      </c>
      <c r="I3693" s="13">
        <v>0.75</v>
      </c>
      <c r="J3693" t="s">
        <v>6208</v>
      </c>
      <c r="K3693">
        <v>0</v>
      </c>
      <c r="L3693">
        <v>3</v>
      </c>
      <c r="M3693" t="s">
        <v>1</v>
      </c>
      <c r="N3693" s="2">
        <v>0.33</v>
      </c>
      <c r="O3693" s="2">
        <v>0.67</v>
      </c>
      <c r="P3693">
        <v>13</v>
      </c>
      <c r="Q3693">
        <v>15</v>
      </c>
      <c r="R3693">
        <v>3</v>
      </c>
      <c r="S3693">
        <v>4</v>
      </c>
      <c r="T3693">
        <v>12</v>
      </c>
      <c r="U3693">
        <v>12</v>
      </c>
      <c r="V3693">
        <v>3</v>
      </c>
      <c r="W3693">
        <v>1</v>
      </c>
      <c r="X3693">
        <v>0</v>
      </c>
      <c r="Y3693">
        <v>0</v>
      </c>
      <c r="Z3693">
        <v>0</v>
      </c>
    </row>
    <row r="3694" spans="1:26" x14ac:dyDescent="0.2">
      <c r="A3694" t="s">
        <v>3812</v>
      </c>
      <c r="B3694" t="s">
        <v>76</v>
      </c>
      <c r="C3694">
        <v>2018</v>
      </c>
      <c r="D3694" t="s">
        <v>64</v>
      </c>
      <c r="E3694" t="s">
        <v>28</v>
      </c>
      <c r="F3694" t="s">
        <v>64</v>
      </c>
      <c r="G3694">
        <v>52264</v>
      </c>
      <c r="H3694">
        <v>41811.200000000004</v>
      </c>
      <c r="I3694" s="13">
        <v>0.25</v>
      </c>
      <c r="J3694" t="s">
        <v>6207</v>
      </c>
      <c r="K3694">
        <v>2</v>
      </c>
      <c r="L3694">
        <v>0</v>
      </c>
      <c r="M3694" t="s">
        <v>0</v>
      </c>
      <c r="N3694" s="2">
        <v>0.54</v>
      </c>
      <c r="O3694" s="2">
        <v>0.46</v>
      </c>
      <c r="P3694">
        <v>10</v>
      </c>
      <c r="Q3694">
        <v>8</v>
      </c>
      <c r="R3694">
        <v>4</v>
      </c>
      <c r="S3694">
        <v>7</v>
      </c>
      <c r="T3694">
        <v>8</v>
      </c>
      <c r="U3694">
        <v>8</v>
      </c>
      <c r="V3694">
        <v>1</v>
      </c>
      <c r="W3694">
        <v>3</v>
      </c>
      <c r="X3694">
        <v>0</v>
      </c>
      <c r="Y3694">
        <v>0</v>
      </c>
      <c r="Z3694">
        <v>0</v>
      </c>
    </row>
    <row r="3695" spans="1:26" x14ac:dyDescent="0.2">
      <c r="A3695" t="s">
        <v>3813</v>
      </c>
      <c r="B3695" t="s">
        <v>61</v>
      </c>
      <c r="C3695">
        <v>2018</v>
      </c>
      <c r="D3695" t="s">
        <v>73</v>
      </c>
      <c r="E3695" t="s">
        <v>31</v>
      </c>
      <c r="F3695" t="s">
        <v>73</v>
      </c>
      <c r="G3695">
        <v>32384</v>
      </c>
      <c r="H3695">
        <v>25907.200000000001</v>
      </c>
      <c r="I3695" s="13">
        <v>0</v>
      </c>
      <c r="J3695" t="s">
        <v>6207</v>
      </c>
      <c r="K3695">
        <v>2</v>
      </c>
      <c r="L3695">
        <v>0</v>
      </c>
      <c r="M3695" t="s">
        <v>0</v>
      </c>
      <c r="N3695" s="2">
        <v>0.41</v>
      </c>
      <c r="O3695" s="2">
        <v>0.59</v>
      </c>
      <c r="P3695">
        <v>15</v>
      </c>
      <c r="Q3695">
        <v>17</v>
      </c>
      <c r="R3695">
        <v>7</v>
      </c>
      <c r="S3695">
        <v>4</v>
      </c>
      <c r="T3695">
        <v>15</v>
      </c>
      <c r="U3695">
        <v>13</v>
      </c>
      <c r="V3695">
        <v>0</v>
      </c>
      <c r="W3695">
        <v>1</v>
      </c>
      <c r="X3695">
        <v>0</v>
      </c>
      <c r="Y3695">
        <v>0</v>
      </c>
      <c r="Z3695">
        <v>0</v>
      </c>
    </row>
    <row r="3696" spans="1:26" x14ac:dyDescent="0.2">
      <c r="A3696" t="s">
        <v>3814</v>
      </c>
      <c r="B3696" t="s">
        <v>88</v>
      </c>
      <c r="C3696">
        <v>2018</v>
      </c>
      <c r="D3696" t="s">
        <v>46</v>
      </c>
      <c r="E3696" t="s">
        <v>86</v>
      </c>
      <c r="F3696" t="s">
        <v>20</v>
      </c>
      <c r="G3696">
        <v>60704</v>
      </c>
      <c r="H3696">
        <v>48563.200000000004</v>
      </c>
      <c r="I3696" s="13">
        <v>0.75</v>
      </c>
      <c r="J3696" t="s">
        <v>6207</v>
      </c>
      <c r="K3696">
        <v>5</v>
      </c>
      <c r="L3696">
        <v>1</v>
      </c>
      <c r="M3696" t="s">
        <v>0</v>
      </c>
      <c r="N3696" s="2">
        <v>0.65</v>
      </c>
      <c r="O3696" s="2">
        <v>0.35</v>
      </c>
      <c r="P3696">
        <v>12</v>
      </c>
      <c r="Q3696">
        <v>13</v>
      </c>
      <c r="R3696">
        <v>9</v>
      </c>
      <c r="S3696">
        <v>4</v>
      </c>
      <c r="T3696">
        <v>11</v>
      </c>
      <c r="U3696">
        <v>9</v>
      </c>
      <c r="V3696">
        <v>2</v>
      </c>
      <c r="W3696">
        <v>2</v>
      </c>
      <c r="X3696">
        <v>0</v>
      </c>
      <c r="Y3696">
        <v>0</v>
      </c>
      <c r="Z3696">
        <v>0</v>
      </c>
    </row>
    <row r="3697" spans="1:26" x14ac:dyDescent="0.2">
      <c r="A3697" t="s">
        <v>3815</v>
      </c>
      <c r="B3697" t="s">
        <v>59</v>
      </c>
      <c r="C3697">
        <v>2018</v>
      </c>
      <c r="D3697" t="s">
        <v>40</v>
      </c>
      <c r="E3697" t="s">
        <v>23</v>
      </c>
      <c r="F3697" t="s">
        <v>49</v>
      </c>
      <c r="G3697">
        <v>53400</v>
      </c>
      <c r="H3697">
        <v>42720</v>
      </c>
      <c r="I3697" s="13">
        <v>0.5</v>
      </c>
      <c r="J3697" t="s">
        <v>6206</v>
      </c>
      <c r="K3697">
        <v>1</v>
      </c>
      <c r="L3697">
        <v>0</v>
      </c>
      <c r="M3697" t="s">
        <v>0</v>
      </c>
      <c r="N3697" s="2">
        <v>0.75</v>
      </c>
      <c r="O3697" s="2">
        <v>0.25</v>
      </c>
      <c r="P3697">
        <v>7</v>
      </c>
      <c r="Q3697">
        <v>9</v>
      </c>
      <c r="R3697">
        <v>12</v>
      </c>
      <c r="S3697">
        <v>2</v>
      </c>
      <c r="T3697">
        <v>2</v>
      </c>
      <c r="U3697">
        <v>6</v>
      </c>
      <c r="V3697">
        <v>0</v>
      </c>
      <c r="W3697">
        <v>2</v>
      </c>
      <c r="X3697">
        <v>0</v>
      </c>
      <c r="Y3697">
        <v>0</v>
      </c>
      <c r="Z3697">
        <v>1</v>
      </c>
    </row>
    <row r="3698" spans="1:26" x14ac:dyDescent="0.2">
      <c r="A3698" t="s">
        <v>3816</v>
      </c>
      <c r="B3698" t="s">
        <v>83</v>
      </c>
      <c r="C3698">
        <v>2018</v>
      </c>
      <c r="D3698" t="s">
        <v>26</v>
      </c>
      <c r="E3698" t="s">
        <v>85</v>
      </c>
      <c r="F3698" t="s">
        <v>26</v>
      </c>
      <c r="G3698">
        <v>61276</v>
      </c>
      <c r="H3698">
        <v>49020.800000000003</v>
      </c>
      <c r="I3698" s="13">
        <v>0.5</v>
      </c>
      <c r="J3698" t="s">
        <v>6208</v>
      </c>
      <c r="K3698">
        <v>5</v>
      </c>
      <c r="L3698">
        <v>0</v>
      </c>
      <c r="M3698" t="s">
        <v>0</v>
      </c>
      <c r="N3698" s="2">
        <v>0.62</v>
      </c>
      <c r="O3698" s="2">
        <v>0.38</v>
      </c>
      <c r="P3698">
        <v>8</v>
      </c>
      <c r="Q3698">
        <v>6</v>
      </c>
      <c r="R3698">
        <v>6</v>
      </c>
      <c r="S3698">
        <v>4</v>
      </c>
      <c r="T3698">
        <v>5</v>
      </c>
      <c r="U3698">
        <v>7</v>
      </c>
      <c r="V3698">
        <v>0</v>
      </c>
      <c r="W3698">
        <v>2</v>
      </c>
      <c r="X3698">
        <v>0</v>
      </c>
      <c r="Y3698">
        <v>0</v>
      </c>
      <c r="Z3698">
        <v>0</v>
      </c>
    </row>
    <row r="3699" spans="1:26" x14ac:dyDescent="0.2">
      <c r="A3699" t="s">
        <v>3817</v>
      </c>
      <c r="B3699" t="s">
        <v>32</v>
      </c>
      <c r="C3699">
        <v>2018</v>
      </c>
      <c r="D3699" t="s">
        <v>79</v>
      </c>
      <c r="E3699" t="s">
        <v>48</v>
      </c>
      <c r="F3699" t="s">
        <v>20</v>
      </c>
      <c r="G3699">
        <v>25486</v>
      </c>
      <c r="H3699">
        <v>20388.800000000003</v>
      </c>
      <c r="I3699" s="13">
        <v>0.6</v>
      </c>
      <c r="J3699" t="s">
        <v>6207</v>
      </c>
      <c r="K3699">
        <v>1</v>
      </c>
      <c r="L3699">
        <v>3</v>
      </c>
      <c r="M3699" t="s">
        <v>1</v>
      </c>
      <c r="N3699" s="2">
        <v>0.45</v>
      </c>
      <c r="O3699" s="2">
        <v>0.55000000000000004</v>
      </c>
      <c r="P3699">
        <v>6</v>
      </c>
      <c r="Q3699">
        <v>10</v>
      </c>
      <c r="R3699">
        <v>5</v>
      </c>
      <c r="S3699">
        <v>6</v>
      </c>
      <c r="T3699">
        <v>8</v>
      </c>
      <c r="U3699">
        <v>9</v>
      </c>
      <c r="V3699">
        <v>2</v>
      </c>
      <c r="W3699">
        <v>3</v>
      </c>
      <c r="X3699">
        <v>0</v>
      </c>
      <c r="Y3699">
        <v>0</v>
      </c>
      <c r="Z3699">
        <v>0</v>
      </c>
    </row>
    <row r="3700" spans="1:26" x14ac:dyDescent="0.2">
      <c r="A3700" t="s">
        <v>3818</v>
      </c>
      <c r="B3700" t="s">
        <v>37</v>
      </c>
      <c r="C3700">
        <v>2018</v>
      </c>
      <c r="D3700" t="s">
        <v>18</v>
      </c>
      <c r="E3700" t="s">
        <v>51</v>
      </c>
      <c r="F3700" t="s">
        <v>20</v>
      </c>
      <c r="G3700">
        <v>40341</v>
      </c>
      <c r="H3700">
        <v>32272.800000000003</v>
      </c>
      <c r="I3700" s="13">
        <v>0.5</v>
      </c>
      <c r="J3700" t="s">
        <v>6206</v>
      </c>
      <c r="K3700">
        <v>2</v>
      </c>
      <c r="L3700">
        <v>0</v>
      </c>
      <c r="M3700" t="s">
        <v>0</v>
      </c>
      <c r="N3700" s="2">
        <v>0.47</v>
      </c>
      <c r="O3700" s="2">
        <v>0.53</v>
      </c>
      <c r="P3700">
        <v>15</v>
      </c>
      <c r="Q3700">
        <v>8</v>
      </c>
      <c r="R3700">
        <v>2</v>
      </c>
      <c r="S3700">
        <v>2</v>
      </c>
      <c r="T3700">
        <v>7</v>
      </c>
      <c r="U3700">
        <v>14</v>
      </c>
      <c r="V3700">
        <v>1</v>
      </c>
      <c r="W3700">
        <v>1</v>
      </c>
      <c r="X3700">
        <v>0</v>
      </c>
      <c r="Y3700">
        <v>0</v>
      </c>
      <c r="Z3700">
        <v>0</v>
      </c>
    </row>
    <row r="3701" spans="1:26" x14ac:dyDescent="0.2">
      <c r="A3701" t="s">
        <v>3819</v>
      </c>
      <c r="B3701" t="s">
        <v>61</v>
      </c>
      <c r="C3701">
        <v>2018</v>
      </c>
      <c r="D3701" t="s">
        <v>51</v>
      </c>
      <c r="E3701" t="s">
        <v>46</v>
      </c>
      <c r="F3701" t="s">
        <v>20</v>
      </c>
      <c r="G3701">
        <v>36284</v>
      </c>
      <c r="H3701">
        <v>29027.200000000001</v>
      </c>
      <c r="I3701" s="13">
        <v>0.83333333333333337</v>
      </c>
      <c r="J3701" t="s">
        <v>6207</v>
      </c>
      <c r="K3701">
        <v>1</v>
      </c>
      <c r="L3701">
        <v>1</v>
      </c>
      <c r="M3701" t="s">
        <v>58</v>
      </c>
      <c r="N3701" s="2">
        <v>0.6</v>
      </c>
      <c r="O3701" s="2">
        <v>0.4</v>
      </c>
      <c r="P3701">
        <v>15</v>
      </c>
      <c r="Q3701">
        <v>19</v>
      </c>
      <c r="R3701">
        <v>3</v>
      </c>
      <c r="S3701">
        <v>4</v>
      </c>
      <c r="T3701">
        <v>15</v>
      </c>
      <c r="U3701">
        <v>14</v>
      </c>
      <c r="V3701">
        <v>3</v>
      </c>
      <c r="W3701">
        <v>2</v>
      </c>
      <c r="X3701">
        <v>0</v>
      </c>
      <c r="Y3701">
        <v>1</v>
      </c>
      <c r="Z3701">
        <v>2</v>
      </c>
    </row>
    <row r="3702" spans="1:26" x14ac:dyDescent="0.2">
      <c r="A3702" t="s">
        <v>3820</v>
      </c>
      <c r="B3702" t="s">
        <v>37</v>
      </c>
      <c r="C3702">
        <v>2018</v>
      </c>
      <c r="D3702" t="s">
        <v>22</v>
      </c>
      <c r="E3702" t="s">
        <v>78</v>
      </c>
      <c r="F3702" t="s">
        <v>24</v>
      </c>
      <c r="G3702">
        <v>31750</v>
      </c>
      <c r="H3702">
        <v>25400</v>
      </c>
      <c r="I3702" s="13">
        <v>0.33333333333333331</v>
      </c>
      <c r="J3702" t="s">
        <v>6206</v>
      </c>
      <c r="K3702">
        <v>2</v>
      </c>
      <c r="L3702">
        <v>0</v>
      </c>
      <c r="M3702" t="s">
        <v>0</v>
      </c>
      <c r="N3702" s="2">
        <v>0.56000000000000005</v>
      </c>
      <c r="O3702" s="2">
        <v>0.44</v>
      </c>
      <c r="P3702">
        <v>6</v>
      </c>
      <c r="Q3702">
        <v>12</v>
      </c>
      <c r="R3702">
        <v>7</v>
      </c>
      <c r="S3702">
        <v>8</v>
      </c>
      <c r="T3702">
        <v>11</v>
      </c>
      <c r="U3702">
        <v>6</v>
      </c>
      <c r="V3702">
        <v>1</v>
      </c>
      <c r="W3702">
        <v>2</v>
      </c>
      <c r="X3702">
        <v>0</v>
      </c>
      <c r="Y3702">
        <v>0</v>
      </c>
      <c r="Z3702">
        <v>0</v>
      </c>
    </row>
    <row r="3703" spans="1:26" x14ac:dyDescent="0.2">
      <c r="A3703" t="s">
        <v>3821</v>
      </c>
      <c r="B3703" t="s">
        <v>59</v>
      </c>
      <c r="C3703">
        <v>2018</v>
      </c>
      <c r="D3703" t="s">
        <v>48</v>
      </c>
      <c r="E3703" t="s">
        <v>73</v>
      </c>
      <c r="F3703" t="s">
        <v>49</v>
      </c>
      <c r="G3703">
        <v>74197</v>
      </c>
      <c r="H3703">
        <v>59357.600000000006</v>
      </c>
      <c r="I3703" s="13">
        <v>0.66666666666666663</v>
      </c>
      <c r="J3703" t="s">
        <v>6206</v>
      </c>
      <c r="K3703">
        <v>3</v>
      </c>
      <c r="L3703">
        <v>2</v>
      </c>
      <c r="M3703" t="s">
        <v>0</v>
      </c>
      <c r="N3703" s="2">
        <v>0.64</v>
      </c>
      <c r="O3703" s="2">
        <v>0.36</v>
      </c>
      <c r="P3703">
        <v>9</v>
      </c>
      <c r="Q3703">
        <v>9</v>
      </c>
      <c r="R3703">
        <v>9</v>
      </c>
      <c r="S3703">
        <v>7</v>
      </c>
      <c r="T3703">
        <v>7</v>
      </c>
      <c r="U3703">
        <v>10</v>
      </c>
      <c r="V3703">
        <v>2</v>
      </c>
      <c r="W3703">
        <v>1</v>
      </c>
      <c r="X3703">
        <v>0</v>
      </c>
      <c r="Y3703">
        <v>0</v>
      </c>
      <c r="Z3703">
        <v>1</v>
      </c>
    </row>
    <row r="3704" spans="1:26" x14ac:dyDescent="0.2">
      <c r="A3704" t="s">
        <v>3822</v>
      </c>
      <c r="B3704" t="s">
        <v>54</v>
      </c>
      <c r="C3704">
        <v>2018</v>
      </c>
      <c r="D3704" t="s">
        <v>28</v>
      </c>
      <c r="E3704" t="s">
        <v>79</v>
      </c>
      <c r="F3704" t="s">
        <v>28</v>
      </c>
      <c r="G3704">
        <v>21944</v>
      </c>
      <c r="H3704">
        <v>17555.2</v>
      </c>
      <c r="I3704" s="13">
        <v>0.33333333333333331</v>
      </c>
      <c r="J3704" t="s">
        <v>6206</v>
      </c>
      <c r="K3704">
        <v>1</v>
      </c>
      <c r="L3704">
        <v>3</v>
      </c>
      <c r="M3704" t="s">
        <v>1</v>
      </c>
      <c r="N3704" s="2">
        <v>0.56999999999999995</v>
      </c>
      <c r="O3704" s="2">
        <v>0.43</v>
      </c>
      <c r="P3704">
        <v>12</v>
      </c>
      <c r="Q3704">
        <v>12</v>
      </c>
      <c r="R3704">
        <v>8</v>
      </c>
      <c r="S3704">
        <v>5</v>
      </c>
      <c r="T3704">
        <v>9</v>
      </c>
      <c r="U3704">
        <v>9</v>
      </c>
      <c r="V3704">
        <v>1</v>
      </c>
      <c r="W3704">
        <v>2</v>
      </c>
      <c r="X3704">
        <v>0</v>
      </c>
      <c r="Y3704">
        <v>0</v>
      </c>
      <c r="Z3704">
        <v>0</v>
      </c>
    </row>
    <row r="3705" spans="1:26" x14ac:dyDescent="0.2">
      <c r="A3705" t="s">
        <v>3823</v>
      </c>
      <c r="B3705" t="s">
        <v>41</v>
      </c>
      <c r="C3705">
        <v>2018</v>
      </c>
      <c r="D3705" t="s">
        <v>90</v>
      </c>
      <c r="E3705" t="s">
        <v>89</v>
      </c>
      <c r="F3705" t="s">
        <v>91</v>
      </c>
      <c r="G3705">
        <v>31876</v>
      </c>
      <c r="H3705">
        <v>25500.800000000003</v>
      </c>
      <c r="I3705" s="13">
        <v>0.75</v>
      </c>
      <c r="J3705" t="s">
        <v>6207</v>
      </c>
      <c r="K3705">
        <v>1</v>
      </c>
      <c r="L3705">
        <v>0</v>
      </c>
      <c r="M3705" t="s">
        <v>0</v>
      </c>
      <c r="N3705" s="2">
        <v>0.53</v>
      </c>
      <c r="O3705" s="2">
        <v>0.47</v>
      </c>
      <c r="P3705">
        <v>7</v>
      </c>
      <c r="Q3705">
        <v>14</v>
      </c>
      <c r="R3705">
        <v>6</v>
      </c>
      <c r="S3705">
        <v>3</v>
      </c>
      <c r="T3705">
        <v>11</v>
      </c>
      <c r="U3705">
        <v>6</v>
      </c>
      <c r="V3705">
        <v>2</v>
      </c>
      <c r="W3705">
        <v>2</v>
      </c>
      <c r="X3705">
        <v>0</v>
      </c>
      <c r="Y3705">
        <v>0</v>
      </c>
      <c r="Z3705">
        <v>0</v>
      </c>
    </row>
    <row r="3706" spans="1:26" x14ac:dyDescent="0.2">
      <c r="A3706" t="s">
        <v>3824</v>
      </c>
      <c r="B3706" t="s">
        <v>60</v>
      </c>
      <c r="C3706">
        <v>2018</v>
      </c>
      <c r="D3706" t="s">
        <v>86</v>
      </c>
      <c r="E3706" t="s">
        <v>40</v>
      </c>
      <c r="F3706" t="s">
        <v>86</v>
      </c>
      <c r="G3706">
        <v>11364</v>
      </c>
      <c r="H3706">
        <v>9091.2000000000007</v>
      </c>
      <c r="I3706" s="13">
        <v>0.66666666666666663</v>
      </c>
      <c r="J3706" t="s">
        <v>6208</v>
      </c>
      <c r="K3706">
        <v>0</v>
      </c>
      <c r="L3706">
        <v>1</v>
      </c>
      <c r="M3706" t="s">
        <v>1</v>
      </c>
      <c r="N3706" s="2">
        <v>0.18</v>
      </c>
      <c r="O3706" s="2">
        <v>0.82</v>
      </c>
      <c r="P3706">
        <v>9</v>
      </c>
      <c r="Q3706">
        <v>8</v>
      </c>
      <c r="R3706">
        <v>0</v>
      </c>
      <c r="S3706">
        <v>14</v>
      </c>
      <c r="T3706">
        <v>7</v>
      </c>
      <c r="U3706">
        <v>7</v>
      </c>
      <c r="V3706">
        <v>1</v>
      </c>
      <c r="W3706">
        <v>2</v>
      </c>
      <c r="X3706">
        <v>0</v>
      </c>
      <c r="Y3706">
        <v>0</v>
      </c>
      <c r="Z3706">
        <v>0</v>
      </c>
    </row>
    <row r="3707" spans="1:26" x14ac:dyDescent="0.2">
      <c r="A3707" t="s">
        <v>3825</v>
      </c>
      <c r="B3707" t="s">
        <v>88</v>
      </c>
      <c r="C3707">
        <v>2018</v>
      </c>
      <c r="D3707" t="s">
        <v>23</v>
      </c>
      <c r="E3707" t="s">
        <v>64</v>
      </c>
      <c r="F3707" t="s">
        <v>20</v>
      </c>
      <c r="G3707">
        <v>62500</v>
      </c>
      <c r="H3707">
        <v>50000</v>
      </c>
      <c r="I3707" s="13">
        <v>0.7142857142857143</v>
      </c>
      <c r="J3707" t="s">
        <v>6207</v>
      </c>
      <c r="K3707">
        <v>2</v>
      </c>
      <c r="L3707">
        <v>0</v>
      </c>
      <c r="M3707" t="s">
        <v>0</v>
      </c>
      <c r="N3707" s="2">
        <v>0.56000000000000005</v>
      </c>
      <c r="O3707" s="2">
        <v>0.44</v>
      </c>
      <c r="P3707">
        <v>16</v>
      </c>
      <c r="Q3707">
        <v>9</v>
      </c>
      <c r="R3707">
        <v>1</v>
      </c>
      <c r="S3707">
        <v>6</v>
      </c>
      <c r="T3707">
        <v>8</v>
      </c>
      <c r="U3707">
        <v>14</v>
      </c>
      <c r="V3707">
        <v>3</v>
      </c>
      <c r="W3707">
        <v>4</v>
      </c>
      <c r="X3707">
        <v>0</v>
      </c>
      <c r="Y3707">
        <v>0</v>
      </c>
      <c r="Z3707">
        <v>1</v>
      </c>
    </row>
    <row r="3708" spans="1:26" x14ac:dyDescent="0.2">
      <c r="A3708" t="s">
        <v>3826</v>
      </c>
      <c r="B3708" t="s">
        <v>68</v>
      </c>
      <c r="C3708">
        <v>2018</v>
      </c>
      <c r="D3708" t="s">
        <v>85</v>
      </c>
      <c r="E3708" t="s">
        <v>80</v>
      </c>
      <c r="F3708" t="s">
        <v>85</v>
      </c>
      <c r="G3708">
        <v>22220</v>
      </c>
      <c r="H3708">
        <v>17776</v>
      </c>
      <c r="I3708" s="13">
        <v>0.83333333333333337</v>
      </c>
      <c r="J3708" t="s">
        <v>6207</v>
      </c>
      <c r="K3708">
        <v>2</v>
      </c>
      <c r="L3708">
        <v>1</v>
      </c>
      <c r="M3708" t="s">
        <v>0</v>
      </c>
      <c r="N3708" s="2">
        <v>0.39</v>
      </c>
      <c r="O3708" s="2">
        <v>0.61</v>
      </c>
      <c r="P3708">
        <v>13</v>
      </c>
      <c r="Q3708">
        <v>18</v>
      </c>
      <c r="R3708">
        <v>1</v>
      </c>
      <c r="S3708">
        <v>5</v>
      </c>
      <c r="T3708">
        <v>15</v>
      </c>
      <c r="U3708">
        <v>12</v>
      </c>
      <c r="V3708">
        <v>5</v>
      </c>
      <c r="W3708">
        <v>1</v>
      </c>
      <c r="X3708">
        <v>0</v>
      </c>
      <c r="Y3708">
        <v>0</v>
      </c>
      <c r="Z3708">
        <v>0</v>
      </c>
    </row>
    <row r="3709" spans="1:26" x14ac:dyDescent="0.2">
      <c r="A3709" t="s">
        <v>3827</v>
      </c>
      <c r="B3709" t="s">
        <v>83</v>
      </c>
      <c r="C3709">
        <v>2018</v>
      </c>
      <c r="D3709" t="s">
        <v>31</v>
      </c>
      <c r="E3709" t="s">
        <v>18</v>
      </c>
      <c r="F3709" t="s">
        <v>20</v>
      </c>
      <c r="G3709">
        <v>28500</v>
      </c>
      <c r="H3709">
        <v>22800</v>
      </c>
      <c r="I3709" s="13">
        <v>0.33333333333333331</v>
      </c>
      <c r="J3709" t="s">
        <v>6208</v>
      </c>
      <c r="K3709">
        <v>1</v>
      </c>
      <c r="L3709">
        <v>2</v>
      </c>
      <c r="M3709" t="s">
        <v>1</v>
      </c>
      <c r="N3709" s="2">
        <v>0.36</v>
      </c>
      <c r="O3709" s="2">
        <v>0.64</v>
      </c>
      <c r="P3709">
        <v>10</v>
      </c>
      <c r="Q3709">
        <v>13</v>
      </c>
      <c r="R3709">
        <v>5</v>
      </c>
      <c r="S3709">
        <v>4</v>
      </c>
      <c r="T3709">
        <v>11</v>
      </c>
      <c r="U3709">
        <v>10</v>
      </c>
      <c r="V3709">
        <v>2</v>
      </c>
      <c r="W3709">
        <v>1</v>
      </c>
      <c r="X3709">
        <v>0</v>
      </c>
      <c r="Y3709">
        <v>0</v>
      </c>
      <c r="Z3709">
        <v>0</v>
      </c>
    </row>
    <row r="3710" spans="1:26" x14ac:dyDescent="0.2">
      <c r="A3710" t="s">
        <v>3828</v>
      </c>
      <c r="B3710" t="s">
        <v>32</v>
      </c>
      <c r="C3710">
        <v>2018</v>
      </c>
      <c r="D3710" t="s">
        <v>45</v>
      </c>
      <c r="E3710" t="s">
        <v>26</v>
      </c>
      <c r="F3710" t="s">
        <v>26</v>
      </c>
      <c r="G3710">
        <v>39572</v>
      </c>
      <c r="H3710">
        <v>31657.600000000002</v>
      </c>
      <c r="I3710" s="13">
        <v>0.33333333333333331</v>
      </c>
      <c r="J3710" t="s">
        <v>6207</v>
      </c>
      <c r="K3710">
        <v>0</v>
      </c>
      <c r="L3710">
        <v>0</v>
      </c>
      <c r="M3710" t="s">
        <v>58</v>
      </c>
      <c r="N3710" s="2">
        <v>0.42</v>
      </c>
      <c r="O3710" s="2">
        <v>0.57999999999999996</v>
      </c>
      <c r="P3710">
        <v>14</v>
      </c>
      <c r="Q3710">
        <v>14</v>
      </c>
      <c r="R3710">
        <v>3</v>
      </c>
      <c r="S3710">
        <v>7</v>
      </c>
      <c r="T3710">
        <v>12</v>
      </c>
      <c r="U3710">
        <v>10</v>
      </c>
      <c r="V3710">
        <v>1</v>
      </c>
      <c r="W3710">
        <v>2</v>
      </c>
      <c r="X3710">
        <v>0</v>
      </c>
      <c r="Y3710">
        <v>0</v>
      </c>
      <c r="Z3710">
        <v>0</v>
      </c>
    </row>
    <row r="3711" spans="1:26" x14ac:dyDescent="0.2">
      <c r="A3711" t="s">
        <v>3829</v>
      </c>
      <c r="B3711" t="s">
        <v>76</v>
      </c>
      <c r="C3711">
        <v>2018</v>
      </c>
      <c r="D3711" t="s">
        <v>79</v>
      </c>
      <c r="E3711" t="s">
        <v>90</v>
      </c>
      <c r="F3711" t="s">
        <v>20</v>
      </c>
      <c r="G3711">
        <v>25486</v>
      </c>
      <c r="H3711">
        <v>20388.800000000003</v>
      </c>
      <c r="I3711" s="13">
        <v>0.66666666666666663</v>
      </c>
      <c r="J3711" t="s">
        <v>6207</v>
      </c>
      <c r="K3711">
        <v>1</v>
      </c>
      <c r="L3711">
        <v>2</v>
      </c>
      <c r="M3711" t="s">
        <v>1</v>
      </c>
      <c r="N3711" s="2">
        <v>0.63</v>
      </c>
      <c r="O3711" s="2">
        <v>0.37</v>
      </c>
      <c r="P3711">
        <v>18</v>
      </c>
      <c r="Q3711">
        <v>9</v>
      </c>
      <c r="R3711">
        <v>8</v>
      </c>
      <c r="S3711">
        <v>0</v>
      </c>
      <c r="T3711">
        <v>8</v>
      </c>
      <c r="U3711">
        <v>18</v>
      </c>
      <c r="V3711">
        <v>1</v>
      </c>
      <c r="W3711">
        <v>5</v>
      </c>
      <c r="X3711">
        <v>0</v>
      </c>
      <c r="Y3711">
        <v>0</v>
      </c>
      <c r="Z3711">
        <v>1</v>
      </c>
    </row>
    <row r="3712" spans="1:26" x14ac:dyDescent="0.2">
      <c r="A3712" t="s">
        <v>3830</v>
      </c>
      <c r="B3712" t="s">
        <v>60</v>
      </c>
      <c r="C3712">
        <v>2018</v>
      </c>
      <c r="D3712" t="s">
        <v>73</v>
      </c>
      <c r="E3712" t="s">
        <v>51</v>
      </c>
      <c r="F3712" t="s">
        <v>73</v>
      </c>
      <c r="G3712">
        <v>32384</v>
      </c>
      <c r="H3712">
        <v>25907.200000000001</v>
      </c>
      <c r="I3712" s="13">
        <v>0.66666666666666663</v>
      </c>
      <c r="J3712" t="s">
        <v>6208</v>
      </c>
      <c r="K3712">
        <v>2</v>
      </c>
      <c r="L3712">
        <v>1</v>
      </c>
      <c r="M3712" t="s">
        <v>0</v>
      </c>
      <c r="N3712" s="2">
        <v>0.37</v>
      </c>
      <c r="O3712" s="2">
        <v>0.63</v>
      </c>
      <c r="P3712">
        <v>10</v>
      </c>
      <c r="Q3712">
        <v>18</v>
      </c>
      <c r="R3712">
        <v>1</v>
      </c>
      <c r="S3712">
        <v>10</v>
      </c>
      <c r="T3712">
        <v>16</v>
      </c>
      <c r="U3712">
        <v>9</v>
      </c>
      <c r="V3712">
        <v>4</v>
      </c>
      <c r="W3712">
        <v>2</v>
      </c>
      <c r="X3712">
        <v>0</v>
      </c>
      <c r="Y3712">
        <v>0</v>
      </c>
      <c r="Z3712">
        <v>0</v>
      </c>
    </row>
    <row r="3713" spans="1:26" x14ac:dyDescent="0.2">
      <c r="A3713" t="s">
        <v>3831</v>
      </c>
      <c r="B3713" t="s">
        <v>50</v>
      </c>
      <c r="C3713">
        <v>2018</v>
      </c>
      <c r="D3713" t="s">
        <v>64</v>
      </c>
      <c r="E3713" t="s">
        <v>45</v>
      </c>
      <c r="F3713" t="s">
        <v>64</v>
      </c>
      <c r="G3713">
        <v>52264</v>
      </c>
      <c r="H3713">
        <v>41811.200000000004</v>
      </c>
      <c r="I3713" s="13">
        <v>0.25</v>
      </c>
      <c r="J3713" t="s">
        <v>6207</v>
      </c>
      <c r="K3713">
        <v>3</v>
      </c>
      <c r="L3713">
        <v>2</v>
      </c>
      <c r="M3713" t="s">
        <v>0</v>
      </c>
      <c r="N3713" s="2">
        <v>0.46</v>
      </c>
      <c r="O3713" s="2">
        <v>0.54</v>
      </c>
      <c r="P3713">
        <v>10</v>
      </c>
      <c r="Q3713">
        <v>16</v>
      </c>
      <c r="R3713">
        <v>8</v>
      </c>
      <c r="S3713">
        <v>2</v>
      </c>
      <c r="T3713">
        <v>13</v>
      </c>
      <c r="U3713">
        <v>10</v>
      </c>
      <c r="V3713">
        <v>3</v>
      </c>
      <c r="W3713">
        <v>1</v>
      </c>
      <c r="X3713">
        <v>0</v>
      </c>
      <c r="Y3713">
        <v>0</v>
      </c>
      <c r="Z3713">
        <v>1</v>
      </c>
    </row>
    <row r="3714" spans="1:26" x14ac:dyDescent="0.2">
      <c r="A3714" t="s">
        <v>3832</v>
      </c>
      <c r="B3714" t="s">
        <v>93</v>
      </c>
      <c r="C3714">
        <v>2018</v>
      </c>
      <c r="D3714" t="s">
        <v>80</v>
      </c>
      <c r="E3714" t="s">
        <v>31</v>
      </c>
      <c r="F3714" t="s">
        <v>80</v>
      </c>
      <c r="G3714">
        <v>32261</v>
      </c>
      <c r="H3714">
        <v>25808.800000000003</v>
      </c>
      <c r="I3714" s="13">
        <v>0.5</v>
      </c>
      <c r="J3714" t="s">
        <v>6206</v>
      </c>
      <c r="K3714">
        <v>3</v>
      </c>
      <c r="L3714">
        <v>1</v>
      </c>
      <c r="M3714" t="s">
        <v>0</v>
      </c>
      <c r="N3714" s="2">
        <v>0.53</v>
      </c>
      <c r="O3714" s="2">
        <v>0.47</v>
      </c>
      <c r="P3714">
        <v>14</v>
      </c>
      <c r="Q3714">
        <v>10</v>
      </c>
      <c r="R3714">
        <v>6</v>
      </c>
      <c r="S3714">
        <v>5</v>
      </c>
      <c r="T3714">
        <v>9</v>
      </c>
      <c r="U3714">
        <v>13</v>
      </c>
      <c r="V3714">
        <v>0</v>
      </c>
      <c r="W3714">
        <v>2</v>
      </c>
      <c r="X3714">
        <v>0</v>
      </c>
      <c r="Y3714">
        <v>0</v>
      </c>
      <c r="Z3714">
        <v>0</v>
      </c>
    </row>
    <row r="3715" spans="1:26" x14ac:dyDescent="0.2">
      <c r="A3715" t="s">
        <v>3833</v>
      </c>
      <c r="B3715" t="s">
        <v>61</v>
      </c>
      <c r="C3715">
        <v>2018</v>
      </c>
      <c r="D3715" t="s">
        <v>89</v>
      </c>
      <c r="E3715" t="s">
        <v>86</v>
      </c>
      <c r="F3715" t="s">
        <v>89</v>
      </c>
      <c r="G3715">
        <v>24500</v>
      </c>
      <c r="H3715">
        <v>19600</v>
      </c>
      <c r="I3715" s="13">
        <v>0.75</v>
      </c>
      <c r="J3715" t="s">
        <v>6207</v>
      </c>
      <c r="K3715">
        <v>0</v>
      </c>
      <c r="L3715">
        <v>2</v>
      </c>
      <c r="M3715" t="s">
        <v>1</v>
      </c>
      <c r="N3715" s="2">
        <v>0.56000000000000005</v>
      </c>
      <c r="O3715" s="2">
        <v>0.44</v>
      </c>
      <c r="P3715">
        <v>8</v>
      </c>
      <c r="Q3715">
        <v>14</v>
      </c>
      <c r="R3715">
        <v>6</v>
      </c>
      <c r="S3715">
        <v>5</v>
      </c>
      <c r="T3715">
        <v>14</v>
      </c>
      <c r="U3715">
        <v>9</v>
      </c>
      <c r="V3715">
        <v>3</v>
      </c>
      <c r="W3715">
        <v>1</v>
      </c>
      <c r="X3715">
        <v>0</v>
      </c>
      <c r="Y3715">
        <v>0</v>
      </c>
      <c r="Z3715">
        <v>0</v>
      </c>
    </row>
    <row r="3716" spans="1:26" x14ac:dyDescent="0.2">
      <c r="A3716" t="s">
        <v>3834</v>
      </c>
      <c r="B3716" t="s">
        <v>83</v>
      </c>
      <c r="C3716">
        <v>2018</v>
      </c>
      <c r="D3716" t="s">
        <v>78</v>
      </c>
      <c r="E3716" t="s">
        <v>23</v>
      </c>
      <c r="F3716" t="s">
        <v>78</v>
      </c>
      <c r="G3716">
        <v>33280</v>
      </c>
      <c r="H3716">
        <v>26624</v>
      </c>
      <c r="I3716" s="13">
        <v>0.66666666666666663</v>
      </c>
      <c r="J3716" t="s">
        <v>6208</v>
      </c>
      <c r="K3716">
        <v>2</v>
      </c>
      <c r="L3716">
        <v>0</v>
      </c>
      <c r="M3716" t="s">
        <v>0</v>
      </c>
      <c r="N3716" s="2">
        <v>0.28999999999999998</v>
      </c>
      <c r="O3716" s="2">
        <v>0.71</v>
      </c>
      <c r="P3716">
        <v>9</v>
      </c>
      <c r="Q3716">
        <v>9</v>
      </c>
      <c r="R3716">
        <v>7</v>
      </c>
      <c r="S3716">
        <v>5</v>
      </c>
      <c r="T3716">
        <v>7</v>
      </c>
      <c r="U3716">
        <v>12</v>
      </c>
      <c r="V3716">
        <v>2</v>
      </c>
      <c r="W3716">
        <v>1</v>
      </c>
      <c r="X3716">
        <v>0</v>
      </c>
      <c r="Y3716">
        <v>0</v>
      </c>
      <c r="Z3716">
        <v>0</v>
      </c>
    </row>
    <row r="3717" spans="1:26" x14ac:dyDescent="0.2">
      <c r="A3717" t="s">
        <v>3835</v>
      </c>
      <c r="B3717" t="s">
        <v>81</v>
      </c>
      <c r="C3717">
        <v>2018</v>
      </c>
      <c r="D3717" t="s">
        <v>40</v>
      </c>
      <c r="E3717" t="s">
        <v>85</v>
      </c>
      <c r="F3717" t="s">
        <v>49</v>
      </c>
      <c r="G3717">
        <v>53400</v>
      </c>
      <c r="H3717">
        <v>42720</v>
      </c>
      <c r="I3717" s="13">
        <v>0</v>
      </c>
      <c r="J3717" t="s">
        <v>6207</v>
      </c>
      <c r="K3717">
        <v>3</v>
      </c>
      <c r="L3717">
        <v>1</v>
      </c>
      <c r="M3717" t="s">
        <v>0</v>
      </c>
      <c r="N3717" s="2">
        <v>0.71</v>
      </c>
      <c r="O3717" s="2">
        <v>0.28999999999999998</v>
      </c>
      <c r="P3717">
        <v>8</v>
      </c>
      <c r="Q3717">
        <v>15</v>
      </c>
      <c r="R3717">
        <v>9</v>
      </c>
      <c r="S3717">
        <v>1</v>
      </c>
      <c r="T3717">
        <v>11</v>
      </c>
      <c r="U3717">
        <v>7</v>
      </c>
      <c r="V3717">
        <v>1</v>
      </c>
      <c r="W3717">
        <v>1</v>
      </c>
      <c r="X3717">
        <v>0</v>
      </c>
      <c r="Y3717">
        <v>0</v>
      </c>
      <c r="Z3717">
        <v>0</v>
      </c>
    </row>
    <row r="3718" spans="1:26" x14ac:dyDescent="0.2">
      <c r="A3718" t="s">
        <v>3836</v>
      </c>
      <c r="B3718" t="s">
        <v>37</v>
      </c>
      <c r="C3718">
        <v>2018</v>
      </c>
      <c r="D3718" t="s">
        <v>26</v>
      </c>
      <c r="E3718" t="s">
        <v>28</v>
      </c>
      <c r="F3718" t="s">
        <v>26</v>
      </c>
      <c r="G3718">
        <v>61276</v>
      </c>
      <c r="H3718">
        <v>49020.800000000003</v>
      </c>
      <c r="I3718" s="13">
        <v>1</v>
      </c>
      <c r="J3718" t="s">
        <v>6206</v>
      </c>
      <c r="K3718">
        <v>4</v>
      </c>
      <c r="L3718">
        <v>2</v>
      </c>
      <c r="M3718" t="s">
        <v>0</v>
      </c>
      <c r="N3718" s="2">
        <v>0.69</v>
      </c>
      <c r="O3718" s="2">
        <v>0.31</v>
      </c>
      <c r="P3718">
        <v>15</v>
      </c>
      <c r="Q3718">
        <v>6</v>
      </c>
      <c r="R3718">
        <v>7</v>
      </c>
      <c r="S3718">
        <v>3</v>
      </c>
      <c r="T3718">
        <v>4</v>
      </c>
      <c r="U3718">
        <v>7</v>
      </c>
      <c r="V3718">
        <v>2</v>
      </c>
      <c r="W3718">
        <v>0</v>
      </c>
      <c r="X3718">
        <v>0</v>
      </c>
      <c r="Y3718">
        <v>0</v>
      </c>
      <c r="Z3718">
        <v>0</v>
      </c>
    </row>
    <row r="3719" spans="1:26" x14ac:dyDescent="0.2">
      <c r="A3719" t="s">
        <v>3837</v>
      </c>
      <c r="B3719" t="s">
        <v>66</v>
      </c>
      <c r="C3719">
        <v>2018</v>
      </c>
      <c r="D3719" t="s">
        <v>18</v>
      </c>
      <c r="E3719" t="s">
        <v>22</v>
      </c>
      <c r="F3719" t="s">
        <v>20</v>
      </c>
      <c r="G3719">
        <v>40341</v>
      </c>
      <c r="H3719">
        <v>32272.800000000003</v>
      </c>
      <c r="I3719" s="13">
        <v>1</v>
      </c>
      <c r="J3719" t="s">
        <v>6207</v>
      </c>
      <c r="K3719">
        <v>1</v>
      </c>
      <c r="L3719">
        <v>1</v>
      </c>
      <c r="M3719" t="s">
        <v>58</v>
      </c>
      <c r="N3719" s="2">
        <v>0.76</v>
      </c>
      <c r="O3719" s="2">
        <v>0.24</v>
      </c>
      <c r="P3719">
        <v>16</v>
      </c>
      <c r="Q3719">
        <v>9</v>
      </c>
      <c r="R3719">
        <v>13</v>
      </c>
      <c r="S3719">
        <v>0</v>
      </c>
      <c r="T3719">
        <v>8</v>
      </c>
      <c r="U3719">
        <v>14</v>
      </c>
      <c r="V3719">
        <v>1</v>
      </c>
      <c r="W3719">
        <v>4</v>
      </c>
      <c r="X3719">
        <v>0</v>
      </c>
      <c r="Y3719">
        <v>0</v>
      </c>
      <c r="Z3719">
        <v>0</v>
      </c>
    </row>
    <row r="3720" spans="1:26" x14ac:dyDescent="0.2">
      <c r="A3720" t="s">
        <v>3838</v>
      </c>
      <c r="B3720" t="s">
        <v>68</v>
      </c>
      <c r="C3720">
        <v>2018</v>
      </c>
      <c r="D3720" t="s">
        <v>46</v>
      </c>
      <c r="E3720" t="s">
        <v>48</v>
      </c>
      <c r="F3720" t="s">
        <v>20</v>
      </c>
      <c r="G3720">
        <v>60704</v>
      </c>
      <c r="H3720">
        <v>48563.200000000004</v>
      </c>
      <c r="I3720" s="13">
        <v>1</v>
      </c>
      <c r="J3720" t="s">
        <v>6207</v>
      </c>
      <c r="K3720">
        <v>2</v>
      </c>
      <c r="L3720">
        <v>0</v>
      </c>
      <c r="M3720" t="s">
        <v>0</v>
      </c>
      <c r="N3720" s="2">
        <v>0.46</v>
      </c>
      <c r="O3720" s="2">
        <v>0.54</v>
      </c>
      <c r="P3720">
        <v>18</v>
      </c>
      <c r="Q3720">
        <v>17</v>
      </c>
      <c r="R3720">
        <v>5</v>
      </c>
      <c r="S3720">
        <v>2</v>
      </c>
      <c r="T3720">
        <v>12</v>
      </c>
      <c r="U3720">
        <v>18</v>
      </c>
      <c r="V3720">
        <v>2</v>
      </c>
      <c r="W3720">
        <v>2</v>
      </c>
      <c r="X3720">
        <v>0</v>
      </c>
      <c r="Y3720">
        <v>0</v>
      </c>
      <c r="Z3720">
        <v>1</v>
      </c>
    </row>
    <row r="3721" spans="1:26" x14ac:dyDescent="0.2">
      <c r="A3721" t="s">
        <v>3839</v>
      </c>
      <c r="B3721" t="s">
        <v>68</v>
      </c>
      <c r="C3721">
        <v>2018</v>
      </c>
      <c r="D3721" t="s">
        <v>23</v>
      </c>
      <c r="E3721" t="s">
        <v>89</v>
      </c>
      <c r="F3721" t="s">
        <v>20</v>
      </c>
      <c r="G3721">
        <v>62500</v>
      </c>
      <c r="H3721">
        <v>50000</v>
      </c>
      <c r="I3721" s="13">
        <v>0.5</v>
      </c>
      <c r="J3721" t="s">
        <v>6207</v>
      </c>
      <c r="K3721">
        <v>4</v>
      </c>
      <c r="L3721">
        <v>3</v>
      </c>
      <c r="M3721" t="s">
        <v>0</v>
      </c>
      <c r="N3721" s="2">
        <v>0.64</v>
      </c>
      <c r="O3721" s="2">
        <v>0.36</v>
      </c>
      <c r="P3721">
        <v>11</v>
      </c>
      <c r="Q3721">
        <v>8</v>
      </c>
      <c r="R3721">
        <v>5</v>
      </c>
      <c r="S3721">
        <v>8</v>
      </c>
      <c r="T3721">
        <v>7</v>
      </c>
      <c r="U3721">
        <v>15</v>
      </c>
      <c r="V3721">
        <v>0</v>
      </c>
      <c r="W3721">
        <v>2</v>
      </c>
      <c r="X3721">
        <v>0</v>
      </c>
      <c r="Y3721">
        <v>0</v>
      </c>
      <c r="Z3721">
        <v>1</v>
      </c>
    </row>
    <row r="3722" spans="1:26" x14ac:dyDescent="0.2">
      <c r="A3722" t="s">
        <v>3840</v>
      </c>
      <c r="B3722" t="s">
        <v>66</v>
      </c>
      <c r="C3722">
        <v>2018</v>
      </c>
      <c r="D3722" t="s">
        <v>28</v>
      </c>
      <c r="E3722" t="s">
        <v>80</v>
      </c>
      <c r="F3722" t="s">
        <v>28</v>
      </c>
      <c r="G3722">
        <v>21944</v>
      </c>
      <c r="H3722">
        <v>17555.2</v>
      </c>
      <c r="I3722" s="13">
        <v>0</v>
      </c>
      <c r="J3722" t="s">
        <v>6207</v>
      </c>
      <c r="K3722">
        <v>1</v>
      </c>
      <c r="L3722">
        <v>2</v>
      </c>
      <c r="M3722" t="s">
        <v>1</v>
      </c>
      <c r="N3722" s="2">
        <v>0.62</v>
      </c>
      <c r="O3722" s="2">
        <v>0.38</v>
      </c>
      <c r="P3722">
        <v>11</v>
      </c>
      <c r="Q3722">
        <v>13</v>
      </c>
      <c r="R3722">
        <v>9</v>
      </c>
      <c r="S3722">
        <v>3</v>
      </c>
      <c r="T3722">
        <v>9</v>
      </c>
      <c r="U3722">
        <v>10</v>
      </c>
      <c r="V3722">
        <v>1</v>
      </c>
      <c r="W3722">
        <v>1</v>
      </c>
      <c r="X3722">
        <v>0</v>
      </c>
      <c r="Y3722">
        <v>1</v>
      </c>
      <c r="Z3722">
        <v>0</v>
      </c>
    </row>
    <row r="3723" spans="1:26" x14ac:dyDescent="0.2">
      <c r="A3723" t="s">
        <v>3841</v>
      </c>
      <c r="B3723" t="s">
        <v>41</v>
      </c>
      <c r="C3723">
        <v>2018</v>
      </c>
      <c r="D3723" t="s">
        <v>86</v>
      </c>
      <c r="E3723" t="s">
        <v>64</v>
      </c>
      <c r="F3723" t="s">
        <v>86</v>
      </c>
      <c r="G3723">
        <v>11364</v>
      </c>
      <c r="H3723">
        <v>9091.2000000000007</v>
      </c>
      <c r="I3723" s="13">
        <v>0.6</v>
      </c>
      <c r="J3723" t="s">
        <v>6207</v>
      </c>
      <c r="K3723">
        <v>2</v>
      </c>
      <c r="L3723">
        <v>2</v>
      </c>
      <c r="M3723" t="s">
        <v>58</v>
      </c>
      <c r="N3723" s="2">
        <v>0.49</v>
      </c>
      <c r="O3723" s="2">
        <v>0.51</v>
      </c>
      <c r="P3723">
        <v>13</v>
      </c>
      <c r="Q3723">
        <v>9</v>
      </c>
      <c r="R3723">
        <v>6</v>
      </c>
      <c r="S3723">
        <v>6</v>
      </c>
      <c r="T3723">
        <v>9</v>
      </c>
      <c r="U3723">
        <v>12</v>
      </c>
      <c r="V3723">
        <v>3</v>
      </c>
      <c r="W3723">
        <v>2</v>
      </c>
      <c r="X3723">
        <v>0</v>
      </c>
      <c r="Y3723">
        <v>0</v>
      </c>
      <c r="Z3723">
        <v>1</v>
      </c>
    </row>
    <row r="3724" spans="1:26" x14ac:dyDescent="0.2">
      <c r="A3724" t="s">
        <v>3842</v>
      </c>
      <c r="B3724" t="s">
        <v>76</v>
      </c>
      <c r="C3724">
        <v>2018</v>
      </c>
      <c r="D3724" t="s">
        <v>31</v>
      </c>
      <c r="E3724" t="s">
        <v>26</v>
      </c>
      <c r="F3724" t="s">
        <v>20</v>
      </c>
      <c r="G3724">
        <v>28500</v>
      </c>
      <c r="H3724">
        <v>22800</v>
      </c>
      <c r="I3724" s="13">
        <v>0.66666666666666663</v>
      </c>
      <c r="J3724" t="s">
        <v>6207</v>
      </c>
      <c r="K3724">
        <v>1</v>
      </c>
      <c r="L3724">
        <v>2</v>
      </c>
      <c r="M3724" t="s">
        <v>1</v>
      </c>
      <c r="N3724" s="2">
        <v>0.37</v>
      </c>
      <c r="O3724" s="2">
        <v>0.63</v>
      </c>
      <c r="P3724">
        <v>8</v>
      </c>
      <c r="Q3724">
        <v>12</v>
      </c>
      <c r="R3724">
        <v>1</v>
      </c>
      <c r="S3724">
        <v>10</v>
      </c>
      <c r="T3724">
        <v>11</v>
      </c>
      <c r="U3724">
        <v>7</v>
      </c>
      <c r="V3724">
        <v>2</v>
      </c>
      <c r="W3724">
        <v>1</v>
      </c>
      <c r="X3724">
        <v>0</v>
      </c>
      <c r="Y3724">
        <v>0</v>
      </c>
      <c r="Z3724">
        <v>1</v>
      </c>
    </row>
    <row r="3725" spans="1:26" x14ac:dyDescent="0.2">
      <c r="A3725" t="s">
        <v>3843</v>
      </c>
      <c r="B3725" t="s">
        <v>61</v>
      </c>
      <c r="C3725">
        <v>2018</v>
      </c>
      <c r="D3725" t="s">
        <v>45</v>
      </c>
      <c r="E3725" t="s">
        <v>18</v>
      </c>
      <c r="F3725" t="s">
        <v>26</v>
      </c>
      <c r="G3725">
        <v>39572</v>
      </c>
      <c r="H3725">
        <v>31657.600000000002</v>
      </c>
      <c r="I3725" s="13">
        <v>1</v>
      </c>
      <c r="J3725" t="s">
        <v>6207</v>
      </c>
      <c r="K3725">
        <v>2</v>
      </c>
      <c r="L3725">
        <v>0</v>
      </c>
      <c r="M3725" t="s">
        <v>0</v>
      </c>
      <c r="N3725" s="2">
        <v>0.33</v>
      </c>
      <c r="O3725" s="2">
        <v>0.67</v>
      </c>
      <c r="P3725">
        <v>12</v>
      </c>
      <c r="Q3725">
        <v>16</v>
      </c>
      <c r="R3725">
        <v>3</v>
      </c>
      <c r="S3725">
        <v>4</v>
      </c>
      <c r="T3725">
        <v>17</v>
      </c>
      <c r="U3725">
        <v>9</v>
      </c>
      <c r="V3725">
        <v>1</v>
      </c>
      <c r="W3725">
        <v>2</v>
      </c>
      <c r="X3725">
        <v>0</v>
      </c>
      <c r="Y3725">
        <v>0</v>
      </c>
      <c r="Z3725">
        <v>1</v>
      </c>
    </row>
    <row r="3726" spans="1:26" x14ac:dyDescent="0.2">
      <c r="A3726" t="s">
        <v>3844</v>
      </c>
      <c r="B3726" t="s">
        <v>60</v>
      </c>
      <c r="C3726">
        <v>2018</v>
      </c>
      <c r="D3726" t="s">
        <v>31</v>
      </c>
      <c r="E3726" t="s">
        <v>40</v>
      </c>
      <c r="F3726" t="s">
        <v>20</v>
      </c>
      <c r="G3726">
        <v>28500</v>
      </c>
      <c r="H3726">
        <v>22800</v>
      </c>
      <c r="I3726" s="13">
        <v>1</v>
      </c>
      <c r="J3726" t="s">
        <v>6208</v>
      </c>
      <c r="K3726">
        <v>0</v>
      </c>
      <c r="L3726">
        <v>2</v>
      </c>
      <c r="M3726" t="s">
        <v>1</v>
      </c>
      <c r="N3726" s="2">
        <v>0.34</v>
      </c>
      <c r="O3726" s="2">
        <v>0.66</v>
      </c>
      <c r="P3726">
        <v>10</v>
      </c>
      <c r="Q3726">
        <v>9</v>
      </c>
      <c r="R3726">
        <v>0</v>
      </c>
      <c r="S3726">
        <v>11</v>
      </c>
      <c r="T3726">
        <v>4</v>
      </c>
      <c r="U3726">
        <v>12</v>
      </c>
      <c r="V3726">
        <v>2</v>
      </c>
      <c r="W3726">
        <v>0</v>
      </c>
      <c r="X3726">
        <v>0</v>
      </c>
      <c r="Y3726">
        <v>0</v>
      </c>
      <c r="Z3726">
        <v>0</v>
      </c>
    </row>
    <row r="3727" spans="1:26" x14ac:dyDescent="0.2">
      <c r="A3727" t="s">
        <v>3845</v>
      </c>
      <c r="B3727" t="s">
        <v>59</v>
      </c>
      <c r="C3727">
        <v>2018</v>
      </c>
      <c r="D3727" t="s">
        <v>48</v>
      </c>
      <c r="E3727" t="s">
        <v>85</v>
      </c>
      <c r="F3727" t="s">
        <v>49</v>
      </c>
      <c r="G3727">
        <v>74197</v>
      </c>
      <c r="H3727">
        <v>59357.600000000006</v>
      </c>
      <c r="I3727" s="13">
        <v>0.66666666666666663</v>
      </c>
      <c r="J3727" t="s">
        <v>6206</v>
      </c>
      <c r="K3727">
        <v>2</v>
      </c>
      <c r="L3727">
        <v>1</v>
      </c>
      <c r="M3727" t="s">
        <v>0</v>
      </c>
      <c r="N3727" s="2">
        <v>0.51</v>
      </c>
      <c r="O3727" s="2">
        <v>0.49</v>
      </c>
      <c r="P3727">
        <v>12</v>
      </c>
      <c r="Q3727">
        <v>18</v>
      </c>
      <c r="R3727">
        <v>3</v>
      </c>
      <c r="S3727">
        <v>5</v>
      </c>
      <c r="T3727">
        <v>14</v>
      </c>
      <c r="U3727">
        <v>9</v>
      </c>
      <c r="V3727">
        <v>1</v>
      </c>
      <c r="W3727">
        <v>2</v>
      </c>
      <c r="X3727">
        <v>0</v>
      </c>
      <c r="Y3727">
        <v>0</v>
      </c>
      <c r="Z3727">
        <v>0</v>
      </c>
    </row>
    <row r="3728" spans="1:26" x14ac:dyDescent="0.2">
      <c r="A3728" t="s">
        <v>3846</v>
      </c>
      <c r="B3728" t="s">
        <v>50</v>
      </c>
      <c r="C3728">
        <v>2018</v>
      </c>
      <c r="D3728" t="s">
        <v>80</v>
      </c>
      <c r="E3728" t="s">
        <v>86</v>
      </c>
      <c r="F3728" t="s">
        <v>80</v>
      </c>
      <c r="G3728">
        <v>32261</v>
      </c>
      <c r="H3728">
        <v>25808.800000000003</v>
      </c>
      <c r="I3728" s="13">
        <v>0</v>
      </c>
      <c r="J3728" t="s">
        <v>6207</v>
      </c>
      <c r="K3728">
        <v>2</v>
      </c>
      <c r="L3728">
        <v>0</v>
      </c>
      <c r="M3728" t="s">
        <v>0</v>
      </c>
      <c r="N3728" s="2">
        <v>0.59</v>
      </c>
      <c r="O3728" s="2">
        <v>0.41</v>
      </c>
      <c r="P3728">
        <v>10</v>
      </c>
      <c r="Q3728">
        <v>8</v>
      </c>
      <c r="R3728">
        <v>6</v>
      </c>
      <c r="S3728">
        <v>1</v>
      </c>
      <c r="T3728">
        <v>6</v>
      </c>
      <c r="U3728">
        <v>12</v>
      </c>
      <c r="V3728">
        <v>0</v>
      </c>
      <c r="W3728">
        <v>2</v>
      </c>
      <c r="X3728">
        <v>0</v>
      </c>
      <c r="Y3728">
        <v>0</v>
      </c>
      <c r="Z3728">
        <v>0</v>
      </c>
    </row>
    <row r="3729" spans="1:26" x14ac:dyDescent="0.2">
      <c r="A3729" t="s">
        <v>3847</v>
      </c>
      <c r="B3729" t="s">
        <v>54</v>
      </c>
      <c r="C3729">
        <v>2018</v>
      </c>
      <c r="D3729" t="s">
        <v>79</v>
      </c>
      <c r="E3729" t="s">
        <v>89</v>
      </c>
      <c r="F3729" t="s">
        <v>20</v>
      </c>
      <c r="G3729">
        <v>25486</v>
      </c>
      <c r="H3729">
        <v>20388.800000000003</v>
      </c>
      <c r="I3729" s="13">
        <v>0</v>
      </c>
      <c r="J3729" t="s">
        <v>6206</v>
      </c>
      <c r="K3729">
        <v>2</v>
      </c>
      <c r="L3729">
        <v>0</v>
      </c>
      <c r="M3729" t="s">
        <v>0</v>
      </c>
      <c r="N3729" s="2">
        <v>0.48</v>
      </c>
      <c r="O3729" s="2">
        <v>0.52</v>
      </c>
      <c r="P3729">
        <v>10</v>
      </c>
      <c r="Q3729">
        <v>17</v>
      </c>
      <c r="R3729">
        <v>5</v>
      </c>
      <c r="S3729">
        <v>5</v>
      </c>
      <c r="T3729">
        <v>10</v>
      </c>
      <c r="U3729">
        <v>7</v>
      </c>
      <c r="V3729">
        <v>0</v>
      </c>
      <c r="W3729">
        <v>0</v>
      </c>
      <c r="X3729">
        <v>0</v>
      </c>
      <c r="Y3729">
        <v>0</v>
      </c>
      <c r="Z3729">
        <v>1</v>
      </c>
    </row>
    <row r="3730" spans="1:26" x14ac:dyDescent="0.2">
      <c r="A3730" t="s">
        <v>3848</v>
      </c>
      <c r="B3730" t="s">
        <v>88</v>
      </c>
      <c r="C3730">
        <v>2018</v>
      </c>
      <c r="D3730" t="s">
        <v>28</v>
      </c>
      <c r="E3730" t="s">
        <v>22</v>
      </c>
      <c r="F3730" t="s">
        <v>28</v>
      </c>
      <c r="G3730">
        <v>21944</v>
      </c>
      <c r="H3730">
        <v>17555.2</v>
      </c>
      <c r="I3730" s="13">
        <v>0.5</v>
      </c>
      <c r="J3730" t="s">
        <v>6207</v>
      </c>
      <c r="K3730">
        <v>2</v>
      </c>
      <c r="L3730">
        <v>0</v>
      </c>
      <c r="M3730" t="s">
        <v>0</v>
      </c>
      <c r="N3730" s="2">
        <v>0.37</v>
      </c>
      <c r="O3730" s="2">
        <v>0.63</v>
      </c>
      <c r="P3730">
        <v>13</v>
      </c>
      <c r="Q3730">
        <v>12</v>
      </c>
      <c r="R3730">
        <v>1</v>
      </c>
      <c r="S3730">
        <v>5</v>
      </c>
      <c r="T3730">
        <v>12</v>
      </c>
      <c r="U3730">
        <v>10</v>
      </c>
      <c r="V3730">
        <v>1</v>
      </c>
      <c r="W3730">
        <v>1</v>
      </c>
      <c r="X3730">
        <v>0</v>
      </c>
      <c r="Y3730">
        <v>0</v>
      </c>
      <c r="Z3730">
        <v>0</v>
      </c>
    </row>
    <row r="3731" spans="1:26" x14ac:dyDescent="0.2">
      <c r="A3731" t="s">
        <v>3849</v>
      </c>
      <c r="B3731" t="s">
        <v>66</v>
      </c>
      <c r="C3731">
        <v>2018</v>
      </c>
      <c r="D3731" t="s">
        <v>90</v>
      </c>
      <c r="E3731" t="s">
        <v>73</v>
      </c>
      <c r="F3731" t="s">
        <v>91</v>
      </c>
      <c r="G3731">
        <v>31876</v>
      </c>
      <c r="H3731">
        <v>25500.800000000003</v>
      </c>
      <c r="I3731" s="13">
        <v>0</v>
      </c>
      <c r="J3731" t="s">
        <v>6207</v>
      </c>
      <c r="K3731">
        <v>0</v>
      </c>
      <c r="L3731">
        <v>1</v>
      </c>
      <c r="M3731" t="s">
        <v>1</v>
      </c>
      <c r="N3731" s="2">
        <v>0.6</v>
      </c>
      <c r="O3731" s="2">
        <v>0.4</v>
      </c>
      <c r="P3731">
        <v>10</v>
      </c>
      <c r="Q3731">
        <v>15</v>
      </c>
      <c r="R3731">
        <v>6</v>
      </c>
      <c r="S3731">
        <v>5</v>
      </c>
      <c r="T3731">
        <v>8</v>
      </c>
      <c r="U3731">
        <v>10</v>
      </c>
      <c r="V3731">
        <v>1</v>
      </c>
      <c r="W3731">
        <v>2</v>
      </c>
      <c r="X3731">
        <v>0</v>
      </c>
      <c r="Y3731">
        <v>0</v>
      </c>
      <c r="Z3731">
        <v>0</v>
      </c>
    </row>
    <row r="3732" spans="1:26" x14ac:dyDescent="0.2">
      <c r="A3732" t="s">
        <v>3850</v>
      </c>
      <c r="B3732" t="s">
        <v>81</v>
      </c>
      <c r="C3732">
        <v>2018</v>
      </c>
      <c r="D3732" t="s">
        <v>23</v>
      </c>
      <c r="E3732" t="s">
        <v>45</v>
      </c>
      <c r="F3732" t="s">
        <v>20</v>
      </c>
      <c r="G3732">
        <v>62500</v>
      </c>
      <c r="H3732">
        <v>50000</v>
      </c>
      <c r="I3732" s="13">
        <v>0.5</v>
      </c>
      <c r="J3732" t="s">
        <v>6207</v>
      </c>
      <c r="K3732">
        <v>0</v>
      </c>
      <c r="L3732">
        <v>2</v>
      </c>
      <c r="M3732" t="s">
        <v>1</v>
      </c>
      <c r="N3732" s="2">
        <v>0.49</v>
      </c>
      <c r="O3732" s="2">
        <v>0.51</v>
      </c>
      <c r="P3732">
        <v>17</v>
      </c>
      <c r="Q3732">
        <v>9</v>
      </c>
      <c r="R3732">
        <v>4</v>
      </c>
      <c r="S3732">
        <v>9</v>
      </c>
      <c r="T3732">
        <v>7</v>
      </c>
      <c r="U3732">
        <v>14</v>
      </c>
      <c r="V3732">
        <v>1</v>
      </c>
      <c r="W3732">
        <v>1</v>
      </c>
      <c r="X3732">
        <v>0</v>
      </c>
      <c r="Y3732">
        <v>0</v>
      </c>
      <c r="Z3732">
        <v>0</v>
      </c>
    </row>
    <row r="3733" spans="1:26" x14ac:dyDescent="0.2">
      <c r="A3733" t="s">
        <v>3851</v>
      </c>
      <c r="B3733" t="s">
        <v>76</v>
      </c>
      <c r="C3733">
        <v>2018</v>
      </c>
      <c r="D3733" t="s">
        <v>78</v>
      </c>
      <c r="E3733" t="s">
        <v>18</v>
      </c>
      <c r="F3733" t="s">
        <v>78</v>
      </c>
      <c r="G3733">
        <v>33280</v>
      </c>
      <c r="H3733">
        <v>26624</v>
      </c>
      <c r="I3733" s="13">
        <v>1</v>
      </c>
      <c r="J3733" t="s">
        <v>6207</v>
      </c>
      <c r="K3733">
        <v>1</v>
      </c>
      <c r="L3733">
        <v>2</v>
      </c>
      <c r="M3733" t="s">
        <v>1</v>
      </c>
      <c r="N3733" s="2">
        <v>0.28999999999999998</v>
      </c>
      <c r="O3733" s="2">
        <v>0.71</v>
      </c>
      <c r="P3733">
        <v>15</v>
      </c>
      <c r="Q3733">
        <v>9</v>
      </c>
      <c r="R3733">
        <v>2</v>
      </c>
      <c r="S3733">
        <v>7</v>
      </c>
      <c r="T3733">
        <v>8</v>
      </c>
      <c r="U3733">
        <v>14</v>
      </c>
      <c r="V3733">
        <v>2</v>
      </c>
      <c r="W3733">
        <v>3</v>
      </c>
      <c r="X3733">
        <v>0</v>
      </c>
      <c r="Y3733">
        <v>0</v>
      </c>
      <c r="Z3733">
        <v>0</v>
      </c>
    </row>
    <row r="3734" spans="1:26" x14ac:dyDescent="0.2">
      <c r="A3734" t="s">
        <v>3852</v>
      </c>
      <c r="B3734" t="s">
        <v>32</v>
      </c>
      <c r="C3734">
        <v>2018</v>
      </c>
      <c r="D3734" t="s">
        <v>26</v>
      </c>
      <c r="E3734" t="s">
        <v>51</v>
      </c>
      <c r="F3734" t="s">
        <v>26</v>
      </c>
      <c r="G3734">
        <v>61276</v>
      </c>
      <c r="H3734">
        <v>49020.800000000003</v>
      </c>
      <c r="I3734" s="13">
        <v>1</v>
      </c>
      <c r="J3734" t="s">
        <v>6207</v>
      </c>
      <c r="K3734">
        <v>2</v>
      </c>
      <c r="L3734">
        <v>1</v>
      </c>
      <c r="M3734" t="s">
        <v>0</v>
      </c>
      <c r="N3734" s="2">
        <v>0.49</v>
      </c>
      <c r="O3734" s="2">
        <v>0.51</v>
      </c>
      <c r="P3734">
        <v>10</v>
      </c>
      <c r="Q3734">
        <v>7</v>
      </c>
      <c r="R3734">
        <v>10</v>
      </c>
      <c r="S3734">
        <v>3</v>
      </c>
      <c r="T3734">
        <v>5</v>
      </c>
      <c r="U3734">
        <v>8</v>
      </c>
      <c r="V3734">
        <v>0</v>
      </c>
      <c r="W3734">
        <v>1</v>
      </c>
      <c r="X3734">
        <v>0</v>
      </c>
      <c r="Y3734">
        <v>0</v>
      </c>
      <c r="Z3734">
        <v>0</v>
      </c>
    </row>
    <row r="3735" spans="1:26" x14ac:dyDescent="0.2">
      <c r="A3735" t="s">
        <v>3853</v>
      </c>
      <c r="B3735" t="s">
        <v>61</v>
      </c>
      <c r="C3735">
        <v>2018</v>
      </c>
      <c r="D3735" t="s">
        <v>46</v>
      </c>
      <c r="E3735" t="s">
        <v>64</v>
      </c>
      <c r="F3735" t="s">
        <v>20</v>
      </c>
      <c r="G3735">
        <v>60704</v>
      </c>
      <c r="H3735">
        <v>48563.200000000004</v>
      </c>
      <c r="I3735" s="13">
        <v>1</v>
      </c>
      <c r="J3735" t="s">
        <v>6207</v>
      </c>
      <c r="K3735">
        <v>2</v>
      </c>
      <c r="L3735">
        <v>0</v>
      </c>
      <c r="M3735" t="s">
        <v>0</v>
      </c>
      <c r="N3735" s="2">
        <v>0.71</v>
      </c>
      <c r="O3735" s="2">
        <v>0.28999999999999998</v>
      </c>
      <c r="P3735">
        <v>12</v>
      </c>
      <c r="Q3735">
        <v>12</v>
      </c>
      <c r="R3735">
        <v>6</v>
      </c>
      <c r="S3735">
        <v>2</v>
      </c>
      <c r="T3735">
        <v>11</v>
      </c>
      <c r="U3735">
        <v>10</v>
      </c>
      <c r="V3735">
        <v>2</v>
      </c>
      <c r="W3735">
        <v>0</v>
      </c>
      <c r="X3735">
        <v>0</v>
      </c>
      <c r="Y3735">
        <v>0</v>
      </c>
      <c r="Z3735">
        <v>0</v>
      </c>
    </row>
    <row r="3736" spans="1:26" x14ac:dyDescent="0.2">
      <c r="A3736" t="s">
        <v>3854</v>
      </c>
      <c r="B3736" t="s">
        <v>41</v>
      </c>
      <c r="C3736">
        <v>2018</v>
      </c>
      <c r="D3736" t="s">
        <v>22</v>
      </c>
      <c r="E3736" t="s">
        <v>48</v>
      </c>
      <c r="F3736" t="s">
        <v>24</v>
      </c>
      <c r="G3736">
        <v>31750</v>
      </c>
      <c r="H3736">
        <v>25400</v>
      </c>
      <c r="I3736" s="13">
        <v>0.2</v>
      </c>
      <c r="J3736" t="s">
        <v>6207</v>
      </c>
      <c r="K3736">
        <v>2</v>
      </c>
      <c r="L3736">
        <v>1</v>
      </c>
      <c r="M3736" t="s">
        <v>0</v>
      </c>
      <c r="N3736" s="2">
        <v>0.49</v>
      </c>
      <c r="O3736" s="2">
        <v>0.51</v>
      </c>
      <c r="P3736">
        <v>16</v>
      </c>
      <c r="Q3736">
        <v>8</v>
      </c>
      <c r="R3736">
        <v>3</v>
      </c>
      <c r="S3736">
        <v>5</v>
      </c>
      <c r="T3736">
        <v>5</v>
      </c>
      <c r="U3736">
        <v>11</v>
      </c>
      <c r="V3736">
        <v>1</v>
      </c>
      <c r="W3736">
        <v>3</v>
      </c>
      <c r="X3736">
        <v>0</v>
      </c>
      <c r="Y3736">
        <v>1</v>
      </c>
      <c r="Z3736">
        <v>0</v>
      </c>
    </row>
    <row r="3737" spans="1:26" x14ac:dyDescent="0.2">
      <c r="A3737" t="s">
        <v>3855</v>
      </c>
      <c r="B3737" t="s">
        <v>74</v>
      </c>
      <c r="C3737">
        <v>2018</v>
      </c>
      <c r="D3737" t="s">
        <v>85</v>
      </c>
      <c r="E3737" t="s">
        <v>31</v>
      </c>
      <c r="F3737" t="s">
        <v>85</v>
      </c>
      <c r="G3737">
        <v>22220</v>
      </c>
      <c r="H3737">
        <v>17776</v>
      </c>
      <c r="I3737" s="13">
        <v>0.8</v>
      </c>
      <c r="J3737" t="s">
        <v>6208</v>
      </c>
      <c r="K3737">
        <v>4</v>
      </c>
      <c r="L3737">
        <v>1</v>
      </c>
      <c r="M3737" t="s">
        <v>0</v>
      </c>
      <c r="N3737" s="2">
        <v>0.46</v>
      </c>
      <c r="O3737" s="2">
        <v>0.54</v>
      </c>
      <c r="P3737">
        <v>5</v>
      </c>
      <c r="Q3737">
        <v>13</v>
      </c>
      <c r="R3737">
        <v>6</v>
      </c>
      <c r="S3737">
        <v>4</v>
      </c>
      <c r="T3737">
        <v>12</v>
      </c>
      <c r="U3737">
        <v>5</v>
      </c>
      <c r="V3737">
        <v>3</v>
      </c>
      <c r="W3737">
        <v>2</v>
      </c>
      <c r="X3737">
        <v>0</v>
      </c>
      <c r="Y3737">
        <v>0</v>
      </c>
      <c r="Z3737">
        <v>0</v>
      </c>
    </row>
    <row r="3738" spans="1:26" x14ac:dyDescent="0.2">
      <c r="A3738" t="s">
        <v>3856</v>
      </c>
      <c r="B3738" t="s">
        <v>37</v>
      </c>
      <c r="C3738">
        <v>2018</v>
      </c>
      <c r="D3738" t="s">
        <v>51</v>
      </c>
      <c r="E3738" t="s">
        <v>79</v>
      </c>
      <c r="F3738" t="s">
        <v>20</v>
      </c>
      <c r="G3738">
        <v>36284</v>
      </c>
      <c r="H3738">
        <v>29027.200000000001</v>
      </c>
      <c r="I3738" s="13">
        <v>0</v>
      </c>
      <c r="J3738" t="s">
        <v>6206</v>
      </c>
      <c r="K3738">
        <v>2</v>
      </c>
      <c r="L3738">
        <v>0</v>
      </c>
      <c r="M3738" t="s">
        <v>0</v>
      </c>
      <c r="N3738" s="2">
        <v>0.65</v>
      </c>
      <c r="O3738" s="2">
        <v>0.35</v>
      </c>
      <c r="P3738">
        <v>9</v>
      </c>
      <c r="Q3738">
        <v>8</v>
      </c>
      <c r="R3738">
        <v>8</v>
      </c>
      <c r="S3738">
        <v>2</v>
      </c>
      <c r="T3738">
        <v>8</v>
      </c>
      <c r="U3738">
        <v>5</v>
      </c>
      <c r="V3738">
        <v>1</v>
      </c>
      <c r="W3738">
        <v>0</v>
      </c>
      <c r="X3738">
        <v>0</v>
      </c>
      <c r="Y3738">
        <v>0</v>
      </c>
      <c r="Z3738">
        <v>0</v>
      </c>
    </row>
    <row r="3739" spans="1:26" x14ac:dyDescent="0.2">
      <c r="A3739" t="s">
        <v>3857</v>
      </c>
      <c r="B3739" t="s">
        <v>68</v>
      </c>
      <c r="C3739">
        <v>2018</v>
      </c>
      <c r="D3739" t="s">
        <v>40</v>
      </c>
      <c r="E3739" t="s">
        <v>78</v>
      </c>
      <c r="F3739" t="s">
        <v>49</v>
      </c>
      <c r="G3739">
        <v>53400</v>
      </c>
      <c r="H3739">
        <v>42720</v>
      </c>
      <c r="I3739" s="13">
        <v>0</v>
      </c>
      <c r="J3739" t="s">
        <v>6207</v>
      </c>
      <c r="K3739">
        <v>2</v>
      </c>
      <c r="L3739">
        <v>0</v>
      </c>
      <c r="M3739" t="s">
        <v>0</v>
      </c>
      <c r="N3739" s="2">
        <v>0.79</v>
      </c>
      <c r="O3739" s="2">
        <v>0.21</v>
      </c>
      <c r="P3739">
        <v>8</v>
      </c>
      <c r="Q3739">
        <v>5</v>
      </c>
      <c r="R3739">
        <v>17</v>
      </c>
      <c r="S3739">
        <v>4</v>
      </c>
      <c r="T3739">
        <v>3</v>
      </c>
      <c r="U3739">
        <v>7</v>
      </c>
      <c r="V3739">
        <v>0</v>
      </c>
      <c r="W3739">
        <v>3</v>
      </c>
      <c r="X3739">
        <v>0</v>
      </c>
      <c r="Y3739">
        <v>0</v>
      </c>
      <c r="Z3739">
        <v>0</v>
      </c>
    </row>
    <row r="3740" spans="1:26" x14ac:dyDescent="0.2">
      <c r="A3740" t="s">
        <v>3858</v>
      </c>
      <c r="B3740" t="s">
        <v>83</v>
      </c>
      <c r="C3740">
        <v>2018</v>
      </c>
      <c r="D3740" t="s">
        <v>18</v>
      </c>
      <c r="E3740" t="s">
        <v>90</v>
      </c>
      <c r="F3740" t="s">
        <v>20</v>
      </c>
      <c r="G3740">
        <v>40341</v>
      </c>
      <c r="H3740">
        <v>32272.800000000003</v>
      </c>
      <c r="I3740" s="13">
        <v>0</v>
      </c>
      <c r="J3740" t="s">
        <v>6208</v>
      </c>
      <c r="K3740">
        <v>3</v>
      </c>
      <c r="L3740">
        <v>0</v>
      </c>
      <c r="M3740" t="s">
        <v>0</v>
      </c>
      <c r="N3740" s="2">
        <v>0.68</v>
      </c>
      <c r="O3740" s="2">
        <v>0.32</v>
      </c>
      <c r="P3740">
        <v>10</v>
      </c>
      <c r="Q3740">
        <v>5</v>
      </c>
      <c r="R3740">
        <v>7</v>
      </c>
      <c r="S3740">
        <v>1</v>
      </c>
      <c r="T3740">
        <v>5</v>
      </c>
      <c r="U3740">
        <v>9</v>
      </c>
      <c r="V3740">
        <v>0</v>
      </c>
      <c r="W3740">
        <v>0</v>
      </c>
      <c r="X3740">
        <v>0</v>
      </c>
      <c r="Y3740">
        <v>0</v>
      </c>
      <c r="Z3740">
        <v>0</v>
      </c>
    </row>
    <row r="3741" spans="1:26" x14ac:dyDescent="0.2">
      <c r="A3741" t="s">
        <v>3859</v>
      </c>
      <c r="B3741" t="s">
        <v>81</v>
      </c>
      <c r="C3741">
        <v>2018</v>
      </c>
      <c r="D3741" t="s">
        <v>73</v>
      </c>
      <c r="E3741" t="s">
        <v>26</v>
      </c>
      <c r="F3741" t="s">
        <v>73</v>
      </c>
      <c r="G3741">
        <v>32384</v>
      </c>
      <c r="H3741">
        <v>25907.200000000001</v>
      </c>
      <c r="I3741" s="13">
        <v>0.5</v>
      </c>
      <c r="J3741" t="s">
        <v>6207</v>
      </c>
      <c r="K3741">
        <v>1</v>
      </c>
      <c r="L3741">
        <v>3</v>
      </c>
      <c r="M3741" t="s">
        <v>1</v>
      </c>
      <c r="N3741" s="2">
        <v>0.33</v>
      </c>
      <c r="O3741" s="2">
        <v>0.67</v>
      </c>
      <c r="P3741">
        <v>10</v>
      </c>
      <c r="Q3741">
        <v>10</v>
      </c>
      <c r="R3741">
        <v>7</v>
      </c>
      <c r="S3741">
        <v>5</v>
      </c>
      <c r="T3741">
        <v>8</v>
      </c>
      <c r="U3741">
        <v>7</v>
      </c>
      <c r="V3741">
        <v>2</v>
      </c>
      <c r="W3741">
        <v>4</v>
      </c>
      <c r="X3741">
        <v>0</v>
      </c>
      <c r="Y3741">
        <v>0</v>
      </c>
      <c r="Z3741">
        <v>0</v>
      </c>
    </row>
    <row r="3742" spans="1:26" x14ac:dyDescent="0.2">
      <c r="A3742" t="s">
        <v>3860</v>
      </c>
      <c r="B3742" t="s">
        <v>59</v>
      </c>
      <c r="C3742">
        <v>2018</v>
      </c>
      <c r="D3742" t="s">
        <v>64</v>
      </c>
      <c r="E3742" t="s">
        <v>79</v>
      </c>
      <c r="F3742" t="s">
        <v>64</v>
      </c>
      <c r="G3742">
        <v>52264</v>
      </c>
      <c r="H3742">
        <v>41811.200000000004</v>
      </c>
      <c r="I3742" s="13">
        <v>0.66666666666666663</v>
      </c>
      <c r="J3742" t="s">
        <v>6206</v>
      </c>
      <c r="K3742">
        <v>0</v>
      </c>
      <c r="L3742">
        <v>1</v>
      </c>
      <c r="M3742" t="s">
        <v>1</v>
      </c>
      <c r="N3742" s="2">
        <v>0.54</v>
      </c>
      <c r="O3742" s="2">
        <v>0.46</v>
      </c>
      <c r="P3742">
        <v>18</v>
      </c>
      <c r="Q3742">
        <v>13</v>
      </c>
      <c r="R3742">
        <v>9</v>
      </c>
      <c r="S3742">
        <v>4</v>
      </c>
      <c r="T3742">
        <v>12</v>
      </c>
      <c r="U3742">
        <v>13</v>
      </c>
      <c r="V3742">
        <v>1</v>
      </c>
      <c r="W3742">
        <v>2</v>
      </c>
      <c r="X3742">
        <v>0</v>
      </c>
      <c r="Y3742">
        <v>0</v>
      </c>
      <c r="Z3742">
        <v>1</v>
      </c>
    </row>
    <row r="3743" spans="1:26" x14ac:dyDescent="0.2">
      <c r="A3743" t="s">
        <v>3861</v>
      </c>
      <c r="B3743" t="s">
        <v>93</v>
      </c>
      <c r="C3743">
        <v>2018</v>
      </c>
      <c r="D3743" t="s">
        <v>89</v>
      </c>
      <c r="E3743" t="s">
        <v>80</v>
      </c>
      <c r="F3743" t="s">
        <v>89</v>
      </c>
      <c r="G3743">
        <v>24500</v>
      </c>
      <c r="H3743">
        <v>19600</v>
      </c>
      <c r="I3743" s="13">
        <v>0.66666666666666663</v>
      </c>
      <c r="J3743" t="s">
        <v>6206</v>
      </c>
      <c r="K3743">
        <v>1</v>
      </c>
      <c r="L3743">
        <v>4</v>
      </c>
      <c r="M3743" t="s">
        <v>1</v>
      </c>
      <c r="N3743" s="2">
        <v>0.45</v>
      </c>
      <c r="O3743" s="2">
        <v>0.55000000000000004</v>
      </c>
      <c r="P3743">
        <v>13</v>
      </c>
      <c r="Q3743">
        <v>12</v>
      </c>
      <c r="R3743">
        <v>8</v>
      </c>
      <c r="S3743">
        <v>5</v>
      </c>
      <c r="T3743">
        <v>13</v>
      </c>
      <c r="U3743">
        <v>11</v>
      </c>
      <c r="V3743">
        <v>3</v>
      </c>
      <c r="W3743">
        <v>0</v>
      </c>
      <c r="X3743">
        <v>0</v>
      </c>
      <c r="Y3743">
        <v>0</v>
      </c>
      <c r="Z3743">
        <v>2</v>
      </c>
    </row>
    <row r="3744" spans="1:26" x14ac:dyDescent="0.2">
      <c r="A3744" t="s">
        <v>3862</v>
      </c>
      <c r="B3744" t="s">
        <v>32</v>
      </c>
      <c r="C3744">
        <v>2018</v>
      </c>
      <c r="D3744" t="s">
        <v>86</v>
      </c>
      <c r="E3744" t="s">
        <v>28</v>
      </c>
      <c r="F3744" t="s">
        <v>86</v>
      </c>
      <c r="G3744">
        <v>11364</v>
      </c>
      <c r="H3744">
        <v>9091.2000000000007</v>
      </c>
      <c r="I3744" s="13">
        <v>0.2</v>
      </c>
      <c r="J3744" t="s">
        <v>6207</v>
      </c>
      <c r="K3744">
        <v>1</v>
      </c>
      <c r="L3744">
        <v>3</v>
      </c>
      <c r="M3744" t="s">
        <v>1</v>
      </c>
      <c r="N3744" s="2">
        <v>0.6</v>
      </c>
      <c r="O3744" s="2">
        <v>0.4</v>
      </c>
      <c r="P3744">
        <v>24</v>
      </c>
      <c r="Q3744">
        <v>13</v>
      </c>
      <c r="R3744">
        <v>3</v>
      </c>
      <c r="S3744">
        <v>6</v>
      </c>
      <c r="T3744">
        <v>12</v>
      </c>
      <c r="U3744">
        <v>16</v>
      </c>
      <c r="V3744">
        <v>2</v>
      </c>
      <c r="W3744">
        <v>3</v>
      </c>
      <c r="X3744">
        <v>0</v>
      </c>
      <c r="Y3744">
        <v>0</v>
      </c>
      <c r="Z3744">
        <v>0</v>
      </c>
    </row>
    <row r="3745" spans="1:26" x14ac:dyDescent="0.2">
      <c r="A3745" t="s">
        <v>3863</v>
      </c>
      <c r="B3745" t="s">
        <v>60</v>
      </c>
      <c r="C3745">
        <v>2018</v>
      </c>
      <c r="D3745" t="s">
        <v>45</v>
      </c>
      <c r="E3745" t="s">
        <v>46</v>
      </c>
      <c r="F3745" t="s">
        <v>26</v>
      </c>
      <c r="G3745">
        <v>39572</v>
      </c>
      <c r="H3745">
        <v>31657.600000000002</v>
      </c>
      <c r="I3745" s="13">
        <v>1</v>
      </c>
      <c r="J3745" t="s">
        <v>6208</v>
      </c>
      <c r="K3745">
        <v>1</v>
      </c>
      <c r="L3745">
        <v>0</v>
      </c>
      <c r="M3745" t="s">
        <v>0</v>
      </c>
      <c r="N3745" s="2">
        <v>0.43</v>
      </c>
      <c r="O3745" s="2">
        <v>0.56999999999999995</v>
      </c>
      <c r="P3745">
        <v>11</v>
      </c>
      <c r="Q3745">
        <v>11</v>
      </c>
      <c r="R3745">
        <v>9</v>
      </c>
      <c r="S3745">
        <v>6</v>
      </c>
      <c r="T3745">
        <v>8</v>
      </c>
      <c r="U3745">
        <v>9</v>
      </c>
      <c r="V3745">
        <v>1</v>
      </c>
      <c r="W3745">
        <v>4</v>
      </c>
      <c r="X3745">
        <v>0</v>
      </c>
      <c r="Y3745">
        <v>0</v>
      </c>
      <c r="Z3745">
        <v>0</v>
      </c>
    </row>
    <row r="3746" spans="1:26" x14ac:dyDescent="0.2">
      <c r="A3746" t="s">
        <v>3864</v>
      </c>
      <c r="B3746" t="s">
        <v>88</v>
      </c>
      <c r="C3746">
        <v>2018</v>
      </c>
      <c r="D3746" t="s">
        <v>18</v>
      </c>
      <c r="E3746" t="s">
        <v>23</v>
      </c>
      <c r="F3746" t="s">
        <v>20</v>
      </c>
      <c r="G3746">
        <v>40341</v>
      </c>
      <c r="H3746">
        <v>32272.800000000003</v>
      </c>
      <c r="I3746" s="13">
        <v>1</v>
      </c>
      <c r="J3746" t="s">
        <v>6207</v>
      </c>
      <c r="K3746">
        <v>2</v>
      </c>
      <c r="L3746">
        <v>0</v>
      </c>
      <c r="M3746" t="s">
        <v>0</v>
      </c>
      <c r="N3746" s="2">
        <v>0.54</v>
      </c>
      <c r="O3746" s="2">
        <v>0.46</v>
      </c>
      <c r="P3746">
        <v>9</v>
      </c>
      <c r="Q3746">
        <v>12</v>
      </c>
      <c r="R3746">
        <v>7</v>
      </c>
      <c r="S3746">
        <v>4</v>
      </c>
      <c r="T3746">
        <v>8</v>
      </c>
      <c r="U3746">
        <v>7</v>
      </c>
      <c r="V3746">
        <v>2</v>
      </c>
      <c r="W3746">
        <v>1</v>
      </c>
      <c r="X3746">
        <v>0</v>
      </c>
      <c r="Y3746">
        <v>0</v>
      </c>
      <c r="Z3746">
        <v>0</v>
      </c>
    </row>
    <row r="3747" spans="1:26" x14ac:dyDescent="0.2">
      <c r="A3747" t="s">
        <v>3865</v>
      </c>
      <c r="B3747" t="s">
        <v>88</v>
      </c>
      <c r="C3747">
        <v>2018</v>
      </c>
      <c r="D3747" t="s">
        <v>80</v>
      </c>
      <c r="E3747" t="s">
        <v>64</v>
      </c>
      <c r="F3747" t="s">
        <v>80</v>
      </c>
      <c r="G3747">
        <v>32261</v>
      </c>
      <c r="H3747">
        <v>25808.800000000003</v>
      </c>
      <c r="I3747" s="13">
        <v>0.8</v>
      </c>
      <c r="J3747" t="s">
        <v>6207</v>
      </c>
      <c r="K3747">
        <v>0</v>
      </c>
      <c r="L3747">
        <v>1</v>
      </c>
      <c r="M3747" t="s">
        <v>1</v>
      </c>
      <c r="N3747" s="2">
        <v>0.71</v>
      </c>
      <c r="O3747" s="2">
        <v>0.28999999999999998</v>
      </c>
      <c r="P3747">
        <v>14</v>
      </c>
      <c r="Q3747">
        <v>9</v>
      </c>
      <c r="R3747">
        <v>2</v>
      </c>
      <c r="S3747">
        <v>3</v>
      </c>
      <c r="T3747">
        <v>6</v>
      </c>
      <c r="U3747">
        <v>10</v>
      </c>
      <c r="V3747">
        <v>2</v>
      </c>
      <c r="W3747">
        <v>3</v>
      </c>
      <c r="X3747">
        <v>0</v>
      </c>
      <c r="Y3747">
        <v>0</v>
      </c>
      <c r="Z3747">
        <v>0</v>
      </c>
    </row>
    <row r="3748" spans="1:26" x14ac:dyDescent="0.2">
      <c r="A3748" t="s">
        <v>3866</v>
      </c>
      <c r="B3748" t="s">
        <v>50</v>
      </c>
      <c r="C3748">
        <v>2018</v>
      </c>
      <c r="D3748" t="s">
        <v>51</v>
      </c>
      <c r="E3748" t="s">
        <v>89</v>
      </c>
      <c r="F3748" t="s">
        <v>20</v>
      </c>
      <c r="G3748">
        <v>36284</v>
      </c>
      <c r="H3748">
        <v>29027.200000000001</v>
      </c>
      <c r="I3748" s="13">
        <v>1</v>
      </c>
      <c r="J3748" t="s">
        <v>6207</v>
      </c>
      <c r="K3748">
        <v>4</v>
      </c>
      <c r="L3748">
        <v>0</v>
      </c>
      <c r="M3748" t="s">
        <v>0</v>
      </c>
      <c r="N3748" s="2">
        <v>0.7</v>
      </c>
      <c r="O3748" s="2">
        <v>0.3</v>
      </c>
      <c r="P3748">
        <v>13</v>
      </c>
      <c r="Q3748">
        <v>11</v>
      </c>
      <c r="R3748">
        <v>4</v>
      </c>
      <c r="S3748">
        <v>2</v>
      </c>
      <c r="T3748">
        <v>10</v>
      </c>
      <c r="U3748">
        <v>12</v>
      </c>
      <c r="V3748">
        <v>2</v>
      </c>
      <c r="W3748">
        <v>2</v>
      </c>
      <c r="X3748">
        <v>0</v>
      </c>
      <c r="Y3748">
        <v>0</v>
      </c>
      <c r="Z3748">
        <v>0</v>
      </c>
    </row>
    <row r="3749" spans="1:26" x14ac:dyDescent="0.2">
      <c r="A3749" t="s">
        <v>3867</v>
      </c>
      <c r="B3749" t="s">
        <v>68</v>
      </c>
      <c r="C3749">
        <v>2018</v>
      </c>
      <c r="D3749" t="s">
        <v>73</v>
      </c>
      <c r="E3749" t="s">
        <v>22</v>
      </c>
      <c r="F3749" t="s">
        <v>73</v>
      </c>
      <c r="G3749">
        <v>32384</v>
      </c>
      <c r="H3749">
        <v>25907.200000000001</v>
      </c>
      <c r="I3749" s="13">
        <v>0.75</v>
      </c>
      <c r="J3749" t="s">
        <v>6207</v>
      </c>
      <c r="K3749">
        <v>3</v>
      </c>
      <c r="L3749">
        <v>1</v>
      </c>
      <c r="M3749" t="s">
        <v>0</v>
      </c>
      <c r="N3749" s="2">
        <v>0.3</v>
      </c>
      <c r="O3749" s="2">
        <v>0.7</v>
      </c>
      <c r="P3749">
        <v>10</v>
      </c>
      <c r="Q3749">
        <v>13</v>
      </c>
      <c r="R3749">
        <v>4</v>
      </c>
      <c r="S3749">
        <v>9</v>
      </c>
      <c r="T3749">
        <v>13</v>
      </c>
      <c r="U3749">
        <v>8</v>
      </c>
      <c r="V3749">
        <v>1</v>
      </c>
      <c r="W3749">
        <v>3</v>
      </c>
      <c r="X3749">
        <v>0</v>
      </c>
      <c r="Y3749">
        <v>0</v>
      </c>
      <c r="Z3749">
        <v>0</v>
      </c>
    </row>
    <row r="3750" spans="1:26" x14ac:dyDescent="0.2">
      <c r="A3750" t="s">
        <v>3868</v>
      </c>
      <c r="B3750" t="s">
        <v>54</v>
      </c>
      <c r="C3750">
        <v>2018</v>
      </c>
      <c r="D3750" t="s">
        <v>31</v>
      </c>
      <c r="E3750" t="s">
        <v>45</v>
      </c>
      <c r="F3750" t="s">
        <v>20</v>
      </c>
      <c r="G3750">
        <v>28500</v>
      </c>
      <c r="H3750">
        <v>22800</v>
      </c>
      <c r="I3750" s="13">
        <v>1</v>
      </c>
      <c r="J3750" t="s">
        <v>6206</v>
      </c>
      <c r="K3750">
        <v>2</v>
      </c>
      <c r="L3750">
        <v>0</v>
      </c>
      <c r="M3750" t="s">
        <v>0</v>
      </c>
      <c r="N3750" s="2">
        <v>0.41</v>
      </c>
      <c r="O3750" s="2">
        <v>0.59</v>
      </c>
      <c r="P3750">
        <v>11</v>
      </c>
      <c r="Q3750">
        <v>9</v>
      </c>
      <c r="R3750">
        <v>7</v>
      </c>
      <c r="S3750">
        <v>3</v>
      </c>
      <c r="T3750">
        <v>8</v>
      </c>
      <c r="U3750">
        <v>10</v>
      </c>
      <c r="V3750">
        <v>2</v>
      </c>
      <c r="W3750">
        <v>1</v>
      </c>
      <c r="X3750">
        <v>0</v>
      </c>
      <c r="Y3750">
        <v>0</v>
      </c>
      <c r="Z3750">
        <v>0</v>
      </c>
    </row>
    <row r="3751" spans="1:26" x14ac:dyDescent="0.2">
      <c r="A3751" t="s">
        <v>3869</v>
      </c>
      <c r="B3751" t="s">
        <v>41</v>
      </c>
      <c r="C3751">
        <v>2018</v>
      </c>
      <c r="D3751" t="s">
        <v>28</v>
      </c>
      <c r="E3751" t="s">
        <v>78</v>
      </c>
      <c r="F3751" t="s">
        <v>28</v>
      </c>
      <c r="G3751">
        <v>21944</v>
      </c>
      <c r="H3751">
        <v>17555.2</v>
      </c>
      <c r="I3751" s="13">
        <v>0.33333333333333331</v>
      </c>
      <c r="J3751" t="s">
        <v>6207</v>
      </c>
      <c r="K3751">
        <v>2</v>
      </c>
      <c r="L3751">
        <v>0</v>
      </c>
      <c r="M3751" t="s">
        <v>0</v>
      </c>
      <c r="N3751" s="2">
        <v>0.46</v>
      </c>
      <c r="O3751" s="2">
        <v>0.54</v>
      </c>
      <c r="P3751">
        <v>10</v>
      </c>
      <c r="Q3751">
        <v>9</v>
      </c>
      <c r="R3751">
        <v>8</v>
      </c>
      <c r="S3751">
        <v>4</v>
      </c>
      <c r="T3751">
        <v>7</v>
      </c>
      <c r="U3751">
        <v>10</v>
      </c>
      <c r="V3751">
        <v>2</v>
      </c>
      <c r="W3751">
        <v>4</v>
      </c>
      <c r="X3751">
        <v>0</v>
      </c>
      <c r="Y3751">
        <v>0</v>
      </c>
      <c r="Z3751">
        <v>0</v>
      </c>
    </row>
    <row r="3752" spans="1:26" x14ac:dyDescent="0.2">
      <c r="A3752" t="s">
        <v>3870</v>
      </c>
      <c r="B3752" t="s">
        <v>60</v>
      </c>
      <c r="C3752">
        <v>2018</v>
      </c>
      <c r="D3752" t="s">
        <v>90</v>
      </c>
      <c r="E3752" t="s">
        <v>86</v>
      </c>
      <c r="F3752" t="s">
        <v>91</v>
      </c>
      <c r="G3752">
        <v>31876</v>
      </c>
      <c r="H3752">
        <v>25500.800000000003</v>
      </c>
      <c r="I3752" s="13">
        <v>0.7142857142857143</v>
      </c>
      <c r="J3752" t="s">
        <v>6208</v>
      </c>
      <c r="K3752">
        <v>0</v>
      </c>
      <c r="L3752">
        <v>5</v>
      </c>
      <c r="M3752" t="s">
        <v>1</v>
      </c>
      <c r="N3752" s="2">
        <v>0.5</v>
      </c>
      <c r="O3752" s="2">
        <v>0.5</v>
      </c>
      <c r="P3752">
        <v>6</v>
      </c>
      <c r="Q3752">
        <v>11</v>
      </c>
      <c r="R3752">
        <v>4</v>
      </c>
      <c r="S3752">
        <v>1</v>
      </c>
      <c r="T3752">
        <v>10</v>
      </c>
      <c r="U3752">
        <v>6</v>
      </c>
      <c r="V3752">
        <v>2</v>
      </c>
      <c r="W3752">
        <v>4</v>
      </c>
      <c r="X3752">
        <v>1</v>
      </c>
      <c r="Y3752">
        <v>0</v>
      </c>
      <c r="Z3752">
        <v>0</v>
      </c>
    </row>
    <row r="3753" spans="1:26" x14ac:dyDescent="0.2">
      <c r="A3753" t="s">
        <v>3871</v>
      </c>
      <c r="B3753" t="s">
        <v>83</v>
      </c>
      <c r="C3753">
        <v>2018</v>
      </c>
      <c r="D3753" t="s">
        <v>48</v>
      </c>
      <c r="E3753" t="s">
        <v>23</v>
      </c>
      <c r="F3753" t="s">
        <v>49</v>
      </c>
      <c r="G3753">
        <v>74197</v>
      </c>
      <c r="H3753">
        <v>59357.600000000006</v>
      </c>
      <c r="I3753" s="13">
        <v>0.5</v>
      </c>
      <c r="J3753" t="s">
        <v>6208</v>
      </c>
      <c r="K3753">
        <v>2</v>
      </c>
      <c r="L3753">
        <v>1</v>
      </c>
      <c r="M3753" t="s">
        <v>0</v>
      </c>
      <c r="N3753" s="2">
        <v>0.42</v>
      </c>
      <c r="O3753" s="2">
        <v>0.57999999999999996</v>
      </c>
      <c r="P3753">
        <v>6</v>
      </c>
      <c r="Q3753">
        <v>17</v>
      </c>
      <c r="R3753">
        <v>3</v>
      </c>
      <c r="S3753">
        <v>11</v>
      </c>
      <c r="T3753">
        <v>14</v>
      </c>
      <c r="U3753">
        <v>5</v>
      </c>
      <c r="V3753">
        <v>1</v>
      </c>
      <c r="W3753">
        <v>1</v>
      </c>
      <c r="X3753">
        <v>0</v>
      </c>
      <c r="Y3753">
        <v>0</v>
      </c>
      <c r="Z3753">
        <v>2</v>
      </c>
    </row>
    <row r="3754" spans="1:26" x14ac:dyDescent="0.2">
      <c r="A3754" t="s">
        <v>3872</v>
      </c>
      <c r="B3754" t="s">
        <v>32</v>
      </c>
      <c r="C3754">
        <v>2018</v>
      </c>
      <c r="D3754" t="s">
        <v>79</v>
      </c>
      <c r="E3754" t="s">
        <v>40</v>
      </c>
      <c r="F3754" t="s">
        <v>20</v>
      </c>
      <c r="G3754">
        <v>25486</v>
      </c>
      <c r="H3754">
        <v>20388.800000000003</v>
      </c>
      <c r="I3754" s="13">
        <v>0</v>
      </c>
      <c r="J3754" t="s">
        <v>6207</v>
      </c>
      <c r="K3754">
        <v>1</v>
      </c>
      <c r="L3754">
        <v>3</v>
      </c>
      <c r="M3754" t="s">
        <v>1</v>
      </c>
      <c r="N3754" s="2">
        <v>0.27</v>
      </c>
      <c r="O3754" s="2">
        <v>0.73</v>
      </c>
      <c r="P3754">
        <v>13</v>
      </c>
      <c r="Q3754">
        <v>5</v>
      </c>
      <c r="R3754">
        <v>2</v>
      </c>
      <c r="S3754">
        <v>9</v>
      </c>
      <c r="T3754">
        <v>5</v>
      </c>
      <c r="U3754">
        <v>11</v>
      </c>
      <c r="V3754">
        <v>0</v>
      </c>
      <c r="W3754">
        <v>0</v>
      </c>
      <c r="X3754">
        <v>0</v>
      </c>
      <c r="Y3754">
        <v>0</v>
      </c>
      <c r="Z3754">
        <v>0</v>
      </c>
    </row>
    <row r="3755" spans="1:26" x14ac:dyDescent="0.2">
      <c r="A3755" t="s">
        <v>3873</v>
      </c>
      <c r="B3755" t="s">
        <v>66</v>
      </c>
      <c r="C3755">
        <v>2018</v>
      </c>
      <c r="D3755" t="s">
        <v>26</v>
      </c>
      <c r="E3755" t="s">
        <v>18</v>
      </c>
      <c r="F3755" t="s">
        <v>26</v>
      </c>
      <c r="G3755">
        <v>61276</v>
      </c>
      <c r="H3755">
        <v>49020.800000000003</v>
      </c>
      <c r="I3755" s="13">
        <v>1</v>
      </c>
      <c r="J3755" t="s">
        <v>6207</v>
      </c>
      <c r="K3755">
        <v>2</v>
      </c>
      <c r="L3755">
        <v>0</v>
      </c>
      <c r="M3755" t="s">
        <v>0</v>
      </c>
      <c r="N3755" s="2">
        <v>0.62</v>
      </c>
      <c r="O3755" s="2">
        <v>0.38</v>
      </c>
      <c r="P3755">
        <v>11</v>
      </c>
      <c r="Q3755">
        <v>6</v>
      </c>
      <c r="R3755">
        <v>9</v>
      </c>
      <c r="S3755">
        <v>2</v>
      </c>
      <c r="T3755">
        <v>5</v>
      </c>
      <c r="U3755">
        <v>9</v>
      </c>
      <c r="V3755">
        <v>0</v>
      </c>
      <c r="W3755">
        <v>1</v>
      </c>
      <c r="X3755">
        <v>0</v>
      </c>
      <c r="Y3755">
        <v>0</v>
      </c>
      <c r="Z3755">
        <v>0</v>
      </c>
    </row>
    <row r="3756" spans="1:26" x14ac:dyDescent="0.2">
      <c r="A3756" t="s">
        <v>3874</v>
      </c>
      <c r="B3756" t="s">
        <v>76</v>
      </c>
      <c r="C3756">
        <v>2018</v>
      </c>
      <c r="D3756" t="s">
        <v>85</v>
      </c>
      <c r="E3756" t="s">
        <v>46</v>
      </c>
      <c r="F3756" t="s">
        <v>85</v>
      </c>
      <c r="G3756">
        <v>22220</v>
      </c>
      <c r="H3756">
        <v>17776</v>
      </c>
      <c r="I3756" s="13">
        <v>0.33333333333333331</v>
      </c>
      <c r="J3756" t="s">
        <v>6207</v>
      </c>
      <c r="K3756">
        <v>0</v>
      </c>
      <c r="L3756">
        <v>1</v>
      </c>
      <c r="M3756" t="s">
        <v>1</v>
      </c>
      <c r="N3756" s="2">
        <v>0.34</v>
      </c>
      <c r="O3756" s="2">
        <v>0.66</v>
      </c>
      <c r="P3756">
        <v>12</v>
      </c>
      <c r="Q3756">
        <v>14</v>
      </c>
      <c r="R3756">
        <v>6</v>
      </c>
      <c r="S3756">
        <v>4</v>
      </c>
      <c r="T3756">
        <v>12</v>
      </c>
      <c r="U3756">
        <v>8</v>
      </c>
      <c r="V3756">
        <v>2</v>
      </c>
      <c r="W3756">
        <v>0</v>
      </c>
      <c r="X3756">
        <v>1</v>
      </c>
      <c r="Y3756">
        <v>0</v>
      </c>
      <c r="Z3756">
        <v>0</v>
      </c>
    </row>
    <row r="3757" spans="1:26" x14ac:dyDescent="0.2">
      <c r="A3757" t="s">
        <v>3875</v>
      </c>
      <c r="B3757" t="s">
        <v>37</v>
      </c>
      <c r="C3757">
        <v>2018</v>
      </c>
      <c r="D3757" t="s">
        <v>90</v>
      </c>
      <c r="E3757" t="s">
        <v>78</v>
      </c>
      <c r="F3757" t="s">
        <v>91</v>
      </c>
      <c r="G3757">
        <v>31876</v>
      </c>
      <c r="H3757">
        <v>25500.800000000003</v>
      </c>
      <c r="I3757" s="13">
        <v>0</v>
      </c>
      <c r="J3757" t="s">
        <v>6206</v>
      </c>
      <c r="K3757">
        <v>0</v>
      </c>
      <c r="L3757">
        <v>2</v>
      </c>
      <c r="M3757" t="s">
        <v>1</v>
      </c>
      <c r="N3757" s="2">
        <v>0.64</v>
      </c>
      <c r="O3757" s="2">
        <v>0.36</v>
      </c>
      <c r="P3757">
        <v>13</v>
      </c>
      <c r="Q3757">
        <v>15</v>
      </c>
      <c r="R3757">
        <v>5</v>
      </c>
      <c r="S3757">
        <v>4</v>
      </c>
      <c r="T3757">
        <v>11</v>
      </c>
      <c r="U3757">
        <v>13</v>
      </c>
      <c r="V3757">
        <v>0</v>
      </c>
      <c r="W3757">
        <v>1</v>
      </c>
      <c r="X3757">
        <v>0</v>
      </c>
      <c r="Y3757">
        <v>0</v>
      </c>
      <c r="Z3757">
        <v>0</v>
      </c>
    </row>
    <row r="3758" spans="1:26" x14ac:dyDescent="0.2">
      <c r="A3758" t="s">
        <v>3876</v>
      </c>
      <c r="B3758" t="s">
        <v>66</v>
      </c>
      <c r="C3758">
        <v>2018</v>
      </c>
      <c r="D3758" t="s">
        <v>40</v>
      </c>
      <c r="E3758" t="s">
        <v>51</v>
      </c>
      <c r="F3758" t="s">
        <v>49</v>
      </c>
      <c r="G3758">
        <v>53400</v>
      </c>
      <c r="H3758">
        <v>42720</v>
      </c>
      <c r="I3758" s="13">
        <v>0.66666666666666663</v>
      </c>
      <c r="J3758" t="s">
        <v>6207</v>
      </c>
      <c r="K3758">
        <v>1</v>
      </c>
      <c r="L3758">
        <v>0</v>
      </c>
      <c r="M3758" t="s">
        <v>0</v>
      </c>
      <c r="N3758" s="2">
        <v>0.61</v>
      </c>
      <c r="O3758" s="2">
        <v>0.39</v>
      </c>
      <c r="P3758">
        <v>14</v>
      </c>
      <c r="Q3758">
        <v>13</v>
      </c>
      <c r="R3758">
        <v>4</v>
      </c>
      <c r="S3758">
        <v>4</v>
      </c>
      <c r="T3758">
        <v>11</v>
      </c>
      <c r="U3758">
        <v>11</v>
      </c>
      <c r="V3758">
        <v>1</v>
      </c>
      <c r="W3758">
        <v>2</v>
      </c>
      <c r="X3758">
        <v>0</v>
      </c>
      <c r="Y3758">
        <v>0</v>
      </c>
      <c r="Z3758">
        <v>0</v>
      </c>
    </row>
    <row r="3759" spans="1:26" x14ac:dyDescent="0.2">
      <c r="A3759" t="s">
        <v>3877</v>
      </c>
      <c r="B3759" t="s">
        <v>76</v>
      </c>
      <c r="C3759">
        <v>2018</v>
      </c>
      <c r="D3759" t="s">
        <v>22</v>
      </c>
      <c r="E3759" t="s">
        <v>90</v>
      </c>
      <c r="F3759" t="s">
        <v>24</v>
      </c>
      <c r="G3759">
        <v>31750</v>
      </c>
      <c r="H3759">
        <v>25400</v>
      </c>
      <c r="I3759" s="13">
        <v>0</v>
      </c>
      <c r="J3759" t="s">
        <v>6207</v>
      </c>
      <c r="K3759">
        <v>0</v>
      </c>
      <c r="L3759">
        <v>0</v>
      </c>
      <c r="M3759" t="s">
        <v>58</v>
      </c>
      <c r="N3759" s="2">
        <v>0.68</v>
      </c>
      <c r="O3759" s="2">
        <v>0.32</v>
      </c>
      <c r="P3759">
        <v>9</v>
      </c>
      <c r="Q3759">
        <v>0</v>
      </c>
      <c r="R3759">
        <v>14</v>
      </c>
      <c r="S3759">
        <v>1</v>
      </c>
      <c r="T3759">
        <v>0</v>
      </c>
      <c r="U3759">
        <v>8</v>
      </c>
      <c r="V3759">
        <v>0</v>
      </c>
      <c r="W3759">
        <v>1</v>
      </c>
      <c r="X3759">
        <v>0</v>
      </c>
      <c r="Y3759">
        <v>0</v>
      </c>
      <c r="Z3759">
        <v>0</v>
      </c>
    </row>
    <row r="3760" spans="1:26" x14ac:dyDescent="0.2">
      <c r="A3760" t="s">
        <v>3878</v>
      </c>
      <c r="B3760" t="s">
        <v>54</v>
      </c>
      <c r="C3760">
        <v>2018</v>
      </c>
      <c r="D3760" t="s">
        <v>23</v>
      </c>
      <c r="E3760" t="s">
        <v>80</v>
      </c>
      <c r="F3760" t="s">
        <v>20</v>
      </c>
      <c r="G3760">
        <v>62500</v>
      </c>
      <c r="H3760">
        <v>50000</v>
      </c>
      <c r="I3760" s="13">
        <v>0</v>
      </c>
      <c r="J3760" t="s">
        <v>6206</v>
      </c>
      <c r="K3760">
        <v>2</v>
      </c>
      <c r="L3760">
        <v>2</v>
      </c>
      <c r="M3760" t="s">
        <v>58</v>
      </c>
      <c r="N3760" s="2">
        <v>0.49</v>
      </c>
      <c r="O3760" s="2">
        <v>0.51</v>
      </c>
      <c r="P3760">
        <v>11</v>
      </c>
      <c r="Q3760">
        <v>9</v>
      </c>
      <c r="R3760">
        <v>6</v>
      </c>
      <c r="S3760">
        <v>8</v>
      </c>
      <c r="T3760">
        <v>8</v>
      </c>
      <c r="U3760">
        <v>9</v>
      </c>
      <c r="V3760">
        <v>2</v>
      </c>
      <c r="W3760">
        <v>0</v>
      </c>
      <c r="X3760">
        <v>0</v>
      </c>
      <c r="Y3760">
        <v>0</v>
      </c>
      <c r="Z3760">
        <v>0</v>
      </c>
    </row>
    <row r="3761" spans="1:26" x14ac:dyDescent="0.2">
      <c r="A3761" t="s">
        <v>3879</v>
      </c>
      <c r="B3761" t="s">
        <v>74</v>
      </c>
      <c r="C3761">
        <v>2018</v>
      </c>
      <c r="D3761" t="s">
        <v>89</v>
      </c>
      <c r="E3761" t="s">
        <v>85</v>
      </c>
      <c r="F3761" t="s">
        <v>89</v>
      </c>
      <c r="G3761">
        <v>24500</v>
      </c>
      <c r="H3761">
        <v>19600</v>
      </c>
      <c r="I3761" s="13">
        <v>0.75</v>
      </c>
      <c r="J3761" t="s">
        <v>6208</v>
      </c>
      <c r="K3761">
        <v>1</v>
      </c>
      <c r="L3761">
        <v>2</v>
      </c>
      <c r="M3761" t="s">
        <v>1</v>
      </c>
      <c r="N3761" s="2">
        <v>0.46</v>
      </c>
      <c r="O3761" s="2">
        <v>0.54</v>
      </c>
      <c r="P3761">
        <v>11</v>
      </c>
      <c r="Q3761">
        <v>16</v>
      </c>
      <c r="R3761">
        <v>2</v>
      </c>
      <c r="S3761">
        <v>2</v>
      </c>
      <c r="T3761">
        <v>15</v>
      </c>
      <c r="U3761">
        <v>9</v>
      </c>
      <c r="V3761">
        <v>2</v>
      </c>
      <c r="W3761">
        <v>2</v>
      </c>
      <c r="X3761">
        <v>0</v>
      </c>
      <c r="Y3761">
        <v>0</v>
      </c>
      <c r="Z3761">
        <v>0</v>
      </c>
    </row>
    <row r="3762" spans="1:26" x14ac:dyDescent="0.2">
      <c r="A3762" t="s">
        <v>3880</v>
      </c>
      <c r="B3762" t="s">
        <v>93</v>
      </c>
      <c r="C3762">
        <v>2018</v>
      </c>
      <c r="D3762" t="s">
        <v>86</v>
      </c>
      <c r="E3762" t="s">
        <v>31</v>
      </c>
      <c r="F3762" t="s">
        <v>86</v>
      </c>
      <c r="G3762">
        <v>11364</v>
      </c>
      <c r="H3762">
        <v>9091.2000000000007</v>
      </c>
      <c r="I3762" s="13">
        <v>0.5</v>
      </c>
      <c r="J3762" t="s">
        <v>6206</v>
      </c>
      <c r="K3762">
        <v>0</v>
      </c>
      <c r="L3762">
        <v>1</v>
      </c>
      <c r="M3762" t="s">
        <v>1</v>
      </c>
      <c r="N3762" s="2">
        <v>0.49</v>
      </c>
      <c r="O3762" s="2">
        <v>0.51</v>
      </c>
      <c r="P3762">
        <v>18</v>
      </c>
      <c r="Q3762">
        <v>11</v>
      </c>
      <c r="R3762">
        <v>3</v>
      </c>
      <c r="S3762">
        <v>7</v>
      </c>
      <c r="T3762">
        <v>11</v>
      </c>
      <c r="U3762">
        <v>18</v>
      </c>
      <c r="V3762">
        <v>1</v>
      </c>
      <c r="W3762">
        <v>3</v>
      </c>
      <c r="X3762">
        <v>0</v>
      </c>
      <c r="Y3762">
        <v>0</v>
      </c>
      <c r="Z3762">
        <v>1</v>
      </c>
    </row>
    <row r="3763" spans="1:26" x14ac:dyDescent="0.2">
      <c r="A3763" t="s">
        <v>3881</v>
      </c>
      <c r="B3763" t="s">
        <v>61</v>
      </c>
      <c r="C3763">
        <v>2018</v>
      </c>
      <c r="D3763" t="s">
        <v>64</v>
      </c>
      <c r="E3763" t="s">
        <v>73</v>
      </c>
      <c r="F3763" t="s">
        <v>64</v>
      </c>
      <c r="G3763">
        <v>52264</v>
      </c>
      <c r="H3763">
        <v>41811.200000000004</v>
      </c>
      <c r="I3763" s="13">
        <v>0.5</v>
      </c>
      <c r="J3763" t="s">
        <v>6207</v>
      </c>
      <c r="K3763">
        <v>3</v>
      </c>
      <c r="L3763">
        <v>1</v>
      </c>
      <c r="M3763" t="s">
        <v>0</v>
      </c>
      <c r="N3763" s="2">
        <v>0.43</v>
      </c>
      <c r="O3763" s="2">
        <v>0.56999999999999995</v>
      </c>
      <c r="P3763">
        <v>12</v>
      </c>
      <c r="Q3763">
        <v>6</v>
      </c>
      <c r="R3763">
        <v>4</v>
      </c>
      <c r="S3763">
        <v>11</v>
      </c>
      <c r="T3763">
        <v>5</v>
      </c>
      <c r="U3763">
        <v>11</v>
      </c>
      <c r="V3763">
        <v>0</v>
      </c>
      <c r="W3763">
        <v>2</v>
      </c>
      <c r="X3763">
        <v>0</v>
      </c>
      <c r="Y3763">
        <v>0</v>
      </c>
      <c r="Z3763">
        <v>0</v>
      </c>
    </row>
    <row r="3764" spans="1:26" x14ac:dyDescent="0.2">
      <c r="A3764" t="s">
        <v>3882</v>
      </c>
      <c r="B3764" t="s">
        <v>81</v>
      </c>
      <c r="C3764">
        <v>2018</v>
      </c>
      <c r="D3764" t="s">
        <v>45</v>
      </c>
      <c r="E3764" t="s">
        <v>48</v>
      </c>
      <c r="F3764" t="s">
        <v>26</v>
      </c>
      <c r="G3764">
        <v>39572</v>
      </c>
      <c r="H3764">
        <v>31657.600000000002</v>
      </c>
      <c r="I3764" s="13">
        <v>0.5</v>
      </c>
      <c r="J3764" t="s">
        <v>6207</v>
      </c>
      <c r="K3764">
        <v>4</v>
      </c>
      <c r="L3764">
        <v>0</v>
      </c>
      <c r="M3764" t="s">
        <v>0</v>
      </c>
      <c r="N3764" s="2">
        <v>0.48</v>
      </c>
      <c r="O3764" s="2">
        <v>0.52</v>
      </c>
      <c r="P3764">
        <v>8</v>
      </c>
      <c r="Q3764">
        <v>11</v>
      </c>
      <c r="R3764">
        <v>10</v>
      </c>
      <c r="S3764">
        <v>2</v>
      </c>
      <c r="T3764">
        <v>11</v>
      </c>
      <c r="U3764">
        <v>7</v>
      </c>
      <c r="V3764">
        <v>1</v>
      </c>
      <c r="W3764">
        <v>1</v>
      </c>
      <c r="X3764">
        <v>0</v>
      </c>
      <c r="Y3764">
        <v>0</v>
      </c>
      <c r="Z3764">
        <v>0</v>
      </c>
    </row>
    <row r="3765" spans="1:26" x14ac:dyDescent="0.2">
      <c r="A3765" t="s">
        <v>3883</v>
      </c>
      <c r="B3765" t="s">
        <v>32</v>
      </c>
      <c r="C3765">
        <v>2018</v>
      </c>
      <c r="D3765" t="s">
        <v>78</v>
      </c>
      <c r="E3765" t="s">
        <v>26</v>
      </c>
      <c r="F3765" t="s">
        <v>78</v>
      </c>
      <c r="G3765">
        <v>33280</v>
      </c>
      <c r="H3765">
        <v>26624</v>
      </c>
      <c r="I3765" s="13">
        <v>0.5</v>
      </c>
      <c r="J3765" t="s">
        <v>6207</v>
      </c>
      <c r="K3765">
        <v>0</v>
      </c>
      <c r="L3765">
        <v>2</v>
      </c>
      <c r="M3765" t="s">
        <v>1</v>
      </c>
      <c r="N3765" s="2">
        <v>0.24</v>
      </c>
      <c r="O3765" s="2">
        <v>0.76</v>
      </c>
      <c r="P3765">
        <v>7</v>
      </c>
      <c r="Q3765">
        <v>9</v>
      </c>
      <c r="R3765">
        <v>5</v>
      </c>
      <c r="S3765">
        <v>10</v>
      </c>
      <c r="T3765">
        <v>6</v>
      </c>
      <c r="U3765">
        <v>5</v>
      </c>
      <c r="V3765">
        <v>1</v>
      </c>
      <c r="W3765">
        <v>1</v>
      </c>
      <c r="X3765">
        <v>0</v>
      </c>
      <c r="Y3765">
        <v>0</v>
      </c>
      <c r="Z3765">
        <v>1</v>
      </c>
    </row>
    <row r="3766" spans="1:26" x14ac:dyDescent="0.2">
      <c r="A3766" t="s">
        <v>3884</v>
      </c>
      <c r="B3766" t="s">
        <v>68</v>
      </c>
      <c r="C3766">
        <v>2018</v>
      </c>
      <c r="D3766" t="s">
        <v>46</v>
      </c>
      <c r="E3766" t="s">
        <v>79</v>
      </c>
      <c r="F3766" t="s">
        <v>20</v>
      </c>
      <c r="G3766">
        <v>60704</v>
      </c>
      <c r="H3766">
        <v>48563.200000000004</v>
      </c>
      <c r="I3766" s="13">
        <v>0.8</v>
      </c>
      <c r="J3766" t="s">
        <v>6207</v>
      </c>
      <c r="K3766">
        <v>2</v>
      </c>
      <c r="L3766">
        <v>3</v>
      </c>
      <c r="M3766" t="s">
        <v>1</v>
      </c>
      <c r="N3766" s="2">
        <v>0.73</v>
      </c>
      <c r="O3766" s="2">
        <v>0.27</v>
      </c>
      <c r="P3766">
        <v>15</v>
      </c>
      <c r="Q3766">
        <v>17</v>
      </c>
      <c r="R3766">
        <v>8</v>
      </c>
      <c r="S3766">
        <v>3</v>
      </c>
      <c r="T3766">
        <v>15</v>
      </c>
      <c r="U3766">
        <v>12</v>
      </c>
      <c r="V3766">
        <v>4</v>
      </c>
      <c r="W3766">
        <v>1</v>
      </c>
      <c r="X3766">
        <v>0</v>
      </c>
      <c r="Y3766">
        <v>0</v>
      </c>
      <c r="Z3766">
        <v>0</v>
      </c>
    </row>
    <row r="3767" spans="1:26" x14ac:dyDescent="0.2">
      <c r="A3767" t="s">
        <v>3885</v>
      </c>
      <c r="B3767" t="s">
        <v>60</v>
      </c>
      <c r="C3767">
        <v>2018</v>
      </c>
      <c r="D3767" t="s">
        <v>18</v>
      </c>
      <c r="E3767" t="s">
        <v>28</v>
      </c>
      <c r="F3767" t="s">
        <v>20</v>
      </c>
      <c r="G3767">
        <v>40341</v>
      </c>
      <c r="H3767">
        <v>32272.800000000003</v>
      </c>
      <c r="I3767" s="13">
        <v>0.66666666666666663</v>
      </c>
      <c r="J3767" t="s">
        <v>6208</v>
      </c>
      <c r="K3767">
        <v>2</v>
      </c>
      <c r="L3767">
        <v>2</v>
      </c>
      <c r="M3767" t="s">
        <v>58</v>
      </c>
      <c r="N3767" s="2">
        <v>0.76</v>
      </c>
      <c r="O3767" s="2">
        <v>0.24</v>
      </c>
      <c r="P3767">
        <v>7</v>
      </c>
      <c r="Q3767">
        <v>10</v>
      </c>
      <c r="R3767">
        <v>10</v>
      </c>
      <c r="S3767">
        <v>1</v>
      </c>
      <c r="T3767">
        <v>9</v>
      </c>
      <c r="U3767">
        <v>4</v>
      </c>
      <c r="V3767">
        <v>2</v>
      </c>
      <c r="W3767">
        <v>1</v>
      </c>
      <c r="X3767">
        <v>0</v>
      </c>
      <c r="Y3767">
        <v>0</v>
      </c>
      <c r="Z3767">
        <v>0</v>
      </c>
    </row>
    <row r="3768" spans="1:26" x14ac:dyDescent="0.2">
      <c r="A3768" t="s">
        <v>3886</v>
      </c>
      <c r="B3768" t="s">
        <v>41</v>
      </c>
      <c r="C3768">
        <v>2018</v>
      </c>
      <c r="D3768" t="s">
        <v>85</v>
      </c>
      <c r="E3768" t="s">
        <v>73</v>
      </c>
      <c r="F3768" t="s">
        <v>85</v>
      </c>
      <c r="G3768">
        <v>22220</v>
      </c>
      <c r="H3768">
        <v>17776</v>
      </c>
      <c r="I3768" s="13">
        <v>1</v>
      </c>
      <c r="J3768" t="s">
        <v>6207</v>
      </c>
      <c r="K3768">
        <v>1</v>
      </c>
      <c r="L3768">
        <v>1</v>
      </c>
      <c r="M3768" t="s">
        <v>58</v>
      </c>
      <c r="N3768" s="2">
        <v>0.62</v>
      </c>
      <c r="O3768" s="2">
        <v>0.38</v>
      </c>
      <c r="P3768">
        <v>19</v>
      </c>
      <c r="Q3768">
        <v>13</v>
      </c>
      <c r="R3768">
        <v>3</v>
      </c>
      <c r="S3768">
        <v>4</v>
      </c>
      <c r="T3768">
        <v>10</v>
      </c>
      <c r="U3768">
        <v>14</v>
      </c>
      <c r="V3768">
        <v>5</v>
      </c>
      <c r="W3768">
        <v>2</v>
      </c>
      <c r="X3768">
        <v>0</v>
      </c>
      <c r="Y3768">
        <v>0</v>
      </c>
      <c r="Z3768">
        <v>0</v>
      </c>
    </row>
    <row r="3769" spans="1:26" x14ac:dyDescent="0.2">
      <c r="A3769" t="s">
        <v>3887</v>
      </c>
      <c r="B3769" t="s">
        <v>88</v>
      </c>
      <c r="C3769">
        <v>2018</v>
      </c>
      <c r="D3769" t="s">
        <v>51</v>
      </c>
      <c r="E3769" t="s">
        <v>90</v>
      </c>
      <c r="F3769" t="s">
        <v>20</v>
      </c>
      <c r="G3769">
        <v>36284</v>
      </c>
      <c r="H3769">
        <v>29027.200000000001</v>
      </c>
      <c r="I3769" s="13">
        <v>1</v>
      </c>
      <c r="J3769" t="s">
        <v>6207</v>
      </c>
      <c r="K3769">
        <v>1</v>
      </c>
      <c r="L3769">
        <v>0</v>
      </c>
      <c r="M3769" t="s">
        <v>0</v>
      </c>
      <c r="N3769" s="2">
        <v>0.78</v>
      </c>
      <c r="O3769" s="2">
        <v>0.22</v>
      </c>
      <c r="P3769">
        <v>14</v>
      </c>
      <c r="Q3769">
        <v>9</v>
      </c>
      <c r="R3769">
        <v>6</v>
      </c>
      <c r="S3769">
        <v>3</v>
      </c>
      <c r="T3769">
        <v>7</v>
      </c>
      <c r="U3769">
        <v>13</v>
      </c>
      <c r="V3769">
        <v>1</v>
      </c>
      <c r="W3769">
        <v>2</v>
      </c>
      <c r="X3769">
        <v>0</v>
      </c>
      <c r="Y3769">
        <v>0</v>
      </c>
      <c r="Z3769">
        <v>0</v>
      </c>
    </row>
    <row r="3770" spans="1:26" x14ac:dyDescent="0.2">
      <c r="A3770" t="s">
        <v>3888</v>
      </c>
      <c r="B3770" t="s">
        <v>59</v>
      </c>
      <c r="C3770">
        <v>2018</v>
      </c>
      <c r="D3770" t="s">
        <v>22</v>
      </c>
      <c r="E3770" t="s">
        <v>46</v>
      </c>
      <c r="F3770" t="s">
        <v>24</v>
      </c>
      <c r="G3770">
        <v>31750</v>
      </c>
      <c r="H3770">
        <v>25400</v>
      </c>
      <c r="I3770" s="13">
        <v>0.8</v>
      </c>
      <c r="J3770" t="s">
        <v>6206</v>
      </c>
      <c r="K3770">
        <v>3</v>
      </c>
      <c r="L3770">
        <v>1</v>
      </c>
      <c r="M3770" t="s">
        <v>0</v>
      </c>
      <c r="N3770" s="2">
        <v>0.28999999999999998</v>
      </c>
      <c r="O3770" s="2">
        <v>0.71</v>
      </c>
      <c r="P3770">
        <v>12</v>
      </c>
      <c r="Q3770">
        <v>13</v>
      </c>
      <c r="R3770">
        <v>5</v>
      </c>
      <c r="S3770">
        <v>5</v>
      </c>
      <c r="T3770">
        <v>12</v>
      </c>
      <c r="U3770">
        <v>9</v>
      </c>
      <c r="V3770">
        <v>2</v>
      </c>
      <c r="W3770">
        <v>3</v>
      </c>
      <c r="X3770">
        <v>0</v>
      </c>
      <c r="Y3770">
        <v>0</v>
      </c>
      <c r="Z3770">
        <v>0</v>
      </c>
    </row>
    <row r="3771" spans="1:26" x14ac:dyDescent="0.2">
      <c r="A3771" t="s">
        <v>3889</v>
      </c>
      <c r="B3771" t="s">
        <v>37</v>
      </c>
      <c r="C3771">
        <v>2018</v>
      </c>
      <c r="D3771" t="s">
        <v>48</v>
      </c>
      <c r="E3771" t="s">
        <v>40</v>
      </c>
      <c r="F3771" t="s">
        <v>49</v>
      </c>
      <c r="G3771">
        <v>74197</v>
      </c>
      <c r="H3771">
        <v>59357.600000000006</v>
      </c>
      <c r="I3771" s="13">
        <v>0.75</v>
      </c>
      <c r="J3771" t="s">
        <v>6206</v>
      </c>
      <c r="K3771">
        <v>0</v>
      </c>
      <c r="L3771">
        <v>2</v>
      </c>
      <c r="M3771" t="s">
        <v>1</v>
      </c>
      <c r="N3771" s="2">
        <v>0.37</v>
      </c>
      <c r="O3771" s="2">
        <v>0.63</v>
      </c>
      <c r="P3771">
        <v>12</v>
      </c>
      <c r="Q3771">
        <v>10</v>
      </c>
      <c r="R3771">
        <v>1</v>
      </c>
      <c r="S3771">
        <v>1</v>
      </c>
      <c r="T3771">
        <v>10</v>
      </c>
      <c r="U3771">
        <v>10</v>
      </c>
      <c r="V3771">
        <v>2</v>
      </c>
      <c r="W3771">
        <v>2</v>
      </c>
      <c r="X3771">
        <v>0</v>
      </c>
      <c r="Y3771">
        <v>0</v>
      </c>
      <c r="Z3771">
        <v>0</v>
      </c>
    </row>
    <row r="3772" spans="1:26" x14ac:dyDescent="0.2">
      <c r="A3772" t="s">
        <v>3890</v>
      </c>
      <c r="B3772" t="s">
        <v>60</v>
      </c>
      <c r="C3772">
        <v>2018</v>
      </c>
      <c r="D3772" t="s">
        <v>26</v>
      </c>
      <c r="E3772" t="s">
        <v>89</v>
      </c>
      <c r="F3772" t="s">
        <v>26</v>
      </c>
      <c r="G3772">
        <v>61276</v>
      </c>
      <c r="H3772">
        <v>49020.800000000003</v>
      </c>
      <c r="I3772" s="13">
        <v>0</v>
      </c>
      <c r="J3772" t="s">
        <v>6208</v>
      </c>
      <c r="K3772">
        <v>5</v>
      </c>
      <c r="L3772">
        <v>0</v>
      </c>
      <c r="M3772" t="s">
        <v>0</v>
      </c>
      <c r="N3772" s="2">
        <v>0.7</v>
      </c>
      <c r="O3772" s="2">
        <v>0.3</v>
      </c>
      <c r="P3772">
        <v>6</v>
      </c>
      <c r="Q3772">
        <v>7</v>
      </c>
      <c r="R3772">
        <v>4</v>
      </c>
      <c r="S3772">
        <v>4</v>
      </c>
      <c r="T3772">
        <v>5</v>
      </c>
      <c r="U3772">
        <v>14</v>
      </c>
      <c r="V3772">
        <v>0</v>
      </c>
      <c r="W3772">
        <v>0</v>
      </c>
      <c r="X3772">
        <v>0</v>
      </c>
      <c r="Y3772">
        <v>0</v>
      </c>
      <c r="Z3772">
        <v>0</v>
      </c>
    </row>
    <row r="3773" spans="1:26" x14ac:dyDescent="0.2">
      <c r="A3773" t="s">
        <v>3891</v>
      </c>
      <c r="B3773" t="s">
        <v>61</v>
      </c>
      <c r="C3773">
        <v>2018</v>
      </c>
      <c r="D3773" t="s">
        <v>51</v>
      </c>
      <c r="E3773" t="s">
        <v>23</v>
      </c>
      <c r="F3773" t="s">
        <v>20</v>
      </c>
      <c r="G3773">
        <v>36284</v>
      </c>
      <c r="H3773">
        <v>29027.200000000001</v>
      </c>
      <c r="I3773" s="13">
        <v>0</v>
      </c>
      <c r="J3773" t="s">
        <v>6207</v>
      </c>
      <c r="K3773">
        <v>0</v>
      </c>
      <c r="L3773">
        <v>1</v>
      </c>
      <c r="M3773" t="s">
        <v>1</v>
      </c>
      <c r="N3773" s="2">
        <v>0.63</v>
      </c>
      <c r="O3773" s="2">
        <v>0.37</v>
      </c>
      <c r="P3773">
        <v>11</v>
      </c>
      <c r="Q3773">
        <v>8</v>
      </c>
      <c r="R3773">
        <v>2</v>
      </c>
      <c r="S3773">
        <v>7</v>
      </c>
      <c r="T3773">
        <v>3</v>
      </c>
      <c r="U3773">
        <v>8</v>
      </c>
      <c r="V3773">
        <v>0</v>
      </c>
      <c r="W3773">
        <v>2</v>
      </c>
      <c r="X3773">
        <v>0</v>
      </c>
      <c r="Y3773">
        <v>0</v>
      </c>
      <c r="Z3773">
        <v>0</v>
      </c>
    </row>
    <row r="3774" spans="1:26" x14ac:dyDescent="0.2">
      <c r="A3774" t="s">
        <v>3892</v>
      </c>
      <c r="B3774" t="s">
        <v>84</v>
      </c>
      <c r="C3774">
        <v>2018</v>
      </c>
      <c r="D3774" t="s">
        <v>85</v>
      </c>
      <c r="E3774" t="s">
        <v>22</v>
      </c>
      <c r="F3774" t="s">
        <v>85</v>
      </c>
      <c r="G3774">
        <v>22220</v>
      </c>
      <c r="H3774">
        <v>17776</v>
      </c>
      <c r="I3774" s="13">
        <v>1</v>
      </c>
      <c r="J3774" t="s">
        <v>6208</v>
      </c>
      <c r="K3774">
        <v>1</v>
      </c>
      <c r="L3774">
        <v>2</v>
      </c>
      <c r="M3774" t="s">
        <v>1</v>
      </c>
      <c r="N3774" s="2">
        <v>0.56000000000000005</v>
      </c>
      <c r="O3774" s="2">
        <v>0.44</v>
      </c>
      <c r="P3774">
        <v>16</v>
      </c>
      <c r="Q3774">
        <v>13</v>
      </c>
      <c r="R3774">
        <v>4</v>
      </c>
      <c r="S3774">
        <v>5</v>
      </c>
      <c r="T3774">
        <v>10</v>
      </c>
      <c r="U3774">
        <v>11</v>
      </c>
      <c r="V3774">
        <v>3</v>
      </c>
      <c r="W3774">
        <v>2</v>
      </c>
      <c r="X3774">
        <v>0</v>
      </c>
      <c r="Y3774">
        <v>0</v>
      </c>
      <c r="Z3774">
        <v>0</v>
      </c>
    </row>
    <row r="3775" spans="1:26" x14ac:dyDescent="0.2">
      <c r="A3775" t="s">
        <v>3893</v>
      </c>
      <c r="B3775" t="s">
        <v>83</v>
      </c>
      <c r="C3775">
        <v>2018</v>
      </c>
      <c r="D3775" t="s">
        <v>73</v>
      </c>
      <c r="E3775" t="s">
        <v>86</v>
      </c>
      <c r="F3775" t="s">
        <v>73</v>
      </c>
      <c r="G3775">
        <v>32384</v>
      </c>
      <c r="H3775">
        <v>25907.200000000001</v>
      </c>
      <c r="I3775" s="13">
        <v>0.66666666666666663</v>
      </c>
      <c r="J3775" t="s">
        <v>6208</v>
      </c>
      <c r="K3775">
        <v>3</v>
      </c>
      <c r="L3775">
        <v>3</v>
      </c>
      <c r="M3775" t="s">
        <v>58</v>
      </c>
      <c r="N3775" s="2">
        <v>0.44</v>
      </c>
      <c r="O3775" s="2">
        <v>0.56000000000000005</v>
      </c>
      <c r="P3775">
        <v>9</v>
      </c>
      <c r="Q3775">
        <v>7</v>
      </c>
      <c r="R3775">
        <v>9</v>
      </c>
      <c r="S3775">
        <v>3</v>
      </c>
      <c r="T3775">
        <v>8</v>
      </c>
      <c r="U3775">
        <v>9</v>
      </c>
      <c r="V3775">
        <v>2</v>
      </c>
      <c r="W3775">
        <v>1</v>
      </c>
      <c r="X3775">
        <v>0</v>
      </c>
      <c r="Y3775">
        <v>0</v>
      </c>
      <c r="Z3775">
        <v>0</v>
      </c>
    </row>
    <row r="3776" spans="1:26" x14ac:dyDescent="0.2">
      <c r="A3776" t="s">
        <v>3894</v>
      </c>
      <c r="B3776" t="s">
        <v>88</v>
      </c>
      <c r="C3776">
        <v>2018</v>
      </c>
      <c r="D3776" t="s">
        <v>31</v>
      </c>
      <c r="E3776" t="s">
        <v>78</v>
      </c>
      <c r="F3776" t="s">
        <v>20</v>
      </c>
      <c r="G3776">
        <v>28500</v>
      </c>
      <c r="H3776">
        <v>22800</v>
      </c>
      <c r="I3776" s="13">
        <v>0</v>
      </c>
      <c r="J3776" t="s">
        <v>6207</v>
      </c>
      <c r="K3776">
        <v>1</v>
      </c>
      <c r="L3776">
        <v>0</v>
      </c>
      <c r="M3776" t="s">
        <v>0</v>
      </c>
      <c r="N3776" s="2">
        <v>0.73</v>
      </c>
      <c r="O3776" s="2">
        <v>0.27</v>
      </c>
      <c r="P3776">
        <v>11</v>
      </c>
      <c r="Q3776">
        <v>11</v>
      </c>
      <c r="R3776">
        <v>10</v>
      </c>
      <c r="S3776">
        <v>3</v>
      </c>
      <c r="T3776">
        <v>10</v>
      </c>
      <c r="U3776">
        <v>8</v>
      </c>
      <c r="V3776">
        <v>0</v>
      </c>
      <c r="W3776">
        <v>0</v>
      </c>
      <c r="X3776">
        <v>0</v>
      </c>
      <c r="Y3776">
        <v>0</v>
      </c>
      <c r="Z3776">
        <v>0</v>
      </c>
    </row>
    <row r="3777" spans="1:26" x14ac:dyDescent="0.2">
      <c r="A3777" t="s">
        <v>3895</v>
      </c>
      <c r="B3777" t="s">
        <v>50</v>
      </c>
      <c r="C3777">
        <v>2018</v>
      </c>
      <c r="D3777" t="s">
        <v>79</v>
      </c>
      <c r="E3777" t="s">
        <v>45</v>
      </c>
      <c r="F3777" t="s">
        <v>20</v>
      </c>
      <c r="G3777">
        <v>25486</v>
      </c>
      <c r="H3777">
        <v>20388.800000000003</v>
      </c>
      <c r="I3777" s="13">
        <v>1</v>
      </c>
      <c r="J3777" t="s">
        <v>6207</v>
      </c>
      <c r="K3777">
        <v>0</v>
      </c>
      <c r="L3777">
        <v>0</v>
      </c>
      <c r="M3777" t="s">
        <v>58</v>
      </c>
      <c r="N3777" s="2">
        <v>0.36</v>
      </c>
      <c r="O3777" s="2">
        <v>0.64</v>
      </c>
      <c r="P3777">
        <v>16</v>
      </c>
      <c r="Q3777">
        <v>14</v>
      </c>
      <c r="R3777">
        <v>5</v>
      </c>
      <c r="S3777">
        <v>10</v>
      </c>
      <c r="T3777">
        <v>9</v>
      </c>
      <c r="U3777">
        <v>15</v>
      </c>
      <c r="V3777">
        <v>2</v>
      </c>
      <c r="W3777">
        <v>0</v>
      </c>
      <c r="X3777">
        <v>0</v>
      </c>
      <c r="Y3777">
        <v>0</v>
      </c>
      <c r="Z3777">
        <v>0</v>
      </c>
    </row>
    <row r="3778" spans="1:26" x14ac:dyDescent="0.2">
      <c r="A3778" t="s">
        <v>3896</v>
      </c>
      <c r="B3778" t="s">
        <v>41</v>
      </c>
      <c r="C3778">
        <v>2018</v>
      </c>
      <c r="D3778" t="s">
        <v>90</v>
      </c>
      <c r="E3778" t="s">
        <v>64</v>
      </c>
      <c r="F3778" t="s">
        <v>91</v>
      </c>
      <c r="G3778">
        <v>31876</v>
      </c>
      <c r="H3778">
        <v>25500.800000000003</v>
      </c>
      <c r="I3778" s="13">
        <v>0.6</v>
      </c>
      <c r="J3778" t="s">
        <v>6207</v>
      </c>
      <c r="K3778">
        <v>1</v>
      </c>
      <c r="L3778">
        <v>1</v>
      </c>
      <c r="M3778" t="s">
        <v>58</v>
      </c>
      <c r="N3778" s="2">
        <v>0.5</v>
      </c>
      <c r="O3778" s="2">
        <v>0.5</v>
      </c>
      <c r="P3778">
        <v>10</v>
      </c>
      <c r="Q3778">
        <v>10</v>
      </c>
      <c r="R3778">
        <v>7</v>
      </c>
      <c r="S3778">
        <v>4</v>
      </c>
      <c r="T3778">
        <v>7</v>
      </c>
      <c r="U3778">
        <v>10</v>
      </c>
      <c r="V3778">
        <v>2</v>
      </c>
      <c r="W3778">
        <v>3</v>
      </c>
      <c r="X3778">
        <v>0</v>
      </c>
      <c r="Y3778">
        <v>0</v>
      </c>
      <c r="Z3778">
        <v>0</v>
      </c>
    </row>
    <row r="3779" spans="1:26" x14ac:dyDescent="0.2">
      <c r="A3779" t="s">
        <v>3897</v>
      </c>
      <c r="B3779" t="s">
        <v>66</v>
      </c>
      <c r="C3779">
        <v>2018</v>
      </c>
      <c r="D3779" t="s">
        <v>80</v>
      </c>
      <c r="E3779" t="s">
        <v>46</v>
      </c>
      <c r="F3779" t="s">
        <v>80</v>
      </c>
      <c r="G3779">
        <v>32261</v>
      </c>
      <c r="H3779">
        <v>25808.800000000003</v>
      </c>
      <c r="I3779" s="13">
        <v>0.5</v>
      </c>
      <c r="J3779" t="s">
        <v>6207</v>
      </c>
      <c r="K3779">
        <v>3</v>
      </c>
      <c r="L3779">
        <v>0</v>
      </c>
      <c r="M3779" t="s">
        <v>0</v>
      </c>
      <c r="N3779" s="2">
        <v>0.67</v>
      </c>
      <c r="O3779" s="2">
        <v>0.33</v>
      </c>
      <c r="P3779">
        <v>16</v>
      </c>
      <c r="Q3779">
        <v>15</v>
      </c>
      <c r="R3779">
        <v>8</v>
      </c>
      <c r="S3779">
        <v>6</v>
      </c>
      <c r="T3779">
        <v>13</v>
      </c>
      <c r="U3779">
        <v>13</v>
      </c>
      <c r="V3779">
        <v>3</v>
      </c>
      <c r="W3779">
        <v>2</v>
      </c>
      <c r="X3779">
        <v>0</v>
      </c>
      <c r="Y3779">
        <v>1</v>
      </c>
      <c r="Z3779">
        <v>0</v>
      </c>
    </row>
    <row r="3780" spans="1:26" x14ac:dyDescent="0.2">
      <c r="A3780" t="s">
        <v>3898</v>
      </c>
      <c r="B3780" t="s">
        <v>81</v>
      </c>
      <c r="C3780">
        <v>2018</v>
      </c>
      <c r="D3780" t="s">
        <v>28</v>
      </c>
      <c r="E3780" t="s">
        <v>40</v>
      </c>
      <c r="F3780" t="s">
        <v>28</v>
      </c>
      <c r="G3780">
        <v>21944</v>
      </c>
      <c r="H3780">
        <v>17555.2</v>
      </c>
      <c r="I3780" s="13">
        <v>0.5</v>
      </c>
      <c r="J3780" t="s">
        <v>6207</v>
      </c>
      <c r="K3780">
        <v>0</v>
      </c>
      <c r="L3780">
        <v>1</v>
      </c>
      <c r="M3780" t="s">
        <v>1</v>
      </c>
      <c r="N3780" s="2">
        <v>0.3</v>
      </c>
      <c r="O3780" s="2">
        <v>0.7</v>
      </c>
      <c r="P3780">
        <v>10</v>
      </c>
      <c r="Q3780">
        <v>7</v>
      </c>
      <c r="R3780">
        <v>0</v>
      </c>
      <c r="S3780">
        <v>6</v>
      </c>
      <c r="T3780">
        <v>5</v>
      </c>
      <c r="U3780">
        <v>7</v>
      </c>
      <c r="V3780">
        <v>1</v>
      </c>
      <c r="W3780">
        <v>1</v>
      </c>
      <c r="X3780">
        <v>0</v>
      </c>
      <c r="Y3780">
        <v>0</v>
      </c>
      <c r="Z3780">
        <v>0</v>
      </c>
    </row>
    <row r="3781" spans="1:26" x14ac:dyDescent="0.2">
      <c r="A3781" t="s">
        <v>3899</v>
      </c>
      <c r="B3781" t="s">
        <v>32</v>
      </c>
      <c r="C3781">
        <v>2018</v>
      </c>
      <c r="D3781" t="s">
        <v>48</v>
      </c>
      <c r="E3781" t="s">
        <v>18</v>
      </c>
      <c r="F3781" t="s">
        <v>49</v>
      </c>
      <c r="G3781">
        <v>74197</v>
      </c>
      <c r="H3781">
        <v>59357.600000000006</v>
      </c>
      <c r="I3781" s="13">
        <v>0.8</v>
      </c>
      <c r="J3781" t="s">
        <v>6207</v>
      </c>
      <c r="K3781">
        <v>1</v>
      </c>
      <c r="L3781">
        <v>1</v>
      </c>
      <c r="M3781" t="s">
        <v>58</v>
      </c>
      <c r="N3781" s="2">
        <v>0.52</v>
      </c>
      <c r="O3781" s="2">
        <v>0.48</v>
      </c>
      <c r="P3781">
        <v>19</v>
      </c>
      <c r="Q3781">
        <v>14</v>
      </c>
      <c r="R3781">
        <v>6</v>
      </c>
      <c r="S3781">
        <v>6</v>
      </c>
      <c r="T3781">
        <v>9</v>
      </c>
      <c r="U3781">
        <v>14</v>
      </c>
      <c r="V3781">
        <v>3</v>
      </c>
      <c r="W3781">
        <v>2</v>
      </c>
      <c r="X3781">
        <v>0</v>
      </c>
      <c r="Y3781">
        <v>0</v>
      </c>
      <c r="Z3781">
        <v>0</v>
      </c>
    </row>
    <row r="3782" spans="1:26" x14ac:dyDescent="0.2">
      <c r="A3782" t="s">
        <v>3900</v>
      </c>
      <c r="B3782" t="s">
        <v>88</v>
      </c>
      <c r="C3782">
        <v>2018</v>
      </c>
      <c r="D3782" t="s">
        <v>45</v>
      </c>
      <c r="E3782" t="s">
        <v>28</v>
      </c>
      <c r="F3782" t="s">
        <v>26</v>
      </c>
      <c r="G3782">
        <v>39572</v>
      </c>
      <c r="H3782">
        <v>31657.600000000002</v>
      </c>
      <c r="I3782" s="13">
        <v>0</v>
      </c>
      <c r="J3782" t="s">
        <v>6207</v>
      </c>
      <c r="K3782">
        <v>2</v>
      </c>
      <c r="L3782">
        <v>0</v>
      </c>
      <c r="M3782" t="s">
        <v>0</v>
      </c>
      <c r="N3782" s="2">
        <v>0.6</v>
      </c>
      <c r="O3782" s="2">
        <v>0.4</v>
      </c>
      <c r="P3782">
        <v>11</v>
      </c>
      <c r="Q3782">
        <v>9</v>
      </c>
      <c r="R3782">
        <v>8</v>
      </c>
      <c r="S3782">
        <v>1</v>
      </c>
      <c r="T3782">
        <v>8</v>
      </c>
      <c r="U3782">
        <v>9</v>
      </c>
      <c r="V3782">
        <v>0</v>
      </c>
      <c r="W3782">
        <v>2</v>
      </c>
      <c r="X3782">
        <v>0</v>
      </c>
      <c r="Y3782">
        <v>0</v>
      </c>
      <c r="Z3782">
        <v>0</v>
      </c>
    </row>
    <row r="3783" spans="1:26" x14ac:dyDescent="0.2">
      <c r="A3783" t="s">
        <v>3901</v>
      </c>
      <c r="B3783" t="s">
        <v>76</v>
      </c>
      <c r="C3783">
        <v>2018</v>
      </c>
      <c r="D3783" t="s">
        <v>86</v>
      </c>
      <c r="E3783" t="s">
        <v>51</v>
      </c>
      <c r="F3783" t="s">
        <v>86</v>
      </c>
      <c r="G3783">
        <v>11364</v>
      </c>
      <c r="H3783">
        <v>9091.2000000000007</v>
      </c>
      <c r="I3783" s="13">
        <v>0.625</v>
      </c>
      <c r="J3783" t="s">
        <v>6207</v>
      </c>
      <c r="K3783">
        <v>1</v>
      </c>
      <c r="L3783">
        <v>0</v>
      </c>
      <c r="M3783" t="s">
        <v>0</v>
      </c>
      <c r="N3783" s="2">
        <v>0.53</v>
      </c>
      <c r="O3783" s="2">
        <v>0.47</v>
      </c>
      <c r="P3783">
        <v>15</v>
      </c>
      <c r="Q3783">
        <v>12</v>
      </c>
      <c r="R3783">
        <v>10</v>
      </c>
      <c r="S3783">
        <v>6</v>
      </c>
      <c r="T3783">
        <v>11</v>
      </c>
      <c r="U3783">
        <v>12</v>
      </c>
      <c r="V3783">
        <v>1</v>
      </c>
      <c r="W3783">
        <v>5</v>
      </c>
      <c r="X3783">
        <v>0</v>
      </c>
      <c r="Y3783">
        <v>2</v>
      </c>
      <c r="Z3783">
        <v>0</v>
      </c>
    </row>
    <row r="3784" spans="1:26" x14ac:dyDescent="0.2">
      <c r="A3784" t="s">
        <v>3902</v>
      </c>
      <c r="B3784" t="s">
        <v>68</v>
      </c>
      <c r="C3784">
        <v>2018</v>
      </c>
      <c r="D3784" t="s">
        <v>22</v>
      </c>
      <c r="E3784" t="s">
        <v>31</v>
      </c>
      <c r="F3784" t="s">
        <v>24</v>
      </c>
      <c r="G3784">
        <v>31750</v>
      </c>
      <c r="H3784">
        <v>25400</v>
      </c>
      <c r="I3784" s="13">
        <v>0.75</v>
      </c>
      <c r="J3784" t="s">
        <v>6207</v>
      </c>
      <c r="K3784">
        <v>1</v>
      </c>
      <c r="L3784">
        <v>0</v>
      </c>
      <c r="M3784" t="s">
        <v>0</v>
      </c>
      <c r="N3784" s="2">
        <v>0.39</v>
      </c>
      <c r="O3784" s="2">
        <v>0.61</v>
      </c>
      <c r="P3784">
        <v>14</v>
      </c>
      <c r="Q3784">
        <v>9</v>
      </c>
      <c r="R3784">
        <v>7</v>
      </c>
      <c r="S3784">
        <v>1</v>
      </c>
      <c r="T3784">
        <v>10</v>
      </c>
      <c r="U3784">
        <v>15</v>
      </c>
      <c r="V3784">
        <v>1</v>
      </c>
      <c r="W3784">
        <v>3</v>
      </c>
      <c r="X3784">
        <v>0</v>
      </c>
      <c r="Y3784">
        <v>0</v>
      </c>
      <c r="Z3784">
        <v>0</v>
      </c>
    </row>
    <row r="3785" spans="1:26" x14ac:dyDescent="0.2">
      <c r="A3785" t="s">
        <v>3903</v>
      </c>
      <c r="B3785" t="s">
        <v>59</v>
      </c>
      <c r="C3785">
        <v>2018</v>
      </c>
      <c r="D3785" t="s">
        <v>23</v>
      </c>
      <c r="E3785" t="s">
        <v>73</v>
      </c>
      <c r="F3785" t="s">
        <v>20</v>
      </c>
      <c r="G3785">
        <v>62500</v>
      </c>
      <c r="H3785">
        <v>50000</v>
      </c>
      <c r="I3785" s="13">
        <v>1</v>
      </c>
      <c r="J3785" t="s">
        <v>6206</v>
      </c>
      <c r="K3785">
        <v>3</v>
      </c>
      <c r="L3785">
        <v>0</v>
      </c>
      <c r="M3785" t="s">
        <v>0</v>
      </c>
      <c r="N3785" s="2">
        <v>0.56000000000000005</v>
      </c>
      <c r="O3785" s="2">
        <v>0.44</v>
      </c>
      <c r="P3785">
        <v>13</v>
      </c>
      <c r="Q3785">
        <v>5</v>
      </c>
      <c r="R3785">
        <v>2</v>
      </c>
      <c r="S3785">
        <v>7</v>
      </c>
      <c r="T3785">
        <v>2</v>
      </c>
      <c r="U3785">
        <v>11</v>
      </c>
      <c r="V3785">
        <v>1</v>
      </c>
      <c r="W3785">
        <v>1</v>
      </c>
      <c r="X3785">
        <v>0</v>
      </c>
      <c r="Y3785">
        <v>0</v>
      </c>
      <c r="Z3785">
        <v>0</v>
      </c>
    </row>
    <row r="3786" spans="1:26" x14ac:dyDescent="0.2">
      <c r="A3786" t="s">
        <v>3904</v>
      </c>
      <c r="B3786" t="s">
        <v>66</v>
      </c>
      <c r="C3786">
        <v>2018</v>
      </c>
      <c r="D3786" t="s">
        <v>78</v>
      </c>
      <c r="E3786" t="s">
        <v>79</v>
      </c>
      <c r="F3786" t="s">
        <v>78</v>
      </c>
      <c r="G3786">
        <v>33280</v>
      </c>
      <c r="H3786">
        <v>26624</v>
      </c>
      <c r="I3786" s="13">
        <v>0</v>
      </c>
      <c r="J3786" t="s">
        <v>6207</v>
      </c>
      <c r="K3786">
        <v>2</v>
      </c>
      <c r="L3786">
        <v>3</v>
      </c>
      <c r="M3786" t="s">
        <v>1</v>
      </c>
      <c r="N3786" s="2">
        <v>0.39</v>
      </c>
      <c r="O3786" s="2">
        <v>0.61</v>
      </c>
      <c r="P3786">
        <v>12</v>
      </c>
      <c r="Q3786">
        <v>14</v>
      </c>
      <c r="R3786">
        <v>10</v>
      </c>
      <c r="S3786">
        <v>5</v>
      </c>
      <c r="T3786">
        <v>14</v>
      </c>
      <c r="U3786">
        <v>11</v>
      </c>
      <c r="V3786">
        <v>0</v>
      </c>
      <c r="W3786">
        <v>0</v>
      </c>
      <c r="X3786">
        <v>0</v>
      </c>
      <c r="Y3786">
        <v>0</v>
      </c>
      <c r="Z3786">
        <v>0</v>
      </c>
    </row>
    <row r="3787" spans="1:26" x14ac:dyDescent="0.2">
      <c r="A3787" t="s">
        <v>3905</v>
      </c>
      <c r="B3787" t="s">
        <v>37</v>
      </c>
      <c r="C3787">
        <v>2018</v>
      </c>
      <c r="D3787" t="s">
        <v>64</v>
      </c>
      <c r="E3787" t="s">
        <v>26</v>
      </c>
      <c r="F3787" t="s">
        <v>64</v>
      </c>
      <c r="G3787">
        <v>52264</v>
      </c>
      <c r="H3787">
        <v>41811.200000000004</v>
      </c>
      <c r="I3787" s="13">
        <v>0.5</v>
      </c>
      <c r="J3787" t="s">
        <v>6206</v>
      </c>
      <c r="K3787">
        <v>2</v>
      </c>
      <c r="L3787">
        <v>3</v>
      </c>
      <c r="M3787" t="s">
        <v>1</v>
      </c>
      <c r="N3787" s="2">
        <v>0.31</v>
      </c>
      <c r="O3787" s="2">
        <v>0.69</v>
      </c>
      <c r="P3787">
        <v>5</v>
      </c>
      <c r="Q3787">
        <v>14</v>
      </c>
      <c r="R3787">
        <v>2</v>
      </c>
      <c r="S3787">
        <v>3</v>
      </c>
      <c r="T3787">
        <v>10</v>
      </c>
      <c r="U3787">
        <v>4</v>
      </c>
      <c r="V3787">
        <v>1</v>
      </c>
      <c r="W3787">
        <v>1</v>
      </c>
      <c r="X3787">
        <v>0</v>
      </c>
      <c r="Y3787">
        <v>0</v>
      </c>
      <c r="Z3787">
        <v>0</v>
      </c>
    </row>
    <row r="3788" spans="1:26" x14ac:dyDescent="0.2">
      <c r="A3788" t="s">
        <v>3906</v>
      </c>
      <c r="B3788" t="s">
        <v>50</v>
      </c>
      <c r="C3788">
        <v>2018</v>
      </c>
      <c r="D3788" t="s">
        <v>89</v>
      </c>
      <c r="E3788" t="s">
        <v>48</v>
      </c>
      <c r="F3788" t="s">
        <v>89</v>
      </c>
      <c r="G3788">
        <v>24500</v>
      </c>
      <c r="H3788">
        <v>19600</v>
      </c>
      <c r="I3788" s="13">
        <v>0.5</v>
      </c>
      <c r="J3788" t="s">
        <v>6207</v>
      </c>
      <c r="K3788">
        <v>1</v>
      </c>
      <c r="L3788">
        <v>1</v>
      </c>
      <c r="M3788" t="s">
        <v>58</v>
      </c>
      <c r="N3788" s="2">
        <v>0.36</v>
      </c>
      <c r="O3788" s="2">
        <v>0.64</v>
      </c>
      <c r="P3788">
        <v>11</v>
      </c>
      <c r="Q3788">
        <v>12</v>
      </c>
      <c r="R3788">
        <v>3</v>
      </c>
      <c r="S3788">
        <v>7</v>
      </c>
      <c r="T3788">
        <v>10</v>
      </c>
      <c r="U3788">
        <v>10</v>
      </c>
      <c r="V3788">
        <v>1</v>
      </c>
      <c r="W3788">
        <v>1</v>
      </c>
      <c r="X3788">
        <v>0</v>
      </c>
      <c r="Y3788">
        <v>0</v>
      </c>
      <c r="Z3788">
        <v>0</v>
      </c>
    </row>
    <row r="3789" spans="1:26" x14ac:dyDescent="0.2">
      <c r="A3789" t="s">
        <v>3907</v>
      </c>
      <c r="B3789" t="s">
        <v>81</v>
      </c>
      <c r="C3789">
        <v>2018</v>
      </c>
      <c r="D3789" t="s">
        <v>18</v>
      </c>
      <c r="E3789" t="s">
        <v>85</v>
      </c>
      <c r="F3789" t="s">
        <v>20</v>
      </c>
      <c r="G3789">
        <v>40341</v>
      </c>
      <c r="H3789">
        <v>32272.800000000003</v>
      </c>
      <c r="I3789" s="13">
        <v>1</v>
      </c>
      <c r="J3789" t="s">
        <v>6207</v>
      </c>
      <c r="K3789">
        <v>3</v>
      </c>
      <c r="L3789">
        <v>0</v>
      </c>
      <c r="M3789" t="s">
        <v>0</v>
      </c>
      <c r="N3789" s="2">
        <v>0.59</v>
      </c>
      <c r="O3789" s="2">
        <v>0.41</v>
      </c>
      <c r="P3789">
        <v>15</v>
      </c>
      <c r="Q3789">
        <v>7</v>
      </c>
      <c r="R3789">
        <v>6</v>
      </c>
      <c r="S3789">
        <v>6</v>
      </c>
      <c r="T3789">
        <v>6</v>
      </c>
      <c r="U3789">
        <v>12</v>
      </c>
      <c r="V3789">
        <v>0</v>
      </c>
      <c r="W3789">
        <v>1</v>
      </c>
      <c r="X3789">
        <v>0</v>
      </c>
      <c r="Y3789">
        <v>0</v>
      </c>
      <c r="Z3789">
        <v>0</v>
      </c>
    </row>
    <row r="3790" spans="1:26" x14ac:dyDescent="0.2">
      <c r="A3790" t="s">
        <v>3908</v>
      </c>
      <c r="B3790" t="s">
        <v>61</v>
      </c>
      <c r="C3790">
        <v>2018</v>
      </c>
      <c r="D3790" t="s">
        <v>46</v>
      </c>
      <c r="E3790" t="s">
        <v>90</v>
      </c>
      <c r="F3790" t="s">
        <v>20</v>
      </c>
      <c r="G3790">
        <v>60704</v>
      </c>
      <c r="H3790">
        <v>48563.200000000004</v>
      </c>
      <c r="I3790" s="13">
        <v>0.8571428571428571</v>
      </c>
      <c r="J3790" t="s">
        <v>6207</v>
      </c>
      <c r="K3790">
        <v>1</v>
      </c>
      <c r="L3790">
        <v>1</v>
      </c>
      <c r="M3790" t="s">
        <v>58</v>
      </c>
      <c r="N3790" s="2">
        <v>0.71</v>
      </c>
      <c r="O3790" s="2">
        <v>0.28999999999999998</v>
      </c>
      <c r="P3790">
        <v>15</v>
      </c>
      <c r="Q3790">
        <v>10</v>
      </c>
      <c r="R3790">
        <v>16</v>
      </c>
      <c r="S3790">
        <v>3</v>
      </c>
      <c r="T3790">
        <v>9</v>
      </c>
      <c r="U3790">
        <v>14</v>
      </c>
      <c r="V3790">
        <v>5</v>
      </c>
      <c r="W3790">
        <v>2</v>
      </c>
      <c r="X3790">
        <v>0</v>
      </c>
      <c r="Y3790">
        <v>0</v>
      </c>
      <c r="Z3790">
        <v>2</v>
      </c>
    </row>
    <row r="3791" spans="1:26" x14ac:dyDescent="0.2">
      <c r="A3791" t="s">
        <v>3909</v>
      </c>
      <c r="B3791" t="s">
        <v>41</v>
      </c>
      <c r="C3791">
        <v>2018</v>
      </c>
      <c r="D3791" t="s">
        <v>40</v>
      </c>
      <c r="E3791" t="s">
        <v>80</v>
      </c>
      <c r="F3791" t="s">
        <v>49</v>
      </c>
      <c r="G3791">
        <v>53400</v>
      </c>
      <c r="H3791">
        <v>42720</v>
      </c>
      <c r="I3791" s="13">
        <v>0.8</v>
      </c>
      <c r="J3791" t="s">
        <v>6207</v>
      </c>
      <c r="K3791">
        <v>1</v>
      </c>
      <c r="L3791">
        <v>0</v>
      </c>
      <c r="M3791" t="s">
        <v>0</v>
      </c>
      <c r="N3791" s="2">
        <v>0.61</v>
      </c>
      <c r="O3791" s="2">
        <v>0.39</v>
      </c>
      <c r="P3791">
        <v>5</v>
      </c>
      <c r="Q3791">
        <v>13</v>
      </c>
      <c r="R3791">
        <v>11</v>
      </c>
      <c r="S3791">
        <v>0</v>
      </c>
      <c r="T3791">
        <v>12</v>
      </c>
      <c r="U3791">
        <v>5</v>
      </c>
      <c r="V3791">
        <v>3</v>
      </c>
      <c r="W3791">
        <v>2</v>
      </c>
      <c r="X3791">
        <v>0</v>
      </c>
      <c r="Y3791">
        <v>0</v>
      </c>
      <c r="Z3791">
        <v>0</v>
      </c>
    </row>
    <row r="3792" spans="1:26" x14ac:dyDescent="0.2">
      <c r="A3792" t="s">
        <v>3910</v>
      </c>
      <c r="B3792" t="s">
        <v>88</v>
      </c>
      <c r="C3792">
        <v>2018</v>
      </c>
      <c r="D3792" t="s">
        <v>85</v>
      </c>
      <c r="E3792" t="s">
        <v>23</v>
      </c>
      <c r="F3792" t="s">
        <v>85</v>
      </c>
      <c r="G3792">
        <v>22220</v>
      </c>
      <c r="H3792">
        <v>17776</v>
      </c>
      <c r="I3792" s="13">
        <v>1</v>
      </c>
      <c r="J3792" t="s">
        <v>6207</v>
      </c>
      <c r="K3792">
        <v>1</v>
      </c>
      <c r="L3792">
        <v>4</v>
      </c>
      <c r="M3792" t="s">
        <v>1</v>
      </c>
      <c r="N3792" s="2">
        <v>0.48</v>
      </c>
      <c r="O3792" s="2">
        <v>0.52</v>
      </c>
      <c r="P3792">
        <v>11</v>
      </c>
      <c r="Q3792">
        <v>12</v>
      </c>
      <c r="R3792">
        <v>7</v>
      </c>
      <c r="S3792">
        <v>2</v>
      </c>
      <c r="T3792">
        <v>10</v>
      </c>
      <c r="U3792">
        <v>10</v>
      </c>
      <c r="V3792">
        <v>1</v>
      </c>
      <c r="W3792">
        <v>0</v>
      </c>
      <c r="X3792">
        <v>1</v>
      </c>
      <c r="Y3792">
        <v>0</v>
      </c>
      <c r="Z3792">
        <v>1</v>
      </c>
    </row>
    <row r="3793" spans="1:26" x14ac:dyDescent="0.2">
      <c r="A3793" t="s">
        <v>3911</v>
      </c>
      <c r="B3793" t="s">
        <v>37</v>
      </c>
      <c r="C3793">
        <v>2018</v>
      </c>
      <c r="D3793" t="s">
        <v>51</v>
      </c>
      <c r="E3793" t="s">
        <v>45</v>
      </c>
      <c r="F3793" t="s">
        <v>20</v>
      </c>
      <c r="G3793">
        <v>36284</v>
      </c>
      <c r="H3793">
        <v>29027.200000000001</v>
      </c>
      <c r="I3793" s="13">
        <v>1</v>
      </c>
      <c r="J3793" t="s">
        <v>6206</v>
      </c>
      <c r="K3793">
        <v>2</v>
      </c>
      <c r="L3793">
        <v>2</v>
      </c>
      <c r="M3793" t="s">
        <v>58</v>
      </c>
      <c r="N3793" s="2">
        <v>0.55000000000000004</v>
      </c>
      <c r="O3793" s="2">
        <v>0.45</v>
      </c>
      <c r="P3793">
        <v>14</v>
      </c>
      <c r="Q3793">
        <v>12</v>
      </c>
      <c r="R3793">
        <v>7</v>
      </c>
      <c r="S3793">
        <v>4</v>
      </c>
      <c r="T3793">
        <v>10</v>
      </c>
      <c r="U3793">
        <v>13</v>
      </c>
      <c r="V3793">
        <v>0</v>
      </c>
      <c r="W3793">
        <v>2</v>
      </c>
      <c r="X3793">
        <v>0</v>
      </c>
      <c r="Y3793">
        <v>0</v>
      </c>
      <c r="Z3793">
        <v>0</v>
      </c>
    </row>
    <row r="3794" spans="1:26" x14ac:dyDescent="0.2">
      <c r="A3794" t="s">
        <v>3912</v>
      </c>
      <c r="B3794" t="s">
        <v>54</v>
      </c>
      <c r="C3794">
        <v>2018</v>
      </c>
      <c r="D3794" t="s">
        <v>73</v>
      </c>
      <c r="E3794" t="s">
        <v>89</v>
      </c>
      <c r="F3794" t="s">
        <v>73</v>
      </c>
      <c r="G3794">
        <v>32384</v>
      </c>
      <c r="H3794">
        <v>25907.200000000001</v>
      </c>
      <c r="I3794" s="13">
        <v>0</v>
      </c>
      <c r="J3794" t="s">
        <v>6206</v>
      </c>
      <c r="K3794">
        <v>1</v>
      </c>
      <c r="L3794">
        <v>1</v>
      </c>
      <c r="M3794" t="s">
        <v>58</v>
      </c>
      <c r="N3794" s="2">
        <v>0.54</v>
      </c>
      <c r="O3794" s="2">
        <v>0.46</v>
      </c>
      <c r="P3794">
        <v>8</v>
      </c>
      <c r="Q3794">
        <v>10</v>
      </c>
      <c r="R3794">
        <v>4</v>
      </c>
      <c r="S3794">
        <v>3</v>
      </c>
      <c r="T3794">
        <v>8</v>
      </c>
      <c r="U3794">
        <v>6</v>
      </c>
      <c r="V3794">
        <v>0</v>
      </c>
      <c r="W3794">
        <v>1</v>
      </c>
      <c r="X3794">
        <v>0</v>
      </c>
      <c r="Y3794">
        <v>0</v>
      </c>
      <c r="Z3794">
        <v>0</v>
      </c>
    </row>
    <row r="3795" spans="1:26" x14ac:dyDescent="0.2">
      <c r="A3795" t="s">
        <v>3913</v>
      </c>
      <c r="B3795" t="s">
        <v>68</v>
      </c>
      <c r="C3795">
        <v>2018</v>
      </c>
      <c r="D3795" t="s">
        <v>48</v>
      </c>
      <c r="E3795" t="s">
        <v>78</v>
      </c>
      <c r="F3795" t="s">
        <v>49</v>
      </c>
      <c r="G3795">
        <v>74197</v>
      </c>
      <c r="H3795">
        <v>59357.600000000006</v>
      </c>
      <c r="I3795" s="13">
        <v>0.66666666666666663</v>
      </c>
      <c r="J3795" t="s">
        <v>6207</v>
      </c>
      <c r="K3795">
        <v>0</v>
      </c>
      <c r="L3795">
        <v>2</v>
      </c>
      <c r="M3795" t="s">
        <v>1</v>
      </c>
      <c r="N3795" s="2">
        <v>0.73</v>
      </c>
      <c r="O3795" s="2">
        <v>0.27</v>
      </c>
      <c r="P3795">
        <v>6</v>
      </c>
      <c r="Q3795">
        <v>12</v>
      </c>
      <c r="R3795">
        <v>11</v>
      </c>
      <c r="S3795">
        <v>2</v>
      </c>
      <c r="T3795">
        <v>9</v>
      </c>
      <c r="U3795">
        <v>6</v>
      </c>
      <c r="V3795">
        <v>3</v>
      </c>
      <c r="W3795">
        <v>3</v>
      </c>
      <c r="X3795">
        <v>0</v>
      </c>
      <c r="Y3795">
        <v>0</v>
      </c>
      <c r="Z3795">
        <v>1</v>
      </c>
    </row>
    <row r="3796" spans="1:26" x14ac:dyDescent="0.2">
      <c r="A3796" t="s">
        <v>3914</v>
      </c>
      <c r="B3796" t="s">
        <v>32</v>
      </c>
      <c r="C3796">
        <v>2018</v>
      </c>
      <c r="D3796" t="s">
        <v>26</v>
      </c>
      <c r="E3796" t="s">
        <v>22</v>
      </c>
      <c r="F3796" t="s">
        <v>26</v>
      </c>
      <c r="G3796">
        <v>61276</v>
      </c>
      <c r="H3796">
        <v>49020.800000000003</v>
      </c>
      <c r="I3796" s="13">
        <v>0.5</v>
      </c>
      <c r="J3796" t="s">
        <v>6207</v>
      </c>
      <c r="K3796">
        <v>2</v>
      </c>
      <c r="L3796">
        <v>0</v>
      </c>
      <c r="M3796" t="s">
        <v>0</v>
      </c>
      <c r="N3796" s="2">
        <v>0.59</v>
      </c>
      <c r="O3796" s="2">
        <v>0.41</v>
      </c>
      <c r="P3796">
        <v>12</v>
      </c>
      <c r="Q3796">
        <v>6</v>
      </c>
      <c r="R3796">
        <v>4</v>
      </c>
      <c r="S3796">
        <v>1</v>
      </c>
      <c r="T3796">
        <v>3</v>
      </c>
      <c r="U3796">
        <v>11</v>
      </c>
      <c r="V3796">
        <v>0</v>
      </c>
      <c r="W3796">
        <v>2</v>
      </c>
      <c r="X3796">
        <v>0</v>
      </c>
      <c r="Y3796">
        <v>0</v>
      </c>
      <c r="Z3796">
        <v>0</v>
      </c>
    </row>
    <row r="3797" spans="1:26" x14ac:dyDescent="0.2">
      <c r="A3797" t="s">
        <v>3915</v>
      </c>
      <c r="B3797" t="s">
        <v>61</v>
      </c>
      <c r="C3797">
        <v>2018</v>
      </c>
      <c r="D3797" t="s">
        <v>80</v>
      </c>
      <c r="E3797" t="s">
        <v>18</v>
      </c>
      <c r="F3797" t="s">
        <v>80</v>
      </c>
      <c r="G3797">
        <v>32261</v>
      </c>
      <c r="H3797">
        <v>25808.800000000003</v>
      </c>
      <c r="I3797" s="13">
        <v>1</v>
      </c>
      <c r="J3797" t="s">
        <v>6207</v>
      </c>
      <c r="K3797">
        <v>0</v>
      </c>
      <c r="L3797">
        <v>0</v>
      </c>
      <c r="M3797" t="s">
        <v>58</v>
      </c>
      <c r="N3797" s="2">
        <v>0.47</v>
      </c>
      <c r="O3797" s="2">
        <v>0.53</v>
      </c>
      <c r="P3797">
        <v>8</v>
      </c>
      <c r="Q3797">
        <v>9</v>
      </c>
      <c r="R3797">
        <v>4</v>
      </c>
      <c r="S3797">
        <v>5</v>
      </c>
      <c r="T3797">
        <v>9</v>
      </c>
      <c r="U3797">
        <v>8</v>
      </c>
      <c r="V3797">
        <v>0</v>
      </c>
      <c r="W3797">
        <v>1</v>
      </c>
      <c r="X3797">
        <v>0</v>
      </c>
      <c r="Y3797">
        <v>0</v>
      </c>
      <c r="Z3797">
        <v>0</v>
      </c>
    </row>
    <row r="3798" spans="1:26" x14ac:dyDescent="0.2">
      <c r="A3798" t="s">
        <v>3916</v>
      </c>
      <c r="B3798" t="s">
        <v>60</v>
      </c>
      <c r="C3798">
        <v>2018</v>
      </c>
      <c r="D3798" t="s">
        <v>31</v>
      </c>
      <c r="E3798" t="s">
        <v>64</v>
      </c>
      <c r="F3798" t="s">
        <v>20</v>
      </c>
      <c r="G3798">
        <v>28500</v>
      </c>
      <c r="H3798">
        <v>22800</v>
      </c>
      <c r="I3798" s="13">
        <v>0</v>
      </c>
      <c r="J3798" t="s">
        <v>6208</v>
      </c>
      <c r="K3798">
        <v>0</v>
      </c>
      <c r="L3798">
        <v>4</v>
      </c>
      <c r="M3798" t="s">
        <v>1</v>
      </c>
      <c r="N3798" s="2">
        <v>0.68</v>
      </c>
      <c r="O3798" s="2">
        <v>0.32</v>
      </c>
      <c r="P3798">
        <v>7</v>
      </c>
      <c r="Q3798">
        <v>6</v>
      </c>
      <c r="R3798">
        <v>5</v>
      </c>
      <c r="S3798">
        <v>5</v>
      </c>
      <c r="T3798">
        <v>6</v>
      </c>
      <c r="U3798">
        <v>8</v>
      </c>
      <c r="V3798">
        <v>1</v>
      </c>
      <c r="W3798">
        <v>0</v>
      </c>
      <c r="X3798">
        <v>0</v>
      </c>
      <c r="Y3798">
        <v>0</v>
      </c>
      <c r="Z3798">
        <v>0</v>
      </c>
    </row>
    <row r="3799" spans="1:26" x14ac:dyDescent="0.2">
      <c r="A3799" t="s">
        <v>3917</v>
      </c>
      <c r="B3799" t="s">
        <v>74</v>
      </c>
      <c r="C3799">
        <v>2018</v>
      </c>
      <c r="D3799" t="s">
        <v>79</v>
      </c>
      <c r="E3799" t="s">
        <v>86</v>
      </c>
      <c r="F3799" t="s">
        <v>20</v>
      </c>
      <c r="G3799">
        <v>25486</v>
      </c>
      <c r="H3799">
        <v>20388.800000000003</v>
      </c>
      <c r="I3799" s="13">
        <v>0.66666666666666663</v>
      </c>
      <c r="J3799" t="s">
        <v>6208</v>
      </c>
      <c r="K3799">
        <v>5</v>
      </c>
      <c r="L3799">
        <v>3</v>
      </c>
      <c r="M3799" t="s">
        <v>0</v>
      </c>
      <c r="N3799" s="2">
        <v>0.45</v>
      </c>
      <c r="O3799" s="2">
        <v>0.55000000000000004</v>
      </c>
      <c r="P3799">
        <v>9</v>
      </c>
      <c r="Q3799">
        <v>16</v>
      </c>
      <c r="R3799">
        <v>4</v>
      </c>
      <c r="S3799">
        <v>4</v>
      </c>
      <c r="T3799">
        <v>11</v>
      </c>
      <c r="U3799">
        <v>8</v>
      </c>
      <c r="V3799">
        <v>3</v>
      </c>
      <c r="W3799">
        <v>0</v>
      </c>
      <c r="X3799">
        <v>0</v>
      </c>
      <c r="Y3799">
        <v>0</v>
      </c>
      <c r="Z3799">
        <v>0</v>
      </c>
    </row>
    <row r="3800" spans="1:26" x14ac:dyDescent="0.2">
      <c r="A3800" t="s">
        <v>3918</v>
      </c>
      <c r="B3800" t="s">
        <v>41</v>
      </c>
      <c r="C3800">
        <v>2018</v>
      </c>
      <c r="D3800" t="s">
        <v>28</v>
      </c>
      <c r="E3800" t="s">
        <v>46</v>
      </c>
      <c r="F3800" t="s">
        <v>28</v>
      </c>
      <c r="G3800">
        <v>21944</v>
      </c>
      <c r="H3800">
        <v>17555.2</v>
      </c>
      <c r="I3800" s="13">
        <v>0.16666666666666666</v>
      </c>
      <c r="J3800" t="s">
        <v>6207</v>
      </c>
      <c r="K3800">
        <v>1</v>
      </c>
      <c r="L3800">
        <v>3</v>
      </c>
      <c r="M3800" t="s">
        <v>1</v>
      </c>
      <c r="N3800" s="2">
        <v>0.4</v>
      </c>
      <c r="O3800" s="2">
        <v>0.6</v>
      </c>
      <c r="P3800">
        <v>3</v>
      </c>
      <c r="Q3800">
        <v>15</v>
      </c>
      <c r="R3800">
        <v>4</v>
      </c>
      <c r="S3800">
        <v>5</v>
      </c>
      <c r="T3800">
        <v>11</v>
      </c>
      <c r="U3800">
        <v>3</v>
      </c>
      <c r="V3800">
        <v>5</v>
      </c>
      <c r="W3800">
        <v>1</v>
      </c>
      <c r="X3800">
        <v>0</v>
      </c>
      <c r="Y3800">
        <v>0</v>
      </c>
      <c r="Z3800">
        <v>0</v>
      </c>
    </row>
    <row r="3801" spans="1:26" x14ac:dyDescent="0.2">
      <c r="A3801" t="s">
        <v>3919</v>
      </c>
      <c r="B3801" t="s">
        <v>66</v>
      </c>
      <c r="C3801">
        <v>2018</v>
      </c>
      <c r="D3801" t="s">
        <v>90</v>
      </c>
      <c r="E3801" t="s">
        <v>40</v>
      </c>
      <c r="F3801" t="s">
        <v>91</v>
      </c>
      <c r="G3801">
        <v>31876</v>
      </c>
      <c r="H3801">
        <v>25500.800000000003</v>
      </c>
      <c r="I3801" s="13">
        <v>0</v>
      </c>
      <c r="J3801" t="s">
        <v>6207</v>
      </c>
      <c r="K3801">
        <v>1</v>
      </c>
      <c r="L3801">
        <v>4</v>
      </c>
      <c r="M3801" t="s">
        <v>1</v>
      </c>
      <c r="N3801" s="2">
        <v>0.23</v>
      </c>
      <c r="O3801" s="2">
        <v>0.77</v>
      </c>
      <c r="P3801">
        <v>9</v>
      </c>
      <c r="Q3801">
        <v>13</v>
      </c>
      <c r="R3801">
        <v>2</v>
      </c>
      <c r="S3801">
        <v>6</v>
      </c>
      <c r="T3801">
        <v>12</v>
      </c>
      <c r="U3801">
        <v>8</v>
      </c>
      <c r="V3801">
        <v>0</v>
      </c>
      <c r="W3801">
        <v>0</v>
      </c>
      <c r="X3801">
        <v>0</v>
      </c>
      <c r="Y3801">
        <v>0</v>
      </c>
      <c r="Z3801">
        <v>0</v>
      </c>
    </row>
    <row r="3802" spans="1:26" x14ac:dyDescent="0.2">
      <c r="A3802" t="s">
        <v>3920</v>
      </c>
      <c r="B3802" t="s">
        <v>66</v>
      </c>
      <c r="C3802">
        <v>2019</v>
      </c>
      <c r="D3802" t="s">
        <v>26</v>
      </c>
      <c r="E3802" t="s">
        <v>69</v>
      </c>
      <c r="F3802" t="s">
        <v>26</v>
      </c>
      <c r="G3802">
        <v>61276</v>
      </c>
      <c r="H3802">
        <v>49020.800000000003</v>
      </c>
      <c r="I3802" s="13">
        <v>1</v>
      </c>
      <c r="J3802" t="s">
        <v>6207</v>
      </c>
      <c r="K3802">
        <v>4</v>
      </c>
      <c r="L3802">
        <v>1</v>
      </c>
      <c r="M3802" t="s">
        <v>0</v>
      </c>
      <c r="N3802" s="2">
        <v>0.57999999999999996</v>
      </c>
      <c r="O3802" s="2">
        <v>0.42</v>
      </c>
      <c r="P3802">
        <v>13</v>
      </c>
      <c r="Q3802">
        <v>9</v>
      </c>
      <c r="R3802">
        <v>11</v>
      </c>
      <c r="S3802">
        <v>2</v>
      </c>
      <c r="T3802">
        <v>9</v>
      </c>
      <c r="U3802">
        <v>9</v>
      </c>
      <c r="V3802">
        <v>0</v>
      </c>
      <c r="W3802">
        <v>2</v>
      </c>
      <c r="X3802">
        <v>0</v>
      </c>
      <c r="Y3802">
        <v>0</v>
      </c>
      <c r="Z3802">
        <v>0</v>
      </c>
    </row>
    <row r="3803" spans="1:26" x14ac:dyDescent="0.2">
      <c r="A3803" t="s">
        <v>3921</v>
      </c>
      <c r="B3803" t="s">
        <v>41</v>
      </c>
      <c r="C3803">
        <v>2019</v>
      </c>
      <c r="D3803" t="s">
        <v>23</v>
      </c>
      <c r="E3803" t="s">
        <v>40</v>
      </c>
      <c r="F3803" t="s">
        <v>20</v>
      </c>
      <c r="G3803">
        <v>62500</v>
      </c>
      <c r="H3803">
        <v>50000</v>
      </c>
      <c r="I3803" s="13">
        <v>0.5</v>
      </c>
      <c r="J3803" t="s">
        <v>6207</v>
      </c>
      <c r="K3803">
        <v>0</v>
      </c>
      <c r="L3803">
        <v>5</v>
      </c>
      <c r="M3803" t="s">
        <v>1</v>
      </c>
      <c r="N3803" s="2">
        <v>0.43</v>
      </c>
      <c r="O3803" s="2">
        <v>0.56999999999999995</v>
      </c>
      <c r="P3803">
        <v>12</v>
      </c>
      <c r="Q3803">
        <v>5</v>
      </c>
      <c r="R3803">
        <v>1</v>
      </c>
      <c r="S3803">
        <v>1</v>
      </c>
      <c r="T3803">
        <v>6</v>
      </c>
      <c r="U3803">
        <v>13</v>
      </c>
      <c r="V3803">
        <v>2</v>
      </c>
      <c r="W3803">
        <v>2</v>
      </c>
      <c r="X3803">
        <v>0</v>
      </c>
      <c r="Y3803">
        <v>0</v>
      </c>
      <c r="Z3803">
        <v>1</v>
      </c>
    </row>
    <row r="3804" spans="1:26" x14ac:dyDescent="0.2">
      <c r="A3804" t="s">
        <v>3922</v>
      </c>
      <c r="B3804" t="s">
        <v>76</v>
      </c>
      <c r="C3804">
        <v>2019</v>
      </c>
      <c r="D3804" t="s">
        <v>85</v>
      </c>
      <c r="E3804" t="s">
        <v>90</v>
      </c>
      <c r="F3804" t="s">
        <v>85</v>
      </c>
      <c r="G3804">
        <v>22220</v>
      </c>
      <c r="H3804">
        <v>17776</v>
      </c>
      <c r="I3804" s="13">
        <v>0</v>
      </c>
      <c r="J3804" t="s">
        <v>6207</v>
      </c>
      <c r="K3804">
        <v>0</v>
      </c>
      <c r="L3804">
        <v>3</v>
      </c>
      <c r="M3804" t="s">
        <v>1</v>
      </c>
      <c r="N3804" s="2">
        <v>0.48</v>
      </c>
      <c r="O3804" s="2">
        <v>0.52</v>
      </c>
      <c r="P3804">
        <v>14</v>
      </c>
      <c r="Q3804">
        <v>15</v>
      </c>
      <c r="R3804">
        <v>5</v>
      </c>
      <c r="S3804">
        <v>2</v>
      </c>
      <c r="T3804">
        <v>15</v>
      </c>
      <c r="U3804">
        <v>11</v>
      </c>
      <c r="V3804">
        <v>0</v>
      </c>
      <c r="W3804">
        <v>1</v>
      </c>
      <c r="X3804">
        <v>0</v>
      </c>
      <c r="Y3804">
        <v>0</v>
      </c>
      <c r="Z3804">
        <v>0</v>
      </c>
    </row>
    <row r="3805" spans="1:26" x14ac:dyDescent="0.2">
      <c r="A3805" t="s">
        <v>3923</v>
      </c>
      <c r="B3805" t="s">
        <v>68</v>
      </c>
      <c r="C3805">
        <v>2019</v>
      </c>
      <c r="D3805" t="s">
        <v>79</v>
      </c>
      <c r="E3805" t="s">
        <v>45</v>
      </c>
      <c r="F3805" t="s">
        <v>20</v>
      </c>
      <c r="G3805">
        <v>25486</v>
      </c>
      <c r="H3805">
        <v>20388.800000000003</v>
      </c>
      <c r="I3805" s="13">
        <v>0.8</v>
      </c>
      <c r="J3805" t="s">
        <v>6207</v>
      </c>
      <c r="K3805">
        <v>0</v>
      </c>
      <c r="L3805">
        <v>0</v>
      </c>
      <c r="M3805" t="s">
        <v>58</v>
      </c>
      <c r="N3805" s="2">
        <v>0.35</v>
      </c>
      <c r="O3805" s="2">
        <v>0.65</v>
      </c>
      <c r="P3805">
        <v>14</v>
      </c>
      <c r="Q3805">
        <v>21</v>
      </c>
      <c r="R3805">
        <v>6</v>
      </c>
      <c r="S3805">
        <v>2</v>
      </c>
      <c r="T3805">
        <v>16</v>
      </c>
      <c r="U3805">
        <v>14</v>
      </c>
      <c r="V3805">
        <v>2</v>
      </c>
      <c r="W3805">
        <v>2</v>
      </c>
      <c r="X3805">
        <v>0</v>
      </c>
      <c r="Y3805">
        <v>1</v>
      </c>
      <c r="Z3805">
        <v>0</v>
      </c>
    </row>
    <row r="3806" spans="1:26" x14ac:dyDescent="0.2">
      <c r="A3806" t="s">
        <v>3924</v>
      </c>
      <c r="B3806" t="s">
        <v>83</v>
      </c>
      <c r="C3806">
        <v>2019</v>
      </c>
      <c r="D3806" t="s">
        <v>28</v>
      </c>
      <c r="E3806" t="s">
        <v>73</v>
      </c>
      <c r="F3806" t="s">
        <v>28</v>
      </c>
      <c r="G3806">
        <v>21944</v>
      </c>
      <c r="H3806">
        <v>17555.2</v>
      </c>
      <c r="I3806" s="13">
        <v>0</v>
      </c>
      <c r="J3806" t="s">
        <v>6208</v>
      </c>
      <c r="K3806">
        <v>3</v>
      </c>
      <c r="L3806">
        <v>0</v>
      </c>
      <c r="M3806" t="s">
        <v>0</v>
      </c>
      <c r="N3806" s="2">
        <v>0.46</v>
      </c>
      <c r="O3806" s="2">
        <v>0.54</v>
      </c>
      <c r="P3806">
        <v>13</v>
      </c>
      <c r="Q3806">
        <v>10</v>
      </c>
      <c r="R3806">
        <v>2</v>
      </c>
      <c r="S3806">
        <v>7</v>
      </c>
      <c r="T3806">
        <v>6</v>
      </c>
      <c r="U3806">
        <v>12</v>
      </c>
      <c r="V3806">
        <v>0</v>
      </c>
      <c r="W3806">
        <v>0</v>
      </c>
      <c r="X3806">
        <v>0</v>
      </c>
      <c r="Y3806">
        <v>0</v>
      </c>
      <c r="Z3806">
        <v>0</v>
      </c>
    </row>
    <row r="3807" spans="1:26" x14ac:dyDescent="0.2">
      <c r="A3807" t="s">
        <v>3925</v>
      </c>
      <c r="B3807" t="s">
        <v>60</v>
      </c>
      <c r="C3807">
        <v>2019</v>
      </c>
      <c r="D3807" t="s">
        <v>86</v>
      </c>
      <c r="E3807" t="s">
        <v>95</v>
      </c>
      <c r="F3807" t="s">
        <v>86</v>
      </c>
      <c r="G3807">
        <v>11364</v>
      </c>
      <c r="H3807">
        <v>9091.2000000000007</v>
      </c>
      <c r="I3807" s="13">
        <v>0</v>
      </c>
      <c r="J3807" t="s">
        <v>6208</v>
      </c>
      <c r="K3807">
        <v>1</v>
      </c>
      <c r="L3807">
        <v>1</v>
      </c>
      <c r="M3807" t="s">
        <v>58</v>
      </c>
      <c r="N3807" s="2">
        <v>0.53</v>
      </c>
      <c r="O3807" s="2">
        <v>0.47</v>
      </c>
      <c r="P3807">
        <v>19</v>
      </c>
      <c r="Q3807">
        <v>11</v>
      </c>
      <c r="R3807">
        <v>3</v>
      </c>
      <c r="S3807">
        <v>4</v>
      </c>
      <c r="T3807">
        <v>10</v>
      </c>
      <c r="U3807">
        <v>19</v>
      </c>
      <c r="V3807">
        <v>2</v>
      </c>
      <c r="W3807">
        <v>1</v>
      </c>
      <c r="X3807">
        <v>0</v>
      </c>
      <c r="Y3807">
        <v>0</v>
      </c>
      <c r="Z3807">
        <v>0</v>
      </c>
    </row>
    <row r="3808" spans="1:26" x14ac:dyDescent="0.2">
      <c r="A3808" t="s">
        <v>3926</v>
      </c>
      <c r="B3808" t="s">
        <v>88</v>
      </c>
      <c r="C3808">
        <v>2019</v>
      </c>
      <c r="D3808" t="s">
        <v>51</v>
      </c>
      <c r="E3808" t="s">
        <v>42</v>
      </c>
      <c r="F3808" t="s">
        <v>20</v>
      </c>
      <c r="G3808">
        <v>36284</v>
      </c>
      <c r="H3808">
        <v>29027.200000000001</v>
      </c>
      <c r="I3808" s="13">
        <v>1</v>
      </c>
      <c r="J3808" t="s">
        <v>6207</v>
      </c>
      <c r="K3808">
        <v>3</v>
      </c>
      <c r="L3808">
        <v>1</v>
      </c>
      <c r="M3808" t="s">
        <v>0</v>
      </c>
      <c r="N3808" s="2">
        <v>0.7</v>
      </c>
      <c r="O3808" s="2">
        <v>0.3</v>
      </c>
      <c r="P3808">
        <v>9</v>
      </c>
      <c r="Q3808">
        <v>14</v>
      </c>
      <c r="R3808">
        <v>14</v>
      </c>
      <c r="S3808">
        <v>0</v>
      </c>
      <c r="T3808">
        <v>13</v>
      </c>
      <c r="U3808">
        <v>9</v>
      </c>
      <c r="V3808">
        <v>1</v>
      </c>
      <c r="W3808">
        <v>0</v>
      </c>
      <c r="X3808">
        <v>0</v>
      </c>
      <c r="Y3808">
        <v>0</v>
      </c>
      <c r="Z3808">
        <v>0</v>
      </c>
    </row>
    <row r="3809" spans="1:26" x14ac:dyDescent="0.2">
      <c r="A3809" t="s">
        <v>3927</v>
      </c>
      <c r="B3809" t="s">
        <v>32</v>
      </c>
      <c r="C3809">
        <v>2019</v>
      </c>
      <c r="D3809" t="s">
        <v>64</v>
      </c>
      <c r="E3809" t="s">
        <v>46</v>
      </c>
      <c r="F3809" t="s">
        <v>64</v>
      </c>
      <c r="G3809">
        <v>52264</v>
      </c>
      <c r="H3809">
        <v>41811.200000000004</v>
      </c>
      <c r="I3809" s="13">
        <v>0.75</v>
      </c>
      <c r="J3809" t="s">
        <v>6207</v>
      </c>
      <c r="K3809">
        <v>0</v>
      </c>
      <c r="L3809">
        <v>1</v>
      </c>
      <c r="M3809" t="s">
        <v>1</v>
      </c>
      <c r="N3809" s="2">
        <v>0.38</v>
      </c>
      <c r="O3809" s="2">
        <v>0.62</v>
      </c>
      <c r="P3809">
        <v>10</v>
      </c>
      <c r="Q3809">
        <v>17</v>
      </c>
      <c r="R3809">
        <v>5</v>
      </c>
      <c r="S3809">
        <v>3</v>
      </c>
      <c r="T3809">
        <v>12</v>
      </c>
      <c r="U3809">
        <v>7</v>
      </c>
      <c r="V3809">
        <v>1</v>
      </c>
      <c r="W3809">
        <v>3</v>
      </c>
      <c r="X3809">
        <v>0</v>
      </c>
      <c r="Y3809">
        <v>0</v>
      </c>
      <c r="Z3809">
        <v>0</v>
      </c>
    </row>
    <row r="3810" spans="1:26" x14ac:dyDescent="0.2">
      <c r="A3810" t="s">
        <v>3928</v>
      </c>
      <c r="B3810" t="s">
        <v>37</v>
      </c>
      <c r="C3810">
        <v>2019</v>
      </c>
      <c r="D3810" t="s">
        <v>80</v>
      </c>
      <c r="E3810" t="s">
        <v>22</v>
      </c>
      <c r="F3810" t="s">
        <v>80</v>
      </c>
      <c r="G3810">
        <v>32261</v>
      </c>
      <c r="H3810">
        <v>25808.800000000003</v>
      </c>
      <c r="I3810" s="13">
        <v>0.5</v>
      </c>
      <c r="J3810" t="s">
        <v>6206</v>
      </c>
      <c r="K3810">
        <v>0</v>
      </c>
      <c r="L3810">
        <v>0</v>
      </c>
      <c r="M3810" t="s">
        <v>58</v>
      </c>
      <c r="N3810" s="2">
        <v>0.7</v>
      </c>
      <c r="O3810" s="2">
        <v>0.3</v>
      </c>
      <c r="P3810">
        <v>12</v>
      </c>
      <c r="Q3810">
        <v>4</v>
      </c>
      <c r="R3810">
        <v>12</v>
      </c>
      <c r="S3810">
        <v>3</v>
      </c>
      <c r="T3810">
        <v>3</v>
      </c>
      <c r="U3810">
        <v>13</v>
      </c>
      <c r="V3810">
        <v>0</v>
      </c>
      <c r="W3810">
        <v>2</v>
      </c>
      <c r="X3810">
        <v>0</v>
      </c>
      <c r="Y3810">
        <v>0</v>
      </c>
      <c r="Z3810">
        <v>0</v>
      </c>
    </row>
    <row r="3811" spans="1:26" x14ac:dyDescent="0.2">
      <c r="A3811" t="s">
        <v>3929</v>
      </c>
      <c r="B3811" t="s">
        <v>61</v>
      </c>
      <c r="C3811">
        <v>2019</v>
      </c>
      <c r="D3811" t="s">
        <v>48</v>
      </c>
      <c r="E3811" t="s">
        <v>18</v>
      </c>
      <c r="F3811" t="s">
        <v>49</v>
      </c>
      <c r="G3811">
        <v>74197</v>
      </c>
      <c r="H3811">
        <v>59357.600000000006</v>
      </c>
      <c r="I3811" s="13">
        <v>0.7142857142857143</v>
      </c>
      <c r="J3811" t="s">
        <v>6207</v>
      </c>
      <c r="K3811">
        <v>4</v>
      </c>
      <c r="L3811">
        <v>0</v>
      </c>
      <c r="M3811" t="s">
        <v>0</v>
      </c>
      <c r="N3811" s="2">
        <v>0.46</v>
      </c>
      <c r="O3811" s="2">
        <v>0.54</v>
      </c>
      <c r="P3811">
        <v>12</v>
      </c>
      <c r="Q3811">
        <v>17</v>
      </c>
      <c r="R3811">
        <v>3</v>
      </c>
      <c r="S3811">
        <v>5</v>
      </c>
      <c r="T3811">
        <v>15</v>
      </c>
      <c r="U3811">
        <v>13</v>
      </c>
      <c r="V3811">
        <v>3</v>
      </c>
      <c r="W3811">
        <v>4</v>
      </c>
      <c r="X3811">
        <v>0</v>
      </c>
      <c r="Y3811">
        <v>0</v>
      </c>
      <c r="Z3811">
        <v>1</v>
      </c>
    </row>
    <row r="3812" spans="1:26" x14ac:dyDescent="0.2">
      <c r="A3812" t="s">
        <v>3930</v>
      </c>
      <c r="B3812" t="s">
        <v>41</v>
      </c>
      <c r="C3812">
        <v>2019</v>
      </c>
      <c r="D3812" t="s">
        <v>46</v>
      </c>
      <c r="E3812" t="s">
        <v>28</v>
      </c>
      <c r="F3812" t="s">
        <v>20</v>
      </c>
      <c r="G3812">
        <v>60704</v>
      </c>
      <c r="H3812">
        <v>48563.200000000004</v>
      </c>
      <c r="I3812" s="13">
        <v>0.66666666666666663</v>
      </c>
      <c r="J3812" t="s">
        <v>6207</v>
      </c>
      <c r="K3812">
        <v>2</v>
      </c>
      <c r="L3812">
        <v>1</v>
      </c>
      <c r="M3812" t="s">
        <v>0</v>
      </c>
      <c r="N3812" s="2">
        <v>0.68</v>
      </c>
      <c r="O3812" s="2">
        <v>0.32</v>
      </c>
      <c r="P3812">
        <v>12</v>
      </c>
      <c r="Q3812">
        <v>19</v>
      </c>
      <c r="R3812">
        <v>10</v>
      </c>
      <c r="S3812">
        <v>7</v>
      </c>
      <c r="T3812">
        <v>13</v>
      </c>
      <c r="U3812">
        <v>11</v>
      </c>
      <c r="V3812">
        <v>2</v>
      </c>
      <c r="W3812">
        <v>1</v>
      </c>
      <c r="X3812">
        <v>0</v>
      </c>
      <c r="Y3812">
        <v>0</v>
      </c>
      <c r="Z3812">
        <v>0</v>
      </c>
    </row>
    <row r="3813" spans="1:26" x14ac:dyDescent="0.2">
      <c r="A3813" t="s">
        <v>3931</v>
      </c>
      <c r="B3813" t="s">
        <v>37</v>
      </c>
      <c r="C3813">
        <v>2019</v>
      </c>
      <c r="D3813" t="s">
        <v>73</v>
      </c>
      <c r="E3813" t="s">
        <v>26</v>
      </c>
      <c r="F3813" t="s">
        <v>73</v>
      </c>
      <c r="G3813">
        <v>32384</v>
      </c>
      <c r="H3813">
        <v>25907.200000000001</v>
      </c>
      <c r="I3813" s="13">
        <v>0.66666666666666663</v>
      </c>
      <c r="J3813" t="s">
        <v>6206</v>
      </c>
      <c r="K3813">
        <v>1</v>
      </c>
      <c r="L3813">
        <v>2</v>
      </c>
      <c r="M3813" t="s">
        <v>1</v>
      </c>
      <c r="N3813" s="2">
        <v>0.37</v>
      </c>
      <c r="O3813" s="2">
        <v>0.63</v>
      </c>
      <c r="P3813">
        <v>7</v>
      </c>
      <c r="Q3813">
        <v>14</v>
      </c>
      <c r="R3813">
        <v>5</v>
      </c>
      <c r="S3813">
        <v>9</v>
      </c>
      <c r="T3813">
        <v>10</v>
      </c>
      <c r="U3813">
        <v>6</v>
      </c>
      <c r="V3813">
        <v>2</v>
      </c>
      <c r="W3813">
        <v>1</v>
      </c>
      <c r="X3813">
        <v>0</v>
      </c>
      <c r="Y3813">
        <v>0</v>
      </c>
      <c r="Z3813">
        <v>0</v>
      </c>
    </row>
    <row r="3814" spans="1:26" x14ac:dyDescent="0.2">
      <c r="A3814" t="s">
        <v>3932</v>
      </c>
      <c r="B3814" t="s">
        <v>59</v>
      </c>
      <c r="C3814">
        <v>2019</v>
      </c>
      <c r="D3814" t="s">
        <v>69</v>
      </c>
      <c r="E3814" t="s">
        <v>64</v>
      </c>
      <c r="F3814" t="s">
        <v>69</v>
      </c>
      <c r="G3814">
        <v>27359</v>
      </c>
      <c r="H3814">
        <v>21887.200000000001</v>
      </c>
      <c r="I3814" s="13">
        <v>0.25</v>
      </c>
      <c r="J3814" t="s">
        <v>6206</v>
      </c>
      <c r="K3814">
        <v>3</v>
      </c>
      <c r="L3814">
        <v>1</v>
      </c>
      <c r="M3814" t="s">
        <v>0</v>
      </c>
      <c r="N3814" s="2">
        <v>0.63</v>
      </c>
      <c r="O3814" s="2">
        <v>0.37</v>
      </c>
      <c r="P3814">
        <v>13</v>
      </c>
      <c r="Q3814">
        <v>11</v>
      </c>
      <c r="R3814">
        <v>7</v>
      </c>
      <c r="S3814">
        <v>5</v>
      </c>
      <c r="T3814">
        <v>9</v>
      </c>
      <c r="U3814">
        <v>11</v>
      </c>
      <c r="V3814">
        <v>1</v>
      </c>
      <c r="W3814">
        <v>3</v>
      </c>
      <c r="X3814">
        <v>0</v>
      </c>
      <c r="Y3814">
        <v>0</v>
      </c>
      <c r="Z3814">
        <v>0</v>
      </c>
    </row>
    <row r="3815" spans="1:26" x14ac:dyDescent="0.2">
      <c r="A3815" t="s">
        <v>3933</v>
      </c>
      <c r="B3815" t="s">
        <v>50</v>
      </c>
      <c r="C3815">
        <v>2019</v>
      </c>
      <c r="D3815" t="s">
        <v>45</v>
      </c>
      <c r="E3815" t="s">
        <v>85</v>
      </c>
      <c r="F3815" t="s">
        <v>26</v>
      </c>
      <c r="G3815">
        <v>39572</v>
      </c>
      <c r="H3815">
        <v>31657.600000000002</v>
      </c>
      <c r="I3815" s="13">
        <v>1</v>
      </c>
      <c r="J3815" t="s">
        <v>6207</v>
      </c>
      <c r="K3815">
        <v>1</v>
      </c>
      <c r="L3815">
        <v>0</v>
      </c>
      <c r="M3815" t="s">
        <v>0</v>
      </c>
      <c r="N3815" s="2">
        <v>0.44</v>
      </c>
      <c r="O3815" s="2">
        <v>0.56000000000000005</v>
      </c>
      <c r="P3815">
        <v>11</v>
      </c>
      <c r="Q3815">
        <v>13</v>
      </c>
      <c r="R3815">
        <v>4</v>
      </c>
      <c r="S3815">
        <v>7</v>
      </c>
      <c r="T3815">
        <v>11</v>
      </c>
      <c r="U3815">
        <v>11</v>
      </c>
      <c r="V3815">
        <v>2</v>
      </c>
      <c r="W3815">
        <v>3</v>
      </c>
      <c r="X3815">
        <v>0</v>
      </c>
      <c r="Y3815">
        <v>0</v>
      </c>
      <c r="Z3815">
        <v>0</v>
      </c>
    </row>
    <row r="3816" spans="1:26" x14ac:dyDescent="0.2">
      <c r="A3816" t="s">
        <v>3934</v>
      </c>
      <c r="B3816" t="s">
        <v>61</v>
      </c>
      <c r="C3816">
        <v>2019</v>
      </c>
      <c r="D3816" t="s">
        <v>90</v>
      </c>
      <c r="E3816" t="s">
        <v>23</v>
      </c>
      <c r="F3816" t="s">
        <v>91</v>
      </c>
      <c r="G3816">
        <v>31876</v>
      </c>
      <c r="H3816">
        <v>25500.800000000003</v>
      </c>
      <c r="I3816" s="13">
        <v>0.5</v>
      </c>
      <c r="J3816" t="s">
        <v>6207</v>
      </c>
      <c r="K3816">
        <v>1</v>
      </c>
      <c r="L3816">
        <v>1</v>
      </c>
      <c r="M3816" t="s">
        <v>58</v>
      </c>
      <c r="N3816" s="2">
        <v>0.56999999999999995</v>
      </c>
      <c r="O3816" s="2">
        <v>0.43</v>
      </c>
      <c r="P3816">
        <v>13</v>
      </c>
      <c r="Q3816">
        <v>14</v>
      </c>
      <c r="R3816">
        <v>8</v>
      </c>
      <c r="S3816">
        <v>6</v>
      </c>
      <c r="T3816">
        <v>11</v>
      </c>
      <c r="U3816">
        <v>10</v>
      </c>
      <c r="V3816">
        <v>0</v>
      </c>
      <c r="W3816">
        <v>2</v>
      </c>
      <c r="X3816">
        <v>0</v>
      </c>
      <c r="Y3816">
        <v>0</v>
      </c>
      <c r="Z3816">
        <v>0</v>
      </c>
    </row>
    <row r="3817" spans="1:26" x14ac:dyDescent="0.2">
      <c r="A3817" t="s">
        <v>3935</v>
      </c>
      <c r="B3817" t="s">
        <v>32</v>
      </c>
      <c r="C3817">
        <v>2019</v>
      </c>
      <c r="D3817" t="s">
        <v>42</v>
      </c>
      <c r="E3817" t="s">
        <v>86</v>
      </c>
      <c r="F3817" t="s">
        <v>38</v>
      </c>
      <c r="G3817">
        <v>42918</v>
      </c>
      <c r="H3817">
        <v>34334.400000000001</v>
      </c>
      <c r="I3817" s="13">
        <v>1</v>
      </c>
      <c r="J3817" t="s">
        <v>6207</v>
      </c>
      <c r="K3817">
        <v>1</v>
      </c>
      <c r="L3817">
        <v>2</v>
      </c>
      <c r="M3817" t="s">
        <v>1</v>
      </c>
      <c r="N3817" s="2">
        <v>0.63</v>
      </c>
      <c r="O3817" s="2">
        <v>0.37</v>
      </c>
      <c r="P3817">
        <v>15</v>
      </c>
      <c r="Q3817">
        <v>13</v>
      </c>
      <c r="R3817">
        <v>10</v>
      </c>
      <c r="S3817">
        <v>5</v>
      </c>
      <c r="T3817">
        <v>10</v>
      </c>
      <c r="U3817">
        <v>13</v>
      </c>
      <c r="V3817">
        <v>0</v>
      </c>
      <c r="W3817">
        <v>2</v>
      </c>
      <c r="X3817">
        <v>0</v>
      </c>
      <c r="Y3817">
        <v>0</v>
      </c>
      <c r="Z3817">
        <v>1</v>
      </c>
    </row>
    <row r="3818" spans="1:26" x14ac:dyDescent="0.2">
      <c r="A3818" t="s">
        <v>3936</v>
      </c>
      <c r="B3818" t="s">
        <v>66</v>
      </c>
      <c r="C3818">
        <v>2019</v>
      </c>
      <c r="D3818" t="s">
        <v>40</v>
      </c>
      <c r="E3818" t="s">
        <v>51</v>
      </c>
      <c r="F3818" t="s">
        <v>49</v>
      </c>
      <c r="G3818">
        <v>53400</v>
      </c>
      <c r="H3818">
        <v>42720</v>
      </c>
      <c r="I3818" s="13">
        <v>0</v>
      </c>
      <c r="J3818" t="s">
        <v>6207</v>
      </c>
      <c r="K3818">
        <v>2</v>
      </c>
      <c r="L3818">
        <v>2</v>
      </c>
      <c r="M3818" t="s">
        <v>58</v>
      </c>
      <c r="N3818" s="2">
        <v>0.56000000000000005</v>
      </c>
      <c r="O3818" s="2">
        <v>0.44</v>
      </c>
      <c r="P3818">
        <v>5</v>
      </c>
      <c r="Q3818">
        <v>14</v>
      </c>
      <c r="R3818">
        <v>13</v>
      </c>
      <c r="S3818">
        <v>2</v>
      </c>
      <c r="T3818">
        <v>14</v>
      </c>
      <c r="U3818">
        <v>4</v>
      </c>
      <c r="V3818">
        <v>1</v>
      </c>
      <c r="W3818">
        <v>0</v>
      </c>
      <c r="X3818">
        <v>0</v>
      </c>
      <c r="Y3818">
        <v>0</v>
      </c>
      <c r="Z3818">
        <v>0</v>
      </c>
    </row>
    <row r="3819" spans="1:26" x14ac:dyDescent="0.2">
      <c r="A3819" t="s">
        <v>3937</v>
      </c>
      <c r="B3819" t="s">
        <v>93</v>
      </c>
      <c r="C3819">
        <v>2019</v>
      </c>
      <c r="D3819" t="s">
        <v>95</v>
      </c>
      <c r="E3819" t="s">
        <v>79</v>
      </c>
      <c r="F3819" t="s">
        <v>57</v>
      </c>
      <c r="G3819">
        <v>32050</v>
      </c>
      <c r="H3819">
        <v>25640</v>
      </c>
      <c r="I3819" s="13">
        <v>0.5</v>
      </c>
      <c r="J3819" t="s">
        <v>6206</v>
      </c>
      <c r="K3819">
        <v>1</v>
      </c>
      <c r="L3819">
        <v>0</v>
      </c>
      <c r="M3819" t="s">
        <v>0</v>
      </c>
      <c r="N3819" s="2">
        <v>0.43</v>
      </c>
      <c r="O3819" s="2">
        <v>0.56999999999999995</v>
      </c>
      <c r="P3819">
        <v>12</v>
      </c>
      <c r="Q3819">
        <v>18</v>
      </c>
      <c r="R3819">
        <v>8</v>
      </c>
      <c r="S3819">
        <v>4</v>
      </c>
      <c r="T3819">
        <v>16</v>
      </c>
      <c r="U3819">
        <v>11</v>
      </c>
      <c r="V3819">
        <v>3</v>
      </c>
      <c r="W3819">
        <v>1</v>
      </c>
      <c r="X3819">
        <v>0</v>
      </c>
      <c r="Y3819">
        <v>0</v>
      </c>
      <c r="Z3819">
        <v>0</v>
      </c>
    </row>
    <row r="3820" spans="1:26" x14ac:dyDescent="0.2">
      <c r="A3820" t="s">
        <v>3938</v>
      </c>
      <c r="B3820" t="s">
        <v>96</v>
      </c>
      <c r="C3820">
        <v>2019</v>
      </c>
      <c r="D3820" t="s">
        <v>18</v>
      </c>
      <c r="E3820" t="s">
        <v>80</v>
      </c>
      <c r="F3820" t="s">
        <v>20</v>
      </c>
      <c r="G3820">
        <v>40341</v>
      </c>
      <c r="H3820">
        <v>32272.800000000003</v>
      </c>
      <c r="I3820" s="13">
        <v>1</v>
      </c>
      <c r="J3820" t="s">
        <v>6209</v>
      </c>
      <c r="K3820">
        <v>1</v>
      </c>
      <c r="L3820">
        <v>1</v>
      </c>
      <c r="M3820" t="s">
        <v>58</v>
      </c>
      <c r="N3820" s="2">
        <v>0.5</v>
      </c>
      <c r="O3820" s="2">
        <v>0.5</v>
      </c>
      <c r="P3820">
        <v>17</v>
      </c>
      <c r="Q3820">
        <v>12</v>
      </c>
      <c r="R3820">
        <v>4</v>
      </c>
      <c r="S3820">
        <v>5</v>
      </c>
      <c r="T3820">
        <v>9</v>
      </c>
      <c r="U3820">
        <v>14</v>
      </c>
      <c r="V3820">
        <v>1</v>
      </c>
      <c r="W3820">
        <v>0</v>
      </c>
      <c r="X3820">
        <v>0</v>
      </c>
      <c r="Y3820">
        <v>0</v>
      </c>
      <c r="Z3820">
        <v>0</v>
      </c>
    </row>
    <row r="3821" spans="1:26" x14ac:dyDescent="0.2">
      <c r="A3821" t="s">
        <v>3939</v>
      </c>
      <c r="B3821" t="s">
        <v>68</v>
      </c>
      <c r="C3821">
        <v>2019</v>
      </c>
      <c r="D3821" t="s">
        <v>22</v>
      </c>
      <c r="E3821" t="s">
        <v>48</v>
      </c>
      <c r="F3821" t="s">
        <v>24</v>
      </c>
      <c r="G3821">
        <v>31750</v>
      </c>
      <c r="H3821">
        <v>25400</v>
      </c>
      <c r="I3821" s="13">
        <v>0.5</v>
      </c>
      <c r="J3821" t="s">
        <v>6207</v>
      </c>
      <c r="K3821">
        <v>1</v>
      </c>
      <c r="L3821">
        <v>1</v>
      </c>
      <c r="M3821" t="s">
        <v>58</v>
      </c>
      <c r="N3821" s="2">
        <v>0.35</v>
      </c>
      <c r="O3821" s="2">
        <v>0.65</v>
      </c>
      <c r="P3821">
        <v>10</v>
      </c>
      <c r="Q3821">
        <v>16</v>
      </c>
      <c r="R3821">
        <v>4</v>
      </c>
      <c r="S3821">
        <v>6</v>
      </c>
      <c r="T3821">
        <v>17</v>
      </c>
      <c r="U3821">
        <v>8</v>
      </c>
      <c r="V3821">
        <v>2</v>
      </c>
      <c r="W3821">
        <v>2</v>
      </c>
      <c r="X3821">
        <v>0</v>
      </c>
      <c r="Y3821">
        <v>0</v>
      </c>
      <c r="Z3821">
        <v>1</v>
      </c>
    </row>
    <row r="3822" spans="1:26" x14ac:dyDescent="0.2">
      <c r="A3822" t="s">
        <v>3940</v>
      </c>
      <c r="B3822" t="s">
        <v>66</v>
      </c>
      <c r="C3822">
        <v>2019</v>
      </c>
      <c r="D3822" t="s">
        <v>42</v>
      </c>
      <c r="E3822" t="s">
        <v>45</v>
      </c>
      <c r="F3822" t="s">
        <v>38</v>
      </c>
      <c r="G3822">
        <v>42918</v>
      </c>
      <c r="H3822">
        <v>34334.400000000001</v>
      </c>
      <c r="I3822" s="13">
        <v>0.8</v>
      </c>
      <c r="J3822" t="s">
        <v>6207</v>
      </c>
      <c r="K3822">
        <v>2</v>
      </c>
      <c r="L3822">
        <v>0</v>
      </c>
      <c r="M3822" t="s">
        <v>0</v>
      </c>
      <c r="N3822" s="2">
        <v>0.35</v>
      </c>
      <c r="O3822" s="2">
        <v>0.65</v>
      </c>
      <c r="P3822">
        <v>19</v>
      </c>
      <c r="Q3822">
        <v>18</v>
      </c>
      <c r="R3822">
        <v>0</v>
      </c>
      <c r="S3822">
        <v>6</v>
      </c>
      <c r="T3822">
        <v>10</v>
      </c>
      <c r="U3822">
        <v>18</v>
      </c>
      <c r="V3822">
        <v>2</v>
      </c>
      <c r="W3822">
        <v>3</v>
      </c>
      <c r="X3822">
        <v>0</v>
      </c>
      <c r="Y3822">
        <v>0</v>
      </c>
      <c r="Z3822">
        <v>0</v>
      </c>
    </row>
    <row r="3823" spans="1:26" x14ac:dyDescent="0.2">
      <c r="A3823" t="s">
        <v>3941</v>
      </c>
      <c r="B3823" t="s">
        <v>32</v>
      </c>
      <c r="C3823">
        <v>2019</v>
      </c>
      <c r="D3823" t="s">
        <v>69</v>
      </c>
      <c r="E3823" t="s">
        <v>18</v>
      </c>
      <c r="F3823" t="s">
        <v>69</v>
      </c>
      <c r="G3823">
        <v>27359</v>
      </c>
      <c r="H3823">
        <v>21887.200000000001</v>
      </c>
      <c r="I3823" s="13">
        <v>1</v>
      </c>
      <c r="J3823" t="s">
        <v>6207</v>
      </c>
      <c r="K3823">
        <v>2</v>
      </c>
      <c r="L3823">
        <v>3</v>
      </c>
      <c r="M3823" t="s">
        <v>1</v>
      </c>
      <c r="N3823" s="2">
        <v>0.47</v>
      </c>
      <c r="O3823" s="2">
        <v>0.53</v>
      </c>
      <c r="P3823">
        <v>9</v>
      </c>
      <c r="Q3823">
        <v>10</v>
      </c>
      <c r="R3823">
        <v>1</v>
      </c>
      <c r="S3823">
        <v>8</v>
      </c>
      <c r="T3823">
        <v>9</v>
      </c>
      <c r="U3823">
        <v>9</v>
      </c>
      <c r="V3823">
        <v>1</v>
      </c>
      <c r="W3823">
        <v>1</v>
      </c>
      <c r="X3823">
        <v>0</v>
      </c>
      <c r="Y3823">
        <v>0</v>
      </c>
      <c r="Z3823">
        <v>0</v>
      </c>
    </row>
    <row r="3824" spans="1:26" x14ac:dyDescent="0.2">
      <c r="A3824" t="s">
        <v>3942</v>
      </c>
      <c r="B3824" t="s">
        <v>88</v>
      </c>
      <c r="C3824">
        <v>2019</v>
      </c>
      <c r="D3824" t="s">
        <v>85</v>
      </c>
      <c r="E3824" t="s">
        <v>23</v>
      </c>
      <c r="F3824" t="s">
        <v>85</v>
      </c>
      <c r="G3824">
        <v>22220</v>
      </c>
      <c r="H3824">
        <v>17776</v>
      </c>
      <c r="I3824" s="13">
        <v>1</v>
      </c>
      <c r="J3824" t="s">
        <v>6207</v>
      </c>
      <c r="K3824">
        <v>1</v>
      </c>
      <c r="L3824">
        <v>3</v>
      </c>
      <c r="M3824" t="s">
        <v>1</v>
      </c>
      <c r="N3824" s="2">
        <v>0.55000000000000004</v>
      </c>
      <c r="O3824" s="2">
        <v>0.45</v>
      </c>
      <c r="P3824">
        <v>13</v>
      </c>
      <c r="Q3824">
        <v>12</v>
      </c>
      <c r="R3824">
        <v>8</v>
      </c>
      <c r="S3824">
        <v>7</v>
      </c>
      <c r="T3824">
        <v>12</v>
      </c>
      <c r="U3824">
        <v>11</v>
      </c>
      <c r="V3824">
        <v>1</v>
      </c>
      <c r="W3824">
        <v>1</v>
      </c>
      <c r="X3824">
        <v>0</v>
      </c>
      <c r="Y3824">
        <v>0</v>
      </c>
      <c r="Z3824">
        <v>1</v>
      </c>
    </row>
    <row r="3825" spans="1:26" x14ac:dyDescent="0.2">
      <c r="A3825" t="s">
        <v>3943</v>
      </c>
      <c r="B3825" t="s">
        <v>92</v>
      </c>
      <c r="C3825">
        <v>2019</v>
      </c>
      <c r="D3825" t="s">
        <v>95</v>
      </c>
      <c r="E3825" t="s">
        <v>80</v>
      </c>
      <c r="F3825" t="s">
        <v>57</v>
      </c>
      <c r="G3825">
        <v>32050</v>
      </c>
      <c r="H3825">
        <v>25640</v>
      </c>
      <c r="I3825" s="13">
        <v>0</v>
      </c>
      <c r="J3825" t="s">
        <v>6207</v>
      </c>
      <c r="K3825">
        <v>1</v>
      </c>
      <c r="L3825">
        <v>2</v>
      </c>
      <c r="M3825" t="s">
        <v>1</v>
      </c>
      <c r="N3825" s="2">
        <v>0.49</v>
      </c>
      <c r="O3825" s="2">
        <v>0.51</v>
      </c>
      <c r="P3825">
        <v>11</v>
      </c>
      <c r="Q3825">
        <v>12</v>
      </c>
      <c r="R3825">
        <v>7</v>
      </c>
      <c r="S3825">
        <v>4</v>
      </c>
      <c r="T3825">
        <v>11</v>
      </c>
      <c r="U3825">
        <v>6</v>
      </c>
      <c r="V3825">
        <v>1</v>
      </c>
      <c r="W3825">
        <v>0</v>
      </c>
      <c r="X3825">
        <v>0</v>
      </c>
      <c r="Y3825">
        <v>0</v>
      </c>
      <c r="Z3825">
        <v>0</v>
      </c>
    </row>
    <row r="3826" spans="1:26" x14ac:dyDescent="0.2">
      <c r="A3826" t="s">
        <v>3944</v>
      </c>
      <c r="B3826" t="s">
        <v>81</v>
      </c>
      <c r="C3826">
        <v>2019</v>
      </c>
      <c r="D3826" t="s">
        <v>48</v>
      </c>
      <c r="E3826" t="s">
        <v>79</v>
      </c>
      <c r="F3826" t="s">
        <v>49</v>
      </c>
      <c r="G3826">
        <v>74197</v>
      </c>
      <c r="H3826">
        <v>59357.600000000006</v>
      </c>
      <c r="I3826" s="13">
        <v>0.66666666666666663</v>
      </c>
      <c r="J3826" t="s">
        <v>6207</v>
      </c>
      <c r="K3826">
        <v>1</v>
      </c>
      <c r="L3826">
        <v>2</v>
      </c>
      <c r="M3826" t="s">
        <v>1</v>
      </c>
      <c r="N3826" s="2">
        <v>0.71</v>
      </c>
      <c r="O3826" s="2">
        <v>0.28999999999999998</v>
      </c>
      <c r="P3826">
        <v>17</v>
      </c>
      <c r="Q3826">
        <v>8</v>
      </c>
      <c r="R3826">
        <v>8</v>
      </c>
      <c r="S3826">
        <v>1</v>
      </c>
      <c r="T3826">
        <v>8</v>
      </c>
      <c r="U3826">
        <v>18</v>
      </c>
      <c r="V3826">
        <v>2</v>
      </c>
      <c r="W3826">
        <v>4</v>
      </c>
      <c r="X3826">
        <v>0</v>
      </c>
      <c r="Y3826">
        <v>0</v>
      </c>
      <c r="Z3826">
        <v>1</v>
      </c>
    </row>
    <row r="3827" spans="1:26" x14ac:dyDescent="0.2">
      <c r="A3827" t="s">
        <v>3945</v>
      </c>
      <c r="B3827" t="s">
        <v>60</v>
      </c>
      <c r="C3827">
        <v>2019</v>
      </c>
      <c r="D3827" t="s">
        <v>90</v>
      </c>
      <c r="E3827" t="s">
        <v>73</v>
      </c>
      <c r="F3827" t="s">
        <v>91</v>
      </c>
      <c r="G3827">
        <v>31876</v>
      </c>
      <c r="H3827">
        <v>25500.800000000003</v>
      </c>
      <c r="I3827" s="13">
        <v>0.8</v>
      </c>
      <c r="J3827" t="s">
        <v>6208</v>
      </c>
      <c r="K3827">
        <v>0</v>
      </c>
      <c r="L3827">
        <v>2</v>
      </c>
      <c r="M3827" t="s">
        <v>1</v>
      </c>
      <c r="N3827" s="2">
        <v>0.51</v>
      </c>
      <c r="O3827" s="2">
        <v>0.49</v>
      </c>
      <c r="P3827">
        <v>10</v>
      </c>
      <c r="Q3827">
        <v>11</v>
      </c>
      <c r="R3827">
        <v>8</v>
      </c>
      <c r="S3827">
        <v>5</v>
      </c>
      <c r="T3827">
        <v>9</v>
      </c>
      <c r="U3827">
        <v>10</v>
      </c>
      <c r="V3827">
        <v>1</v>
      </c>
      <c r="W3827">
        <v>3</v>
      </c>
      <c r="X3827">
        <v>1</v>
      </c>
      <c r="Y3827">
        <v>0</v>
      </c>
      <c r="Z3827">
        <v>0</v>
      </c>
    </row>
    <row r="3828" spans="1:26" x14ac:dyDescent="0.2">
      <c r="A3828" t="s">
        <v>3946</v>
      </c>
      <c r="B3828" t="s">
        <v>61</v>
      </c>
      <c r="C3828">
        <v>2019</v>
      </c>
      <c r="D3828" t="s">
        <v>26</v>
      </c>
      <c r="E3828" t="s">
        <v>46</v>
      </c>
      <c r="F3828" t="s">
        <v>26</v>
      </c>
      <c r="G3828">
        <v>61276</v>
      </c>
      <c r="H3828">
        <v>49020.800000000003</v>
      </c>
      <c r="I3828" s="13">
        <v>1</v>
      </c>
      <c r="J3828" t="s">
        <v>6207</v>
      </c>
      <c r="K3828">
        <v>3</v>
      </c>
      <c r="L3828">
        <v>1</v>
      </c>
      <c r="M3828" t="s">
        <v>0</v>
      </c>
      <c r="N3828" s="2">
        <v>0.53</v>
      </c>
      <c r="O3828" s="2">
        <v>0.47</v>
      </c>
      <c r="P3828">
        <v>9</v>
      </c>
      <c r="Q3828">
        <v>9</v>
      </c>
      <c r="R3828">
        <v>6</v>
      </c>
      <c r="S3828">
        <v>4</v>
      </c>
      <c r="T3828">
        <v>8</v>
      </c>
      <c r="U3828">
        <v>5</v>
      </c>
      <c r="V3828">
        <v>1</v>
      </c>
      <c r="W3828">
        <v>1</v>
      </c>
      <c r="X3828">
        <v>0</v>
      </c>
      <c r="Y3828">
        <v>0</v>
      </c>
      <c r="Z3828">
        <v>1</v>
      </c>
    </row>
    <row r="3829" spans="1:26" x14ac:dyDescent="0.2">
      <c r="A3829" t="s">
        <v>3947</v>
      </c>
      <c r="B3829" t="s">
        <v>37</v>
      </c>
      <c r="C3829">
        <v>2019</v>
      </c>
      <c r="D3829" t="s">
        <v>86</v>
      </c>
      <c r="E3829" t="s">
        <v>40</v>
      </c>
      <c r="F3829" t="s">
        <v>86</v>
      </c>
      <c r="G3829">
        <v>11364</v>
      </c>
      <c r="H3829">
        <v>9091.2000000000007</v>
      </c>
      <c r="I3829" s="13">
        <v>0.75</v>
      </c>
      <c r="J3829" t="s">
        <v>6206</v>
      </c>
      <c r="K3829">
        <v>1</v>
      </c>
      <c r="L3829">
        <v>3</v>
      </c>
      <c r="M3829" t="s">
        <v>1</v>
      </c>
      <c r="N3829" s="2">
        <v>0.26</v>
      </c>
      <c r="O3829" s="2">
        <v>0.74</v>
      </c>
      <c r="P3829">
        <v>16</v>
      </c>
      <c r="Q3829">
        <v>9</v>
      </c>
      <c r="R3829">
        <v>4</v>
      </c>
      <c r="S3829">
        <v>5</v>
      </c>
      <c r="T3829">
        <v>7</v>
      </c>
      <c r="U3829">
        <v>13</v>
      </c>
      <c r="V3829">
        <v>1</v>
      </c>
      <c r="W3829">
        <v>3</v>
      </c>
      <c r="X3829">
        <v>0</v>
      </c>
      <c r="Y3829">
        <v>0</v>
      </c>
      <c r="Z3829">
        <v>0</v>
      </c>
    </row>
    <row r="3830" spans="1:26" x14ac:dyDescent="0.2">
      <c r="A3830" t="s">
        <v>3948</v>
      </c>
      <c r="B3830" t="s">
        <v>76</v>
      </c>
      <c r="C3830">
        <v>2019</v>
      </c>
      <c r="D3830" t="s">
        <v>22</v>
      </c>
      <c r="E3830" t="s">
        <v>28</v>
      </c>
      <c r="F3830" t="s">
        <v>24</v>
      </c>
      <c r="G3830">
        <v>31750</v>
      </c>
      <c r="H3830">
        <v>25400</v>
      </c>
      <c r="I3830" s="13">
        <v>0</v>
      </c>
      <c r="J3830" t="s">
        <v>6207</v>
      </c>
      <c r="K3830">
        <v>1</v>
      </c>
      <c r="L3830">
        <v>1</v>
      </c>
      <c r="M3830" t="s">
        <v>58</v>
      </c>
      <c r="N3830" s="2">
        <v>0.65</v>
      </c>
      <c r="O3830" s="2">
        <v>0.35</v>
      </c>
      <c r="P3830">
        <v>11</v>
      </c>
      <c r="Q3830">
        <v>10</v>
      </c>
      <c r="R3830">
        <v>4</v>
      </c>
      <c r="S3830">
        <v>3</v>
      </c>
      <c r="T3830">
        <v>9</v>
      </c>
      <c r="U3830">
        <v>11</v>
      </c>
      <c r="V3830">
        <v>0</v>
      </c>
      <c r="W3830">
        <v>2</v>
      </c>
      <c r="X3830">
        <v>0</v>
      </c>
      <c r="Y3830">
        <v>0</v>
      </c>
      <c r="Z3830">
        <v>1</v>
      </c>
    </row>
    <row r="3831" spans="1:26" x14ac:dyDescent="0.2">
      <c r="A3831" t="s">
        <v>3949</v>
      </c>
      <c r="B3831" t="s">
        <v>41</v>
      </c>
      <c r="C3831">
        <v>2019</v>
      </c>
      <c r="D3831" t="s">
        <v>51</v>
      </c>
      <c r="E3831" t="s">
        <v>64</v>
      </c>
      <c r="F3831" t="s">
        <v>20</v>
      </c>
      <c r="G3831">
        <v>36284</v>
      </c>
      <c r="H3831">
        <v>29027.200000000001</v>
      </c>
      <c r="I3831" s="13">
        <v>0.25</v>
      </c>
      <c r="J3831" t="s">
        <v>6207</v>
      </c>
      <c r="K3831">
        <v>0</v>
      </c>
      <c r="L3831">
        <v>1</v>
      </c>
      <c r="M3831" t="s">
        <v>1</v>
      </c>
      <c r="N3831" s="2">
        <v>0.8</v>
      </c>
      <c r="O3831" s="2">
        <v>0.2</v>
      </c>
      <c r="P3831">
        <v>9</v>
      </c>
      <c r="Q3831">
        <v>11</v>
      </c>
      <c r="R3831">
        <v>6</v>
      </c>
      <c r="S3831">
        <v>6</v>
      </c>
      <c r="T3831">
        <v>10</v>
      </c>
      <c r="U3831">
        <v>5</v>
      </c>
      <c r="V3831">
        <v>2</v>
      </c>
      <c r="W3831">
        <v>2</v>
      </c>
      <c r="X3831">
        <v>0</v>
      </c>
      <c r="Y3831">
        <v>0</v>
      </c>
      <c r="Z3831">
        <v>0</v>
      </c>
    </row>
    <row r="3832" spans="1:26" x14ac:dyDescent="0.2">
      <c r="A3832" t="s">
        <v>3950</v>
      </c>
      <c r="B3832" t="s">
        <v>41</v>
      </c>
      <c r="C3832">
        <v>2019</v>
      </c>
      <c r="D3832" t="s">
        <v>73</v>
      </c>
      <c r="E3832" t="s">
        <v>48</v>
      </c>
      <c r="F3832" t="s">
        <v>73</v>
      </c>
      <c r="G3832">
        <v>32384</v>
      </c>
      <c r="H3832">
        <v>25907.200000000001</v>
      </c>
      <c r="I3832" s="13">
        <v>0.2</v>
      </c>
      <c r="J3832" t="s">
        <v>6207</v>
      </c>
      <c r="K3832">
        <v>1</v>
      </c>
      <c r="L3832">
        <v>1</v>
      </c>
      <c r="M3832" t="s">
        <v>58</v>
      </c>
      <c r="N3832" s="2">
        <v>0.42</v>
      </c>
      <c r="O3832" s="2">
        <v>0.57999999999999996</v>
      </c>
      <c r="P3832">
        <v>8</v>
      </c>
      <c r="Q3832">
        <v>17</v>
      </c>
      <c r="R3832">
        <v>2</v>
      </c>
      <c r="S3832">
        <v>3</v>
      </c>
      <c r="T3832">
        <v>17</v>
      </c>
      <c r="U3832">
        <v>7</v>
      </c>
      <c r="V3832">
        <v>2</v>
      </c>
      <c r="W3832">
        <v>2</v>
      </c>
      <c r="X3832">
        <v>1</v>
      </c>
      <c r="Y3832">
        <v>0</v>
      </c>
      <c r="Z3832">
        <v>0</v>
      </c>
    </row>
    <row r="3833" spans="1:26" x14ac:dyDescent="0.2">
      <c r="A3833" t="s">
        <v>3951</v>
      </c>
      <c r="B3833" t="s">
        <v>81</v>
      </c>
      <c r="C3833">
        <v>2019</v>
      </c>
      <c r="D3833" t="s">
        <v>23</v>
      </c>
      <c r="E3833" t="s">
        <v>69</v>
      </c>
      <c r="F3833" t="s">
        <v>20</v>
      </c>
      <c r="G3833">
        <v>62500</v>
      </c>
      <c r="H3833">
        <v>50000</v>
      </c>
      <c r="I3833" s="13">
        <v>0</v>
      </c>
      <c r="J3833" t="s">
        <v>6207</v>
      </c>
      <c r="K3833">
        <v>2</v>
      </c>
      <c r="L3833">
        <v>0</v>
      </c>
      <c r="M3833" t="s">
        <v>0</v>
      </c>
      <c r="N3833" s="2">
        <v>0.49</v>
      </c>
      <c r="O3833" s="2">
        <v>0.51</v>
      </c>
      <c r="P3833">
        <v>13</v>
      </c>
      <c r="Q3833">
        <v>18</v>
      </c>
      <c r="R3833">
        <v>8</v>
      </c>
      <c r="S3833">
        <v>2</v>
      </c>
      <c r="T3833">
        <v>16</v>
      </c>
      <c r="U3833">
        <v>10</v>
      </c>
      <c r="V3833">
        <v>2</v>
      </c>
      <c r="W3833">
        <v>1</v>
      </c>
      <c r="X3833">
        <v>0</v>
      </c>
      <c r="Y3833">
        <v>0</v>
      </c>
      <c r="Z3833">
        <v>0</v>
      </c>
    </row>
    <row r="3834" spans="1:26" x14ac:dyDescent="0.2">
      <c r="A3834" t="s">
        <v>3952</v>
      </c>
      <c r="B3834" t="s">
        <v>83</v>
      </c>
      <c r="C3834">
        <v>2019</v>
      </c>
      <c r="D3834" t="s">
        <v>64</v>
      </c>
      <c r="E3834" t="s">
        <v>85</v>
      </c>
      <c r="F3834" t="s">
        <v>64</v>
      </c>
      <c r="G3834">
        <v>52264</v>
      </c>
      <c r="H3834">
        <v>41811.200000000004</v>
      </c>
      <c r="I3834" s="13">
        <v>0.4</v>
      </c>
      <c r="J3834" t="s">
        <v>6208</v>
      </c>
      <c r="K3834">
        <v>1</v>
      </c>
      <c r="L3834">
        <v>1</v>
      </c>
      <c r="M3834" t="s">
        <v>58</v>
      </c>
      <c r="N3834" s="2">
        <v>0.49</v>
      </c>
      <c r="O3834" s="2">
        <v>0.51</v>
      </c>
      <c r="P3834">
        <v>12</v>
      </c>
      <c r="Q3834">
        <v>12</v>
      </c>
      <c r="R3834">
        <v>6</v>
      </c>
      <c r="S3834">
        <v>5</v>
      </c>
      <c r="T3834">
        <v>5</v>
      </c>
      <c r="U3834">
        <v>11</v>
      </c>
      <c r="V3834">
        <v>2</v>
      </c>
      <c r="W3834">
        <v>3</v>
      </c>
      <c r="X3834">
        <v>0</v>
      </c>
      <c r="Y3834">
        <v>0</v>
      </c>
      <c r="Z3834">
        <v>0</v>
      </c>
    </row>
    <row r="3835" spans="1:26" x14ac:dyDescent="0.2">
      <c r="A3835" t="s">
        <v>3953</v>
      </c>
      <c r="B3835" t="s">
        <v>68</v>
      </c>
      <c r="C3835">
        <v>2019</v>
      </c>
      <c r="D3835" t="s">
        <v>40</v>
      </c>
      <c r="E3835" t="s">
        <v>90</v>
      </c>
      <c r="F3835" t="s">
        <v>49</v>
      </c>
      <c r="G3835">
        <v>53400</v>
      </c>
      <c r="H3835">
        <v>42720</v>
      </c>
      <c r="I3835" s="13">
        <v>0.5</v>
      </c>
      <c r="J3835" t="s">
        <v>6207</v>
      </c>
      <c r="K3835">
        <v>4</v>
      </c>
      <c r="L3835">
        <v>0</v>
      </c>
      <c r="M3835" t="s">
        <v>0</v>
      </c>
      <c r="N3835" s="2">
        <v>0.54</v>
      </c>
      <c r="O3835" s="2">
        <v>0.46</v>
      </c>
      <c r="P3835">
        <v>9</v>
      </c>
      <c r="Q3835">
        <v>12</v>
      </c>
      <c r="R3835">
        <v>8</v>
      </c>
      <c r="S3835">
        <v>1</v>
      </c>
      <c r="T3835">
        <v>10</v>
      </c>
      <c r="U3835">
        <v>6</v>
      </c>
      <c r="V3835">
        <v>1</v>
      </c>
      <c r="W3835">
        <v>1</v>
      </c>
      <c r="X3835">
        <v>0</v>
      </c>
      <c r="Y3835">
        <v>0</v>
      </c>
      <c r="Z3835">
        <v>0</v>
      </c>
    </row>
    <row r="3836" spans="1:26" x14ac:dyDescent="0.2">
      <c r="A3836" t="s">
        <v>3954</v>
      </c>
      <c r="B3836" t="s">
        <v>97</v>
      </c>
      <c r="C3836">
        <v>2019</v>
      </c>
      <c r="D3836" t="s">
        <v>80</v>
      </c>
      <c r="E3836" t="s">
        <v>86</v>
      </c>
      <c r="F3836" t="s">
        <v>80</v>
      </c>
      <c r="G3836">
        <v>32261</v>
      </c>
      <c r="H3836">
        <v>25808.800000000003</v>
      </c>
      <c r="I3836" s="13">
        <v>0.5</v>
      </c>
      <c r="J3836" t="s">
        <v>6207</v>
      </c>
      <c r="K3836">
        <v>3</v>
      </c>
      <c r="L3836">
        <v>1</v>
      </c>
      <c r="M3836" t="s">
        <v>0</v>
      </c>
      <c r="N3836" s="2">
        <v>0.55000000000000004</v>
      </c>
      <c r="O3836" s="2">
        <v>0.45</v>
      </c>
      <c r="P3836">
        <v>12</v>
      </c>
      <c r="Q3836">
        <v>11</v>
      </c>
      <c r="R3836">
        <v>4</v>
      </c>
      <c r="S3836">
        <v>5</v>
      </c>
      <c r="T3836">
        <v>9</v>
      </c>
      <c r="U3836">
        <v>11</v>
      </c>
      <c r="V3836">
        <v>1</v>
      </c>
      <c r="W3836">
        <v>3</v>
      </c>
      <c r="X3836">
        <v>0</v>
      </c>
      <c r="Y3836">
        <v>0</v>
      </c>
      <c r="Z3836">
        <v>0</v>
      </c>
    </row>
    <row r="3837" spans="1:26" x14ac:dyDescent="0.2">
      <c r="A3837" t="s">
        <v>3955</v>
      </c>
      <c r="B3837" t="s">
        <v>60</v>
      </c>
      <c r="C3837">
        <v>2019</v>
      </c>
      <c r="D3837" t="s">
        <v>79</v>
      </c>
      <c r="E3837" t="s">
        <v>42</v>
      </c>
      <c r="F3837" t="s">
        <v>20</v>
      </c>
      <c r="G3837">
        <v>25486</v>
      </c>
      <c r="H3837">
        <v>20388.800000000003</v>
      </c>
      <c r="I3837" s="13">
        <v>0.625</v>
      </c>
      <c r="J3837" t="s">
        <v>6208</v>
      </c>
      <c r="K3837">
        <v>1</v>
      </c>
      <c r="L3837">
        <v>0</v>
      </c>
      <c r="M3837" t="s">
        <v>0</v>
      </c>
      <c r="N3837" s="2">
        <v>0.53</v>
      </c>
      <c r="O3837" s="2">
        <v>0.47</v>
      </c>
      <c r="P3837">
        <v>15</v>
      </c>
      <c r="Q3837">
        <v>17</v>
      </c>
      <c r="R3837">
        <v>13</v>
      </c>
      <c r="S3837">
        <v>2</v>
      </c>
      <c r="T3837">
        <v>15</v>
      </c>
      <c r="U3837">
        <v>16</v>
      </c>
      <c r="V3837">
        <v>2</v>
      </c>
      <c r="W3837">
        <v>5</v>
      </c>
      <c r="X3837">
        <v>0</v>
      </c>
      <c r="Y3837">
        <v>1</v>
      </c>
      <c r="Z3837">
        <v>0</v>
      </c>
    </row>
    <row r="3838" spans="1:26" x14ac:dyDescent="0.2">
      <c r="A3838" t="s">
        <v>3956</v>
      </c>
      <c r="B3838" t="s">
        <v>59</v>
      </c>
      <c r="C3838">
        <v>2019</v>
      </c>
      <c r="D3838" t="s">
        <v>18</v>
      </c>
      <c r="E3838" t="s">
        <v>95</v>
      </c>
      <c r="F3838" t="s">
        <v>20</v>
      </c>
      <c r="G3838">
        <v>40341</v>
      </c>
      <c r="H3838">
        <v>32272.800000000003</v>
      </c>
      <c r="I3838" s="13">
        <v>0</v>
      </c>
      <c r="J3838" t="s">
        <v>6206</v>
      </c>
      <c r="K3838">
        <v>2</v>
      </c>
      <c r="L3838">
        <v>2</v>
      </c>
      <c r="M3838" t="s">
        <v>58</v>
      </c>
      <c r="N3838" s="2">
        <v>0.62</v>
      </c>
      <c r="O3838" s="2">
        <v>0.38</v>
      </c>
      <c r="P3838">
        <v>11</v>
      </c>
      <c r="Q3838">
        <v>9</v>
      </c>
      <c r="R3838">
        <v>3</v>
      </c>
      <c r="S3838">
        <v>4</v>
      </c>
      <c r="T3838">
        <v>6</v>
      </c>
      <c r="U3838">
        <v>11</v>
      </c>
      <c r="V3838">
        <v>0</v>
      </c>
      <c r="W3838">
        <v>1</v>
      </c>
      <c r="X3838">
        <v>0</v>
      </c>
      <c r="Y3838">
        <v>0</v>
      </c>
      <c r="Z3838">
        <v>0</v>
      </c>
    </row>
    <row r="3839" spans="1:26" x14ac:dyDescent="0.2">
      <c r="A3839" t="s">
        <v>3957</v>
      </c>
      <c r="B3839" t="s">
        <v>88</v>
      </c>
      <c r="C3839">
        <v>2019</v>
      </c>
      <c r="D3839" t="s">
        <v>28</v>
      </c>
      <c r="E3839" t="s">
        <v>26</v>
      </c>
      <c r="F3839" t="s">
        <v>28</v>
      </c>
      <c r="G3839">
        <v>21944</v>
      </c>
      <c r="H3839">
        <v>17555.2</v>
      </c>
      <c r="I3839" s="13">
        <v>0</v>
      </c>
      <c r="J3839" t="s">
        <v>6207</v>
      </c>
      <c r="K3839">
        <v>0</v>
      </c>
      <c r="L3839">
        <v>3</v>
      </c>
      <c r="M3839" t="s">
        <v>1</v>
      </c>
      <c r="N3839" s="2">
        <v>0.37</v>
      </c>
      <c r="O3839" s="2">
        <v>0.63</v>
      </c>
      <c r="P3839">
        <v>17</v>
      </c>
      <c r="Q3839">
        <v>15</v>
      </c>
      <c r="R3839">
        <v>6</v>
      </c>
      <c r="S3839">
        <v>4</v>
      </c>
      <c r="T3839">
        <v>10</v>
      </c>
      <c r="U3839">
        <v>16</v>
      </c>
      <c r="V3839">
        <v>0</v>
      </c>
      <c r="W3839">
        <v>0</v>
      </c>
      <c r="X3839">
        <v>0</v>
      </c>
      <c r="Y3839">
        <v>0</v>
      </c>
      <c r="Z3839">
        <v>0</v>
      </c>
    </row>
    <row r="3840" spans="1:26" x14ac:dyDescent="0.2">
      <c r="A3840" t="s">
        <v>3958</v>
      </c>
      <c r="B3840" t="s">
        <v>61</v>
      </c>
      <c r="C3840">
        <v>2019</v>
      </c>
      <c r="D3840" t="s">
        <v>45</v>
      </c>
      <c r="E3840" t="s">
        <v>22</v>
      </c>
      <c r="F3840" t="s">
        <v>26</v>
      </c>
      <c r="G3840">
        <v>39572</v>
      </c>
      <c r="H3840">
        <v>31657.600000000002</v>
      </c>
      <c r="I3840" s="13">
        <v>0.5714285714285714</v>
      </c>
      <c r="J3840" t="s">
        <v>6207</v>
      </c>
      <c r="K3840">
        <v>3</v>
      </c>
      <c r="L3840">
        <v>2</v>
      </c>
      <c r="M3840" t="s">
        <v>0</v>
      </c>
      <c r="N3840" s="2">
        <v>0.59</v>
      </c>
      <c r="O3840" s="2">
        <v>0.41</v>
      </c>
      <c r="P3840">
        <v>14</v>
      </c>
      <c r="Q3840">
        <v>13</v>
      </c>
      <c r="R3840">
        <v>7</v>
      </c>
      <c r="S3840">
        <v>7</v>
      </c>
      <c r="T3840">
        <v>12</v>
      </c>
      <c r="U3840">
        <v>12</v>
      </c>
      <c r="V3840">
        <v>1</v>
      </c>
      <c r="W3840">
        <v>5</v>
      </c>
      <c r="X3840">
        <v>0</v>
      </c>
      <c r="Y3840">
        <v>1</v>
      </c>
      <c r="Z3840">
        <v>0</v>
      </c>
    </row>
    <row r="3841" spans="1:26" x14ac:dyDescent="0.2">
      <c r="A3841" t="s">
        <v>3959</v>
      </c>
      <c r="B3841" t="s">
        <v>32</v>
      </c>
      <c r="C3841">
        <v>2019</v>
      </c>
      <c r="D3841" t="s">
        <v>46</v>
      </c>
      <c r="E3841" t="s">
        <v>51</v>
      </c>
      <c r="F3841" t="s">
        <v>20</v>
      </c>
      <c r="G3841">
        <v>60704</v>
      </c>
      <c r="H3841">
        <v>48563.200000000004</v>
      </c>
      <c r="I3841" s="13">
        <v>0.75</v>
      </c>
      <c r="J3841" t="s">
        <v>6207</v>
      </c>
      <c r="K3841">
        <v>2</v>
      </c>
      <c r="L3841">
        <v>2</v>
      </c>
      <c r="M3841" t="s">
        <v>58</v>
      </c>
      <c r="N3841" s="2">
        <v>0.55000000000000004</v>
      </c>
      <c r="O3841" s="2">
        <v>0.45</v>
      </c>
      <c r="P3841">
        <v>21</v>
      </c>
      <c r="Q3841">
        <v>13</v>
      </c>
      <c r="R3841">
        <v>11</v>
      </c>
      <c r="S3841">
        <v>6</v>
      </c>
      <c r="T3841">
        <v>13</v>
      </c>
      <c r="U3841">
        <v>19</v>
      </c>
      <c r="V3841">
        <v>3</v>
      </c>
      <c r="W3841">
        <v>5</v>
      </c>
      <c r="X3841">
        <v>0</v>
      </c>
      <c r="Y3841">
        <v>0</v>
      </c>
      <c r="Z3841">
        <v>1</v>
      </c>
    </row>
    <row r="3842" spans="1:26" x14ac:dyDescent="0.2">
      <c r="A3842" t="s">
        <v>3960</v>
      </c>
      <c r="B3842" t="s">
        <v>37</v>
      </c>
      <c r="C3842">
        <v>2019</v>
      </c>
      <c r="D3842" t="s">
        <v>26</v>
      </c>
      <c r="E3842" t="s">
        <v>64</v>
      </c>
      <c r="F3842" t="s">
        <v>26</v>
      </c>
      <c r="G3842">
        <v>61276</v>
      </c>
      <c r="H3842">
        <v>49020.800000000003</v>
      </c>
      <c r="I3842" s="13">
        <v>0</v>
      </c>
      <c r="J3842" t="s">
        <v>6206</v>
      </c>
      <c r="K3842">
        <v>3</v>
      </c>
      <c r="L3842">
        <v>1</v>
      </c>
      <c r="M3842" t="s">
        <v>0</v>
      </c>
      <c r="N3842" s="2">
        <v>0.76</v>
      </c>
      <c r="O3842" s="2">
        <v>0.24</v>
      </c>
      <c r="P3842">
        <v>13</v>
      </c>
      <c r="Q3842">
        <v>7</v>
      </c>
      <c r="R3842">
        <v>10</v>
      </c>
      <c r="S3842">
        <v>1</v>
      </c>
      <c r="T3842">
        <v>5</v>
      </c>
      <c r="U3842">
        <v>4</v>
      </c>
      <c r="V3842">
        <v>0</v>
      </c>
      <c r="W3842">
        <v>0</v>
      </c>
      <c r="X3842">
        <v>0</v>
      </c>
      <c r="Y3842">
        <v>0</v>
      </c>
      <c r="Z3842">
        <v>0</v>
      </c>
    </row>
    <row r="3843" spans="1:26" x14ac:dyDescent="0.2">
      <c r="A3843" t="s">
        <v>3961</v>
      </c>
      <c r="B3843" t="s">
        <v>83</v>
      </c>
      <c r="C3843">
        <v>2019</v>
      </c>
      <c r="D3843" t="s">
        <v>22</v>
      </c>
      <c r="E3843" t="s">
        <v>18</v>
      </c>
      <c r="F3843" t="s">
        <v>24</v>
      </c>
      <c r="G3843">
        <v>31750</v>
      </c>
      <c r="H3843">
        <v>25400</v>
      </c>
      <c r="I3843" s="13">
        <v>0.66666666666666663</v>
      </c>
      <c r="J3843" t="s">
        <v>6208</v>
      </c>
      <c r="K3843">
        <v>2</v>
      </c>
      <c r="L3843">
        <v>5</v>
      </c>
      <c r="M3843" t="s">
        <v>1</v>
      </c>
      <c r="N3843" s="2">
        <v>0.44</v>
      </c>
      <c r="O3843" s="2">
        <v>0.56000000000000005</v>
      </c>
      <c r="P3843">
        <v>12</v>
      </c>
      <c r="Q3843">
        <v>9</v>
      </c>
      <c r="R3843">
        <v>7</v>
      </c>
      <c r="S3843">
        <v>5</v>
      </c>
      <c r="T3843">
        <v>8</v>
      </c>
      <c r="U3843">
        <v>11</v>
      </c>
      <c r="V3843">
        <v>1</v>
      </c>
      <c r="W3843">
        <v>2</v>
      </c>
      <c r="X3843">
        <v>0</v>
      </c>
      <c r="Y3843">
        <v>0</v>
      </c>
      <c r="Z3843">
        <v>0</v>
      </c>
    </row>
    <row r="3844" spans="1:26" x14ac:dyDescent="0.2">
      <c r="A3844" t="s">
        <v>3962</v>
      </c>
      <c r="B3844" t="s">
        <v>76</v>
      </c>
      <c r="C3844">
        <v>2019</v>
      </c>
      <c r="D3844" t="s">
        <v>51</v>
      </c>
      <c r="E3844" t="s">
        <v>79</v>
      </c>
      <c r="F3844" t="s">
        <v>20</v>
      </c>
      <c r="G3844">
        <v>36284</v>
      </c>
      <c r="H3844">
        <v>29027.200000000001</v>
      </c>
      <c r="I3844" s="13">
        <v>0.5714285714285714</v>
      </c>
      <c r="J3844" t="s">
        <v>6207</v>
      </c>
      <c r="K3844">
        <v>4</v>
      </c>
      <c r="L3844">
        <v>0</v>
      </c>
      <c r="M3844" t="s">
        <v>0</v>
      </c>
      <c r="N3844" s="2">
        <v>0.64</v>
      </c>
      <c r="O3844" s="2">
        <v>0.36</v>
      </c>
      <c r="P3844">
        <v>12</v>
      </c>
      <c r="Q3844">
        <v>21</v>
      </c>
      <c r="R3844">
        <v>4</v>
      </c>
      <c r="S3844">
        <v>3</v>
      </c>
      <c r="T3844">
        <v>19</v>
      </c>
      <c r="U3844">
        <v>11</v>
      </c>
      <c r="V3844">
        <v>4</v>
      </c>
      <c r="W3844">
        <v>3</v>
      </c>
      <c r="X3844">
        <v>0</v>
      </c>
      <c r="Y3844">
        <v>0</v>
      </c>
      <c r="Z3844">
        <v>0</v>
      </c>
    </row>
    <row r="3845" spans="1:26" x14ac:dyDescent="0.2">
      <c r="A3845" t="s">
        <v>3963</v>
      </c>
      <c r="B3845" t="s">
        <v>50</v>
      </c>
      <c r="C3845">
        <v>2019</v>
      </c>
      <c r="D3845" t="s">
        <v>95</v>
      </c>
      <c r="E3845" t="s">
        <v>73</v>
      </c>
      <c r="F3845" t="s">
        <v>57</v>
      </c>
      <c r="G3845">
        <v>32050</v>
      </c>
      <c r="H3845">
        <v>25640</v>
      </c>
      <c r="I3845" s="13">
        <v>0.33333333333333331</v>
      </c>
      <c r="J3845" t="s">
        <v>6207</v>
      </c>
      <c r="K3845">
        <v>0</v>
      </c>
      <c r="L3845">
        <v>1</v>
      </c>
      <c r="M3845" t="s">
        <v>1</v>
      </c>
      <c r="N3845" s="2">
        <v>0.49</v>
      </c>
      <c r="O3845" s="2">
        <v>0.51</v>
      </c>
      <c r="P3845">
        <v>8</v>
      </c>
      <c r="Q3845">
        <v>13</v>
      </c>
      <c r="R3845">
        <v>12</v>
      </c>
      <c r="S3845">
        <v>6</v>
      </c>
      <c r="T3845">
        <v>10</v>
      </c>
      <c r="U3845">
        <v>7</v>
      </c>
      <c r="V3845">
        <v>1</v>
      </c>
      <c r="W3845">
        <v>1</v>
      </c>
      <c r="X3845">
        <v>1</v>
      </c>
      <c r="Y3845">
        <v>0</v>
      </c>
      <c r="Z3845">
        <v>0</v>
      </c>
    </row>
    <row r="3846" spans="1:26" x14ac:dyDescent="0.2">
      <c r="A3846" t="s">
        <v>3964</v>
      </c>
      <c r="B3846" t="s">
        <v>32</v>
      </c>
      <c r="C3846">
        <v>2019</v>
      </c>
      <c r="D3846" t="s">
        <v>48</v>
      </c>
      <c r="E3846" t="s">
        <v>80</v>
      </c>
      <c r="F3846" t="s">
        <v>49</v>
      </c>
      <c r="G3846">
        <v>74197</v>
      </c>
      <c r="H3846">
        <v>59357.600000000006</v>
      </c>
      <c r="I3846" s="13">
        <v>0</v>
      </c>
      <c r="J3846" t="s">
        <v>6207</v>
      </c>
      <c r="K3846">
        <v>1</v>
      </c>
      <c r="L3846">
        <v>0</v>
      </c>
      <c r="M3846" t="s">
        <v>0</v>
      </c>
      <c r="N3846" s="2">
        <v>0.42</v>
      </c>
      <c r="O3846" s="2">
        <v>0.57999999999999996</v>
      </c>
      <c r="P3846">
        <v>15</v>
      </c>
      <c r="Q3846">
        <v>14</v>
      </c>
      <c r="R3846">
        <v>3</v>
      </c>
      <c r="S3846">
        <v>9</v>
      </c>
      <c r="T3846">
        <v>14</v>
      </c>
      <c r="U3846">
        <v>14</v>
      </c>
      <c r="V3846">
        <v>1</v>
      </c>
      <c r="W3846">
        <v>2</v>
      </c>
      <c r="X3846">
        <v>0</v>
      </c>
      <c r="Y3846">
        <v>0</v>
      </c>
      <c r="Z3846">
        <v>1</v>
      </c>
    </row>
    <row r="3847" spans="1:26" x14ac:dyDescent="0.2">
      <c r="A3847" t="s">
        <v>3965</v>
      </c>
      <c r="B3847" t="s">
        <v>66</v>
      </c>
      <c r="C3847">
        <v>2019</v>
      </c>
      <c r="D3847" t="s">
        <v>90</v>
      </c>
      <c r="E3847" t="s">
        <v>28</v>
      </c>
      <c r="F3847" t="s">
        <v>91</v>
      </c>
      <c r="G3847">
        <v>31876</v>
      </c>
      <c r="H3847">
        <v>25500.800000000003</v>
      </c>
      <c r="I3847" s="13">
        <v>0</v>
      </c>
      <c r="J3847" t="s">
        <v>6207</v>
      </c>
      <c r="K3847">
        <v>1</v>
      </c>
      <c r="L3847">
        <v>1</v>
      </c>
      <c r="M3847" t="s">
        <v>58</v>
      </c>
      <c r="N3847" s="2">
        <v>0.63</v>
      </c>
      <c r="O3847" s="2">
        <v>0.37</v>
      </c>
      <c r="P3847">
        <v>10</v>
      </c>
      <c r="Q3847">
        <v>15</v>
      </c>
      <c r="R3847">
        <v>3</v>
      </c>
      <c r="S3847">
        <v>6</v>
      </c>
      <c r="T3847">
        <v>13</v>
      </c>
      <c r="U3847">
        <v>7</v>
      </c>
      <c r="V3847">
        <v>0</v>
      </c>
      <c r="W3847">
        <v>2</v>
      </c>
      <c r="X3847">
        <v>0</v>
      </c>
      <c r="Y3847">
        <v>0</v>
      </c>
      <c r="Z3847">
        <v>0</v>
      </c>
    </row>
    <row r="3848" spans="1:26" x14ac:dyDescent="0.2">
      <c r="A3848" t="s">
        <v>3966</v>
      </c>
      <c r="B3848" t="s">
        <v>60</v>
      </c>
      <c r="C3848">
        <v>2019</v>
      </c>
      <c r="D3848" t="s">
        <v>69</v>
      </c>
      <c r="E3848" t="s">
        <v>40</v>
      </c>
      <c r="F3848" t="s">
        <v>69</v>
      </c>
      <c r="G3848">
        <v>27359</v>
      </c>
      <c r="H3848">
        <v>21887.200000000001</v>
      </c>
      <c r="I3848" s="13">
        <v>0.25</v>
      </c>
      <c r="J3848" t="s">
        <v>6208</v>
      </c>
      <c r="K3848">
        <v>3</v>
      </c>
      <c r="L3848">
        <v>2</v>
      </c>
      <c r="M3848" t="s">
        <v>0</v>
      </c>
      <c r="N3848" s="2">
        <v>0.31</v>
      </c>
      <c r="O3848" s="2">
        <v>0.69</v>
      </c>
      <c r="P3848">
        <v>7</v>
      </c>
      <c r="Q3848">
        <v>9</v>
      </c>
      <c r="R3848">
        <v>3</v>
      </c>
      <c r="S3848">
        <v>16</v>
      </c>
      <c r="T3848">
        <v>8</v>
      </c>
      <c r="U3848">
        <v>7</v>
      </c>
      <c r="V3848">
        <v>3</v>
      </c>
      <c r="W3848">
        <v>1</v>
      </c>
      <c r="X3848">
        <v>0</v>
      </c>
      <c r="Y3848">
        <v>0</v>
      </c>
      <c r="Z3848">
        <v>0</v>
      </c>
    </row>
    <row r="3849" spans="1:26" x14ac:dyDescent="0.2">
      <c r="A3849" t="s">
        <v>3967</v>
      </c>
      <c r="B3849" t="s">
        <v>81</v>
      </c>
      <c r="C3849">
        <v>2019</v>
      </c>
      <c r="D3849" t="s">
        <v>86</v>
      </c>
      <c r="E3849" t="s">
        <v>45</v>
      </c>
      <c r="F3849" t="s">
        <v>86</v>
      </c>
      <c r="G3849">
        <v>11364</v>
      </c>
      <c r="H3849">
        <v>9091.2000000000007</v>
      </c>
      <c r="I3849" s="13">
        <v>0.75</v>
      </c>
      <c r="J3849" t="s">
        <v>6207</v>
      </c>
      <c r="K3849">
        <v>3</v>
      </c>
      <c r="L3849">
        <v>1</v>
      </c>
      <c r="M3849" t="s">
        <v>0</v>
      </c>
      <c r="N3849" s="2">
        <v>0.4</v>
      </c>
      <c r="O3849" s="2">
        <v>0.6</v>
      </c>
      <c r="P3849">
        <v>14</v>
      </c>
      <c r="Q3849">
        <v>9</v>
      </c>
      <c r="R3849">
        <v>7</v>
      </c>
      <c r="S3849">
        <v>7</v>
      </c>
      <c r="T3849">
        <v>5</v>
      </c>
      <c r="U3849">
        <v>14</v>
      </c>
      <c r="V3849">
        <v>0</v>
      </c>
      <c r="W3849">
        <v>4</v>
      </c>
      <c r="X3849">
        <v>0</v>
      </c>
      <c r="Y3849">
        <v>0</v>
      </c>
      <c r="Z3849">
        <v>0</v>
      </c>
    </row>
    <row r="3850" spans="1:26" x14ac:dyDescent="0.2">
      <c r="A3850" t="s">
        <v>3968</v>
      </c>
      <c r="B3850" t="s">
        <v>61</v>
      </c>
      <c r="C3850">
        <v>2019</v>
      </c>
      <c r="D3850" t="s">
        <v>85</v>
      </c>
      <c r="E3850" t="s">
        <v>46</v>
      </c>
      <c r="F3850" t="s">
        <v>85</v>
      </c>
      <c r="G3850">
        <v>22220</v>
      </c>
      <c r="H3850">
        <v>17776</v>
      </c>
      <c r="I3850" s="13">
        <v>1</v>
      </c>
      <c r="J3850" t="s">
        <v>6207</v>
      </c>
      <c r="K3850">
        <v>2</v>
      </c>
      <c r="L3850">
        <v>2</v>
      </c>
      <c r="M3850" t="s">
        <v>58</v>
      </c>
      <c r="N3850" s="2">
        <v>0.53</v>
      </c>
      <c r="O3850" s="2">
        <v>0.47</v>
      </c>
      <c r="P3850">
        <v>3</v>
      </c>
      <c r="Q3850">
        <v>15</v>
      </c>
      <c r="R3850">
        <v>7</v>
      </c>
      <c r="S3850">
        <v>1</v>
      </c>
      <c r="T3850">
        <v>14</v>
      </c>
      <c r="U3850">
        <v>4</v>
      </c>
      <c r="V3850">
        <v>3</v>
      </c>
      <c r="W3850">
        <v>3</v>
      </c>
      <c r="X3850">
        <v>0</v>
      </c>
      <c r="Y3850">
        <v>0</v>
      </c>
      <c r="Z3850">
        <v>1</v>
      </c>
    </row>
    <row r="3851" spans="1:26" x14ac:dyDescent="0.2">
      <c r="A3851" t="s">
        <v>3969</v>
      </c>
      <c r="B3851" t="s">
        <v>41</v>
      </c>
      <c r="C3851">
        <v>2019</v>
      </c>
      <c r="D3851" t="s">
        <v>42</v>
      </c>
      <c r="E3851" t="s">
        <v>23</v>
      </c>
      <c r="F3851" t="s">
        <v>38</v>
      </c>
      <c r="G3851">
        <v>42918</v>
      </c>
      <c r="H3851">
        <v>34334.400000000001</v>
      </c>
      <c r="I3851" s="13">
        <v>0.2</v>
      </c>
      <c r="J3851" t="s">
        <v>6207</v>
      </c>
      <c r="K3851">
        <v>0</v>
      </c>
      <c r="L3851">
        <v>0</v>
      </c>
      <c r="M3851" t="s">
        <v>58</v>
      </c>
      <c r="N3851" s="2">
        <v>0.47</v>
      </c>
      <c r="O3851" s="2">
        <v>0.53</v>
      </c>
      <c r="P3851">
        <v>15</v>
      </c>
      <c r="Q3851">
        <v>16</v>
      </c>
      <c r="R3851">
        <v>2</v>
      </c>
      <c r="S3851">
        <v>4</v>
      </c>
      <c r="T3851">
        <v>13</v>
      </c>
      <c r="U3851">
        <v>12</v>
      </c>
      <c r="V3851">
        <v>2</v>
      </c>
      <c r="W3851">
        <v>2</v>
      </c>
      <c r="X3851">
        <v>0</v>
      </c>
      <c r="Y3851">
        <v>1</v>
      </c>
      <c r="Z3851">
        <v>0</v>
      </c>
    </row>
    <row r="3852" spans="1:26" x14ac:dyDescent="0.2">
      <c r="A3852" t="s">
        <v>3970</v>
      </c>
      <c r="B3852" t="s">
        <v>88</v>
      </c>
      <c r="C3852">
        <v>2019</v>
      </c>
      <c r="D3852" t="s">
        <v>73</v>
      </c>
      <c r="E3852" t="s">
        <v>86</v>
      </c>
      <c r="F3852" t="s">
        <v>73</v>
      </c>
      <c r="G3852">
        <v>32384</v>
      </c>
      <c r="H3852">
        <v>25907.200000000001</v>
      </c>
      <c r="I3852" s="13">
        <v>0.5</v>
      </c>
      <c r="J3852" t="s">
        <v>6207</v>
      </c>
      <c r="K3852">
        <v>1</v>
      </c>
      <c r="L3852">
        <v>3</v>
      </c>
      <c r="M3852" t="s">
        <v>1</v>
      </c>
      <c r="N3852" s="2">
        <v>0.65</v>
      </c>
      <c r="O3852" s="2">
        <v>0.35</v>
      </c>
      <c r="P3852">
        <v>10</v>
      </c>
      <c r="Q3852">
        <v>9</v>
      </c>
      <c r="R3852">
        <v>4</v>
      </c>
      <c r="S3852">
        <v>5</v>
      </c>
      <c r="T3852">
        <v>8</v>
      </c>
      <c r="U3852">
        <v>9</v>
      </c>
      <c r="V3852">
        <v>1</v>
      </c>
      <c r="W3852">
        <v>3</v>
      </c>
      <c r="X3852">
        <v>0</v>
      </c>
      <c r="Y3852">
        <v>0</v>
      </c>
      <c r="Z3852">
        <v>1</v>
      </c>
    </row>
    <row r="3853" spans="1:26" x14ac:dyDescent="0.2">
      <c r="A3853" t="s">
        <v>3971</v>
      </c>
      <c r="B3853" t="s">
        <v>81</v>
      </c>
      <c r="C3853">
        <v>2019</v>
      </c>
      <c r="D3853" t="s">
        <v>80</v>
      </c>
      <c r="E3853" t="s">
        <v>51</v>
      </c>
      <c r="F3853" t="s">
        <v>80</v>
      </c>
      <c r="G3853">
        <v>32261</v>
      </c>
      <c r="H3853">
        <v>25808.800000000003</v>
      </c>
      <c r="I3853" s="13">
        <v>1</v>
      </c>
      <c r="J3853" t="s">
        <v>6207</v>
      </c>
      <c r="K3853">
        <v>2</v>
      </c>
      <c r="L3853">
        <v>1</v>
      </c>
      <c r="M3853" t="s">
        <v>0</v>
      </c>
      <c r="N3853" s="2">
        <v>0.44</v>
      </c>
      <c r="O3853" s="2">
        <v>0.56000000000000005</v>
      </c>
      <c r="P3853">
        <v>16</v>
      </c>
      <c r="Q3853">
        <v>19</v>
      </c>
      <c r="R3853">
        <v>8</v>
      </c>
      <c r="S3853">
        <v>2</v>
      </c>
      <c r="T3853">
        <v>16</v>
      </c>
      <c r="U3853">
        <v>13</v>
      </c>
      <c r="V3853">
        <v>1</v>
      </c>
      <c r="W3853">
        <v>2</v>
      </c>
      <c r="X3853">
        <v>0</v>
      </c>
      <c r="Y3853">
        <v>0</v>
      </c>
      <c r="Z3853">
        <v>0</v>
      </c>
    </row>
    <row r="3854" spans="1:26" x14ac:dyDescent="0.2">
      <c r="A3854" t="s">
        <v>3972</v>
      </c>
      <c r="B3854" t="s">
        <v>41</v>
      </c>
      <c r="C3854">
        <v>2019</v>
      </c>
      <c r="D3854" t="s">
        <v>40</v>
      </c>
      <c r="E3854" t="s">
        <v>85</v>
      </c>
      <c r="F3854" t="s">
        <v>49</v>
      </c>
      <c r="G3854">
        <v>53400</v>
      </c>
      <c r="H3854">
        <v>42720</v>
      </c>
      <c r="I3854" s="13">
        <v>1</v>
      </c>
      <c r="J3854" t="s">
        <v>6207</v>
      </c>
      <c r="K3854">
        <v>8</v>
      </c>
      <c r="L3854">
        <v>0</v>
      </c>
      <c r="M3854" t="s">
        <v>0</v>
      </c>
      <c r="N3854" s="2">
        <v>0.69</v>
      </c>
      <c r="O3854" s="2">
        <v>0.31</v>
      </c>
      <c r="P3854">
        <v>8</v>
      </c>
      <c r="Q3854">
        <v>7</v>
      </c>
      <c r="R3854">
        <v>5</v>
      </c>
      <c r="S3854">
        <v>4</v>
      </c>
      <c r="T3854">
        <v>5</v>
      </c>
      <c r="U3854">
        <v>9</v>
      </c>
      <c r="V3854">
        <v>2</v>
      </c>
      <c r="W3854">
        <v>2</v>
      </c>
      <c r="X3854">
        <v>0</v>
      </c>
      <c r="Y3854">
        <v>0</v>
      </c>
      <c r="Z3854">
        <v>1</v>
      </c>
    </row>
    <row r="3855" spans="1:26" x14ac:dyDescent="0.2">
      <c r="A3855" t="s">
        <v>3973</v>
      </c>
      <c r="B3855" t="s">
        <v>84</v>
      </c>
      <c r="C3855">
        <v>2019</v>
      </c>
      <c r="D3855" t="s">
        <v>45</v>
      </c>
      <c r="E3855" t="s">
        <v>95</v>
      </c>
      <c r="F3855" t="s">
        <v>26</v>
      </c>
      <c r="G3855">
        <v>39572</v>
      </c>
      <c r="H3855">
        <v>31657.600000000002</v>
      </c>
      <c r="I3855" s="13">
        <v>0.5</v>
      </c>
      <c r="J3855" t="s">
        <v>6208</v>
      </c>
      <c r="K3855">
        <v>0</v>
      </c>
      <c r="L3855">
        <v>2</v>
      </c>
      <c r="M3855" t="s">
        <v>1</v>
      </c>
      <c r="N3855" s="2">
        <v>0.7</v>
      </c>
      <c r="O3855" s="2">
        <v>0.3</v>
      </c>
      <c r="P3855">
        <v>10</v>
      </c>
      <c r="Q3855">
        <v>10</v>
      </c>
      <c r="R3855">
        <v>12</v>
      </c>
      <c r="S3855">
        <v>3</v>
      </c>
      <c r="T3855">
        <v>9</v>
      </c>
      <c r="U3855">
        <v>9</v>
      </c>
      <c r="V3855">
        <v>1</v>
      </c>
      <c r="W3855">
        <v>3</v>
      </c>
      <c r="X3855">
        <v>0</v>
      </c>
      <c r="Y3855">
        <v>0</v>
      </c>
      <c r="Z3855">
        <v>0</v>
      </c>
    </row>
    <row r="3856" spans="1:26" x14ac:dyDescent="0.2">
      <c r="A3856" t="s">
        <v>3974</v>
      </c>
      <c r="B3856" t="s">
        <v>93</v>
      </c>
      <c r="C3856">
        <v>2019</v>
      </c>
      <c r="D3856" t="s">
        <v>28</v>
      </c>
      <c r="E3856" t="s">
        <v>69</v>
      </c>
      <c r="F3856" t="s">
        <v>28</v>
      </c>
      <c r="G3856">
        <v>21944</v>
      </c>
      <c r="H3856">
        <v>17555.2</v>
      </c>
      <c r="I3856" s="13">
        <v>1</v>
      </c>
      <c r="J3856" t="s">
        <v>6206</v>
      </c>
      <c r="K3856">
        <v>2</v>
      </c>
      <c r="L3856">
        <v>0</v>
      </c>
      <c r="M3856" t="s">
        <v>0</v>
      </c>
      <c r="N3856" s="2">
        <v>0.41</v>
      </c>
      <c r="O3856" s="2">
        <v>0.59</v>
      </c>
      <c r="P3856">
        <v>10</v>
      </c>
      <c r="Q3856">
        <v>12</v>
      </c>
      <c r="R3856">
        <v>7</v>
      </c>
      <c r="S3856">
        <v>3</v>
      </c>
      <c r="T3856">
        <v>11</v>
      </c>
      <c r="U3856">
        <v>10</v>
      </c>
      <c r="V3856">
        <v>0</v>
      </c>
      <c r="W3856">
        <v>1</v>
      </c>
      <c r="X3856">
        <v>0</v>
      </c>
      <c r="Y3856">
        <v>0</v>
      </c>
      <c r="Z3856">
        <v>0</v>
      </c>
    </row>
    <row r="3857" spans="1:26" x14ac:dyDescent="0.2">
      <c r="A3857" t="s">
        <v>3975</v>
      </c>
      <c r="B3857" t="s">
        <v>32</v>
      </c>
      <c r="C3857">
        <v>2019</v>
      </c>
      <c r="D3857" t="s">
        <v>64</v>
      </c>
      <c r="E3857" t="s">
        <v>90</v>
      </c>
      <c r="F3857" t="s">
        <v>64</v>
      </c>
      <c r="G3857">
        <v>52264</v>
      </c>
      <c r="H3857">
        <v>41811.200000000004</v>
      </c>
      <c r="I3857" s="13">
        <v>0.66666666666666663</v>
      </c>
      <c r="J3857" t="s">
        <v>6207</v>
      </c>
      <c r="K3857">
        <v>0</v>
      </c>
      <c r="L3857">
        <v>0</v>
      </c>
      <c r="M3857" t="s">
        <v>58</v>
      </c>
      <c r="N3857" s="2">
        <v>0.28999999999999998</v>
      </c>
      <c r="O3857" s="2">
        <v>0.71</v>
      </c>
      <c r="P3857">
        <v>12</v>
      </c>
      <c r="Q3857">
        <v>12</v>
      </c>
      <c r="R3857">
        <v>5</v>
      </c>
      <c r="S3857">
        <v>3</v>
      </c>
      <c r="T3857">
        <v>12</v>
      </c>
      <c r="U3857">
        <v>8</v>
      </c>
      <c r="V3857">
        <v>2</v>
      </c>
      <c r="W3857">
        <v>1</v>
      </c>
      <c r="X3857">
        <v>0</v>
      </c>
      <c r="Y3857">
        <v>0</v>
      </c>
      <c r="Z3857">
        <v>0</v>
      </c>
    </row>
    <row r="3858" spans="1:26" x14ac:dyDescent="0.2">
      <c r="A3858" t="s">
        <v>3976</v>
      </c>
      <c r="B3858" t="s">
        <v>61</v>
      </c>
      <c r="C3858">
        <v>2019</v>
      </c>
      <c r="D3858" t="s">
        <v>23</v>
      </c>
      <c r="E3858" t="s">
        <v>48</v>
      </c>
      <c r="F3858" t="s">
        <v>20</v>
      </c>
      <c r="G3858">
        <v>62500</v>
      </c>
      <c r="H3858">
        <v>50000</v>
      </c>
      <c r="I3858" s="13">
        <v>0.5</v>
      </c>
      <c r="J3858" t="s">
        <v>6207</v>
      </c>
      <c r="K3858">
        <v>2</v>
      </c>
      <c r="L3858">
        <v>0</v>
      </c>
      <c r="M3858" t="s">
        <v>0</v>
      </c>
      <c r="N3858" s="2">
        <v>0.46</v>
      </c>
      <c r="O3858" s="2">
        <v>0.54</v>
      </c>
      <c r="P3858">
        <v>10</v>
      </c>
      <c r="Q3858">
        <v>10</v>
      </c>
      <c r="R3858">
        <v>3</v>
      </c>
      <c r="S3858">
        <v>7</v>
      </c>
      <c r="T3858">
        <v>8</v>
      </c>
      <c r="U3858">
        <v>9</v>
      </c>
      <c r="V3858">
        <v>2</v>
      </c>
      <c r="W3858">
        <v>2</v>
      </c>
      <c r="X3858">
        <v>0</v>
      </c>
      <c r="Y3858">
        <v>0</v>
      </c>
      <c r="Z3858">
        <v>0</v>
      </c>
    </row>
    <row r="3859" spans="1:26" x14ac:dyDescent="0.2">
      <c r="A3859" t="s">
        <v>3977</v>
      </c>
      <c r="B3859" t="s">
        <v>59</v>
      </c>
      <c r="C3859">
        <v>2019</v>
      </c>
      <c r="D3859" t="s">
        <v>79</v>
      </c>
      <c r="E3859" t="s">
        <v>22</v>
      </c>
      <c r="F3859" t="s">
        <v>20</v>
      </c>
      <c r="G3859">
        <v>25486</v>
      </c>
      <c r="H3859">
        <v>20388.800000000003</v>
      </c>
      <c r="I3859" s="13">
        <v>0.4</v>
      </c>
      <c r="J3859" t="s">
        <v>6206</v>
      </c>
      <c r="K3859">
        <v>1</v>
      </c>
      <c r="L3859">
        <v>1</v>
      </c>
      <c r="M3859" t="s">
        <v>58</v>
      </c>
      <c r="N3859" s="2">
        <v>0.5</v>
      </c>
      <c r="O3859" s="2">
        <v>0.5</v>
      </c>
      <c r="P3859">
        <v>10</v>
      </c>
      <c r="Q3859">
        <v>8</v>
      </c>
      <c r="R3859">
        <v>6</v>
      </c>
      <c r="S3859">
        <v>7</v>
      </c>
      <c r="T3859">
        <v>7</v>
      </c>
      <c r="U3859">
        <v>10</v>
      </c>
      <c r="V3859">
        <v>2</v>
      </c>
      <c r="W3859">
        <v>2</v>
      </c>
      <c r="X3859">
        <v>0</v>
      </c>
      <c r="Y3859">
        <v>1</v>
      </c>
      <c r="Z3859">
        <v>0</v>
      </c>
    </row>
    <row r="3860" spans="1:26" x14ac:dyDescent="0.2">
      <c r="A3860" t="s">
        <v>3978</v>
      </c>
      <c r="B3860" t="s">
        <v>66</v>
      </c>
      <c r="C3860">
        <v>2019</v>
      </c>
      <c r="D3860" t="s">
        <v>18</v>
      </c>
      <c r="E3860" t="s">
        <v>26</v>
      </c>
      <c r="F3860" t="s">
        <v>20</v>
      </c>
      <c r="G3860">
        <v>40341</v>
      </c>
      <c r="H3860">
        <v>32272.800000000003</v>
      </c>
      <c r="I3860" s="13">
        <v>0.5</v>
      </c>
      <c r="J3860" t="s">
        <v>6207</v>
      </c>
      <c r="K3860">
        <v>1</v>
      </c>
      <c r="L3860">
        <v>2</v>
      </c>
      <c r="M3860" t="s">
        <v>1</v>
      </c>
      <c r="N3860" s="2">
        <v>0.55000000000000004</v>
      </c>
      <c r="O3860" s="2">
        <v>0.45</v>
      </c>
      <c r="P3860">
        <v>6</v>
      </c>
      <c r="Q3860">
        <v>10</v>
      </c>
      <c r="R3860">
        <v>6</v>
      </c>
      <c r="S3860">
        <v>4</v>
      </c>
      <c r="T3860">
        <v>8</v>
      </c>
      <c r="U3860">
        <v>13</v>
      </c>
      <c r="V3860">
        <v>3</v>
      </c>
      <c r="W3860">
        <v>3</v>
      </c>
      <c r="X3860">
        <v>0</v>
      </c>
      <c r="Y3860">
        <v>0</v>
      </c>
      <c r="Z3860">
        <v>0</v>
      </c>
    </row>
    <row r="3861" spans="1:26" x14ac:dyDescent="0.2">
      <c r="A3861" t="s">
        <v>3979</v>
      </c>
      <c r="B3861" t="s">
        <v>68</v>
      </c>
      <c r="C3861">
        <v>2019</v>
      </c>
      <c r="D3861" t="s">
        <v>46</v>
      </c>
      <c r="E3861" t="s">
        <v>42</v>
      </c>
      <c r="F3861" t="s">
        <v>20</v>
      </c>
      <c r="G3861">
        <v>60704</v>
      </c>
      <c r="H3861">
        <v>48563.200000000004</v>
      </c>
      <c r="I3861" s="13">
        <v>0.75</v>
      </c>
      <c r="J3861" t="s">
        <v>6207</v>
      </c>
      <c r="K3861">
        <v>3</v>
      </c>
      <c r="L3861">
        <v>2</v>
      </c>
      <c r="M3861" t="s">
        <v>0</v>
      </c>
      <c r="N3861" s="2">
        <v>0.57999999999999996</v>
      </c>
      <c r="O3861" s="2">
        <v>0.42</v>
      </c>
      <c r="P3861">
        <v>15</v>
      </c>
      <c r="Q3861">
        <v>15</v>
      </c>
      <c r="R3861">
        <v>9</v>
      </c>
      <c r="S3861">
        <v>4</v>
      </c>
      <c r="T3861">
        <v>13</v>
      </c>
      <c r="U3861">
        <v>15</v>
      </c>
      <c r="V3861">
        <v>6</v>
      </c>
      <c r="W3861">
        <v>1</v>
      </c>
      <c r="X3861">
        <v>1</v>
      </c>
      <c r="Y3861">
        <v>0</v>
      </c>
      <c r="Z3861">
        <v>1</v>
      </c>
    </row>
    <row r="3862" spans="1:26" x14ac:dyDescent="0.2">
      <c r="A3862" t="s">
        <v>3980</v>
      </c>
      <c r="B3862" t="s">
        <v>61</v>
      </c>
      <c r="C3862">
        <v>2019</v>
      </c>
      <c r="D3862" t="s">
        <v>95</v>
      </c>
      <c r="E3862" t="s">
        <v>26</v>
      </c>
      <c r="F3862" t="s">
        <v>57</v>
      </c>
      <c r="G3862">
        <v>32050</v>
      </c>
      <c r="H3862">
        <v>25640</v>
      </c>
      <c r="I3862" s="13">
        <v>0.5</v>
      </c>
      <c r="J3862" t="s">
        <v>6207</v>
      </c>
      <c r="K3862">
        <v>0</v>
      </c>
      <c r="L3862">
        <v>1</v>
      </c>
      <c r="M3862" t="s">
        <v>1</v>
      </c>
      <c r="N3862" s="2">
        <v>0.3</v>
      </c>
      <c r="O3862" s="2">
        <v>0.7</v>
      </c>
      <c r="P3862">
        <v>5</v>
      </c>
      <c r="Q3862">
        <v>8</v>
      </c>
      <c r="R3862">
        <v>6</v>
      </c>
      <c r="S3862">
        <v>5</v>
      </c>
      <c r="T3862">
        <v>8</v>
      </c>
      <c r="U3862">
        <v>4</v>
      </c>
      <c r="V3862">
        <v>1</v>
      </c>
      <c r="W3862">
        <v>1</v>
      </c>
      <c r="X3862">
        <v>0</v>
      </c>
      <c r="Y3862">
        <v>0</v>
      </c>
      <c r="Z3862">
        <v>0</v>
      </c>
    </row>
    <row r="3863" spans="1:26" x14ac:dyDescent="0.2">
      <c r="A3863" t="s">
        <v>3981</v>
      </c>
      <c r="B3863" t="s">
        <v>81</v>
      </c>
      <c r="C3863">
        <v>2019</v>
      </c>
      <c r="D3863" t="s">
        <v>22</v>
      </c>
      <c r="E3863" t="s">
        <v>85</v>
      </c>
      <c r="F3863" t="s">
        <v>24</v>
      </c>
      <c r="G3863">
        <v>31750</v>
      </c>
      <c r="H3863">
        <v>25400</v>
      </c>
      <c r="I3863" s="13">
        <v>1</v>
      </c>
      <c r="J3863" t="s">
        <v>6207</v>
      </c>
      <c r="K3863">
        <v>2</v>
      </c>
      <c r="L3863">
        <v>0</v>
      </c>
      <c r="M3863" t="s">
        <v>0</v>
      </c>
      <c r="N3863" s="2">
        <v>0.39</v>
      </c>
      <c r="O3863" s="2">
        <v>0.61</v>
      </c>
      <c r="P3863">
        <v>8</v>
      </c>
      <c r="Q3863">
        <v>7</v>
      </c>
      <c r="R3863">
        <v>1</v>
      </c>
      <c r="S3863">
        <v>6</v>
      </c>
      <c r="T3863">
        <v>5</v>
      </c>
      <c r="U3863">
        <v>6</v>
      </c>
      <c r="V3863">
        <v>0</v>
      </c>
      <c r="W3863">
        <v>1</v>
      </c>
      <c r="X3863">
        <v>0</v>
      </c>
      <c r="Y3863">
        <v>0</v>
      </c>
      <c r="Z3863">
        <v>0</v>
      </c>
    </row>
    <row r="3864" spans="1:26" x14ac:dyDescent="0.2">
      <c r="A3864" t="s">
        <v>3982</v>
      </c>
      <c r="B3864" t="s">
        <v>83</v>
      </c>
      <c r="C3864">
        <v>2019</v>
      </c>
      <c r="D3864" t="s">
        <v>51</v>
      </c>
      <c r="E3864" t="s">
        <v>73</v>
      </c>
      <c r="F3864" t="s">
        <v>20</v>
      </c>
      <c r="G3864">
        <v>36284</v>
      </c>
      <c r="H3864">
        <v>29027.200000000001</v>
      </c>
      <c r="I3864" s="13">
        <v>0.75</v>
      </c>
      <c r="J3864" t="s">
        <v>6208</v>
      </c>
      <c r="K3864">
        <v>2</v>
      </c>
      <c r="L3864">
        <v>1</v>
      </c>
      <c r="M3864" t="s">
        <v>0</v>
      </c>
      <c r="N3864" s="2">
        <v>0.41</v>
      </c>
      <c r="O3864" s="2">
        <v>0.59</v>
      </c>
      <c r="P3864">
        <v>17</v>
      </c>
      <c r="Q3864">
        <v>6</v>
      </c>
      <c r="R3864">
        <v>6</v>
      </c>
      <c r="S3864">
        <v>6</v>
      </c>
      <c r="T3864">
        <v>5</v>
      </c>
      <c r="U3864">
        <v>16</v>
      </c>
      <c r="V3864">
        <v>1</v>
      </c>
      <c r="W3864">
        <v>2</v>
      </c>
      <c r="X3864">
        <v>1</v>
      </c>
      <c r="Y3864">
        <v>0</v>
      </c>
      <c r="Z3864">
        <v>0</v>
      </c>
    </row>
    <row r="3865" spans="1:26" x14ac:dyDescent="0.2">
      <c r="A3865" t="s">
        <v>3983</v>
      </c>
      <c r="B3865" t="s">
        <v>68</v>
      </c>
      <c r="C3865">
        <v>2019</v>
      </c>
      <c r="D3865" t="s">
        <v>79</v>
      </c>
      <c r="E3865" t="s">
        <v>69</v>
      </c>
      <c r="F3865" t="s">
        <v>20</v>
      </c>
      <c r="G3865">
        <v>25486</v>
      </c>
      <c r="H3865">
        <v>20388.800000000003</v>
      </c>
      <c r="I3865" s="13">
        <v>1</v>
      </c>
      <c r="J3865" t="s">
        <v>6207</v>
      </c>
      <c r="K3865">
        <v>2</v>
      </c>
      <c r="L3865">
        <v>0</v>
      </c>
      <c r="M3865" t="s">
        <v>0</v>
      </c>
      <c r="N3865" s="2">
        <v>0.45</v>
      </c>
      <c r="O3865" s="2">
        <v>0.55000000000000004</v>
      </c>
      <c r="P3865">
        <v>11</v>
      </c>
      <c r="Q3865">
        <v>17</v>
      </c>
      <c r="R3865">
        <v>5</v>
      </c>
      <c r="S3865">
        <v>5</v>
      </c>
      <c r="T3865">
        <v>14</v>
      </c>
      <c r="U3865">
        <v>10</v>
      </c>
      <c r="V3865">
        <v>3</v>
      </c>
      <c r="W3865">
        <v>1</v>
      </c>
      <c r="X3865">
        <v>0</v>
      </c>
      <c r="Y3865">
        <v>0</v>
      </c>
      <c r="Z3865">
        <v>1</v>
      </c>
    </row>
    <row r="3866" spans="1:26" x14ac:dyDescent="0.2">
      <c r="A3866" t="s">
        <v>3984</v>
      </c>
      <c r="B3866" t="s">
        <v>88</v>
      </c>
      <c r="C3866">
        <v>2019</v>
      </c>
      <c r="D3866" t="s">
        <v>18</v>
      </c>
      <c r="E3866" t="s">
        <v>90</v>
      </c>
      <c r="F3866" t="s">
        <v>20</v>
      </c>
      <c r="G3866">
        <v>40341</v>
      </c>
      <c r="H3866">
        <v>32272.800000000003</v>
      </c>
      <c r="I3866" s="13">
        <v>0.8</v>
      </c>
      <c r="J3866" t="s">
        <v>6207</v>
      </c>
      <c r="K3866">
        <v>2</v>
      </c>
      <c r="L3866">
        <v>0</v>
      </c>
      <c r="M3866" t="s">
        <v>0</v>
      </c>
      <c r="N3866" s="2">
        <v>0.53</v>
      </c>
      <c r="O3866" s="2">
        <v>0.47</v>
      </c>
      <c r="P3866">
        <v>14</v>
      </c>
      <c r="Q3866">
        <v>7</v>
      </c>
      <c r="R3866">
        <v>5</v>
      </c>
      <c r="S3866">
        <v>2</v>
      </c>
      <c r="T3866">
        <v>5</v>
      </c>
      <c r="U3866">
        <v>13</v>
      </c>
      <c r="V3866">
        <v>2</v>
      </c>
      <c r="W3866">
        <v>3</v>
      </c>
      <c r="X3866">
        <v>0</v>
      </c>
      <c r="Y3866">
        <v>0</v>
      </c>
      <c r="Z3866">
        <v>1</v>
      </c>
    </row>
    <row r="3867" spans="1:26" x14ac:dyDescent="0.2">
      <c r="A3867" t="s">
        <v>3985</v>
      </c>
      <c r="B3867" t="s">
        <v>59</v>
      </c>
      <c r="C3867">
        <v>2019</v>
      </c>
      <c r="D3867" t="s">
        <v>86</v>
      </c>
      <c r="E3867" t="s">
        <v>23</v>
      </c>
      <c r="F3867" t="s">
        <v>86</v>
      </c>
      <c r="G3867">
        <v>11364</v>
      </c>
      <c r="H3867">
        <v>9091.2000000000007</v>
      </c>
      <c r="I3867" s="13">
        <v>0.75</v>
      </c>
      <c r="J3867" t="s">
        <v>6206</v>
      </c>
      <c r="K3867">
        <v>2</v>
      </c>
      <c r="L3867">
        <v>2</v>
      </c>
      <c r="M3867" t="s">
        <v>58</v>
      </c>
      <c r="N3867" s="2">
        <v>0.48</v>
      </c>
      <c r="O3867" s="2">
        <v>0.52</v>
      </c>
      <c r="P3867">
        <v>9</v>
      </c>
      <c r="Q3867">
        <v>9</v>
      </c>
      <c r="R3867">
        <v>6</v>
      </c>
      <c r="S3867">
        <v>6</v>
      </c>
      <c r="T3867">
        <v>7</v>
      </c>
      <c r="U3867">
        <v>8</v>
      </c>
      <c r="V3867">
        <v>3</v>
      </c>
      <c r="W3867">
        <v>1</v>
      </c>
      <c r="X3867">
        <v>0</v>
      </c>
      <c r="Y3867">
        <v>0</v>
      </c>
      <c r="Z3867">
        <v>0</v>
      </c>
    </row>
    <row r="3868" spans="1:26" x14ac:dyDescent="0.2">
      <c r="A3868" t="s">
        <v>3986</v>
      </c>
      <c r="B3868" t="s">
        <v>50</v>
      </c>
      <c r="C3868">
        <v>2019</v>
      </c>
      <c r="D3868" t="s">
        <v>42</v>
      </c>
      <c r="E3868" t="s">
        <v>28</v>
      </c>
      <c r="F3868" t="s">
        <v>38</v>
      </c>
      <c r="G3868">
        <v>42918</v>
      </c>
      <c r="H3868">
        <v>34334.400000000001</v>
      </c>
      <c r="I3868" s="13">
        <v>0.4</v>
      </c>
      <c r="J3868" t="s">
        <v>6207</v>
      </c>
      <c r="K3868">
        <v>2</v>
      </c>
      <c r="L3868">
        <v>2</v>
      </c>
      <c r="M3868" t="s">
        <v>58</v>
      </c>
      <c r="N3868" s="2">
        <v>0.61</v>
      </c>
      <c r="O3868" s="2">
        <v>0.39</v>
      </c>
      <c r="P3868">
        <v>16</v>
      </c>
      <c r="Q3868">
        <v>12</v>
      </c>
      <c r="R3868">
        <v>7</v>
      </c>
      <c r="S3868">
        <v>3</v>
      </c>
      <c r="T3868">
        <v>10</v>
      </c>
      <c r="U3868">
        <v>16</v>
      </c>
      <c r="V3868">
        <v>1</v>
      </c>
      <c r="W3868">
        <v>4</v>
      </c>
      <c r="X3868">
        <v>0</v>
      </c>
      <c r="Y3868">
        <v>0</v>
      </c>
      <c r="Z3868">
        <v>0</v>
      </c>
    </row>
    <row r="3869" spans="1:26" x14ac:dyDescent="0.2">
      <c r="A3869" t="s">
        <v>3987</v>
      </c>
      <c r="B3869" t="s">
        <v>66</v>
      </c>
      <c r="C3869">
        <v>2019</v>
      </c>
      <c r="D3869" t="s">
        <v>45</v>
      </c>
      <c r="E3869" t="s">
        <v>40</v>
      </c>
      <c r="F3869" t="s">
        <v>26</v>
      </c>
      <c r="G3869">
        <v>39572</v>
      </c>
      <c r="H3869">
        <v>31657.600000000002</v>
      </c>
      <c r="I3869" s="13">
        <v>1</v>
      </c>
      <c r="J3869" t="s">
        <v>6207</v>
      </c>
      <c r="K3869">
        <v>1</v>
      </c>
      <c r="L3869">
        <v>3</v>
      </c>
      <c r="M3869" t="s">
        <v>1</v>
      </c>
      <c r="N3869" s="2">
        <v>0.37</v>
      </c>
      <c r="O3869" s="2">
        <v>0.63</v>
      </c>
      <c r="P3869">
        <v>13</v>
      </c>
      <c r="Q3869">
        <v>6</v>
      </c>
      <c r="R3869">
        <v>5</v>
      </c>
      <c r="S3869">
        <v>2</v>
      </c>
      <c r="T3869">
        <v>4</v>
      </c>
      <c r="U3869">
        <v>8</v>
      </c>
      <c r="V3869">
        <v>2</v>
      </c>
      <c r="W3869">
        <v>2</v>
      </c>
      <c r="X3869">
        <v>0</v>
      </c>
      <c r="Y3869">
        <v>0</v>
      </c>
      <c r="Z3869">
        <v>0</v>
      </c>
    </row>
    <row r="3870" spans="1:26" x14ac:dyDescent="0.2">
      <c r="A3870" t="s">
        <v>3988</v>
      </c>
      <c r="B3870" t="s">
        <v>76</v>
      </c>
      <c r="C3870">
        <v>2019</v>
      </c>
      <c r="D3870" t="s">
        <v>80</v>
      </c>
      <c r="E3870" t="s">
        <v>64</v>
      </c>
      <c r="F3870" t="s">
        <v>80</v>
      </c>
      <c r="G3870">
        <v>32261</v>
      </c>
      <c r="H3870">
        <v>25808.800000000003</v>
      </c>
      <c r="I3870" s="13">
        <v>0.66666666666666663</v>
      </c>
      <c r="J3870" t="s">
        <v>6207</v>
      </c>
      <c r="K3870">
        <v>5</v>
      </c>
      <c r="L3870">
        <v>0</v>
      </c>
      <c r="M3870" t="s">
        <v>0</v>
      </c>
      <c r="N3870" s="2">
        <v>0.69</v>
      </c>
      <c r="O3870" s="2">
        <v>0.31</v>
      </c>
      <c r="P3870">
        <v>10</v>
      </c>
      <c r="Q3870">
        <v>12</v>
      </c>
      <c r="R3870">
        <v>9</v>
      </c>
      <c r="S3870">
        <v>0</v>
      </c>
      <c r="T3870">
        <v>12</v>
      </c>
      <c r="U3870">
        <v>9</v>
      </c>
      <c r="V3870">
        <v>1</v>
      </c>
      <c r="W3870">
        <v>1</v>
      </c>
      <c r="X3870">
        <v>0</v>
      </c>
      <c r="Y3870">
        <v>1</v>
      </c>
      <c r="Z3870">
        <v>0</v>
      </c>
    </row>
    <row r="3871" spans="1:26" x14ac:dyDescent="0.2">
      <c r="A3871" t="s">
        <v>3989</v>
      </c>
      <c r="B3871" t="s">
        <v>60</v>
      </c>
      <c r="C3871">
        <v>2019</v>
      </c>
      <c r="D3871" t="s">
        <v>48</v>
      </c>
      <c r="E3871" t="s">
        <v>46</v>
      </c>
      <c r="F3871" t="s">
        <v>49</v>
      </c>
      <c r="G3871">
        <v>74197</v>
      </c>
      <c r="H3871">
        <v>59357.600000000006</v>
      </c>
      <c r="I3871" s="13">
        <v>0.33333333333333331</v>
      </c>
      <c r="J3871" t="s">
        <v>6208</v>
      </c>
      <c r="K3871">
        <v>1</v>
      </c>
      <c r="L3871">
        <v>1</v>
      </c>
      <c r="M3871" t="s">
        <v>58</v>
      </c>
      <c r="N3871" s="2">
        <v>0.55000000000000004</v>
      </c>
      <c r="O3871" s="2">
        <v>0.45</v>
      </c>
      <c r="P3871">
        <v>18</v>
      </c>
      <c r="Q3871">
        <v>21</v>
      </c>
      <c r="R3871">
        <v>8</v>
      </c>
      <c r="S3871">
        <v>7</v>
      </c>
      <c r="T3871">
        <v>18</v>
      </c>
      <c r="U3871">
        <v>13</v>
      </c>
      <c r="V3871">
        <v>4</v>
      </c>
      <c r="W3871">
        <v>2</v>
      </c>
      <c r="X3871">
        <v>0</v>
      </c>
      <c r="Y3871">
        <v>0</v>
      </c>
      <c r="Z3871">
        <v>0</v>
      </c>
    </row>
    <row r="3872" spans="1:26" x14ac:dyDescent="0.2">
      <c r="A3872" t="s">
        <v>3990</v>
      </c>
      <c r="B3872" t="s">
        <v>68</v>
      </c>
      <c r="C3872">
        <v>2019</v>
      </c>
      <c r="D3872" t="s">
        <v>90</v>
      </c>
      <c r="E3872" t="s">
        <v>51</v>
      </c>
      <c r="F3872" t="s">
        <v>91</v>
      </c>
      <c r="G3872">
        <v>31876</v>
      </c>
      <c r="H3872">
        <v>25500.800000000003</v>
      </c>
      <c r="I3872" s="13">
        <v>0</v>
      </c>
      <c r="J3872" t="s">
        <v>6207</v>
      </c>
      <c r="K3872">
        <v>3</v>
      </c>
      <c r="L3872">
        <v>0</v>
      </c>
      <c r="M3872" t="s">
        <v>0</v>
      </c>
      <c r="N3872" s="2">
        <v>0.48</v>
      </c>
      <c r="O3872" s="2">
        <v>0.52</v>
      </c>
      <c r="P3872">
        <v>8</v>
      </c>
      <c r="Q3872">
        <v>12</v>
      </c>
      <c r="R3872">
        <v>4</v>
      </c>
      <c r="S3872">
        <v>4</v>
      </c>
      <c r="T3872">
        <v>11</v>
      </c>
      <c r="U3872">
        <v>7</v>
      </c>
      <c r="V3872">
        <v>2</v>
      </c>
      <c r="W3872">
        <v>1</v>
      </c>
      <c r="X3872">
        <v>0</v>
      </c>
      <c r="Y3872">
        <v>0</v>
      </c>
      <c r="Z3872">
        <v>0</v>
      </c>
    </row>
    <row r="3873" spans="1:26" x14ac:dyDescent="0.2">
      <c r="A3873" t="s">
        <v>3991</v>
      </c>
      <c r="B3873" t="s">
        <v>37</v>
      </c>
      <c r="C3873">
        <v>2019</v>
      </c>
      <c r="D3873" t="s">
        <v>85</v>
      </c>
      <c r="E3873" t="s">
        <v>95</v>
      </c>
      <c r="F3873" t="s">
        <v>85</v>
      </c>
      <c r="G3873">
        <v>22220</v>
      </c>
      <c r="H3873">
        <v>17776</v>
      </c>
      <c r="I3873" s="13">
        <v>0</v>
      </c>
      <c r="J3873" t="s">
        <v>6206</v>
      </c>
      <c r="K3873">
        <v>0</v>
      </c>
      <c r="L3873">
        <v>0</v>
      </c>
      <c r="M3873" t="s">
        <v>58</v>
      </c>
      <c r="N3873" s="2">
        <v>0.39</v>
      </c>
      <c r="O3873" s="2">
        <v>0.61</v>
      </c>
      <c r="P3873">
        <v>9</v>
      </c>
      <c r="Q3873">
        <v>9</v>
      </c>
      <c r="R3873">
        <v>7</v>
      </c>
      <c r="S3873">
        <v>7</v>
      </c>
      <c r="T3873">
        <v>7</v>
      </c>
      <c r="U3873">
        <v>6</v>
      </c>
      <c r="V3873">
        <v>0</v>
      </c>
      <c r="W3873">
        <v>2</v>
      </c>
      <c r="X3873">
        <v>0</v>
      </c>
      <c r="Y3873">
        <v>0</v>
      </c>
      <c r="Z3873">
        <v>0</v>
      </c>
    </row>
    <row r="3874" spans="1:26" x14ac:dyDescent="0.2">
      <c r="A3874" t="s">
        <v>3992</v>
      </c>
      <c r="B3874" t="s">
        <v>92</v>
      </c>
      <c r="C3874">
        <v>2019</v>
      </c>
      <c r="D3874" t="s">
        <v>69</v>
      </c>
      <c r="E3874" t="s">
        <v>42</v>
      </c>
      <c r="F3874" t="s">
        <v>69</v>
      </c>
      <c r="G3874">
        <v>27359</v>
      </c>
      <c r="H3874">
        <v>21887.200000000001</v>
      </c>
      <c r="I3874" s="13">
        <v>0.75</v>
      </c>
      <c r="J3874" t="s">
        <v>6207</v>
      </c>
      <c r="K3874">
        <v>1</v>
      </c>
      <c r="L3874">
        <v>5</v>
      </c>
      <c r="M3874" t="s">
        <v>1</v>
      </c>
      <c r="N3874" s="2">
        <v>0.57999999999999996</v>
      </c>
      <c r="O3874" s="2">
        <v>0.42</v>
      </c>
      <c r="P3874">
        <v>18</v>
      </c>
      <c r="Q3874">
        <v>14</v>
      </c>
      <c r="R3874">
        <v>10</v>
      </c>
      <c r="S3874">
        <v>6</v>
      </c>
      <c r="T3874">
        <v>14</v>
      </c>
      <c r="U3874">
        <v>17</v>
      </c>
      <c r="V3874">
        <v>1</v>
      </c>
      <c r="W3874">
        <v>3</v>
      </c>
      <c r="X3874">
        <v>0</v>
      </c>
      <c r="Y3874">
        <v>0</v>
      </c>
      <c r="Z3874">
        <v>1</v>
      </c>
    </row>
    <row r="3875" spans="1:26" x14ac:dyDescent="0.2">
      <c r="A3875" t="s">
        <v>3993</v>
      </c>
      <c r="B3875" t="s">
        <v>88</v>
      </c>
      <c r="C3875">
        <v>2019</v>
      </c>
      <c r="D3875" t="s">
        <v>26</v>
      </c>
      <c r="E3875" t="s">
        <v>80</v>
      </c>
      <c r="F3875" t="s">
        <v>26</v>
      </c>
      <c r="G3875">
        <v>61276</v>
      </c>
      <c r="H3875">
        <v>49020.800000000003</v>
      </c>
      <c r="I3875" s="13">
        <v>0.8</v>
      </c>
      <c r="J3875" t="s">
        <v>6207</v>
      </c>
      <c r="K3875">
        <v>2</v>
      </c>
      <c r="L3875">
        <v>1</v>
      </c>
      <c r="M3875" t="s">
        <v>0</v>
      </c>
      <c r="N3875" s="2">
        <v>0.51</v>
      </c>
      <c r="O3875" s="2">
        <v>0.49</v>
      </c>
      <c r="P3875">
        <v>18</v>
      </c>
      <c r="Q3875">
        <v>12</v>
      </c>
      <c r="R3875">
        <v>4</v>
      </c>
      <c r="S3875">
        <v>6</v>
      </c>
      <c r="T3875">
        <v>9</v>
      </c>
      <c r="U3875">
        <v>17</v>
      </c>
      <c r="V3875">
        <v>1</v>
      </c>
      <c r="W3875">
        <v>4</v>
      </c>
      <c r="X3875">
        <v>0</v>
      </c>
      <c r="Y3875">
        <v>0</v>
      </c>
      <c r="Z3875">
        <v>1</v>
      </c>
    </row>
    <row r="3876" spans="1:26" x14ac:dyDescent="0.2">
      <c r="A3876" t="s">
        <v>3994</v>
      </c>
      <c r="B3876" t="s">
        <v>83</v>
      </c>
      <c r="C3876">
        <v>2019</v>
      </c>
      <c r="D3876" t="s">
        <v>28</v>
      </c>
      <c r="E3876" t="s">
        <v>45</v>
      </c>
      <c r="F3876" t="s">
        <v>28</v>
      </c>
      <c r="G3876">
        <v>21944</v>
      </c>
      <c r="H3876">
        <v>17555.2</v>
      </c>
      <c r="I3876" s="13">
        <v>0.6</v>
      </c>
      <c r="J3876" t="s">
        <v>6208</v>
      </c>
      <c r="K3876">
        <v>1</v>
      </c>
      <c r="L3876">
        <v>0</v>
      </c>
      <c r="M3876" t="s">
        <v>0</v>
      </c>
      <c r="N3876" s="2">
        <v>0.41</v>
      </c>
      <c r="O3876" s="2">
        <v>0.59</v>
      </c>
      <c r="P3876">
        <v>13</v>
      </c>
      <c r="Q3876">
        <v>10</v>
      </c>
      <c r="R3876">
        <v>7</v>
      </c>
      <c r="S3876">
        <v>9</v>
      </c>
      <c r="T3876">
        <v>5</v>
      </c>
      <c r="U3876">
        <v>12</v>
      </c>
      <c r="V3876">
        <v>2</v>
      </c>
      <c r="W3876">
        <v>2</v>
      </c>
      <c r="X3876">
        <v>0</v>
      </c>
      <c r="Y3876">
        <v>1</v>
      </c>
      <c r="Z3876">
        <v>0</v>
      </c>
    </row>
    <row r="3877" spans="1:26" x14ac:dyDescent="0.2">
      <c r="A3877" t="s">
        <v>3995</v>
      </c>
      <c r="B3877" t="s">
        <v>66</v>
      </c>
      <c r="C3877">
        <v>2019</v>
      </c>
      <c r="D3877" t="s">
        <v>23</v>
      </c>
      <c r="E3877" t="s">
        <v>79</v>
      </c>
      <c r="F3877" t="s">
        <v>20</v>
      </c>
      <c r="G3877">
        <v>62500</v>
      </c>
      <c r="H3877">
        <v>50000</v>
      </c>
      <c r="I3877" s="13">
        <v>0.6</v>
      </c>
      <c r="J3877" t="s">
        <v>6207</v>
      </c>
      <c r="K3877">
        <v>1</v>
      </c>
      <c r="L3877">
        <v>2</v>
      </c>
      <c r="M3877" t="s">
        <v>1</v>
      </c>
      <c r="N3877" s="2">
        <v>0.52</v>
      </c>
      <c r="O3877" s="2">
        <v>0.48</v>
      </c>
      <c r="P3877">
        <v>11</v>
      </c>
      <c r="Q3877">
        <v>12</v>
      </c>
      <c r="R3877">
        <v>2</v>
      </c>
      <c r="S3877">
        <v>2</v>
      </c>
      <c r="T3877">
        <v>11</v>
      </c>
      <c r="U3877">
        <v>7</v>
      </c>
      <c r="V3877">
        <v>3</v>
      </c>
      <c r="W3877">
        <v>2</v>
      </c>
      <c r="X3877">
        <v>0</v>
      </c>
      <c r="Y3877">
        <v>0</v>
      </c>
      <c r="Z3877">
        <v>1</v>
      </c>
    </row>
    <row r="3878" spans="1:26" x14ac:dyDescent="0.2">
      <c r="A3878" t="s">
        <v>3996</v>
      </c>
      <c r="B3878" t="s">
        <v>81</v>
      </c>
      <c r="C3878">
        <v>2019</v>
      </c>
      <c r="D3878" t="s">
        <v>73</v>
      </c>
      <c r="E3878" t="s">
        <v>18</v>
      </c>
      <c r="F3878" t="s">
        <v>73</v>
      </c>
      <c r="G3878">
        <v>32384</v>
      </c>
      <c r="H3878">
        <v>25907.200000000001</v>
      </c>
      <c r="I3878" s="13">
        <v>1</v>
      </c>
      <c r="J3878" t="s">
        <v>6207</v>
      </c>
      <c r="K3878">
        <v>1</v>
      </c>
      <c r="L3878">
        <v>4</v>
      </c>
      <c r="M3878" t="s">
        <v>1</v>
      </c>
      <c r="N3878" s="2">
        <v>0.44</v>
      </c>
      <c r="O3878" s="2">
        <v>0.56000000000000005</v>
      </c>
      <c r="P3878">
        <v>15</v>
      </c>
      <c r="Q3878">
        <v>9</v>
      </c>
      <c r="R3878">
        <v>3</v>
      </c>
      <c r="S3878">
        <v>4</v>
      </c>
      <c r="T3878">
        <v>8</v>
      </c>
      <c r="U3878">
        <v>15</v>
      </c>
      <c r="V3878">
        <v>0</v>
      </c>
      <c r="W3878">
        <v>1</v>
      </c>
      <c r="X3878">
        <v>0</v>
      </c>
      <c r="Y3878">
        <v>0</v>
      </c>
      <c r="Z3878">
        <v>0</v>
      </c>
    </row>
    <row r="3879" spans="1:26" x14ac:dyDescent="0.2">
      <c r="A3879" t="s">
        <v>3997</v>
      </c>
      <c r="B3879" t="s">
        <v>76</v>
      </c>
      <c r="C3879">
        <v>2019</v>
      </c>
      <c r="D3879" t="s">
        <v>40</v>
      </c>
      <c r="E3879" t="s">
        <v>22</v>
      </c>
      <c r="F3879" t="s">
        <v>49</v>
      </c>
      <c r="G3879">
        <v>53400</v>
      </c>
      <c r="H3879">
        <v>42720</v>
      </c>
      <c r="I3879" s="13">
        <v>1</v>
      </c>
      <c r="J3879" t="s">
        <v>6207</v>
      </c>
      <c r="K3879">
        <v>0</v>
      </c>
      <c r="L3879">
        <v>2</v>
      </c>
      <c r="M3879" t="s">
        <v>1</v>
      </c>
      <c r="N3879" s="2">
        <v>0.76</v>
      </c>
      <c r="O3879" s="2">
        <v>0.24</v>
      </c>
      <c r="P3879">
        <v>16</v>
      </c>
      <c r="Q3879">
        <v>12</v>
      </c>
      <c r="R3879">
        <v>9</v>
      </c>
      <c r="S3879">
        <v>1</v>
      </c>
      <c r="T3879">
        <v>11</v>
      </c>
      <c r="U3879">
        <v>14</v>
      </c>
      <c r="V3879">
        <v>5</v>
      </c>
      <c r="W3879">
        <v>2</v>
      </c>
      <c r="X3879">
        <v>0</v>
      </c>
      <c r="Y3879">
        <v>0</v>
      </c>
      <c r="Z3879">
        <v>0</v>
      </c>
    </row>
    <row r="3880" spans="1:26" x14ac:dyDescent="0.2">
      <c r="A3880" t="s">
        <v>3998</v>
      </c>
      <c r="B3880" t="s">
        <v>32</v>
      </c>
      <c r="C3880">
        <v>2019</v>
      </c>
      <c r="D3880" t="s">
        <v>46</v>
      </c>
      <c r="E3880" t="s">
        <v>86</v>
      </c>
      <c r="F3880" t="s">
        <v>20</v>
      </c>
      <c r="G3880">
        <v>60704</v>
      </c>
      <c r="H3880">
        <v>48563.200000000004</v>
      </c>
      <c r="I3880" s="13">
        <v>0.66666666666666663</v>
      </c>
      <c r="J3880" t="s">
        <v>6207</v>
      </c>
      <c r="K3880">
        <v>1</v>
      </c>
      <c r="L3880">
        <v>0</v>
      </c>
      <c r="M3880" t="s">
        <v>0</v>
      </c>
      <c r="N3880" s="2">
        <v>0.53</v>
      </c>
      <c r="O3880" s="2">
        <v>0.47</v>
      </c>
      <c r="P3880">
        <v>5</v>
      </c>
      <c r="Q3880">
        <v>12</v>
      </c>
      <c r="R3880">
        <v>14</v>
      </c>
      <c r="S3880">
        <v>5</v>
      </c>
      <c r="T3880">
        <v>12</v>
      </c>
      <c r="U3880">
        <v>6</v>
      </c>
      <c r="V3880">
        <v>1</v>
      </c>
      <c r="W3880">
        <v>2</v>
      </c>
      <c r="X3880">
        <v>0</v>
      </c>
      <c r="Y3880">
        <v>0</v>
      </c>
      <c r="Z3880">
        <v>0</v>
      </c>
    </row>
    <row r="3881" spans="1:26" x14ac:dyDescent="0.2">
      <c r="A3881" t="s">
        <v>3999</v>
      </c>
      <c r="B3881" t="s">
        <v>41</v>
      </c>
      <c r="C3881">
        <v>2019</v>
      </c>
      <c r="D3881" t="s">
        <v>64</v>
      </c>
      <c r="E3881" t="s">
        <v>48</v>
      </c>
      <c r="F3881" t="s">
        <v>64</v>
      </c>
      <c r="G3881">
        <v>52264</v>
      </c>
      <c r="H3881">
        <v>41811.200000000004</v>
      </c>
      <c r="I3881" s="13">
        <v>0.83333333333333337</v>
      </c>
      <c r="J3881" t="s">
        <v>6207</v>
      </c>
      <c r="K3881">
        <v>1</v>
      </c>
      <c r="L3881">
        <v>0</v>
      </c>
      <c r="M3881" t="s">
        <v>0</v>
      </c>
      <c r="N3881" s="2">
        <v>0.31</v>
      </c>
      <c r="O3881" s="2">
        <v>0.69</v>
      </c>
      <c r="P3881">
        <v>12</v>
      </c>
      <c r="Q3881">
        <v>12</v>
      </c>
      <c r="R3881">
        <v>4</v>
      </c>
      <c r="S3881">
        <v>6</v>
      </c>
      <c r="T3881">
        <v>12</v>
      </c>
      <c r="U3881">
        <v>10</v>
      </c>
      <c r="V3881">
        <v>3</v>
      </c>
      <c r="W3881">
        <v>3</v>
      </c>
      <c r="X3881">
        <v>0</v>
      </c>
      <c r="Y3881">
        <v>0</v>
      </c>
      <c r="Z3881">
        <v>0</v>
      </c>
    </row>
    <row r="3882" spans="1:26" x14ac:dyDescent="0.2">
      <c r="A3882" t="s">
        <v>4000</v>
      </c>
      <c r="B3882" t="s">
        <v>81</v>
      </c>
      <c r="C3882">
        <v>2019</v>
      </c>
      <c r="D3882" t="s">
        <v>45</v>
      </c>
      <c r="E3882" t="s">
        <v>23</v>
      </c>
      <c r="F3882" t="s">
        <v>26</v>
      </c>
      <c r="G3882">
        <v>39572</v>
      </c>
      <c r="H3882">
        <v>31657.600000000002</v>
      </c>
      <c r="I3882" s="13">
        <v>0.5</v>
      </c>
      <c r="J3882" t="s">
        <v>6207</v>
      </c>
      <c r="K3882">
        <v>2</v>
      </c>
      <c r="L3882">
        <v>0</v>
      </c>
      <c r="M3882" t="s">
        <v>0</v>
      </c>
      <c r="N3882" s="2">
        <v>0.52</v>
      </c>
      <c r="O3882" s="2">
        <v>0.48</v>
      </c>
      <c r="P3882">
        <v>19</v>
      </c>
      <c r="Q3882">
        <v>24</v>
      </c>
      <c r="R3882">
        <v>11</v>
      </c>
      <c r="S3882">
        <v>2</v>
      </c>
      <c r="T3882">
        <v>15</v>
      </c>
      <c r="U3882">
        <v>15</v>
      </c>
      <c r="V3882">
        <v>2</v>
      </c>
      <c r="W3882">
        <v>2</v>
      </c>
      <c r="X3882">
        <v>0</v>
      </c>
      <c r="Y3882">
        <v>0</v>
      </c>
      <c r="Z3882">
        <v>0</v>
      </c>
    </row>
    <row r="3883" spans="1:26" x14ac:dyDescent="0.2">
      <c r="A3883" t="s">
        <v>4001</v>
      </c>
      <c r="B3883" t="s">
        <v>97</v>
      </c>
      <c r="C3883">
        <v>2019</v>
      </c>
      <c r="D3883" t="s">
        <v>22</v>
      </c>
      <c r="E3883" t="s">
        <v>73</v>
      </c>
      <c r="F3883" t="s">
        <v>24</v>
      </c>
      <c r="G3883">
        <v>31750</v>
      </c>
      <c r="H3883">
        <v>25400</v>
      </c>
      <c r="I3883" s="13">
        <v>0.6</v>
      </c>
      <c r="J3883" t="s">
        <v>6207</v>
      </c>
      <c r="K3883">
        <v>1</v>
      </c>
      <c r="L3883">
        <v>1</v>
      </c>
      <c r="M3883" t="s">
        <v>58</v>
      </c>
      <c r="N3883" s="2">
        <v>0.56000000000000005</v>
      </c>
      <c r="O3883" s="2">
        <v>0.44</v>
      </c>
      <c r="P3883">
        <v>18</v>
      </c>
      <c r="Q3883">
        <v>10</v>
      </c>
      <c r="R3883">
        <v>1</v>
      </c>
      <c r="S3883">
        <v>3</v>
      </c>
      <c r="T3883">
        <v>10</v>
      </c>
      <c r="U3883">
        <v>17</v>
      </c>
      <c r="V3883">
        <v>3</v>
      </c>
      <c r="W3883">
        <v>2</v>
      </c>
      <c r="X3883">
        <v>0</v>
      </c>
      <c r="Y3883">
        <v>0</v>
      </c>
      <c r="Z3883">
        <v>1</v>
      </c>
    </row>
    <row r="3884" spans="1:26" x14ac:dyDescent="0.2">
      <c r="A3884" t="s">
        <v>4002</v>
      </c>
      <c r="B3884" t="s">
        <v>88</v>
      </c>
      <c r="C3884">
        <v>2019</v>
      </c>
      <c r="D3884" t="s">
        <v>51</v>
      </c>
      <c r="E3884" t="s">
        <v>85</v>
      </c>
      <c r="F3884" t="s">
        <v>20</v>
      </c>
      <c r="G3884">
        <v>36284</v>
      </c>
      <c r="H3884">
        <v>29027.200000000001</v>
      </c>
      <c r="I3884" s="13">
        <v>0.7142857142857143</v>
      </c>
      <c r="J3884" t="s">
        <v>6207</v>
      </c>
      <c r="K3884">
        <v>1</v>
      </c>
      <c r="L3884">
        <v>1</v>
      </c>
      <c r="M3884" t="s">
        <v>58</v>
      </c>
      <c r="N3884" s="2">
        <v>0.7</v>
      </c>
      <c r="O3884" s="2">
        <v>0.3</v>
      </c>
      <c r="P3884">
        <v>10</v>
      </c>
      <c r="Q3884">
        <v>10</v>
      </c>
      <c r="R3884">
        <v>11</v>
      </c>
      <c r="S3884">
        <v>2</v>
      </c>
      <c r="T3884">
        <v>5</v>
      </c>
      <c r="U3884">
        <v>9</v>
      </c>
      <c r="V3884">
        <v>4</v>
      </c>
      <c r="W3884">
        <v>3</v>
      </c>
      <c r="X3884">
        <v>0</v>
      </c>
      <c r="Y3884">
        <v>0</v>
      </c>
      <c r="Z3884">
        <v>0</v>
      </c>
    </row>
    <row r="3885" spans="1:26" x14ac:dyDescent="0.2">
      <c r="A3885" t="s">
        <v>4003</v>
      </c>
      <c r="B3885" t="s">
        <v>68</v>
      </c>
      <c r="C3885">
        <v>2019</v>
      </c>
      <c r="D3885" t="s">
        <v>80</v>
      </c>
      <c r="E3885" t="s">
        <v>28</v>
      </c>
      <c r="F3885" t="s">
        <v>80</v>
      </c>
      <c r="G3885">
        <v>32261</v>
      </c>
      <c r="H3885">
        <v>25808.800000000003</v>
      </c>
      <c r="I3885" s="13">
        <v>0.66666666666666663</v>
      </c>
      <c r="J3885" t="s">
        <v>6207</v>
      </c>
      <c r="K3885">
        <v>2</v>
      </c>
      <c r="L3885">
        <v>1</v>
      </c>
      <c r="M3885" t="s">
        <v>0</v>
      </c>
      <c r="N3885" s="2">
        <v>0.65</v>
      </c>
      <c r="O3885" s="2">
        <v>0.35</v>
      </c>
      <c r="P3885">
        <v>13</v>
      </c>
      <c r="Q3885">
        <v>6</v>
      </c>
      <c r="R3885">
        <v>9</v>
      </c>
      <c r="S3885">
        <v>4</v>
      </c>
      <c r="T3885">
        <v>4</v>
      </c>
      <c r="U3885">
        <v>10</v>
      </c>
      <c r="V3885">
        <v>0</v>
      </c>
      <c r="W3885">
        <v>3</v>
      </c>
      <c r="X3885">
        <v>0</v>
      </c>
      <c r="Y3885">
        <v>0</v>
      </c>
      <c r="Z3885">
        <v>0</v>
      </c>
    </row>
    <row r="3886" spans="1:26" x14ac:dyDescent="0.2">
      <c r="A3886" t="s">
        <v>4004</v>
      </c>
      <c r="B3886" t="s">
        <v>37</v>
      </c>
      <c r="C3886">
        <v>2019</v>
      </c>
      <c r="D3886" t="s">
        <v>18</v>
      </c>
      <c r="E3886" t="s">
        <v>64</v>
      </c>
      <c r="F3886" t="s">
        <v>20</v>
      </c>
      <c r="G3886">
        <v>40341</v>
      </c>
      <c r="H3886">
        <v>32272.800000000003</v>
      </c>
      <c r="I3886" s="13">
        <v>0.66666666666666663</v>
      </c>
      <c r="J3886" t="s">
        <v>6206</v>
      </c>
      <c r="K3886">
        <v>1</v>
      </c>
      <c r="L3886">
        <v>0</v>
      </c>
      <c r="M3886" t="s">
        <v>0</v>
      </c>
      <c r="N3886" s="2">
        <v>0.71</v>
      </c>
      <c r="O3886" s="2">
        <v>0.28999999999999998</v>
      </c>
      <c r="P3886">
        <v>13</v>
      </c>
      <c r="Q3886">
        <v>10</v>
      </c>
      <c r="R3886">
        <v>11</v>
      </c>
      <c r="S3886">
        <v>0</v>
      </c>
      <c r="T3886">
        <v>9</v>
      </c>
      <c r="U3886">
        <v>12</v>
      </c>
      <c r="V3886">
        <v>2</v>
      </c>
      <c r="W3886">
        <v>1</v>
      </c>
      <c r="X3886">
        <v>0</v>
      </c>
      <c r="Y3886">
        <v>0</v>
      </c>
      <c r="Z3886">
        <v>0</v>
      </c>
    </row>
    <row r="3887" spans="1:26" x14ac:dyDescent="0.2">
      <c r="A3887" t="s">
        <v>4005</v>
      </c>
      <c r="B3887" t="s">
        <v>50</v>
      </c>
      <c r="C3887">
        <v>2019</v>
      </c>
      <c r="D3887" t="s">
        <v>86</v>
      </c>
      <c r="E3887" t="s">
        <v>69</v>
      </c>
      <c r="F3887" t="s">
        <v>86</v>
      </c>
      <c r="G3887">
        <v>11364</v>
      </c>
      <c r="H3887">
        <v>9091.2000000000007</v>
      </c>
      <c r="I3887" s="13">
        <v>0.25</v>
      </c>
      <c r="J3887" t="s">
        <v>6207</v>
      </c>
      <c r="K3887">
        <v>0</v>
      </c>
      <c r="L3887">
        <v>0</v>
      </c>
      <c r="M3887" t="s">
        <v>58</v>
      </c>
      <c r="N3887" s="2">
        <v>0.47</v>
      </c>
      <c r="O3887" s="2">
        <v>0.53</v>
      </c>
      <c r="P3887">
        <v>13</v>
      </c>
      <c r="Q3887">
        <v>11</v>
      </c>
      <c r="R3887">
        <v>6</v>
      </c>
      <c r="S3887">
        <v>7</v>
      </c>
      <c r="T3887">
        <v>8</v>
      </c>
      <c r="U3887">
        <v>11</v>
      </c>
      <c r="V3887">
        <v>1</v>
      </c>
      <c r="W3887">
        <v>3</v>
      </c>
      <c r="X3887">
        <v>0</v>
      </c>
      <c r="Y3887">
        <v>0</v>
      </c>
      <c r="Z3887">
        <v>0</v>
      </c>
    </row>
    <row r="3888" spans="1:26" x14ac:dyDescent="0.2">
      <c r="A3888" t="s">
        <v>4006</v>
      </c>
      <c r="B3888" t="s">
        <v>93</v>
      </c>
      <c r="C3888">
        <v>2019</v>
      </c>
      <c r="D3888" t="s">
        <v>42</v>
      </c>
      <c r="E3888" t="s">
        <v>90</v>
      </c>
      <c r="F3888" t="s">
        <v>38</v>
      </c>
      <c r="G3888">
        <v>42918</v>
      </c>
      <c r="H3888">
        <v>34334.400000000001</v>
      </c>
      <c r="I3888" s="13">
        <v>0.6</v>
      </c>
      <c r="J3888" t="s">
        <v>6206</v>
      </c>
      <c r="K3888">
        <v>2</v>
      </c>
      <c r="L3888">
        <v>1</v>
      </c>
      <c r="M3888" t="s">
        <v>0</v>
      </c>
      <c r="N3888" s="2">
        <v>0.49</v>
      </c>
      <c r="O3888" s="2">
        <v>0.51</v>
      </c>
      <c r="P3888">
        <v>17</v>
      </c>
      <c r="Q3888">
        <v>10</v>
      </c>
      <c r="R3888">
        <v>7</v>
      </c>
      <c r="S3888">
        <v>5</v>
      </c>
      <c r="T3888">
        <v>9</v>
      </c>
      <c r="U3888">
        <v>17</v>
      </c>
      <c r="V3888">
        <v>1</v>
      </c>
      <c r="W3888">
        <v>3</v>
      </c>
      <c r="X3888">
        <v>0</v>
      </c>
      <c r="Y3888">
        <v>1</v>
      </c>
      <c r="Z3888">
        <v>0</v>
      </c>
    </row>
    <row r="3889" spans="1:26" x14ac:dyDescent="0.2">
      <c r="A3889" t="s">
        <v>4007</v>
      </c>
      <c r="B3889" t="s">
        <v>61</v>
      </c>
      <c r="C3889">
        <v>2019</v>
      </c>
      <c r="D3889" t="s">
        <v>79</v>
      </c>
      <c r="E3889" t="s">
        <v>40</v>
      </c>
      <c r="F3889" t="s">
        <v>20</v>
      </c>
      <c r="G3889">
        <v>25486</v>
      </c>
      <c r="H3889">
        <v>20388.800000000003</v>
      </c>
      <c r="I3889" s="13">
        <v>0.5</v>
      </c>
      <c r="J3889" t="s">
        <v>6207</v>
      </c>
      <c r="K3889">
        <v>0</v>
      </c>
      <c r="L3889">
        <v>2</v>
      </c>
      <c r="M3889" t="s">
        <v>1</v>
      </c>
      <c r="N3889" s="2">
        <v>0.28999999999999998</v>
      </c>
      <c r="O3889" s="2">
        <v>0.71</v>
      </c>
      <c r="P3889">
        <v>12</v>
      </c>
      <c r="Q3889">
        <v>12</v>
      </c>
      <c r="R3889">
        <v>1</v>
      </c>
      <c r="S3889">
        <v>8</v>
      </c>
      <c r="T3889">
        <v>8</v>
      </c>
      <c r="U3889">
        <v>10</v>
      </c>
      <c r="V3889">
        <v>1</v>
      </c>
      <c r="W3889">
        <v>1</v>
      </c>
      <c r="X3889">
        <v>0</v>
      </c>
      <c r="Y3889">
        <v>0</v>
      </c>
      <c r="Z3889">
        <v>0</v>
      </c>
    </row>
    <row r="3890" spans="1:26" x14ac:dyDescent="0.2">
      <c r="A3890" t="s">
        <v>4008</v>
      </c>
      <c r="B3890" t="s">
        <v>32</v>
      </c>
      <c r="C3890">
        <v>2019</v>
      </c>
      <c r="D3890" t="s">
        <v>48</v>
      </c>
      <c r="E3890" t="s">
        <v>26</v>
      </c>
      <c r="F3890" t="s">
        <v>49</v>
      </c>
      <c r="G3890">
        <v>74197</v>
      </c>
      <c r="H3890">
        <v>59357.600000000006</v>
      </c>
      <c r="I3890" s="13">
        <v>1</v>
      </c>
      <c r="J3890" t="s">
        <v>6207</v>
      </c>
      <c r="K3890">
        <v>1</v>
      </c>
      <c r="L3890">
        <v>1</v>
      </c>
      <c r="M3890" t="s">
        <v>58</v>
      </c>
      <c r="N3890" s="2">
        <v>0.32</v>
      </c>
      <c r="O3890" s="2">
        <v>0.68</v>
      </c>
      <c r="P3890">
        <v>15</v>
      </c>
      <c r="Q3890">
        <v>10</v>
      </c>
      <c r="R3890">
        <v>3</v>
      </c>
      <c r="S3890">
        <v>1</v>
      </c>
      <c r="T3890">
        <v>6</v>
      </c>
      <c r="U3890">
        <v>14</v>
      </c>
      <c r="V3890">
        <v>0</v>
      </c>
      <c r="W3890">
        <v>1</v>
      </c>
      <c r="X3890">
        <v>0</v>
      </c>
      <c r="Y3890">
        <v>0</v>
      </c>
      <c r="Z3890">
        <v>0</v>
      </c>
    </row>
    <row r="3891" spans="1:26" x14ac:dyDescent="0.2">
      <c r="A3891" t="s">
        <v>4009</v>
      </c>
      <c r="B3891" t="s">
        <v>41</v>
      </c>
      <c r="C3891">
        <v>2019</v>
      </c>
      <c r="D3891" t="s">
        <v>95</v>
      </c>
      <c r="E3891" t="s">
        <v>46</v>
      </c>
      <c r="F3891" t="s">
        <v>57</v>
      </c>
      <c r="G3891">
        <v>32050</v>
      </c>
      <c r="H3891">
        <v>25640</v>
      </c>
      <c r="I3891" s="13">
        <v>0.375</v>
      </c>
      <c r="J3891" t="s">
        <v>6207</v>
      </c>
      <c r="K3891">
        <v>1</v>
      </c>
      <c r="L3891">
        <v>0</v>
      </c>
      <c r="M3891" t="s">
        <v>0</v>
      </c>
      <c r="N3891" s="2">
        <v>0.31</v>
      </c>
      <c r="O3891" s="2">
        <v>0.69</v>
      </c>
      <c r="P3891">
        <v>13</v>
      </c>
      <c r="Q3891">
        <v>11</v>
      </c>
      <c r="R3891">
        <v>7</v>
      </c>
      <c r="S3891">
        <v>12</v>
      </c>
      <c r="T3891">
        <v>10</v>
      </c>
      <c r="U3891">
        <v>12</v>
      </c>
      <c r="V3891">
        <v>4</v>
      </c>
      <c r="W3891">
        <v>4</v>
      </c>
      <c r="X3891">
        <v>0</v>
      </c>
      <c r="Y3891">
        <v>0</v>
      </c>
      <c r="Z3891">
        <v>0</v>
      </c>
    </row>
    <row r="3892" spans="1:26" x14ac:dyDescent="0.2">
      <c r="A3892" t="s">
        <v>4010</v>
      </c>
      <c r="B3892" t="s">
        <v>37</v>
      </c>
      <c r="C3892">
        <v>2019</v>
      </c>
      <c r="D3892" t="s">
        <v>73</v>
      </c>
      <c r="E3892" t="s">
        <v>80</v>
      </c>
      <c r="F3892" t="s">
        <v>73</v>
      </c>
      <c r="G3892">
        <v>32384</v>
      </c>
      <c r="H3892">
        <v>25907.200000000001</v>
      </c>
      <c r="I3892" s="13">
        <v>0</v>
      </c>
      <c r="J3892" t="s">
        <v>6206</v>
      </c>
      <c r="K3892">
        <v>0</v>
      </c>
      <c r="L3892">
        <v>9</v>
      </c>
      <c r="M3892" t="s">
        <v>1</v>
      </c>
      <c r="N3892" s="2">
        <v>0.28000000000000003</v>
      </c>
      <c r="O3892" s="2">
        <v>0.72</v>
      </c>
      <c r="P3892">
        <v>12</v>
      </c>
      <c r="Q3892">
        <v>3</v>
      </c>
      <c r="R3892">
        <v>2</v>
      </c>
      <c r="S3892">
        <v>7</v>
      </c>
      <c r="T3892">
        <v>3</v>
      </c>
      <c r="U3892">
        <v>12</v>
      </c>
      <c r="V3892">
        <v>0</v>
      </c>
      <c r="W3892">
        <v>0</v>
      </c>
      <c r="X3892">
        <v>1</v>
      </c>
      <c r="Y3892">
        <v>0</v>
      </c>
      <c r="Z3892">
        <v>1</v>
      </c>
    </row>
    <row r="3893" spans="1:26" x14ac:dyDescent="0.2">
      <c r="A3893" t="s">
        <v>4011</v>
      </c>
      <c r="B3893" t="s">
        <v>83</v>
      </c>
      <c r="C3893">
        <v>2019</v>
      </c>
      <c r="D3893" t="s">
        <v>40</v>
      </c>
      <c r="E3893" t="s">
        <v>42</v>
      </c>
      <c r="F3893" t="s">
        <v>49</v>
      </c>
      <c r="G3893">
        <v>53400</v>
      </c>
      <c r="H3893">
        <v>42720</v>
      </c>
      <c r="I3893" s="13">
        <v>0.5</v>
      </c>
      <c r="J3893" t="s">
        <v>6208</v>
      </c>
      <c r="K3893">
        <v>3</v>
      </c>
      <c r="L3893">
        <v>0</v>
      </c>
      <c r="M3893" t="s">
        <v>0</v>
      </c>
      <c r="N3893" s="2">
        <v>0.63</v>
      </c>
      <c r="O3893" s="2">
        <v>0.37</v>
      </c>
      <c r="P3893">
        <v>7</v>
      </c>
      <c r="Q3893">
        <v>11</v>
      </c>
      <c r="R3893">
        <v>13</v>
      </c>
      <c r="S3893">
        <v>7</v>
      </c>
      <c r="T3893">
        <v>10</v>
      </c>
      <c r="U3893">
        <v>5</v>
      </c>
      <c r="V3893">
        <v>2</v>
      </c>
      <c r="W3893">
        <v>1</v>
      </c>
      <c r="X3893">
        <v>1</v>
      </c>
      <c r="Y3893">
        <v>0</v>
      </c>
      <c r="Z3893">
        <v>0</v>
      </c>
    </row>
    <row r="3894" spans="1:26" x14ac:dyDescent="0.2">
      <c r="A3894" t="s">
        <v>4012</v>
      </c>
      <c r="B3894" t="s">
        <v>93</v>
      </c>
      <c r="C3894">
        <v>2019</v>
      </c>
      <c r="D3894" t="s">
        <v>23</v>
      </c>
      <c r="E3894" t="s">
        <v>95</v>
      </c>
      <c r="F3894" t="s">
        <v>20</v>
      </c>
      <c r="G3894">
        <v>62500</v>
      </c>
      <c r="H3894">
        <v>50000</v>
      </c>
      <c r="I3894" s="13">
        <v>1</v>
      </c>
      <c r="J3894" t="s">
        <v>6206</v>
      </c>
      <c r="K3894">
        <v>1</v>
      </c>
      <c r="L3894">
        <v>1</v>
      </c>
      <c r="M3894" t="s">
        <v>58</v>
      </c>
      <c r="N3894" s="2">
        <v>0.61</v>
      </c>
      <c r="O3894" s="2">
        <v>0.39</v>
      </c>
      <c r="P3894">
        <v>13</v>
      </c>
      <c r="Q3894">
        <v>11</v>
      </c>
      <c r="R3894">
        <v>10</v>
      </c>
      <c r="S3894">
        <v>4</v>
      </c>
      <c r="T3894">
        <v>7</v>
      </c>
      <c r="U3894">
        <v>10</v>
      </c>
      <c r="V3894">
        <v>2</v>
      </c>
      <c r="W3894">
        <v>2</v>
      </c>
      <c r="X3894">
        <v>0</v>
      </c>
      <c r="Y3894">
        <v>0</v>
      </c>
      <c r="Z3894">
        <v>0</v>
      </c>
    </row>
    <row r="3895" spans="1:26" x14ac:dyDescent="0.2">
      <c r="A3895" t="s">
        <v>4013</v>
      </c>
      <c r="B3895" t="s">
        <v>41</v>
      </c>
      <c r="C3895">
        <v>2019</v>
      </c>
      <c r="D3895" t="s">
        <v>85</v>
      </c>
      <c r="E3895" t="s">
        <v>86</v>
      </c>
      <c r="F3895" t="s">
        <v>85</v>
      </c>
      <c r="G3895">
        <v>22220</v>
      </c>
      <c r="H3895">
        <v>17776</v>
      </c>
      <c r="I3895" s="13">
        <v>0.625</v>
      </c>
      <c r="J3895" t="s">
        <v>6207</v>
      </c>
      <c r="K3895">
        <v>0</v>
      </c>
      <c r="L3895">
        <v>0</v>
      </c>
      <c r="M3895" t="s">
        <v>58</v>
      </c>
      <c r="N3895" s="2">
        <v>0.4</v>
      </c>
      <c r="O3895" s="2">
        <v>0.6</v>
      </c>
      <c r="P3895">
        <v>11</v>
      </c>
      <c r="Q3895">
        <v>19</v>
      </c>
      <c r="R3895">
        <v>5</v>
      </c>
      <c r="S3895">
        <v>10</v>
      </c>
      <c r="T3895">
        <v>14</v>
      </c>
      <c r="U3895">
        <v>8</v>
      </c>
      <c r="V3895">
        <v>5</v>
      </c>
      <c r="W3895">
        <v>3</v>
      </c>
      <c r="X3895">
        <v>0</v>
      </c>
      <c r="Y3895">
        <v>0</v>
      </c>
      <c r="Z3895">
        <v>0</v>
      </c>
    </row>
    <row r="3896" spans="1:26" x14ac:dyDescent="0.2">
      <c r="A3896" t="s">
        <v>4014</v>
      </c>
      <c r="B3896" t="s">
        <v>92</v>
      </c>
      <c r="C3896">
        <v>2019</v>
      </c>
      <c r="D3896" t="s">
        <v>90</v>
      </c>
      <c r="E3896" t="s">
        <v>45</v>
      </c>
      <c r="F3896" t="s">
        <v>91</v>
      </c>
      <c r="G3896">
        <v>31876</v>
      </c>
      <c r="H3896">
        <v>25500.800000000003</v>
      </c>
      <c r="I3896" s="13">
        <v>0.66666666666666663</v>
      </c>
      <c r="J3896" t="s">
        <v>6207</v>
      </c>
      <c r="K3896">
        <v>3</v>
      </c>
      <c r="L3896">
        <v>2</v>
      </c>
      <c r="M3896" t="s">
        <v>0</v>
      </c>
      <c r="N3896" s="2">
        <v>0.55000000000000004</v>
      </c>
      <c r="O3896" s="2">
        <v>0.45</v>
      </c>
      <c r="P3896">
        <v>13</v>
      </c>
      <c r="Q3896">
        <v>16</v>
      </c>
      <c r="R3896">
        <v>0</v>
      </c>
      <c r="S3896">
        <v>5</v>
      </c>
      <c r="T3896">
        <v>12</v>
      </c>
      <c r="U3896">
        <v>12</v>
      </c>
      <c r="V3896">
        <v>2</v>
      </c>
      <c r="W3896">
        <v>1</v>
      </c>
      <c r="X3896">
        <v>0</v>
      </c>
      <c r="Y3896">
        <v>0</v>
      </c>
      <c r="Z3896">
        <v>1</v>
      </c>
    </row>
    <row r="3897" spans="1:26" x14ac:dyDescent="0.2">
      <c r="A3897" t="s">
        <v>4015</v>
      </c>
      <c r="B3897" t="s">
        <v>66</v>
      </c>
      <c r="C3897">
        <v>2019</v>
      </c>
      <c r="D3897" t="s">
        <v>28</v>
      </c>
      <c r="E3897" t="s">
        <v>18</v>
      </c>
      <c r="F3897" t="s">
        <v>28</v>
      </c>
      <c r="G3897">
        <v>21944</v>
      </c>
      <c r="H3897">
        <v>17555.2</v>
      </c>
      <c r="I3897" s="13">
        <v>0.8</v>
      </c>
      <c r="J3897" t="s">
        <v>6207</v>
      </c>
      <c r="K3897">
        <v>2</v>
      </c>
      <c r="L3897">
        <v>4</v>
      </c>
      <c r="M3897" t="s">
        <v>1</v>
      </c>
      <c r="N3897" s="2">
        <v>0.37</v>
      </c>
      <c r="O3897" s="2">
        <v>0.63</v>
      </c>
      <c r="P3897">
        <v>8</v>
      </c>
      <c r="Q3897">
        <v>8</v>
      </c>
      <c r="R3897">
        <v>5</v>
      </c>
      <c r="S3897">
        <v>6</v>
      </c>
      <c r="T3897">
        <v>7</v>
      </c>
      <c r="U3897">
        <v>8</v>
      </c>
      <c r="V3897">
        <v>3</v>
      </c>
      <c r="W3897">
        <v>2</v>
      </c>
      <c r="X3897">
        <v>0</v>
      </c>
      <c r="Y3897">
        <v>0</v>
      </c>
      <c r="Z3897">
        <v>0</v>
      </c>
    </row>
    <row r="3898" spans="1:26" x14ac:dyDescent="0.2">
      <c r="A3898" t="s">
        <v>4016</v>
      </c>
      <c r="B3898" t="s">
        <v>60</v>
      </c>
      <c r="C3898">
        <v>2019</v>
      </c>
      <c r="D3898" t="s">
        <v>64</v>
      </c>
      <c r="E3898" t="s">
        <v>22</v>
      </c>
      <c r="F3898" t="s">
        <v>64</v>
      </c>
      <c r="G3898">
        <v>52264</v>
      </c>
      <c r="H3898">
        <v>41811.200000000004</v>
      </c>
      <c r="I3898" s="13">
        <v>0.6</v>
      </c>
      <c r="J3898" t="s">
        <v>6208</v>
      </c>
      <c r="K3898">
        <v>1</v>
      </c>
      <c r="L3898">
        <v>1</v>
      </c>
      <c r="M3898" t="s">
        <v>58</v>
      </c>
      <c r="N3898" s="2">
        <v>0.43</v>
      </c>
      <c r="O3898" s="2">
        <v>0.56999999999999995</v>
      </c>
      <c r="P3898">
        <v>18</v>
      </c>
      <c r="Q3898">
        <v>10</v>
      </c>
      <c r="R3898">
        <v>3</v>
      </c>
      <c r="S3898">
        <v>6</v>
      </c>
      <c r="T3898">
        <v>8</v>
      </c>
      <c r="U3898">
        <v>15</v>
      </c>
      <c r="V3898">
        <v>2</v>
      </c>
      <c r="W3898">
        <v>2</v>
      </c>
      <c r="X3898">
        <v>1</v>
      </c>
      <c r="Y3898">
        <v>0</v>
      </c>
      <c r="Z3898">
        <v>0</v>
      </c>
    </row>
    <row r="3899" spans="1:26" x14ac:dyDescent="0.2">
      <c r="A3899" t="s">
        <v>4017</v>
      </c>
      <c r="B3899" t="s">
        <v>59</v>
      </c>
      <c r="C3899">
        <v>2019</v>
      </c>
      <c r="D3899" t="s">
        <v>69</v>
      </c>
      <c r="E3899" t="s">
        <v>48</v>
      </c>
      <c r="F3899" t="s">
        <v>69</v>
      </c>
      <c r="G3899">
        <v>27359</v>
      </c>
      <c r="H3899">
        <v>21887.200000000001</v>
      </c>
      <c r="I3899" s="13">
        <v>0.25</v>
      </c>
      <c r="J3899" t="s">
        <v>6206</v>
      </c>
      <c r="K3899">
        <v>1</v>
      </c>
      <c r="L3899">
        <v>3</v>
      </c>
      <c r="M3899" t="s">
        <v>1</v>
      </c>
      <c r="N3899" s="2">
        <v>0.46</v>
      </c>
      <c r="O3899" s="2">
        <v>0.54</v>
      </c>
      <c r="P3899">
        <v>10</v>
      </c>
      <c r="Q3899">
        <v>12</v>
      </c>
      <c r="R3899">
        <v>1</v>
      </c>
      <c r="S3899">
        <v>10</v>
      </c>
      <c r="T3899">
        <v>13</v>
      </c>
      <c r="U3899">
        <v>10</v>
      </c>
      <c r="V3899">
        <v>2</v>
      </c>
      <c r="W3899">
        <v>2</v>
      </c>
      <c r="X3899">
        <v>0</v>
      </c>
      <c r="Y3899">
        <v>0</v>
      </c>
      <c r="Z3899">
        <v>2</v>
      </c>
    </row>
    <row r="3900" spans="1:26" x14ac:dyDescent="0.2">
      <c r="A3900" t="s">
        <v>4018</v>
      </c>
      <c r="B3900" t="s">
        <v>61</v>
      </c>
      <c r="C3900">
        <v>2019</v>
      </c>
      <c r="D3900" t="s">
        <v>26</v>
      </c>
      <c r="E3900" t="s">
        <v>51</v>
      </c>
      <c r="F3900" t="s">
        <v>26</v>
      </c>
      <c r="G3900">
        <v>61276</v>
      </c>
      <c r="H3900">
        <v>49020.800000000003</v>
      </c>
      <c r="I3900" s="13">
        <v>0.5</v>
      </c>
      <c r="J3900" t="s">
        <v>6207</v>
      </c>
      <c r="K3900">
        <v>2</v>
      </c>
      <c r="L3900">
        <v>1</v>
      </c>
      <c r="M3900" t="s">
        <v>0</v>
      </c>
      <c r="N3900" s="2">
        <v>0.68</v>
      </c>
      <c r="O3900" s="2">
        <v>0.32</v>
      </c>
      <c r="P3900">
        <v>14</v>
      </c>
      <c r="Q3900">
        <v>9</v>
      </c>
      <c r="R3900">
        <v>8</v>
      </c>
      <c r="S3900">
        <v>3</v>
      </c>
      <c r="T3900">
        <v>9</v>
      </c>
      <c r="U3900">
        <v>11</v>
      </c>
      <c r="V3900">
        <v>3</v>
      </c>
      <c r="W3900">
        <v>3</v>
      </c>
      <c r="X3900">
        <v>0</v>
      </c>
      <c r="Y3900">
        <v>0</v>
      </c>
      <c r="Z3900">
        <v>1</v>
      </c>
    </row>
    <row r="3901" spans="1:26" x14ac:dyDescent="0.2">
      <c r="A3901" t="s">
        <v>4019</v>
      </c>
      <c r="B3901" t="s">
        <v>32</v>
      </c>
      <c r="C3901">
        <v>2019</v>
      </c>
      <c r="D3901" t="s">
        <v>46</v>
      </c>
      <c r="E3901" t="s">
        <v>79</v>
      </c>
      <c r="F3901" t="s">
        <v>20</v>
      </c>
      <c r="G3901">
        <v>60704</v>
      </c>
      <c r="H3901">
        <v>48563.200000000004</v>
      </c>
      <c r="I3901" s="13">
        <v>0.5</v>
      </c>
      <c r="J3901" t="s">
        <v>6207</v>
      </c>
      <c r="K3901">
        <v>2</v>
      </c>
      <c r="L3901">
        <v>2</v>
      </c>
      <c r="M3901" t="s">
        <v>58</v>
      </c>
      <c r="N3901" s="2">
        <v>0.56999999999999995</v>
      </c>
      <c r="O3901" s="2">
        <v>0.43</v>
      </c>
      <c r="P3901">
        <v>11</v>
      </c>
      <c r="Q3901">
        <v>18</v>
      </c>
      <c r="R3901">
        <v>12</v>
      </c>
      <c r="S3901">
        <v>5</v>
      </c>
      <c r="T3901">
        <v>18</v>
      </c>
      <c r="U3901">
        <v>9</v>
      </c>
      <c r="V3901">
        <v>2</v>
      </c>
      <c r="W3901">
        <v>0</v>
      </c>
      <c r="X3901">
        <v>0</v>
      </c>
      <c r="Y3901">
        <v>0</v>
      </c>
      <c r="Z3901">
        <v>1</v>
      </c>
    </row>
    <row r="3902" spans="1:26" x14ac:dyDescent="0.2">
      <c r="A3902" t="s">
        <v>4020</v>
      </c>
      <c r="B3902" t="s">
        <v>88</v>
      </c>
      <c r="C3902">
        <v>2019</v>
      </c>
      <c r="D3902" t="s">
        <v>86</v>
      </c>
      <c r="E3902" t="s">
        <v>48</v>
      </c>
      <c r="F3902" t="s">
        <v>86</v>
      </c>
      <c r="G3902">
        <v>11364</v>
      </c>
      <c r="H3902">
        <v>9091.2000000000007</v>
      </c>
      <c r="I3902" s="13">
        <v>0.42857142857142855</v>
      </c>
      <c r="J3902" t="s">
        <v>6207</v>
      </c>
      <c r="K3902">
        <v>1</v>
      </c>
      <c r="L3902">
        <v>0</v>
      </c>
      <c r="M3902" t="s">
        <v>0</v>
      </c>
      <c r="N3902" s="2">
        <v>0.42</v>
      </c>
      <c r="O3902" s="2">
        <v>0.57999999999999996</v>
      </c>
      <c r="P3902">
        <v>16</v>
      </c>
      <c r="Q3902">
        <v>16</v>
      </c>
      <c r="R3902">
        <v>4</v>
      </c>
      <c r="S3902">
        <v>10</v>
      </c>
      <c r="T3902">
        <v>14</v>
      </c>
      <c r="U3902">
        <v>12</v>
      </c>
      <c r="V3902">
        <v>4</v>
      </c>
      <c r="W3902">
        <v>3</v>
      </c>
      <c r="X3902">
        <v>0</v>
      </c>
      <c r="Y3902">
        <v>0</v>
      </c>
      <c r="Z3902">
        <v>0</v>
      </c>
    </row>
    <row r="3903" spans="1:26" x14ac:dyDescent="0.2">
      <c r="A3903" t="s">
        <v>4021</v>
      </c>
      <c r="B3903" t="s">
        <v>59</v>
      </c>
      <c r="C3903">
        <v>2019</v>
      </c>
      <c r="D3903" t="s">
        <v>23</v>
      </c>
      <c r="E3903" t="s">
        <v>64</v>
      </c>
      <c r="F3903" t="s">
        <v>20</v>
      </c>
      <c r="G3903">
        <v>62500</v>
      </c>
      <c r="H3903">
        <v>50000</v>
      </c>
      <c r="I3903" s="13">
        <v>0.66666666666666663</v>
      </c>
      <c r="J3903" t="s">
        <v>6206</v>
      </c>
      <c r="K3903">
        <v>2</v>
      </c>
      <c r="L3903">
        <v>3</v>
      </c>
      <c r="M3903" t="s">
        <v>1</v>
      </c>
      <c r="N3903" s="2">
        <v>0.69</v>
      </c>
      <c r="O3903" s="2">
        <v>0.31</v>
      </c>
      <c r="P3903">
        <v>11</v>
      </c>
      <c r="Q3903">
        <v>11</v>
      </c>
      <c r="R3903">
        <v>7</v>
      </c>
      <c r="S3903">
        <v>3</v>
      </c>
      <c r="T3903">
        <v>10</v>
      </c>
      <c r="U3903">
        <v>7</v>
      </c>
      <c r="V3903">
        <v>2</v>
      </c>
      <c r="W3903">
        <v>1</v>
      </c>
      <c r="X3903">
        <v>0</v>
      </c>
      <c r="Y3903">
        <v>0</v>
      </c>
      <c r="Z3903">
        <v>0</v>
      </c>
    </row>
    <row r="3904" spans="1:26" x14ac:dyDescent="0.2">
      <c r="A3904" t="s">
        <v>4022</v>
      </c>
      <c r="B3904" t="s">
        <v>84</v>
      </c>
      <c r="C3904">
        <v>2019</v>
      </c>
      <c r="D3904" t="s">
        <v>95</v>
      </c>
      <c r="E3904" t="s">
        <v>28</v>
      </c>
      <c r="F3904" t="s">
        <v>57</v>
      </c>
      <c r="G3904">
        <v>32050</v>
      </c>
      <c r="H3904">
        <v>25640</v>
      </c>
      <c r="I3904" s="13">
        <v>0</v>
      </c>
      <c r="J3904" t="s">
        <v>6208</v>
      </c>
      <c r="K3904">
        <v>3</v>
      </c>
      <c r="L3904">
        <v>0</v>
      </c>
      <c r="M3904" t="s">
        <v>0</v>
      </c>
      <c r="N3904" s="2">
        <v>0.46</v>
      </c>
      <c r="O3904" s="2">
        <v>0.54</v>
      </c>
      <c r="P3904">
        <v>12</v>
      </c>
      <c r="Q3904">
        <v>9</v>
      </c>
      <c r="R3904">
        <v>7</v>
      </c>
      <c r="S3904">
        <v>6</v>
      </c>
      <c r="T3904">
        <v>8</v>
      </c>
      <c r="U3904">
        <v>12</v>
      </c>
      <c r="V3904">
        <v>1</v>
      </c>
      <c r="W3904">
        <v>2</v>
      </c>
      <c r="X3904">
        <v>0</v>
      </c>
      <c r="Y3904">
        <v>0</v>
      </c>
      <c r="Z3904">
        <v>0</v>
      </c>
    </row>
    <row r="3905" spans="1:26" x14ac:dyDescent="0.2">
      <c r="A3905" t="s">
        <v>4023</v>
      </c>
      <c r="B3905" t="s">
        <v>50</v>
      </c>
      <c r="C3905">
        <v>2019</v>
      </c>
      <c r="D3905" t="s">
        <v>40</v>
      </c>
      <c r="E3905" t="s">
        <v>73</v>
      </c>
      <c r="F3905" t="s">
        <v>49</v>
      </c>
      <c r="G3905">
        <v>53400</v>
      </c>
      <c r="H3905">
        <v>42720</v>
      </c>
      <c r="I3905" s="13">
        <v>0.75</v>
      </c>
      <c r="J3905" t="s">
        <v>6207</v>
      </c>
      <c r="K3905">
        <v>2</v>
      </c>
      <c r="L3905">
        <v>1</v>
      </c>
      <c r="M3905" t="s">
        <v>0</v>
      </c>
      <c r="N3905" s="2">
        <v>0.76</v>
      </c>
      <c r="O3905" s="2">
        <v>0.24</v>
      </c>
      <c r="P3905">
        <v>10</v>
      </c>
      <c r="Q3905">
        <v>14</v>
      </c>
      <c r="R3905">
        <v>17</v>
      </c>
      <c r="S3905">
        <v>0</v>
      </c>
      <c r="T3905">
        <v>11</v>
      </c>
      <c r="U3905">
        <v>10</v>
      </c>
      <c r="V3905">
        <v>3</v>
      </c>
      <c r="W3905">
        <v>1</v>
      </c>
      <c r="X3905">
        <v>0</v>
      </c>
      <c r="Y3905">
        <v>0</v>
      </c>
      <c r="Z3905">
        <v>0</v>
      </c>
    </row>
    <row r="3906" spans="1:26" x14ac:dyDescent="0.2">
      <c r="A3906" t="s">
        <v>4024</v>
      </c>
      <c r="B3906" t="s">
        <v>60</v>
      </c>
      <c r="C3906">
        <v>2019</v>
      </c>
      <c r="D3906" t="s">
        <v>90</v>
      </c>
      <c r="E3906" t="s">
        <v>69</v>
      </c>
      <c r="F3906" t="s">
        <v>91</v>
      </c>
      <c r="G3906">
        <v>31876</v>
      </c>
      <c r="H3906">
        <v>25500.800000000003</v>
      </c>
      <c r="I3906" s="13">
        <v>1</v>
      </c>
      <c r="J3906" t="s">
        <v>6208</v>
      </c>
      <c r="K3906">
        <v>2</v>
      </c>
      <c r="L3906">
        <v>0</v>
      </c>
      <c r="M3906" t="s">
        <v>0</v>
      </c>
      <c r="N3906" s="2">
        <v>0.57999999999999996</v>
      </c>
      <c r="O3906" s="2">
        <v>0.42</v>
      </c>
      <c r="P3906">
        <v>9</v>
      </c>
      <c r="Q3906">
        <v>14</v>
      </c>
      <c r="R3906">
        <v>8</v>
      </c>
      <c r="S3906">
        <v>3</v>
      </c>
      <c r="T3906">
        <v>11</v>
      </c>
      <c r="U3906">
        <v>8</v>
      </c>
      <c r="V3906">
        <v>0</v>
      </c>
      <c r="W3906">
        <v>1</v>
      </c>
      <c r="X3906">
        <v>0</v>
      </c>
      <c r="Y3906">
        <v>0</v>
      </c>
      <c r="Z3906">
        <v>0</v>
      </c>
    </row>
    <row r="3907" spans="1:26" x14ac:dyDescent="0.2">
      <c r="A3907" t="s">
        <v>4025</v>
      </c>
      <c r="B3907" t="s">
        <v>68</v>
      </c>
      <c r="C3907">
        <v>2019</v>
      </c>
      <c r="D3907" t="s">
        <v>42</v>
      </c>
      <c r="E3907" t="s">
        <v>26</v>
      </c>
      <c r="F3907" t="s">
        <v>38</v>
      </c>
      <c r="G3907">
        <v>42918</v>
      </c>
      <c r="H3907">
        <v>34334.400000000001</v>
      </c>
      <c r="I3907" s="13">
        <v>0.33333333333333331</v>
      </c>
      <c r="J3907" t="s">
        <v>6207</v>
      </c>
      <c r="K3907">
        <v>1</v>
      </c>
      <c r="L3907">
        <v>2</v>
      </c>
      <c r="M3907" t="s">
        <v>1</v>
      </c>
      <c r="N3907" s="2">
        <v>0.26</v>
      </c>
      <c r="O3907" s="2">
        <v>0.74</v>
      </c>
      <c r="P3907">
        <v>10</v>
      </c>
      <c r="Q3907">
        <v>15</v>
      </c>
      <c r="R3907">
        <v>2</v>
      </c>
      <c r="S3907">
        <v>10</v>
      </c>
      <c r="T3907">
        <v>12</v>
      </c>
      <c r="U3907">
        <v>9</v>
      </c>
      <c r="V3907">
        <v>1</v>
      </c>
      <c r="W3907">
        <v>2</v>
      </c>
      <c r="X3907">
        <v>0</v>
      </c>
      <c r="Y3907">
        <v>0</v>
      </c>
      <c r="Z3907">
        <v>0</v>
      </c>
    </row>
    <row r="3908" spans="1:26" x14ac:dyDescent="0.2">
      <c r="A3908" t="s">
        <v>4026</v>
      </c>
      <c r="B3908" t="s">
        <v>66</v>
      </c>
      <c r="C3908">
        <v>2019</v>
      </c>
      <c r="D3908" t="s">
        <v>46</v>
      </c>
      <c r="E3908" t="s">
        <v>22</v>
      </c>
      <c r="F3908" t="s">
        <v>20</v>
      </c>
      <c r="G3908">
        <v>60704</v>
      </c>
      <c r="H3908">
        <v>48563.200000000004</v>
      </c>
      <c r="I3908" s="13">
        <v>1</v>
      </c>
      <c r="J3908" t="s">
        <v>6207</v>
      </c>
      <c r="K3908">
        <v>1</v>
      </c>
      <c r="L3908">
        <v>1</v>
      </c>
      <c r="M3908" t="s">
        <v>58</v>
      </c>
      <c r="N3908" s="2">
        <v>0.57999999999999996</v>
      </c>
      <c r="O3908" s="2">
        <v>0.42</v>
      </c>
      <c r="P3908">
        <v>17</v>
      </c>
      <c r="Q3908">
        <v>8</v>
      </c>
      <c r="R3908">
        <v>8</v>
      </c>
      <c r="S3908">
        <v>9</v>
      </c>
      <c r="T3908">
        <v>6</v>
      </c>
      <c r="U3908">
        <v>15</v>
      </c>
      <c r="V3908">
        <v>0</v>
      </c>
      <c r="W3908">
        <v>2</v>
      </c>
      <c r="X3908">
        <v>0</v>
      </c>
      <c r="Y3908">
        <v>0</v>
      </c>
      <c r="Z3908">
        <v>0</v>
      </c>
    </row>
    <row r="3909" spans="1:26" x14ac:dyDescent="0.2">
      <c r="A3909" t="s">
        <v>4027</v>
      </c>
      <c r="B3909" t="s">
        <v>61</v>
      </c>
      <c r="C3909">
        <v>2019</v>
      </c>
      <c r="D3909" t="s">
        <v>85</v>
      </c>
      <c r="E3909" t="s">
        <v>18</v>
      </c>
      <c r="F3909" t="s">
        <v>85</v>
      </c>
      <c r="G3909">
        <v>22220</v>
      </c>
      <c r="H3909">
        <v>17776</v>
      </c>
      <c r="I3909" s="13">
        <v>0.66666666666666663</v>
      </c>
      <c r="J3909" t="s">
        <v>6207</v>
      </c>
      <c r="K3909">
        <v>1</v>
      </c>
      <c r="L3909">
        <v>2</v>
      </c>
      <c r="M3909" t="s">
        <v>1</v>
      </c>
      <c r="N3909" s="2">
        <v>0.33</v>
      </c>
      <c r="O3909" s="2">
        <v>0.67</v>
      </c>
      <c r="P3909">
        <v>4</v>
      </c>
      <c r="Q3909">
        <v>8</v>
      </c>
      <c r="R3909">
        <v>1</v>
      </c>
      <c r="S3909">
        <v>6</v>
      </c>
      <c r="T3909">
        <v>8</v>
      </c>
      <c r="U3909">
        <v>5</v>
      </c>
      <c r="V3909">
        <v>4</v>
      </c>
      <c r="W3909">
        <v>2</v>
      </c>
      <c r="X3909">
        <v>0</v>
      </c>
      <c r="Y3909">
        <v>0</v>
      </c>
      <c r="Z3909">
        <v>1</v>
      </c>
    </row>
    <row r="3910" spans="1:26" x14ac:dyDescent="0.2">
      <c r="A3910" t="s">
        <v>4028</v>
      </c>
      <c r="B3910" t="s">
        <v>81</v>
      </c>
      <c r="C3910">
        <v>2019</v>
      </c>
      <c r="D3910" t="s">
        <v>79</v>
      </c>
      <c r="E3910" t="s">
        <v>80</v>
      </c>
      <c r="F3910" t="s">
        <v>20</v>
      </c>
      <c r="G3910">
        <v>25486</v>
      </c>
      <c r="H3910">
        <v>20388.800000000003</v>
      </c>
      <c r="I3910" s="13">
        <v>0.5</v>
      </c>
      <c r="J3910" t="s">
        <v>6207</v>
      </c>
      <c r="K3910">
        <v>0</v>
      </c>
      <c r="L3910">
        <v>2</v>
      </c>
      <c r="M3910" t="s">
        <v>1</v>
      </c>
      <c r="N3910" s="2">
        <v>0.44</v>
      </c>
      <c r="O3910" s="2">
        <v>0.56000000000000005</v>
      </c>
      <c r="P3910">
        <v>17</v>
      </c>
      <c r="Q3910">
        <v>17</v>
      </c>
      <c r="R3910">
        <v>5</v>
      </c>
      <c r="S3910">
        <v>6</v>
      </c>
      <c r="T3910">
        <v>15</v>
      </c>
      <c r="U3910">
        <v>16</v>
      </c>
      <c r="V3910">
        <v>2</v>
      </c>
      <c r="W3910">
        <v>2</v>
      </c>
      <c r="X3910">
        <v>0</v>
      </c>
      <c r="Y3910">
        <v>0</v>
      </c>
      <c r="Z3910">
        <v>0</v>
      </c>
    </row>
    <row r="3911" spans="1:26" x14ac:dyDescent="0.2">
      <c r="A3911" t="s">
        <v>4029</v>
      </c>
      <c r="B3911" t="s">
        <v>32</v>
      </c>
      <c r="C3911">
        <v>2019</v>
      </c>
      <c r="D3911" t="s">
        <v>45</v>
      </c>
      <c r="E3911" t="s">
        <v>51</v>
      </c>
      <c r="F3911" t="s">
        <v>26</v>
      </c>
      <c r="G3911">
        <v>39572</v>
      </c>
      <c r="H3911">
        <v>31657.600000000002</v>
      </c>
      <c r="I3911" s="13">
        <v>0.5</v>
      </c>
      <c r="J3911" t="s">
        <v>6207</v>
      </c>
      <c r="K3911">
        <v>1</v>
      </c>
      <c r="L3911">
        <v>1</v>
      </c>
      <c r="M3911" t="s">
        <v>58</v>
      </c>
      <c r="N3911" s="2">
        <v>0.48</v>
      </c>
      <c r="O3911" s="2">
        <v>0.52</v>
      </c>
      <c r="P3911">
        <v>10</v>
      </c>
      <c r="Q3911">
        <v>10</v>
      </c>
      <c r="R3911">
        <v>5</v>
      </c>
      <c r="S3911">
        <v>2</v>
      </c>
      <c r="T3911">
        <v>9</v>
      </c>
      <c r="U3911">
        <v>8</v>
      </c>
      <c r="V3911">
        <v>1</v>
      </c>
      <c r="W3911">
        <v>2</v>
      </c>
      <c r="X3911">
        <v>0</v>
      </c>
      <c r="Y3911">
        <v>1</v>
      </c>
      <c r="Z3911">
        <v>0</v>
      </c>
    </row>
    <row r="3912" spans="1:26" x14ac:dyDescent="0.2">
      <c r="A3912" t="s">
        <v>4030</v>
      </c>
      <c r="B3912" t="s">
        <v>37</v>
      </c>
      <c r="C3912">
        <v>2019</v>
      </c>
      <c r="D3912" t="s">
        <v>69</v>
      </c>
      <c r="E3912" t="s">
        <v>85</v>
      </c>
      <c r="F3912" t="s">
        <v>69</v>
      </c>
      <c r="G3912">
        <v>27359</v>
      </c>
      <c r="H3912">
        <v>21887.200000000001</v>
      </c>
      <c r="I3912" s="13">
        <v>0.6</v>
      </c>
      <c r="J3912" t="s">
        <v>6206</v>
      </c>
      <c r="K3912">
        <v>0</v>
      </c>
      <c r="L3912">
        <v>2</v>
      </c>
      <c r="M3912" t="s">
        <v>1</v>
      </c>
      <c r="N3912" s="2">
        <v>0.66</v>
      </c>
      <c r="O3912" s="2">
        <v>0.34</v>
      </c>
      <c r="P3912">
        <v>13</v>
      </c>
      <c r="Q3912">
        <v>8</v>
      </c>
      <c r="R3912">
        <v>10</v>
      </c>
      <c r="S3912">
        <v>4</v>
      </c>
      <c r="T3912">
        <v>7</v>
      </c>
      <c r="U3912">
        <v>13</v>
      </c>
      <c r="V3912">
        <v>1</v>
      </c>
      <c r="W3912">
        <v>3</v>
      </c>
      <c r="X3912">
        <v>0</v>
      </c>
      <c r="Y3912">
        <v>1</v>
      </c>
      <c r="Z3912">
        <v>0</v>
      </c>
    </row>
    <row r="3913" spans="1:26" x14ac:dyDescent="0.2">
      <c r="A3913" t="s">
        <v>4031</v>
      </c>
      <c r="B3913" t="s">
        <v>41</v>
      </c>
      <c r="C3913">
        <v>2019</v>
      </c>
      <c r="D3913" t="s">
        <v>18</v>
      </c>
      <c r="E3913" t="s">
        <v>79</v>
      </c>
      <c r="F3913" t="s">
        <v>20</v>
      </c>
      <c r="G3913">
        <v>40341</v>
      </c>
      <c r="H3913">
        <v>32272.800000000003</v>
      </c>
      <c r="I3913" s="13">
        <v>1</v>
      </c>
      <c r="J3913" t="s">
        <v>6207</v>
      </c>
      <c r="K3913">
        <v>2</v>
      </c>
      <c r="L3913">
        <v>0</v>
      </c>
      <c r="M3913" t="s">
        <v>0</v>
      </c>
      <c r="N3913" s="2">
        <v>0.6</v>
      </c>
      <c r="O3913" s="2">
        <v>0.4</v>
      </c>
      <c r="P3913">
        <v>17</v>
      </c>
      <c r="Q3913">
        <v>9</v>
      </c>
      <c r="R3913">
        <v>7</v>
      </c>
      <c r="S3913">
        <v>0</v>
      </c>
      <c r="T3913">
        <v>9</v>
      </c>
      <c r="U3913">
        <v>17</v>
      </c>
      <c r="V3913">
        <v>3</v>
      </c>
      <c r="W3913">
        <v>2</v>
      </c>
      <c r="X3913">
        <v>0</v>
      </c>
      <c r="Y3913">
        <v>0</v>
      </c>
      <c r="Z3913">
        <v>0</v>
      </c>
    </row>
    <row r="3914" spans="1:26" x14ac:dyDescent="0.2">
      <c r="A3914" t="s">
        <v>4032</v>
      </c>
      <c r="B3914" t="s">
        <v>83</v>
      </c>
      <c r="C3914">
        <v>2019</v>
      </c>
      <c r="D3914" t="s">
        <v>51</v>
      </c>
      <c r="E3914" t="s">
        <v>95</v>
      </c>
      <c r="F3914" t="s">
        <v>20</v>
      </c>
      <c r="G3914">
        <v>36284</v>
      </c>
      <c r="H3914">
        <v>29027.200000000001</v>
      </c>
      <c r="I3914" s="13">
        <v>0.25</v>
      </c>
      <c r="J3914" t="s">
        <v>6208</v>
      </c>
      <c r="K3914">
        <v>1</v>
      </c>
      <c r="L3914">
        <v>1</v>
      </c>
      <c r="M3914" t="s">
        <v>58</v>
      </c>
      <c r="N3914" s="2">
        <v>0.61</v>
      </c>
      <c r="O3914" s="2">
        <v>0.39</v>
      </c>
      <c r="P3914">
        <v>15</v>
      </c>
      <c r="Q3914">
        <v>7</v>
      </c>
      <c r="R3914">
        <v>4</v>
      </c>
      <c r="S3914">
        <v>4</v>
      </c>
      <c r="T3914">
        <v>6</v>
      </c>
      <c r="U3914">
        <v>9</v>
      </c>
      <c r="V3914">
        <v>2</v>
      </c>
      <c r="W3914">
        <v>2</v>
      </c>
      <c r="X3914">
        <v>0</v>
      </c>
      <c r="Y3914">
        <v>0</v>
      </c>
      <c r="Z3914">
        <v>0</v>
      </c>
    </row>
    <row r="3915" spans="1:26" x14ac:dyDescent="0.2">
      <c r="A3915" t="s">
        <v>4033</v>
      </c>
      <c r="B3915" t="s">
        <v>81</v>
      </c>
      <c r="C3915">
        <v>2019</v>
      </c>
      <c r="D3915" t="s">
        <v>73</v>
      </c>
      <c r="E3915" t="s">
        <v>45</v>
      </c>
      <c r="F3915" t="s">
        <v>73</v>
      </c>
      <c r="G3915">
        <v>32384</v>
      </c>
      <c r="H3915">
        <v>25907.200000000001</v>
      </c>
      <c r="I3915" s="13">
        <v>1</v>
      </c>
      <c r="J3915" t="s">
        <v>6207</v>
      </c>
      <c r="K3915">
        <v>1</v>
      </c>
      <c r="L3915">
        <v>2</v>
      </c>
      <c r="M3915" t="s">
        <v>1</v>
      </c>
      <c r="N3915" s="2">
        <v>0.47</v>
      </c>
      <c r="O3915" s="2">
        <v>0.53</v>
      </c>
      <c r="P3915">
        <v>12</v>
      </c>
      <c r="Q3915">
        <v>14</v>
      </c>
      <c r="R3915">
        <v>5</v>
      </c>
      <c r="S3915">
        <v>9</v>
      </c>
      <c r="T3915">
        <v>12</v>
      </c>
      <c r="U3915">
        <v>12</v>
      </c>
      <c r="V3915">
        <v>1</v>
      </c>
      <c r="W3915">
        <v>1</v>
      </c>
      <c r="X3915">
        <v>0</v>
      </c>
      <c r="Y3915">
        <v>0</v>
      </c>
      <c r="Z3915">
        <v>0</v>
      </c>
    </row>
    <row r="3916" spans="1:26" x14ac:dyDescent="0.2">
      <c r="A3916" t="s">
        <v>4034</v>
      </c>
      <c r="B3916" t="s">
        <v>32</v>
      </c>
      <c r="C3916">
        <v>2019</v>
      </c>
      <c r="D3916" t="s">
        <v>64</v>
      </c>
      <c r="E3916" t="s">
        <v>86</v>
      </c>
      <c r="F3916" t="s">
        <v>64</v>
      </c>
      <c r="G3916">
        <v>52264</v>
      </c>
      <c r="H3916">
        <v>41811.200000000004</v>
      </c>
      <c r="I3916" s="13">
        <v>1</v>
      </c>
      <c r="J3916" t="s">
        <v>6207</v>
      </c>
      <c r="K3916">
        <v>2</v>
      </c>
      <c r="L3916">
        <v>1</v>
      </c>
      <c r="M3916" t="s">
        <v>0</v>
      </c>
      <c r="N3916" s="2">
        <v>0.33</v>
      </c>
      <c r="O3916" s="2">
        <v>0.67</v>
      </c>
      <c r="P3916">
        <v>6</v>
      </c>
      <c r="Q3916">
        <v>14</v>
      </c>
      <c r="R3916">
        <v>5</v>
      </c>
      <c r="S3916">
        <v>4</v>
      </c>
      <c r="T3916">
        <v>10</v>
      </c>
      <c r="U3916">
        <v>5</v>
      </c>
      <c r="V3916">
        <v>2</v>
      </c>
      <c r="W3916">
        <v>0</v>
      </c>
      <c r="X3916">
        <v>0</v>
      </c>
      <c r="Y3916">
        <v>0</v>
      </c>
      <c r="Z3916">
        <v>0</v>
      </c>
    </row>
    <row r="3917" spans="1:26" x14ac:dyDescent="0.2">
      <c r="A3917" t="s">
        <v>4035</v>
      </c>
      <c r="B3917" t="s">
        <v>60</v>
      </c>
      <c r="C3917">
        <v>2019</v>
      </c>
      <c r="D3917" t="s">
        <v>28</v>
      </c>
      <c r="E3917" t="s">
        <v>23</v>
      </c>
      <c r="F3917" t="s">
        <v>28</v>
      </c>
      <c r="G3917">
        <v>21944</v>
      </c>
      <c r="H3917">
        <v>17555.2</v>
      </c>
      <c r="I3917" s="13">
        <v>0</v>
      </c>
      <c r="J3917" t="s">
        <v>6208</v>
      </c>
      <c r="K3917">
        <v>3</v>
      </c>
      <c r="L3917">
        <v>0</v>
      </c>
      <c r="M3917" t="s">
        <v>0</v>
      </c>
      <c r="N3917" s="2">
        <v>0.4</v>
      </c>
      <c r="O3917" s="2">
        <v>0.6</v>
      </c>
      <c r="P3917">
        <v>11</v>
      </c>
      <c r="Q3917">
        <v>23</v>
      </c>
      <c r="R3917">
        <v>11</v>
      </c>
      <c r="S3917">
        <v>4</v>
      </c>
      <c r="T3917">
        <v>17</v>
      </c>
      <c r="U3917">
        <v>10</v>
      </c>
      <c r="V3917">
        <v>2</v>
      </c>
      <c r="W3917">
        <v>1</v>
      </c>
      <c r="X3917">
        <v>0</v>
      </c>
      <c r="Y3917">
        <v>0</v>
      </c>
      <c r="Z3917">
        <v>0</v>
      </c>
    </row>
    <row r="3918" spans="1:26" x14ac:dyDescent="0.2">
      <c r="A3918" t="s">
        <v>4036</v>
      </c>
      <c r="B3918" t="s">
        <v>88</v>
      </c>
      <c r="C3918">
        <v>2019</v>
      </c>
      <c r="D3918" t="s">
        <v>80</v>
      </c>
      <c r="E3918" t="s">
        <v>46</v>
      </c>
      <c r="F3918" t="s">
        <v>80</v>
      </c>
      <c r="G3918">
        <v>32261</v>
      </c>
      <c r="H3918">
        <v>25808.800000000003</v>
      </c>
      <c r="I3918" s="13">
        <v>0.5</v>
      </c>
      <c r="J3918" t="s">
        <v>6207</v>
      </c>
      <c r="K3918">
        <v>2</v>
      </c>
      <c r="L3918">
        <v>0</v>
      </c>
      <c r="M3918" t="s">
        <v>0</v>
      </c>
      <c r="N3918" s="2">
        <v>0.51</v>
      </c>
      <c r="O3918" s="2">
        <v>0.49</v>
      </c>
      <c r="P3918">
        <v>13</v>
      </c>
      <c r="Q3918">
        <v>11</v>
      </c>
      <c r="R3918">
        <v>5</v>
      </c>
      <c r="S3918">
        <v>4</v>
      </c>
      <c r="T3918">
        <v>10</v>
      </c>
      <c r="U3918">
        <v>10</v>
      </c>
      <c r="V3918">
        <v>1</v>
      </c>
      <c r="W3918">
        <v>1</v>
      </c>
      <c r="X3918">
        <v>0</v>
      </c>
      <c r="Y3918">
        <v>0</v>
      </c>
      <c r="Z3918">
        <v>0</v>
      </c>
    </row>
    <row r="3919" spans="1:26" x14ac:dyDescent="0.2">
      <c r="A3919" t="s">
        <v>4037</v>
      </c>
      <c r="B3919" t="s">
        <v>61</v>
      </c>
      <c r="C3919">
        <v>2019</v>
      </c>
      <c r="D3919" t="s">
        <v>22</v>
      </c>
      <c r="E3919" t="s">
        <v>42</v>
      </c>
      <c r="F3919" t="s">
        <v>24</v>
      </c>
      <c r="G3919">
        <v>31750</v>
      </c>
      <c r="H3919">
        <v>25400</v>
      </c>
      <c r="I3919" s="13">
        <v>0.7142857142857143</v>
      </c>
      <c r="J3919" t="s">
        <v>6207</v>
      </c>
      <c r="K3919">
        <v>2</v>
      </c>
      <c r="L3919">
        <v>1</v>
      </c>
      <c r="M3919" t="s">
        <v>0</v>
      </c>
      <c r="N3919" s="2">
        <v>0.49</v>
      </c>
      <c r="O3919" s="2">
        <v>0.51</v>
      </c>
      <c r="P3919">
        <v>9</v>
      </c>
      <c r="Q3919">
        <v>17</v>
      </c>
      <c r="R3919">
        <v>6</v>
      </c>
      <c r="S3919">
        <v>3</v>
      </c>
      <c r="T3919">
        <v>17</v>
      </c>
      <c r="U3919">
        <v>8</v>
      </c>
      <c r="V3919">
        <v>4</v>
      </c>
      <c r="W3919">
        <v>3</v>
      </c>
      <c r="X3919">
        <v>0</v>
      </c>
      <c r="Y3919">
        <v>0</v>
      </c>
      <c r="Z3919">
        <v>0</v>
      </c>
    </row>
    <row r="3920" spans="1:26" x14ac:dyDescent="0.2">
      <c r="A3920" t="s">
        <v>4038</v>
      </c>
      <c r="B3920" t="s">
        <v>68</v>
      </c>
      <c r="C3920">
        <v>2019</v>
      </c>
      <c r="D3920" t="s">
        <v>48</v>
      </c>
      <c r="E3920" t="s">
        <v>90</v>
      </c>
      <c r="F3920" t="s">
        <v>49</v>
      </c>
      <c r="G3920">
        <v>74197</v>
      </c>
      <c r="H3920">
        <v>59357.600000000006</v>
      </c>
      <c r="I3920" s="13">
        <v>0.2857142857142857</v>
      </c>
      <c r="J3920" t="s">
        <v>6207</v>
      </c>
      <c r="K3920">
        <v>3</v>
      </c>
      <c r="L3920">
        <v>1</v>
      </c>
      <c r="M3920" t="s">
        <v>0</v>
      </c>
      <c r="N3920" s="2">
        <v>0.43</v>
      </c>
      <c r="O3920" s="2">
        <v>0.56999999999999995</v>
      </c>
      <c r="P3920">
        <v>18</v>
      </c>
      <c r="Q3920">
        <v>9</v>
      </c>
      <c r="R3920">
        <v>5</v>
      </c>
      <c r="S3920">
        <v>2</v>
      </c>
      <c r="T3920">
        <v>10</v>
      </c>
      <c r="U3920">
        <v>14</v>
      </c>
      <c r="V3920">
        <v>2</v>
      </c>
      <c r="W3920">
        <v>5</v>
      </c>
      <c r="X3920">
        <v>0</v>
      </c>
      <c r="Y3920">
        <v>0</v>
      </c>
      <c r="Z3920">
        <v>0</v>
      </c>
    </row>
    <row r="3921" spans="1:26" x14ac:dyDescent="0.2">
      <c r="A3921" t="s">
        <v>4039</v>
      </c>
      <c r="B3921" t="s">
        <v>66</v>
      </c>
      <c r="C3921">
        <v>2019</v>
      </c>
      <c r="D3921" t="s">
        <v>26</v>
      </c>
      <c r="E3921" t="s">
        <v>40</v>
      </c>
      <c r="F3921" t="s">
        <v>26</v>
      </c>
      <c r="G3921">
        <v>61276</v>
      </c>
      <c r="H3921">
        <v>49020.800000000003</v>
      </c>
      <c r="I3921" s="13">
        <v>1</v>
      </c>
      <c r="J3921" t="s">
        <v>6207</v>
      </c>
      <c r="K3921">
        <v>3</v>
      </c>
      <c r="L3921">
        <v>1</v>
      </c>
      <c r="M3921" t="s">
        <v>0</v>
      </c>
      <c r="N3921" s="2">
        <v>0.45</v>
      </c>
      <c r="O3921" s="2">
        <v>0.55000000000000004</v>
      </c>
      <c r="P3921">
        <v>10</v>
      </c>
      <c r="Q3921">
        <v>13</v>
      </c>
      <c r="R3921">
        <v>4</v>
      </c>
      <c r="S3921">
        <v>13</v>
      </c>
      <c r="T3921">
        <v>10</v>
      </c>
      <c r="U3921">
        <v>5</v>
      </c>
      <c r="V3921">
        <v>0</v>
      </c>
      <c r="W3921">
        <v>2</v>
      </c>
      <c r="X3921">
        <v>0</v>
      </c>
      <c r="Y3921">
        <v>0</v>
      </c>
      <c r="Z3921">
        <v>0</v>
      </c>
    </row>
    <row r="3922" spans="1:26" x14ac:dyDescent="0.2">
      <c r="A3922" t="s">
        <v>4040</v>
      </c>
      <c r="B3922" t="s">
        <v>66</v>
      </c>
      <c r="C3922">
        <v>2019</v>
      </c>
      <c r="D3922" t="s">
        <v>23</v>
      </c>
      <c r="E3922" t="s">
        <v>51</v>
      </c>
      <c r="F3922" t="s">
        <v>20</v>
      </c>
      <c r="G3922">
        <v>62500</v>
      </c>
      <c r="H3922">
        <v>50000</v>
      </c>
      <c r="I3922" s="13">
        <v>0.2</v>
      </c>
      <c r="J3922" t="s">
        <v>6207</v>
      </c>
      <c r="K3922">
        <v>2</v>
      </c>
      <c r="L3922">
        <v>3</v>
      </c>
      <c r="M3922" t="s">
        <v>1</v>
      </c>
      <c r="N3922" s="2">
        <v>0.47</v>
      </c>
      <c r="O3922" s="2">
        <v>0.53</v>
      </c>
      <c r="P3922">
        <v>20</v>
      </c>
      <c r="Q3922">
        <v>16</v>
      </c>
      <c r="R3922">
        <v>3</v>
      </c>
      <c r="S3922">
        <v>7</v>
      </c>
      <c r="T3922">
        <v>12</v>
      </c>
      <c r="U3922">
        <v>14</v>
      </c>
      <c r="V3922">
        <v>3</v>
      </c>
      <c r="W3922">
        <v>2</v>
      </c>
      <c r="X3922">
        <v>0</v>
      </c>
      <c r="Y3922">
        <v>0</v>
      </c>
      <c r="Z3922">
        <v>0</v>
      </c>
    </row>
    <row r="3923" spans="1:26" x14ac:dyDescent="0.2">
      <c r="A3923" t="s">
        <v>4041</v>
      </c>
      <c r="B3923" t="s">
        <v>81</v>
      </c>
      <c r="C3923">
        <v>2019</v>
      </c>
      <c r="D3923" t="s">
        <v>85</v>
      </c>
      <c r="E3923" t="s">
        <v>28</v>
      </c>
      <c r="F3923" t="s">
        <v>85</v>
      </c>
      <c r="G3923">
        <v>22220</v>
      </c>
      <c r="H3923">
        <v>17776</v>
      </c>
      <c r="I3923" s="13">
        <v>0.25</v>
      </c>
      <c r="J3923" t="s">
        <v>6207</v>
      </c>
      <c r="K3923">
        <v>0</v>
      </c>
      <c r="L3923">
        <v>3</v>
      </c>
      <c r="M3923" t="s">
        <v>1</v>
      </c>
      <c r="N3923" s="2">
        <v>0.62</v>
      </c>
      <c r="O3923" s="2">
        <v>0.38</v>
      </c>
      <c r="P3923">
        <v>15</v>
      </c>
      <c r="Q3923">
        <v>15</v>
      </c>
      <c r="R3923">
        <v>7</v>
      </c>
      <c r="S3923">
        <v>5</v>
      </c>
      <c r="T3923">
        <v>14</v>
      </c>
      <c r="U3923">
        <v>13</v>
      </c>
      <c r="V3923">
        <v>1</v>
      </c>
      <c r="W3923">
        <v>3</v>
      </c>
      <c r="X3923">
        <v>0</v>
      </c>
      <c r="Y3923">
        <v>0</v>
      </c>
      <c r="Z3923">
        <v>1</v>
      </c>
    </row>
    <row r="3924" spans="1:26" x14ac:dyDescent="0.2">
      <c r="A3924" t="s">
        <v>4042</v>
      </c>
      <c r="B3924" t="s">
        <v>61</v>
      </c>
      <c r="C3924">
        <v>2019</v>
      </c>
      <c r="D3924" t="s">
        <v>45</v>
      </c>
      <c r="E3924" t="s">
        <v>69</v>
      </c>
      <c r="F3924" t="s">
        <v>26</v>
      </c>
      <c r="G3924">
        <v>39572</v>
      </c>
      <c r="H3924">
        <v>31657.600000000002</v>
      </c>
      <c r="I3924" s="13">
        <v>0.625</v>
      </c>
      <c r="J3924" t="s">
        <v>6207</v>
      </c>
      <c r="K3924">
        <v>0</v>
      </c>
      <c r="L3924">
        <v>2</v>
      </c>
      <c r="M3924" t="s">
        <v>1</v>
      </c>
      <c r="N3924" s="2">
        <v>0.56999999999999995</v>
      </c>
      <c r="O3924" s="2">
        <v>0.43</v>
      </c>
      <c r="P3924">
        <v>11</v>
      </c>
      <c r="Q3924">
        <v>12</v>
      </c>
      <c r="R3924">
        <v>7</v>
      </c>
      <c r="S3924">
        <v>7</v>
      </c>
      <c r="T3924">
        <v>12</v>
      </c>
      <c r="U3924">
        <v>11</v>
      </c>
      <c r="V3924">
        <v>3</v>
      </c>
      <c r="W3924">
        <v>5</v>
      </c>
      <c r="X3924">
        <v>0</v>
      </c>
      <c r="Y3924">
        <v>0</v>
      </c>
      <c r="Z3924">
        <v>0</v>
      </c>
    </row>
    <row r="3925" spans="1:26" x14ac:dyDescent="0.2">
      <c r="A3925" t="s">
        <v>4043</v>
      </c>
      <c r="B3925" t="s">
        <v>60</v>
      </c>
      <c r="C3925">
        <v>2019</v>
      </c>
      <c r="D3925" t="s">
        <v>79</v>
      </c>
      <c r="E3925" t="s">
        <v>26</v>
      </c>
      <c r="F3925" t="s">
        <v>20</v>
      </c>
      <c r="G3925">
        <v>25486</v>
      </c>
      <c r="H3925">
        <v>20388.800000000003</v>
      </c>
      <c r="I3925" s="13">
        <v>1</v>
      </c>
      <c r="J3925" t="s">
        <v>6208</v>
      </c>
      <c r="K3925">
        <v>1</v>
      </c>
      <c r="L3925">
        <v>2</v>
      </c>
      <c r="M3925" t="s">
        <v>1</v>
      </c>
      <c r="N3925" s="2">
        <v>0.4</v>
      </c>
      <c r="O3925" s="2">
        <v>0.6</v>
      </c>
      <c r="P3925">
        <v>7</v>
      </c>
      <c r="Q3925">
        <v>10</v>
      </c>
      <c r="R3925">
        <v>9</v>
      </c>
      <c r="S3925">
        <v>8</v>
      </c>
      <c r="T3925">
        <v>8</v>
      </c>
      <c r="U3925">
        <v>7</v>
      </c>
      <c r="V3925">
        <v>0</v>
      </c>
      <c r="W3925">
        <v>1</v>
      </c>
      <c r="X3925">
        <v>0</v>
      </c>
      <c r="Y3925">
        <v>0</v>
      </c>
      <c r="Z3925">
        <v>0</v>
      </c>
    </row>
    <row r="3926" spans="1:26" x14ac:dyDescent="0.2">
      <c r="A3926" t="s">
        <v>4044</v>
      </c>
      <c r="B3926" t="s">
        <v>41</v>
      </c>
      <c r="C3926">
        <v>2019</v>
      </c>
      <c r="D3926" t="s">
        <v>90</v>
      </c>
      <c r="E3926" t="s">
        <v>80</v>
      </c>
      <c r="F3926" t="s">
        <v>91</v>
      </c>
      <c r="G3926">
        <v>31876</v>
      </c>
      <c r="H3926">
        <v>25500.800000000003</v>
      </c>
      <c r="I3926" s="13">
        <v>0</v>
      </c>
      <c r="J3926" t="s">
        <v>6207</v>
      </c>
      <c r="K3926">
        <v>0</v>
      </c>
      <c r="L3926">
        <v>2</v>
      </c>
      <c r="M3926" t="s">
        <v>1</v>
      </c>
      <c r="N3926" s="2">
        <v>0.53</v>
      </c>
      <c r="O3926" s="2">
        <v>0.47</v>
      </c>
      <c r="P3926">
        <v>2</v>
      </c>
      <c r="Q3926">
        <v>10</v>
      </c>
      <c r="R3926">
        <v>6</v>
      </c>
      <c r="S3926">
        <v>7</v>
      </c>
      <c r="T3926">
        <v>9</v>
      </c>
      <c r="U3926">
        <v>1</v>
      </c>
      <c r="V3926">
        <v>2</v>
      </c>
      <c r="W3926">
        <v>0</v>
      </c>
      <c r="X3926">
        <v>0</v>
      </c>
      <c r="Y3926">
        <v>0</v>
      </c>
      <c r="Z3926">
        <v>1</v>
      </c>
    </row>
    <row r="3927" spans="1:26" x14ac:dyDescent="0.2">
      <c r="A3927" t="s">
        <v>4045</v>
      </c>
      <c r="B3927" t="s">
        <v>84</v>
      </c>
      <c r="C3927">
        <v>2019</v>
      </c>
      <c r="D3927" t="s">
        <v>86</v>
      </c>
      <c r="E3927" t="s">
        <v>22</v>
      </c>
      <c r="F3927" t="s">
        <v>86</v>
      </c>
      <c r="G3927">
        <v>11364</v>
      </c>
      <c r="H3927">
        <v>9091.2000000000007</v>
      </c>
      <c r="I3927" s="13">
        <v>0.6</v>
      </c>
      <c r="J3927" t="s">
        <v>6208</v>
      </c>
      <c r="K3927">
        <v>1</v>
      </c>
      <c r="L3927">
        <v>2</v>
      </c>
      <c r="M3927" t="s">
        <v>1</v>
      </c>
      <c r="N3927" s="2">
        <v>0.47</v>
      </c>
      <c r="O3927" s="2">
        <v>0.53</v>
      </c>
      <c r="P3927">
        <v>16</v>
      </c>
      <c r="Q3927">
        <v>10</v>
      </c>
      <c r="R3927">
        <v>5</v>
      </c>
      <c r="S3927">
        <v>9</v>
      </c>
      <c r="T3927">
        <v>10</v>
      </c>
      <c r="U3927">
        <v>12</v>
      </c>
      <c r="V3927">
        <v>3</v>
      </c>
      <c r="W3927">
        <v>1</v>
      </c>
      <c r="X3927">
        <v>1</v>
      </c>
      <c r="Y3927">
        <v>0</v>
      </c>
      <c r="Z3927">
        <v>0</v>
      </c>
    </row>
    <row r="3928" spans="1:26" x14ac:dyDescent="0.2">
      <c r="A3928" t="s">
        <v>4046</v>
      </c>
      <c r="B3928" t="s">
        <v>59</v>
      </c>
      <c r="C3928">
        <v>2019</v>
      </c>
      <c r="D3928" t="s">
        <v>46</v>
      </c>
      <c r="E3928" t="s">
        <v>73</v>
      </c>
      <c r="F3928" t="s">
        <v>20</v>
      </c>
      <c r="G3928">
        <v>60704</v>
      </c>
      <c r="H3928">
        <v>48563.200000000004</v>
      </c>
      <c r="I3928" s="13">
        <v>0.625</v>
      </c>
      <c r="J3928" t="s">
        <v>6206</v>
      </c>
      <c r="K3928">
        <v>2</v>
      </c>
      <c r="L3928">
        <v>2</v>
      </c>
      <c r="M3928" t="s">
        <v>58</v>
      </c>
      <c r="N3928" s="2">
        <v>0.61</v>
      </c>
      <c r="O3928" s="2">
        <v>0.39</v>
      </c>
      <c r="P3928">
        <v>20</v>
      </c>
      <c r="Q3928">
        <v>14</v>
      </c>
      <c r="R3928">
        <v>6</v>
      </c>
      <c r="S3928">
        <v>8</v>
      </c>
      <c r="T3928">
        <v>13</v>
      </c>
      <c r="U3928">
        <v>19</v>
      </c>
      <c r="V3928">
        <v>6</v>
      </c>
      <c r="W3928">
        <v>2</v>
      </c>
      <c r="X3928">
        <v>0</v>
      </c>
      <c r="Y3928">
        <v>0</v>
      </c>
      <c r="Z3928">
        <v>1</v>
      </c>
    </row>
    <row r="3929" spans="1:26" x14ac:dyDescent="0.2">
      <c r="A3929" t="s">
        <v>4047</v>
      </c>
      <c r="B3929" t="s">
        <v>32</v>
      </c>
      <c r="C3929">
        <v>2019</v>
      </c>
      <c r="D3929" t="s">
        <v>40</v>
      </c>
      <c r="E3929" t="s">
        <v>18</v>
      </c>
      <c r="F3929" t="s">
        <v>49</v>
      </c>
      <c r="G3929">
        <v>53400</v>
      </c>
      <c r="H3929">
        <v>42720</v>
      </c>
      <c r="I3929" s="13">
        <v>1</v>
      </c>
      <c r="J3929" t="s">
        <v>6207</v>
      </c>
      <c r="K3929">
        <v>2</v>
      </c>
      <c r="L3929">
        <v>1</v>
      </c>
      <c r="M3929" t="s">
        <v>0</v>
      </c>
      <c r="N3929" s="2">
        <v>0.47</v>
      </c>
      <c r="O3929" s="2">
        <v>0.53</v>
      </c>
      <c r="P3929">
        <v>13</v>
      </c>
      <c r="Q3929">
        <v>7</v>
      </c>
      <c r="R3929">
        <v>8</v>
      </c>
      <c r="S3929">
        <v>2</v>
      </c>
      <c r="T3929">
        <v>5</v>
      </c>
      <c r="U3929">
        <v>9</v>
      </c>
      <c r="V3929">
        <v>1</v>
      </c>
      <c r="W3929">
        <v>1</v>
      </c>
      <c r="X3929">
        <v>0</v>
      </c>
      <c r="Y3929">
        <v>0</v>
      </c>
      <c r="Z3929">
        <v>0</v>
      </c>
    </row>
    <row r="3930" spans="1:26" x14ac:dyDescent="0.2">
      <c r="A3930" t="s">
        <v>4048</v>
      </c>
      <c r="B3930" t="s">
        <v>37</v>
      </c>
      <c r="C3930">
        <v>2019</v>
      </c>
      <c r="D3930" t="s">
        <v>95</v>
      </c>
      <c r="E3930" t="s">
        <v>48</v>
      </c>
      <c r="F3930" t="s">
        <v>57</v>
      </c>
      <c r="G3930">
        <v>32050</v>
      </c>
      <c r="H3930">
        <v>25640</v>
      </c>
      <c r="I3930" s="13">
        <v>0.33333333333333331</v>
      </c>
      <c r="J3930" t="s">
        <v>6206</v>
      </c>
      <c r="K3930">
        <v>3</v>
      </c>
      <c r="L3930">
        <v>3</v>
      </c>
      <c r="M3930" t="s">
        <v>58</v>
      </c>
      <c r="N3930" s="2">
        <v>0.41</v>
      </c>
      <c r="O3930" s="2">
        <v>0.59</v>
      </c>
      <c r="P3930">
        <v>12</v>
      </c>
      <c r="Q3930">
        <v>15</v>
      </c>
      <c r="R3930">
        <v>6</v>
      </c>
      <c r="S3930">
        <v>3</v>
      </c>
      <c r="T3930">
        <v>13</v>
      </c>
      <c r="U3930">
        <v>10</v>
      </c>
      <c r="V3930">
        <v>1</v>
      </c>
      <c r="W3930">
        <v>2</v>
      </c>
      <c r="X3930">
        <v>0</v>
      </c>
      <c r="Y3930">
        <v>0</v>
      </c>
      <c r="Z3930">
        <v>0</v>
      </c>
    </row>
    <row r="3931" spans="1:26" x14ac:dyDescent="0.2">
      <c r="A3931" t="s">
        <v>4049</v>
      </c>
      <c r="B3931" t="s">
        <v>50</v>
      </c>
      <c r="C3931">
        <v>2019</v>
      </c>
      <c r="D3931" t="s">
        <v>42</v>
      </c>
      <c r="E3931" t="s">
        <v>64</v>
      </c>
      <c r="F3931" t="s">
        <v>38</v>
      </c>
      <c r="G3931">
        <v>42918</v>
      </c>
      <c r="H3931">
        <v>34334.400000000001</v>
      </c>
      <c r="I3931" s="13">
        <v>0.5</v>
      </c>
      <c r="J3931" t="s">
        <v>6207</v>
      </c>
      <c r="K3931">
        <v>2</v>
      </c>
      <c r="L3931">
        <v>0</v>
      </c>
      <c r="M3931" t="s">
        <v>0</v>
      </c>
      <c r="N3931" s="2">
        <v>0.62</v>
      </c>
      <c r="O3931" s="2">
        <v>0.38</v>
      </c>
      <c r="P3931">
        <v>11</v>
      </c>
      <c r="Q3931">
        <v>11</v>
      </c>
      <c r="R3931">
        <v>11</v>
      </c>
      <c r="S3931">
        <v>6</v>
      </c>
      <c r="T3931">
        <v>10</v>
      </c>
      <c r="U3931">
        <v>9</v>
      </c>
      <c r="V3931">
        <v>1</v>
      </c>
      <c r="W3931">
        <v>1</v>
      </c>
      <c r="X3931">
        <v>0</v>
      </c>
      <c r="Y3931">
        <v>0</v>
      </c>
      <c r="Z3931">
        <v>0</v>
      </c>
    </row>
    <row r="3932" spans="1:26" x14ac:dyDescent="0.2">
      <c r="A3932" t="s">
        <v>4050</v>
      </c>
      <c r="B3932" t="s">
        <v>88</v>
      </c>
      <c r="C3932">
        <v>2019</v>
      </c>
      <c r="D3932" t="s">
        <v>64</v>
      </c>
      <c r="E3932" t="s">
        <v>40</v>
      </c>
      <c r="F3932" t="s">
        <v>64</v>
      </c>
      <c r="G3932">
        <v>52264</v>
      </c>
      <c r="H3932">
        <v>41811.200000000004</v>
      </c>
      <c r="I3932" s="13">
        <v>1</v>
      </c>
      <c r="J3932" t="s">
        <v>6207</v>
      </c>
      <c r="K3932">
        <v>2</v>
      </c>
      <c r="L3932">
        <v>2</v>
      </c>
      <c r="M3932" t="s">
        <v>58</v>
      </c>
      <c r="N3932" s="2">
        <v>0.24</v>
      </c>
      <c r="O3932" s="2">
        <v>0.76</v>
      </c>
      <c r="P3932">
        <v>9</v>
      </c>
      <c r="Q3932">
        <v>7</v>
      </c>
      <c r="R3932">
        <v>1</v>
      </c>
      <c r="S3932">
        <v>10</v>
      </c>
      <c r="T3932">
        <v>4</v>
      </c>
      <c r="U3932">
        <v>6</v>
      </c>
      <c r="V3932">
        <v>1</v>
      </c>
      <c r="W3932">
        <v>2</v>
      </c>
      <c r="X3932">
        <v>0</v>
      </c>
      <c r="Y3932">
        <v>0</v>
      </c>
      <c r="Z3932">
        <v>0</v>
      </c>
    </row>
    <row r="3933" spans="1:26" x14ac:dyDescent="0.2">
      <c r="A3933" t="s">
        <v>4051</v>
      </c>
      <c r="B3933" t="s">
        <v>50</v>
      </c>
      <c r="C3933">
        <v>2019</v>
      </c>
      <c r="D3933" t="s">
        <v>51</v>
      </c>
      <c r="E3933" t="s">
        <v>86</v>
      </c>
      <c r="F3933" t="s">
        <v>20</v>
      </c>
      <c r="G3933">
        <v>36284</v>
      </c>
      <c r="H3933">
        <v>29027.200000000001</v>
      </c>
      <c r="I3933" s="13">
        <v>1</v>
      </c>
      <c r="J3933" t="s">
        <v>6207</v>
      </c>
      <c r="K3933">
        <v>3</v>
      </c>
      <c r="L3933">
        <v>2</v>
      </c>
      <c r="M3933" t="s">
        <v>0</v>
      </c>
      <c r="N3933" s="2">
        <v>0.53</v>
      </c>
      <c r="O3933" s="2">
        <v>0.47</v>
      </c>
      <c r="P3933">
        <v>12</v>
      </c>
      <c r="Q3933">
        <v>11</v>
      </c>
      <c r="R3933">
        <v>4</v>
      </c>
      <c r="S3933">
        <v>8</v>
      </c>
      <c r="T3933">
        <v>10</v>
      </c>
      <c r="U3933">
        <v>12</v>
      </c>
      <c r="V3933">
        <v>0</v>
      </c>
      <c r="W3933">
        <v>2</v>
      </c>
      <c r="X3933">
        <v>0</v>
      </c>
      <c r="Y3933">
        <v>0</v>
      </c>
      <c r="Z3933">
        <v>0</v>
      </c>
    </row>
    <row r="3934" spans="1:26" x14ac:dyDescent="0.2">
      <c r="A3934" t="s">
        <v>4052</v>
      </c>
      <c r="B3934" t="s">
        <v>32</v>
      </c>
      <c r="C3934">
        <v>2019</v>
      </c>
      <c r="D3934" t="s">
        <v>26</v>
      </c>
      <c r="E3934" t="s">
        <v>90</v>
      </c>
      <c r="F3934" t="s">
        <v>26</v>
      </c>
      <c r="G3934">
        <v>61276</v>
      </c>
      <c r="H3934">
        <v>49020.800000000003</v>
      </c>
      <c r="I3934" s="13">
        <v>1</v>
      </c>
      <c r="J3934" t="s">
        <v>6207</v>
      </c>
      <c r="K3934">
        <v>2</v>
      </c>
      <c r="L3934">
        <v>1</v>
      </c>
      <c r="M3934" t="s">
        <v>0</v>
      </c>
      <c r="N3934" s="2">
        <v>0.45</v>
      </c>
      <c r="O3934" s="2">
        <v>0.55000000000000004</v>
      </c>
      <c r="P3934">
        <v>16</v>
      </c>
      <c r="Q3934">
        <v>4</v>
      </c>
      <c r="R3934">
        <v>4</v>
      </c>
      <c r="S3934">
        <v>5</v>
      </c>
      <c r="T3934">
        <v>3</v>
      </c>
      <c r="U3934">
        <v>10</v>
      </c>
      <c r="V3934">
        <v>0</v>
      </c>
      <c r="W3934">
        <v>0</v>
      </c>
      <c r="X3934">
        <v>1</v>
      </c>
      <c r="Y3934">
        <v>0</v>
      </c>
      <c r="Z3934">
        <v>0</v>
      </c>
    </row>
    <row r="3935" spans="1:26" x14ac:dyDescent="0.2">
      <c r="A3935" t="s">
        <v>4053</v>
      </c>
      <c r="B3935" t="s">
        <v>68</v>
      </c>
      <c r="C3935">
        <v>2019</v>
      </c>
      <c r="D3935" t="s">
        <v>18</v>
      </c>
      <c r="E3935" t="s">
        <v>23</v>
      </c>
      <c r="F3935" t="s">
        <v>20</v>
      </c>
      <c r="G3935">
        <v>40341</v>
      </c>
      <c r="H3935">
        <v>32272.800000000003</v>
      </c>
      <c r="I3935" s="13">
        <v>0.66666666666666663</v>
      </c>
      <c r="J3935" t="s">
        <v>6207</v>
      </c>
      <c r="K3935">
        <v>0</v>
      </c>
      <c r="L3935">
        <v>1</v>
      </c>
      <c r="M3935" t="s">
        <v>1</v>
      </c>
      <c r="N3935" s="2">
        <v>0.66</v>
      </c>
      <c r="O3935" s="2">
        <v>0.34</v>
      </c>
      <c r="P3935">
        <v>16</v>
      </c>
      <c r="Q3935">
        <v>3</v>
      </c>
      <c r="R3935">
        <v>9</v>
      </c>
      <c r="S3935">
        <v>3</v>
      </c>
      <c r="T3935">
        <v>0</v>
      </c>
      <c r="U3935">
        <v>16</v>
      </c>
      <c r="V3935">
        <v>0</v>
      </c>
      <c r="W3935">
        <v>3</v>
      </c>
      <c r="X3935">
        <v>0</v>
      </c>
      <c r="Y3935">
        <v>0</v>
      </c>
      <c r="Z3935">
        <v>0</v>
      </c>
    </row>
    <row r="3936" spans="1:26" x14ac:dyDescent="0.2">
      <c r="A3936" t="s">
        <v>4054</v>
      </c>
      <c r="B3936" t="s">
        <v>97</v>
      </c>
      <c r="C3936">
        <v>2019</v>
      </c>
      <c r="D3936" t="s">
        <v>28</v>
      </c>
      <c r="E3936" t="s">
        <v>79</v>
      </c>
      <c r="F3936" t="s">
        <v>28</v>
      </c>
      <c r="G3936">
        <v>21944</v>
      </c>
      <c r="H3936">
        <v>17555.2</v>
      </c>
      <c r="I3936" s="13">
        <v>0</v>
      </c>
      <c r="J3936" t="s">
        <v>6207</v>
      </c>
      <c r="K3936">
        <v>0</v>
      </c>
      <c r="L3936">
        <v>2</v>
      </c>
      <c r="M3936" t="s">
        <v>1</v>
      </c>
      <c r="N3936" s="2">
        <v>0.43</v>
      </c>
      <c r="O3936" s="2">
        <v>0.56999999999999995</v>
      </c>
      <c r="P3936">
        <v>10</v>
      </c>
      <c r="Q3936">
        <v>14</v>
      </c>
      <c r="R3936">
        <v>5</v>
      </c>
      <c r="S3936">
        <v>6</v>
      </c>
      <c r="T3936">
        <v>13</v>
      </c>
      <c r="U3936">
        <v>9</v>
      </c>
      <c r="V3936">
        <v>2</v>
      </c>
      <c r="W3936">
        <v>0</v>
      </c>
      <c r="X3936">
        <v>0</v>
      </c>
      <c r="Y3936">
        <v>0</v>
      </c>
      <c r="Z3936">
        <v>0</v>
      </c>
    </row>
    <row r="3937" spans="1:26" x14ac:dyDescent="0.2">
      <c r="A3937" t="s">
        <v>4055</v>
      </c>
      <c r="B3937" t="s">
        <v>66</v>
      </c>
      <c r="C3937">
        <v>2019</v>
      </c>
      <c r="D3937" t="s">
        <v>73</v>
      </c>
      <c r="E3937" t="s">
        <v>85</v>
      </c>
      <c r="F3937" t="s">
        <v>73</v>
      </c>
      <c r="G3937">
        <v>32384</v>
      </c>
      <c r="H3937">
        <v>25907.200000000001</v>
      </c>
      <c r="I3937" s="13">
        <v>0</v>
      </c>
      <c r="J3937" t="s">
        <v>6207</v>
      </c>
      <c r="K3937">
        <v>2</v>
      </c>
      <c r="L3937">
        <v>1</v>
      </c>
      <c r="M3937" t="s">
        <v>0</v>
      </c>
      <c r="N3937" s="2">
        <v>0.64</v>
      </c>
      <c r="O3937" s="2">
        <v>0.36</v>
      </c>
      <c r="P3937">
        <v>14</v>
      </c>
      <c r="Q3937">
        <v>8</v>
      </c>
      <c r="R3937">
        <v>6</v>
      </c>
      <c r="S3937">
        <v>7</v>
      </c>
      <c r="T3937">
        <v>6</v>
      </c>
      <c r="U3937">
        <v>10</v>
      </c>
      <c r="V3937">
        <v>1</v>
      </c>
      <c r="W3937">
        <v>0</v>
      </c>
      <c r="X3937">
        <v>0</v>
      </c>
      <c r="Y3937">
        <v>0</v>
      </c>
      <c r="Z3937">
        <v>0</v>
      </c>
    </row>
    <row r="3938" spans="1:26" x14ac:dyDescent="0.2">
      <c r="A3938" t="s">
        <v>4056</v>
      </c>
      <c r="B3938" t="s">
        <v>93</v>
      </c>
      <c r="C3938">
        <v>2019</v>
      </c>
      <c r="D3938" t="s">
        <v>22</v>
      </c>
      <c r="E3938" t="s">
        <v>95</v>
      </c>
      <c r="F3938" t="s">
        <v>24</v>
      </c>
      <c r="G3938">
        <v>31750</v>
      </c>
      <c r="H3938">
        <v>25400</v>
      </c>
      <c r="I3938" s="13">
        <v>0.66666666666666663</v>
      </c>
      <c r="J3938" t="s">
        <v>6206</v>
      </c>
      <c r="K3938">
        <v>1</v>
      </c>
      <c r="L3938">
        <v>1</v>
      </c>
      <c r="M3938" t="s">
        <v>58</v>
      </c>
      <c r="N3938" s="2">
        <v>0.59</v>
      </c>
      <c r="O3938" s="2">
        <v>0.41</v>
      </c>
      <c r="P3938">
        <v>21</v>
      </c>
      <c r="Q3938">
        <v>13</v>
      </c>
      <c r="R3938">
        <v>7</v>
      </c>
      <c r="S3938">
        <v>2</v>
      </c>
      <c r="T3938">
        <v>12</v>
      </c>
      <c r="U3938">
        <v>18</v>
      </c>
      <c r="V3938">
        <v>1</v>
      </c>
      <c r="W3938">
        <v>5</v>
      </c>
      <c r="X3938">
        <v>0</v>
      </c>
      <c r="Y3938">
        <v>0</v>
      </c>
      <c r="Z3938">
        <v>0</v>
      </c>
    </row>
    <row r="3939" spans="1:26" x14ac:dyDescent="0.2">
      <c r="A3939" t="s">
        <v>4057</v>
      </c>
      <c r="B3939" t="s">
        <v>81</v>
      </c>
      <c r="C3939">
        <v>2019</v>
      </c>
      <c r="D3939" t="s">
        <v>69</v>
      </c>
      <c r="E3939" t="s">
        <v>46</v>
      </c>
      <c r="F3939" t="s">
        <v>69</v>
      </c>
      <c r="G3939">
        <v>27359</v>
      </c>
      <c r="H3939">
        <v>21887.200000000001</v>
      </c>
      <c r="I3939" s="13">
        <v>0.33333333333333331</v>
      </c>
      <c r="J3939" t="s">
        <v>6207</v>
      </c>
      <c r="K3939">
        <v>2</v>
      </c>
      <c r="L3939">
        <v>2</v>
      </c>
      <c r="M3939" t="s">
        <v>58</v>
      </c>
      <c r="N3939" s="2">
        <v>0.4</v>
      </c>
      <c r="O3939" s="2">
        <v>0.6</v>
      </c>
      <c r="P3939">
        <v>10</v>
      </c>
      <c r="Q3939">
        <v>7</v>
      </c>
      <c r="R3939">
        <v>7</v>
      </c>
      <c r="S3939">
        <v>12</v>
      </c>
      <c r="T3939">
        <v>8</v>
      </c>
      <c r="U3939">
        <v>10</v>
      </c>
      <c r="V3939">
        <v>2</v>
      </c>
      <c r="W3939">
        <v>1</v>
      </c>
      <c r="X3939">
        <v>0</v>
      </c>
      <c r="Y3939">
        <v>0</v>
      </c>
      <c r="Z3939">
        <v>1</v>
      </c>
    </row>
    <row r="3940" spans="1:26" x14ac:dyDescent="0.2">
      <c r="A3940" t="s">
        <v>4058</v>
      </c>
      <c r="B3940" t="s">
        <v>76</v>
      </c>
      <c r="C3940">
        <v>2019</v>
      </c>
      <c r="D3940" t="s">
        <v>48</v>
      </c>
      <c r="E3940" t="s">
        <v>42</v>
      </c>
      <c r="F3940" t="s">
        <v>49</v>
      </c>
      <c r="G3940">
        <v>74197</v>
      </c>
      <c r="H3940">
        <v>59357.600000000006</v>
      </c>
      <c r="I3940" s="13">
        <v>0.4</v>
      </c>
      <c r="J3940" t="s">
        <v>6207</v>
      </c>
      <c r="K3940">
        <v>2</v>
      </c>
      <c r="L3940">
        <v>2</v>
      </c>
      <c r="M3940" t="s">
        <v>58</v>
      </c>
      <c r="N3940" s="2">
        <v>0.62</v>
      </c>
      <c r="O3940" s="2">
        <v>0.38</v>
      </c>
      <c r="P3940">
        <v>12</v>
      </c>
      <c r="Q3940">
        <v>17</v>
      </c>
      <c r="R3940">
        <v>9</v>
      </c>
      <c r="S3940">
        <v>9</v>
      </c>
      <c r="T3940">
        <v>16</v>
      </c>
      <c r="U3940">
        <v>8</v>
      </c>
      <c r="V3940">
        <v>4</v>
      </c>
      <c r="W3940">
        <v>1</v>
      </c>
      <c r="X3940">
        <v>0</v>
      </c>
      <c r="Y3940">
        <v>0</v>
      </c>
      <c r="Z3940">
        <v>0</v>
      </c>
    </row>
    <row r="3941" spans="1:26" x14ac:dyDescent="0.2">
      <c r="A3941" t="s">
        <v>4059</v>
      </c>
      <c r="B3941" t="s">
        <v>83</v>
      </c>
      <c r="C3941">
        <v>2019</v>
      </c>
      <c r="D3941" t="s">
        <v>80</v>
      </c>
      <c r="E3941" t="s">
        <v>45</v>
      </c>
      <c r="F3941" t="s">
        <v>80</v>
      </c>
      <c r="G3941">
        <v>32261</v>
      </c>
      <c r="H3941">
        <v>25808.800000000003</v>
      </c>
      <c r="I3941" s="13">
        <v>1</v>
      </c>
      <c r="J3941" t="s">
        <v>6208</v>
      </c>
      <c r="K3941">
        <v>2</v>
      </c>
      <c r="L3941">
        <v>1</v>
      </c>
      <c r="M3941" t="s">
        <v>0</v>
      </c>
      <c r="N3941" s="2">
        <v>0.7</v>
      </c>
      <c r="O3941" s="2">
        <v>0.3</v>
      </c>
      <c r="P3941">
        <v>12</v>
      </c>
      <c r="Q3941">
        <v>8</v>
      </c>
      <c r="R3941">
        <v>4</v>
      </c>
      <c r="S3941">
        <v>4</v>
      </c>
      <c r="T3941">
        <v>7</v>
      </c>
      <c r="U3941">
        <v>9</v>
      </c>
      <c r="V3941">
        <v>0</v>
      </c>
      <c r="W3941">
        <v>1</v>
      </c>
      <c r="X3941">
        <v>0</v>
      </c>
      <c r="Y3941">
        <v>0</v>
      </c>
      <c r="Z3941">
        <v>0</v>
      </c>
    </row>
    <row r="3942" spans="1:26" x14ac:dyDescent="0.2">
      <c r="A3942" t="s">
        <v>4060</v>
      </c>
      <c r="B3942" t="s">
        <v>61</v>
      </c>
      <c r="C3942">
        <v>2019</v>
      </c>
      <c r="D3942" t="s">
        <v>79</v>
      </c>
      <c r="E3942" t="s">
        <v>86</v>
      </c>
      <c r="F3942" t="s">
        <v>20</v>
      </c>
      <c r="G3942">
        <v>25486</v>
      </c>
      <c r="H3942">
        <v>20388.800000000003</v>
      </c>
      <c r="I3942" s="13">
        <v>0.7142857142857143</v>
      </c>
      <c r="J3942" t="s">
        <v>6207</v>
      </c>
      <c r="K3942">
        <v>1</v>
      </c>
      <c r="L3942">
        <v>0</v>
      </c>
      <c r="M3942" t="s">
        <v>0</v>
      </c>
      <c r="N3942" s="2">
        <v>0.31</v>
      </c>
      <c r="O3942" s="2">
        <v>0.69</v>
      </c>
      <c r="P3942">
        <v>14</v>
      </c>
      <c r="Q3942">
        <v>8</v>
      </c>
      <c r="R3942">
        <v>6</v>
      </c>
      <c r="S3942">
        <v>9</v>
      </c>
      <c r="T3942">
        <v>6</v>
      </c>
      <c r="U3942">
        <v>15</v>
      </c>
      <c r="V3942">
        <v>3</v>
      </c>
      <c r="W3942">
        <v>3</v>
      </c>
      <c r="X3942">
        <v>1</v>
      </c>
      <c r="Y3942">
        <v>0</v>
      </c>
      <c r="Z3942">
        <v>0</v>
      </c>
    </row>
    <row r="3943" spans="1:26" x14ac:dyDescent="0.2">
      <c r="A3943" t="s">
        <v>4061</v>
      </c>
      <c r="B3943" t="s">
        <v>68</v>
      </c>
      <c r="C3943">
        <v>2019</v>
      </c>
      <c r="D3943" t="s">
        <v>28</v>
      </c>
      <c r="E3943" t="s">
        <v>40</v>
      </c>
      <c r="F3943" t="s">
        <v>28</v>
      </c>
      <c r="G3943">
        <v>21944</v>
      </c>
      <c r="H3943">
        <v>17555.2</v>
      </c>
      <c r="I3943" s="13">
        <v>1</v>
      </c>
      <c r="J3943" t="s">
        <v>6207</v>
      </c>
      <c r="K3943">
        <v>1</v>
      </c>
      <c r="L3943">
        <v>4</v>
      </c>
      <c r="M3943" t="s">
        <v>1</v>
      </c>
      <c r="N3943" s="2">
        <v>0.24</v>
      </c>
      <c r="O3943" s="2">
        <v>0.76</v>
      </c>
      <c r="P3943">
        <v>8</v>
      </c>
      <c r="Q3943">
        <v>8</v>
      </c>
      <c r="R3943">
        <v>3</v>
      </c>
      <c r="S3943">
        <v>6</v>
      </c>
      <c r="T3943">
        <v>9</v>
      </c>
      <c r="U3943">
        <v>6</v>
      </c>
      <c r="V3943">
        <v>1</v>
      </c>
      <c r="W3943">
        <v>1</v>
      </c>
      <c r="X3943">
        <v>0</v>
      </c>
      <c r="Y3943">
        <v>0</v>
      </c>
      <c r="Z3943">
        <v>0</v>
      </c>
    </row>
    <row r="3944" spans="1:26" x14ac:dyDescent="0.2">
      <c r="A3944" t="s">
        <v>4062</v>
      </c>
      <c r="B3944" t="s">
        <v>37</v>
      </c>
      <c r="C3944">
        <v>2019</v>
      </c>
      <c r="D3944" t="s">
        <v>22</v>
      </c>
      <c r="E3944" t="s">
        <v>23</v>
      </c>
      <c r="F3944" t="s">
        <v>24</v>
      </c>
      <c r="G3944">
        <v>31750</v>
      </c>
      <c r="H3944">
        <v>25400</v>
      </c>
      <c r="I3944" s="13">
        <v>0.33333333333333331</v>
      </c>
      <c r="J3944" t="s">
        <v>6206</v>
      </c>
      <c r="K3944">
        <v>2</v>
      </c>
      <c r="L3944">
        <v>0</v>
      </c>
      <c r="M3944" t="s">
        <v>0</v>
      </c>
      <c r="N3944" s="2">
        <v>0.5</v>
      </c>
      <c r="O3944" s="2">
        <v>0.5</v>
      </c>
      <c r="P3944">
        <v>13</v>
      </c>
      <c r="Q3944">
        <v>10</v>
      </c>
      <c r="R3944">
        <v>5</v>
      </c>
      <c r="S3944">
        <v>4</v>
      </c>
      <c r="T3944">
        <v>8</v>
      </c>
      <c r="U3944">
        <v>9</v>
      </c>
      <c r="V3944">
        <v>1</v>
      </c>
      <c r="W3944">
        <v>2</v>
      </c>
      <c r="X3944">
        <v>0</v>
      </c>
      <c r="Y3944">
        <v>0</v>
      </c>
      <c r="Z3944">
        <v>0</v>
      </c>
    </row>
    <row r="3945" spans="1:26" x14ac:dyDescent="0.2">
      <c r="A3945" t="s">
        <v>4063</v>
      </c>
      <c r="B3945" t="s">
        <v>60</v>
      </c>
      <c r="C3945">
        <v>2019</v>
      </c>
      <c r="D3945" t="s">
        <v>73</v>
      </c>
      <c r="E3945" t="s">
        <v>69</v>
      </c>
      <c r="F3945" t="s">
        <v>73</v>
      </c>
      <c r="G3945">
        <v>32384</v>
      </c>
      <c r="H3945">
        <v>25907.200000000001</v>
      </c>
      <c r="I3945" s="13">
        <v>0.5</v>
      </c>
      <c r="J3945" t="s">
        <v>6208</v>
      </c>
      <c r="K3945">
        <v>2</v>
      </c>
      <c r="L3945">
        <v>1</v>
      </c>
      <c r="M3945" t="s">
        <v>0</v>
      </c>
      <c r="N3945" s="2">
        <v>0.4</v>
      </c>
      <c r="O3945" s="2">
        <v>0.6</v>
      </c>
      <c r="P3945">
        <v>8</v>
      </c>
      <c r="Q3945">
        <v>15</v>
      </c>
      <c r="R3945">
        <v>6</v>
      </c>
      <c r="S3945">
        <v>1</v>
      </c>
      <c r="T3945">
        <v>12</v>
      </c>
      <c r="U3945">
        <v>7</v>
      </c>
      <c r="V3945">
        <v>1</v>
      </c>
      <c r="W3945">
        <v>1</v>
      </c>
      <c r="X3945">
        <v>0</v>
      </c>
      <c r="Y3945">
        <v>0</v>
      </c>
      <c r="Z3945">
        <v>0</v>
      </c>
    </row>
    <row r="3946" spans="1:26" x14ac:dyDescent="0.2">
      <c r="A3946" t="s">
        <v>4064</v>
      </c>
      <c r="B3946" t="s">
        <v>81</v>
      </c>
      <c r="C3946">
        <v>2019</v>
      </c>
      <c r="D3946" t="s">
        <v>48</v>
      </c>
      <c r="E3946" t="s">
        <v>51</v>
      </c>
      <c r="F3946" t="s">
        <v>49</v>
      </c>
      <c r="G3946">
        <v>74197</v>
      </c>
      <c r="H3946">
        <v>59357.600000000006</v>
      </c>
      <c r="I3946" s="13">
        <v>0</v>
      </c>
      <c r="J3946" t="s">
        <v>6207</v>
      </c>
      <c r="K3946">
        <v>2</v>
      </c>
      <c r="L3946">
        <v>1</v>
      </c>
      <c r="M3946" t="s">
        <v>0</v>
      </c>
      <c r="N3946" s="2">
        <v>0.46</v>
      </c>
      <c r="O3946" s="2">
        <v>0.54</v>
      </c>
      <c r="P3946">
        <v>9</v>
      </c>
      <c r="Q3946">
        <v>10</v>
      </c>
      <c r="R3946">
        <v>4</v>
      </c>
      <c r="S3946">
        <v>3</v>
      </c>
      <c r="T3946">
        <v>9</v>
      </c>
      <c r="U3946">
        <v>9</v>
      </c>
      <c r="V3946">
        <v>0</v>
      </c>
      <c r="W3946">
        <v>1</v>
      </c>
      <c r="X3946">
        <v>0</v>
      </c>
      <c r="Y3946">
        <v>0</v>
      </c>
      <c r="Z3946">
        <v>1</v>
      </c>
    </row>
    <row r="3947" spans="1:26" x14ac:dyDescent="0.2">
      <c r="A3947" t="s">
        <v>4065</v>
      </c>
      <c r="B3947" t="s">
        <v>76</v>
      </c>
      <c r="C3947">
        <v>2019</v>
      </c>
      <c r="D3947" t="s">
        <v>80</v>
      </c>
      <c r="E3947" t="s">
        <v>85</v>
      </c>
      <c r="F3947" t="s">
        <v>80</v>
      </c>
      <c r="G3947">
        <v>32261</v>
      </c>
      <c r="H3947">
        <v>25808.800000000003</v>
      </c>
      <c r="I3947" s="13">
        <v>0.8</v>
      </c>
      <c r="J3947" t="s">
        <v>6207</v>
      </c>
      <c r="K3947">
        <v>2</v>
      </c>
      <c r="L3947">
        <v>0</v>
      </c>
      <c r="M3947" t="s">
        <v>0</v>
      </c>
      <c r="N3947" s="2">
        <v>0.63</v>
      </c>
      <c r="O3947" s="2">
        <v>0.37</v>
      </c>
      <c r="P3947">
        <v>16</v>
      </c>
      <c r="Q3947">
        <v>15</v>
      </c>
      <c r="R3947">
        <v>7</v>
      </c>
      <c r="S3947">
        <v>2</v>
      </c>
      <c r="T3947">
        <v>13</v>
      </c>
      <c r="U3947">
        <v>16</v>
      </c>
      <c r="V3947">
        <v>3</v>
      </c>
      <c r="W3947">
        <v>2</v>
      </c>
      <c r="X3947">
        <v>0</v>
      </c>
      <c r="Y3947">
        <v>0</v>
      </c>
      <c r="Z3947">
        <v>1</v>
      </c>
    </row>
    <row r="3948" spans="1:26" x14ac:dyDescent="0.2">
      <c r="A3948" t="s">
        <v>4066</v>
      </c>
      <c r="B3948" t="s">
        <v>88</v>
      </c>
      <c r="C3948">
        <v>2019</v>
      </c>
      <c r="D3948" t="s">
        <v>18</v>
      </c>
      <c r="E3948" t="s">
        <v>42</v>
      </c>
      <c r="F3948" t="s">
        <v>20</v>
      </c>
      <c r="G3948">
        <v>40341</v>
      </c>
      <c r="H3948">
        <v>32272.800000000003</v>
      </c>
      <c r="I3948" s="13">
        <v>0.33333333333333331</v>
      </c>
      <c r="J3948" t="s">
        <v>6207</v>
      </c>
      <c r="K3948">
        <v>2</v>
      </c>
      <c r="L3948">
        <v>1</v>
      </c>
      <c r="M3948" t="s">
        <v>0</v>
      </c>
      <c r="N3948" s="2">
        <v>0.64</v>
      </c>
      <c r="O3948" s="2">
        <v>0.36</v>
      </c>
      <c r="P3948">
        <v>11</v>
      </c>
      <c r="Q3948">
        <v>18</v>
      </c>
      <c r="R3948">
        <v>9</v>
      </c>
      <c r="S3948">
        <v>5</v>
      </c>
      <c r="T3948">
        <v>18</v>
      </c>
      <c r="U3948">
        <v>10</v>
      </c>
      <c r="V3948">
        <v>2</v>
      </c>
      <c r="W3948">
        <v>1</v>
      </c>
      <c r="X3948">
        <v>0</v>
      </c>
      <c r="Y3948">
        <v>0</v>
      </c>
      <c r="Z3948">
        <v>0</v>
      </c>
    </row>
    <row r="3949" spans="1:26" x14ac:dyDescent="0.2">
      <c r="A3949" t="s">
        <v>4067</v>
      </c>
      <c r="B3949" t="s">
        <v>41</v>
      </c>
      <c r="C3949">
        <v>2019</v>
      </c>
      <c r="D3949" t="s">
        <v>26</v>
      </c>
      <c r="E3949" t="s">
        <v>45</v>
      </c>
      <c r="F3949" t="s">
        <v>26</v>
      </c>
      <c r="G3949">
        <v>61276</v>
      </c>
      <c r="H3949">
        <v>49020.800000000003</v>
      </c>
      <c r="I3949" s="13">
        <v>0.33333333333333331</v>
      </c>
      <c r="J3949" t="s">
        <v>6207</v>
      </c>
      <c r="K3949">
        <v>5</v>
      </c>
      <c r="L3949">
        <v>2</v>
      </c>
      <c r="M3949" t="s">
        <v>0</v>
      </c>
      <c r="N3949" s="2">
        <v>0.59</v>
      </c>
      <c r="O3949" s="2">
        <v>0.41</v>
      </c>
      <c r="P3949">
        <v>20</v>
      </c>
      <c r="Q3949">
        <v>16</v>
      </c>
      <c r="R3949">
        <v>5</v>
      </c>
      <c r="S3949">
        <v>6</v>
      </c>
      <c r="T3949">
        <v>13</v>
      </c>
      <c r="U3949">
        <v>17</v>
      </c>
      <c r="V3949">
        <v>1</v>
      </c>
      <c r="W3949">
        <v>2</v>
      </c>
      <c r="X3949">
        <v>0</v>
      </c>
      <c r="Y3949">
        <v>0</v>
      </c>
      <c r="Z3949">
        <v>0</v>
      </c>
    </row>
    <row r="3950" spans="1:26" x14ac:dyDescent="0.2">
      <c r="A3950" t="s">
        <v>4068</v>
      </c>
      <c r="B3950" t="s">
        <v>59</v>
      </c>
      <c r="C3950">
        <v>2019</v>
      </c>
      <c r="D3950" t="s">
        <v>95</v>
      </c>
      <c r="E3950" t="s">
        <v>64</v>
      </c>
      <c r="F3950" t="s">
        <v>57</v>
      </c>
      <c r="G3950">
        <v>32050</v>
      </c>
      <c r="H3950">
        <v>25640</v>
      </c>
      <c r="I3950" s="13">
        <v>0</v>
      </c>
      <c r="J3950" t="s">
        <v>6206</v>
      </c>
      <c r="K3950">
        <v>0</v>
      </c>
      <c r="L3950">
        <v>2</v>
      </c>
      <c r="M3950" t="s">
        <v>1</v>
      </c>
      <c r="N3950" s="2">
        <v>0.73</v>
      </c>
      <c r="O3950" s="2">
        <v>0.27</v>
      </c>
      <c r="P3950">
        <v>8</v>
      </c>
      <c r="Q3950">
        <v>13</v>
      </c>
      <c r="R3950">
        <v>8</v>
      </c>
      <c r="S3950">
        <v>1</v>
      </c>
      <c r="T3950">
        <v>10</v>
      </c>
      <c r="U3950">
        <v>6</v>
      </c>
      <c r="V3950">
        <v>2</v>
      </c>
      <c r="W3950">
        <v>0</v>
      </c>
      <c r="X3950">
        <v>0</v>
      </c>
      <c r="Y3950">
        <v>0</v>
      </c>
      <c r="Z3950">
        <v>0</v>
      </c>
    </row>
    <row r="3951" spans="1:26" x14ac:dyDescent="0.2">
      <c r="A3951" t="s">
        <v>4069</v>
      </c>
      <c r="B3951" t="s">
        <v>83</v>
      </c>
      <c r="C3951">
        <v>2019</v>
      </c>
      <c r="D3951" t="s">
        <v>46</v>
      </c>
      <c r="E3951" t="s">
        <v>90</v>
      </c>
      <c r="F3951" t="s">
        <v>20</v>
      </c>
      <c r="G3951">
        <v>60704</v>
      </c>
      <c r="H3951">
        <v>48563.200000000004</v>
      </c>
      <c r="I3951" s="13">
        <v>1</v>
      </c>
      <c r="J3951" t="s">
        <v>6208</v>
      </c>
      <c r="K3951">
        <v>1</v>
      </c>
      <c r="L3951">
        <v>2</v>
      </c>
      <c r="M3951" t="s">
        <v>1</v>
      </c>
      <c r="N3951" s="2">
        <v>0.49</v>
      </c>
      <c r="O3951" s="2">
        <v>0.51</v>
      </c>
      <c r="P3951">
        <v>11</v>
      </c>
      <c r="Q3951">
        <v>17</v>
      </c>
      <c r="R3951">
        <v>9</v>
      </c>
      <c r="S3951">
        <v>9</v>
      </c>
      <c r="T3951">
        <v>10</v>
      </c>
      <c r="U3951">
        <v>11</v>
      </c>
      <c r="V3951">
        <v>3</v>
      </c>
      <c r="W3951">
        <v>1</v>
      </c>
      <c r="X3951">
        <v>0</v>
      </c>
      <c r="Y3951">
        <v>0</v>
      </c>
      <c r="Z3951">
        <v>0</v>
      </c>
    </row>
    <row r="3952" spans="1:26" x14ac:dyDescent="0.2">
      <c r="A3952" t="s">
        <v>4070</v>
      </c>
      <c r="B3952" t="s">
        <v>76</v>
      </c>
      <c r="C3952">
        <v>2019</v>
      </c>
      <c r="D3952" t="s">
        <v>45</v>
      </c>
      <c r="E3952" t="s">
        <v>18</v>
      </c>
      <c r="F3952" t="s">
        <v>26</v>
      </c>
      <c r="G3952">
        <v>39572</v>
      </c>
      <c r="H3952">
        <v>31657.600000000002</v>
      </c>
      <c r="I3952" s="13">
        <v>0.66666666666666663</v>
      </c>
      <c r="J3952" t="s">
        <v>6207</v>
      </c>
      <c r="K3952">
        <v>3</v>
      </c>
      <c r="L3952">
        <v>1</v>
      </c>
      <c r="M3952" t="s">
        <v>0</v>
      </c>
      <c r="N3952" s="2">
        <v>0.3</v>
      </c>
      <c r="O3952" s="2">
        <v>0.7</v>
      </c>
      <c r="P3952">
        <v>12</v>
      </c>
      <c r="Q3952">
        <v>16</v>
      </c>
      <c r="R3952">
        <v>1</v>
      </c>
      <c r="S3952">
        <v>5</v>
      </c>
      <c r="T3952">
        <v>14</v>
      </c>
      <c r="U3952">
        <v>9</v>
      </c>
      <c r="V3952">
        <v>3</v>
      </c>
      <c r="W3952">
        <v>0</v>
      </c>
      <c r="X3952">
        <v>0</v>
      </c>
      <c r="Y3952">
        <v>0</v>
      </c>
      <c r="Z3952">
        <v>0</v>
      </c>
    </row>
    <row r="3953" spans="1:26" x14ac:dyDescent="0.2">
      <c r="A3953" t="s">
        <v>4071</v>
      </c>
      <c r="B3953" t="s">
        <v>32</v>
      </c>
      <c r="C3953">
        <v>2019</v>
      </c>
      <c r="D3953" t="s">
        <v>85</v>
      </c>
      <c r="E3953" t="s">
        <v>79</v>
      </c>
      <c r="F3953" t="s">
        <v>85</v>
      </c>
      <c r="G3953">
        <v>22220</v>
      </c>
      <c r="H3953">
        <v>17776</v>
      </c>
      <c r="I3953" s="13">
        <v>0.66666666666666663</v>
      </c>
      <c r="J3953" t="s">
        <v>6207</v>
      </c>
      <c r="K3953">
        <v>0</v>
      </c>
      <c r="L3953">
        <v>0</v>
      </c>
      <c r="M3953" t="s">
        <v>58</v>
      </c>
      <c r="N3953" s="2">
        <v>0.5</v>
      </c>
      <c r="O3953" s="2">
        <v>0.5</v>
      </c>
      <c r="P3953">
        <v>16</v>
      </c>
      <c r="Q3953">
        <v>17</v>
      </c>
      <c r="R3953">
        <v>6</v>
      </c>
      <c r="S3953">
        <v>2</v>
      </c>
      <c r="T3953">
        <v>15</v>
      </c>
      <c r="U3953">
        <v>16</v>
      </c>
      <c r="V3953">
        <v>4</v>
      </c>
      <c r="W3953">
        <v>2</v>
      </c>
      <c r="X3953">
        <v>0</v>
      </c>
      <c r="Y3953">
        <v>0</v>
      </c>
      <c r="Z3953">
        <v>0</v>
      </c>
    </row>
    <row r="3954" spans="1:26" x14ac:dyDescent="0.2">
      <c r="A3954" t="s">
        <v>4072</v>
      </c>
      <c r="B3954" t="s">
        <v>60</v>
      </c>
      <c r="C3954">
        <v>2019</v>
      </c>
      <c r="D3954" t="s">
        <v>51</v>
      </c>
      <c r="E3954" t="s">
        <v>28</v>
      </c>
      <c r="F3954" t="s">
        <v>20</v>
      </c>
      <c r="G3954">
        <v>36284</v>
      </c>
      <c r="H3954">
        <v>29027.200000000001</v>
      </c>
      <c r="I3954" s="13">
        <v>0</v>
      </c>
      <c r="J3954" t="s">
        <v>6208</v>
      </c>
      <c r="K3954">
        <v>5</v>
      </c>
      <c r="L3954">
        <v>0</v>
      </c>
      <c r="M3954" t="s">
        <v>0</v>
      </c>
      <c r="N3954" s="2">
        <v>0.49</v>
      </c>
      <c r="O3954" s="2">
        <v>0.51</v>
      </c>
      <c r="P3954">
        <v>10</v>
      </c>
      <c r="Q3954">
        <v>13</v>
      </c>
      <c r="R3954">
        <v>1</v>
      </c>
      <c r="S3954">
        <v>1</v>
      </c>
      <c r="T3954">
        <v>12</v>
      </c>
      <c r="U3954">
        <v>8</v>
      </c>
      <c r="V3954">
        <v>1</v>
      </c>
      <c r="W3954">
        <v>1</v>
      </c>
      <c r="X3954">
        <v>0</v>
      </c>
      <c r="Y3954">
        <v>0</v>
      </c>
      <c r="Z3954">
        <v>0</v>
      </c>
    </row>
    <row r="3955" spans="1:26" x14ac:dyDescent="0.2">
      <c r="A3955" t="s">
        <v>4073</v>
      </c>
      <c r="B3955" t="s">
        <v>88</v>
      </c>
      <c r="C3955">
        <v>2019</v>
      </c>
      <c r="D3955" t="s">
        <v>86</v>
      </c>
      <c r="E3955" t="s">
        <v>26</v>
      </c>
      <c r="F3955" t="s">
        <v>86</v>
      </c>
      <c r="G3955">
        <v>11364</v>
      </c>
      <c r="H3955">
        <v>9091.2000000000007</v>
      </c>
      <c r="I3955" s="13">
        <v>1</v>
      </c>
      <c r="J3955" t="s">
        <v>6207</v>
      </c>
      <c r="K3955">
        <v>0</v>
      </c>
      <c r="L3955">
        <v>3</v>
      </c>
      <c r="M3955" t="s">
        <v>1</v>
      </c>
      <c r="N3955" s="2">
        <v>0.26</v>
      </c>
      <c r="O3955" s="2">
        <v>0.74</v>
      </c>
      <c r="P3955">
        <v>7</v>
      </c>
      <c r="Q3955">
        <v>9</v>
      </c>
      <c r="R3955">
        <v>1</v>
      </c>
      <c r="S3955">
        <v>3</v>
      </c>
      <c r="T3955">
        <v>5</v>
      </c>
      <c r="U3955">
        <v>6</v>
      </c>
      <c r="V3955">
        <v>0</v>
      </c>
      <c r="W3955">
        <v>1</v>
      </c>
      <c r="X3955">
        <v>0</v>
      </c>
      <c r="Y3955">
        <v>0</v>
      </c>
      <c r="Z3955">
        <v>0</v>
      </c>
    </row>
    <row r="3956" spans="1:26" x14ac:dyDescent="0.2">
      <c r="A3956" t="s">
        <v>4074</v>
      </c>
      <c r="B3956" t="s">
        <v>61</v>
      </c>
      <c r="C3956">
        <v>2019</v>
      </c>
      <c r="D3956" t="s">
        <v>40</v>
      </c>
      <c r="E3956" t="s">
        <v>48</v>
      </c>
      <c r="F3956" t="s">
        <v>49</v>
      </c>
      <c r="G3956">
        <v>53400</v>
      </c>
      <c r="H3956">
        <v>42720</v>
      </c>
      <c r="I3956" s="13">
        <v>0.8</v>
      </c>
      <c r="J3956" t="s">
        <v>6207</v>
      </c>
      <c r="K3956">
        <v>1</v>
      </c>
      <c r="L3956">
        <v>2</v>
      </c>
      <c r="M3956" t="s">
        <v>1</v>
      </c>
      <c r="N3956" s="2">
        <v>0.72</v>
      </c>
      <c r="O3956" s="2">
        <v>0.28000000000000003</v>
      </c>
      <c r="P3956">
        <v>9</v>
      </c>
      <c r="Q3956">
        <v>9</v>
      </c>
      <c r="R3956">
        <v>16</v>
      </c>
      <c r="S3956">
        <v>3</v>
      </c>
      <c r="T3956">
        <v>10</v>
      </c>
      <c r="U3956">
        <v>10</v>
      </c>
      <c r="V3956">
        <v>3</v>
      </c>
      <c r="W3956">
        <v>2</v>
      </c>
      <c r="X3956">
        <v>0</v>
      </c>
      <c r="Y3956">
        <v>0</v>
      </c>
      <c r="Z3956">
        <v>1</v>
      </c>
    </row>
    <row r="3957" spans="1:26" x14ac:dyDescent="0.2">
      <c r="A3957" t="s">
        <v>4075</v>
      </c>
      <c r="B3957" t="s">
        <v>84</v>
      </c>
      <c r="C3957">
        <v>2019</v>
      </c>
      <c r="D3957" t="s">
        <v>69</v>
      </c>
      <c r="E3957" t="s">
        <v>95</v>
      </c>
      <c r="F3957" t="s">
        <v>69</v>
      </c>
      <c r="G3957">
        <v>27359</v>
      </c>
      <c r="H3957">
        <v>21887.200000000001</v>
      </c>
      <c r="I3957" s="13">
        <v>0.5</v>
      </c>
      <c r="J3957" t="s">
        <v>6208</v>
      </c>
      <c r="K3957">
        <v>1</v>
      </c>
      <c r="L3957">
        <v>2</v>
      </c>
      <c r="M3957" t="s">
        <v>1</v>
      </c>
      <c r="N3957" s="2">
        <v>0.57999999999999996</v>
      </c>
      <c r="O3957" s="2">
        <v>0.42</v>
      </c>
      <c r="P3957">
        <v>15</v>
      </c>
      <c r="Q3957">
        <v>7</v>
      </c>
      <c r="R3957">
        <v>9</v>
      </c>
      <c r="S3957">
        <v>1</v>
      </c>
      <c r="T3957">
        <v>6</v>
      </c>
      <c r="U3957">
        <v>12</v>
      </c>
      <c r="V3957">
        <v>0</v>
      </c>
      <c r="W3957">
        <v>4</v>
      </c>
      <c r="X3957">
        <v>0</v>
      </c>
      <c r="Y3957">
        <v>0</v>
      </c>
      <c r="Z3957">
        <v>0</v>
      </c>
    </row>
    <row r="3958" spans="1:26" x14ac:dyDescent="0.2">
      <c r="A3958" t="s">
        <v>4076</v>
      </c>
      <c r="B3958" t="s">
        <v>93</v>
      </c>
      <c r="C3958">
        <v>2019</v>
      </c>
      <c r="D3958" t="s">
        <v>64</v>
      </c>
      <c r="E3958" t="s">
        <v>73</v>
      </c>
      <c r="F3958" t="s">
        <v>64</v>
      </c>
      <c r="G3958">
        <v>52264</v>
      </c>
      <c r="H3958">
        <v>41811.200000000004</v>
      </c>
      <c r="I3958" s="13">
        <v>0.25</v>
      </c>
      <c r="J3958" t="s">
        <v>6206</v>
      </c>
      <c r="K3958">
        <v>2</v>
      </c>
      <c r="L3958">
        <v>1</v>
      </c>
      <c r="M3958" t="s">
        <v>0</v>
      </c>
      <c r="N3958" s="2">
        <v>0.45</v>
      </c>
      <c r="O3958" s="2">
        <v>0.55000000000000004</v>
      </c>
      <c r="P3958">
        <v>18</v>
      </c>
      <c r="Q3958">
        <v>11</v>
      </c>
      <c r="R3958">
        <v>3</v>
      </c>
      <c r="S3958">
        <v>12</v>
      </c>
      <c r="T3958">
        <v>11</v>
      </c>
      <c r="U3958">
        <v>17</v>
      </c>
      <c r="V3958">
        <v>1</v>
      </c>
      <c r="W3958">
        <v>3</v>
      </c>
      <c r="X3958">
        <v>0</v>
      </c>
      <c r="Y3958">
        <v>0</v>
      </c>
      <c r="Z3958">
        <v>0</v>
      </c>
    </row>
    <row r="3959" spans="1:26" x14ac:dyDescent="0.2">
      <c r="A3959" t="s">
        <v>4077</v>
      </c>
      <c r="B3959" t="s">
        <v>66</v>
      </c>
      <c r="C3959">
        <v>2019</v>
      </c>
      <c r="D3959" t="s">
        <v>42</v>
      </c>
      <c r="E3959" t="s">
        <v>80</v>
      </c>
      <c r="F3959" t="s">
        <v>38</v>
      </c>
      <c r="G3959">
        <v>42918</v>
      </c>
      <c r="H3959">
        <v>34334.400000000001</v>
      </c>
      <c r="I3959" s="13">
        <v>0.375</v>
      </c>
      <c r="J3959" t="s">
        <v>6207</v>
      </c>
      <c r="K3959">
        <v>1</v>
      </c>
      <c r="L3959">
        <v>4</v>
      </c>
      <c r="M3959" t="s">
        <v>1</v>
      </c>
      <c r="N3959" s="2">
        <v>0.41</v>
      </c>
      <c r="O3959" s="2">
        <v>0.59</v>
      </c>
      <c r="P3959">
        <v>15</v>
      </c>
      <c r="Q3959">
        <v>21</v>
      </c>
      <c r="R3959">
        <v>8</v>
      </c>
      <c r="S3959">
        <v>5</v>
      </c>
      <c r="T3959">
        <v>21</v>
      </c>
      <c r="U3959">
        <v>15</v>
      </c>
      <c r="V3959">
        <v>6</v>
      </c>
      <c r="W3959">
        <v>2</v>
      </c>
      <c r="X3959">
        <v>0</v>
      </c>
      <c r="Y3959">
        <v>0</v>
      </c>
      <c r="Z3959">
        <v>0</v>
      </c>
    </row>
    <row r="3960" spans="1:26" x14ac:dyDescent="0.2">
      <c r="A3960" t="s">
        <v>4078</v>
      </c>
      <c r="B3960" t="s">
        <v>68</v>
      </c>
      <c r="C3960">
        <v>2019</v>
      </c>
      <c r="D3960" t="s">
        <v>90</v>
      </c>
      <c r="E3960" t="s">
        <v>22</v>
      </c>
      <c r="F3960" t="s">
        <v>91</v>
      </c>
      <c r="G3960">
        <v>31876</v>
      </c>
      <c r="H3960">
        <v>25500.800000000003</v>
      </c>
      <c r="I3960" s="13">
        <v>0</v>
      </c>
      <c r="J3960" t="s">
        <v>6207</v>
      </c>
      <c r="K3960">
        <v>2</v>
      </c>
      <c r="L3960">
        <v>2</v>
      </c>
      <c r="M3960" t="s">
        <v>58</v>
      </c>
      <c r="N3960" s="2">
        <v>0.62</v>
      </c>
      <c r="O3960" s="2">
        <v>0.38</v>
      </c>
      <c r="P3960">
        <v>10</v>
      </c>
      <c r="Q3960">
        <v>11</v>
      </c>
      <c r="R3960">
        <v>3</v>
      </c>
      <c r="S3960">
        <v>4</v>
      </c>
      <c r="T3960">
        <v>10</v>
      </c>
      <c r="U3960">
        <v>7</v>
      </c>
      <c r="V3960">
        <v>3</v>
      </c>
      <c r="W3960">
        <v>0</v>
      </c>
      <c r="X3960">
        <v>0</v>
      </c>
      <c r="Y3960">
        <v>0</v>
      </c>
      <c r="Z3960">
        <v>0</v>
      </c>
    </row>
    <row r="3961" spans="1:26" x14ac:dyDescent="0.2">
      <c r="A3961" t="s">
        <v>4079</v>
      </c>
      <c r="B3961" t="s">
        <v>41</v>
      </c>
      <c r="C3961">
        <v>2019</v>
      </c>
      <c r="D3961" t="s">
        <v>23</v>
      </c>
      <c r="E3961" t="s">
        <v>46</v>
      </c>
      <c r="F3961" t="s">
        <v>20</v>
      </c>
      <c r="G3961">
        <v>62500</v>
      </c>
      <c r="H3961">
        <v>50000</v>
      </c>
      <c r="I3961" s="13">
        <v>0</v>
      </c>
      <c r="J3961" t="s">
        <v>6207</v>
      </c>
      <c r="K3961">
        <v>1</v>
      </c>
      <c r="L3961">
        <v>3</v>
      </c>
      <c r="M3961" t="s">
        <v>1</v>
      </c>
      <c r="N3961" s="2">
        <v>0.36</v>
      </c>
      <c r="O3961" s="2">
        <v>0.64</v>
      </c>
      <c r="P3961">
        <v>6</v>
      </c>
      <c r="Q3961">
        <v>14</v>
      </c>
      <c r="R3961">
        <v>4</v>
      </c>
      <c r="S3961">
        <v>3</v>
      </c>
      <c r="T3961">
        <v>12</v>
      </c>
      <c r="U3961">
        <v>6</v>
      </c>
      <c r="V3961">
        <v>2</v>
      </c>
      <c r="W3961">
        <v>0</v>
      </c>
      <c r="X3961">
        <v>0</v>
      </c>
      <c r="Y3961">
        <v>0</v>
      </c>
      <c r="Z3961">
        <v>0</v>
      </c>
    </row>
    <row r="3962" spans="1:26" x14ac:dyDescent="0.2">
      <c r="A3962" t="s">
        <v>4080</v>
      </c>
      <c r="B3962" t="s">
        <v>37</v>
      </c>
      <c r="C3962">
        <v>2019</v>
      </c>
      <c r="D3962" t="s">
        <v>26</v>
      </c>
      <c r="E3962" t="s">
        <v>85</v>
      </c>
      <c r="F3962" t="s">
        <v>26</v>
      </c>
      <c r="G3962">
        <v>61276</v>
      </c>
      <c r="H3962">
        <v>49020.800000000003</v>
      </c>
      <c r="I3962" s="13">
        <v>0</v>
      </c>
      <c r="J3962" t="s">
        <v>6206</v>
      </c>
      <c r="K3962">
        <v>2</v>
      </c>
      <c r="L3962">
        <v>0</v>
      </c>
      <c r="M3962" t="s">
        <v>0</v>
      </c>
      <c r="N3962" s="2">
        <v>0.68</v>
      </c>
      <c r="O3962" s="2">
        <v>0.32</v>
      </c>
      <c r="P3962">
        <v>10</v>
      </c>
      <c r="Q3962">
        <v>11</v>
      </c>
      <c r="R3962">
        <v>6</v>
      </c>
      <c r="S3962">
        <v>3</v>
      </c>
      <c r="T3962">
        <v>8</v>
      </c>
      <c r="U3962">
        <v>6</v>
      </c>
      <c r="V3962">
        <v>2</v>
      </c>
      <c r="W3962">
        <v>1</v>
      </c>
      <c r="X3962">
        <v>0</v>
      </c>
      <c r="Y3962">
        <v>0</v>
      </c>
      <c r="Z3962">
        <v>0</v>
      </c>
    </row>
    <row r="3963" spans="1:26" x14ac:dyDescent="0.2">
      <c r="A3963" t="s">
        <v>4081</v>
      </c>
      <c r="B3963" t="s">
        <v>97</v>
      </c>
      <c r="C3963">
        <v>2019</v>
      </c>
      <c r="D3963" t="s">
        <v>95</v>
      </c>
      <c r="E3963" t="s">
        <v>42</v>
      </c>
      <c r="F3963" t="s">
        <v>57</v>
      </c>
      <c r="G3963">
        <v>32050</v>
      </c>
      <c r="H3963">
        <v>25640</v>
      </c>
      <c r="I3963" s="13">
        <v>0</v>
      </c>
      <c r="J3963" t="s">
        <v>6207</v>
      </c>
      <c r="K3963">
        <v>2</v>
      </c>
      <c r="L3963">
        <v>0</v>
      </c>
      <c r="M3963" t="s">
        <v>0</v>
      </c>
      <c r="N3963" s="2">
        <v>0.56999999999999995</v>
      </c>
      <c r="O3963" s="2">
        <v>0.43</v>
      </c>
      <c r="P3963">
        <v>9</v>
      </c>
      <c r="Q3963">
        <v>12</v>
      </c>
      <c r="R3963">
        <v>3</v>
      </c>
      <c r="S3963">
        <v>2</v>
      </c>
      <c r="T3963">
        <v>10</v>
      </c>
      <c r="U3963">
        <v>9</v>
      </c>
      <c r="V3963">
        <v>2</v>
      </c>
      <c r="W3963">
        <v>2</v>
      </c>
      <c r="X3963">
        <v>0</v>
      </c>
      <c r="Y3963">
        <v>0</v>
      </c>
      <c r="Z3963">
        <v>1</v>
      </c>
    </row>
    <row r="3964" spans="1:26" x14ac:dyDescent="0.2">
      <c r="A3964" t="s">
        <v>4082</v>
      </c>
      <c r="B3964" t="s">
        <v>92</v>
      </c>
      <c r="C3964">
        <v>2019</v>
      </c>
      <c r="D3964" t="s">
        <v>80</v>
      </c>
      <c r="E3964" t="s">
        <v>69</v>
      </c>
      <c r="F3964" t="s">
        <v>80</v>
      </c>
      <c r="G3964">
        <v>32261</v>
      </c>
      <c r="H3964">
        <v>25808.800000000003</v>
      </c>
      <c r="I3964" s="13">
        <v>0.8</v>
      </c>
      <c r="J3964" t="s">
        <v>6207</v>
      </c>
      <c r="K3964">
        <v>1</v>
      </c>
      <c r="L3964">
        <v>1</v>
      </c>
      <c r="M3964" t="s">
        <v>58</v>
      </c>
      <c r="N3964" s="2">
        <v>0.56999999999999995</v>
      </c>
      <c r="O3964" s="2">
        <v>0.43</v>
      </c>
      <c r="P3964">
        <v>17</v>
      </c>
      <c r="Q3964">
        <v>10</v>
      </c>
      <c r="R3964">
        <v>12</v>
      </c>
      <c r="S3964">
        <v>4</v>
      </c>
      <c r="T3964">
        <v>11</v>
      </c>
      <c r="U3964">
        <v>15</v>
      </c>
      <c r="V3964">
        <v>0</v>
      </c>
      <c r="W3964">
        <v>5</v>
      </c>
      <c r="X3964">
        <v>0</v>
      </c>
      <c r="Y3964">
        <v>0</v>
      </c>
      <c r="Z3964">
        <v>0</v>
      </c>
    </row>
    <row r="3965" spans="1:26" x14ac:dyDescent="0.2">
      <c r="A3965" t="s">
        <v>4083</v>
      </c>
      <c r="B3965" t="s">
        <v>83</v>
      </c>
      <c r="C3965">
        <v>2019</v>
      </c>
      <c r="D3965" t="s">
        <v>18</v>
      </c>
      <c r="E3965" t="s">
        <v>86</v>
      </c>
      <c r="F3965" t="s">
        <v>20</v>
      </c>
      <c r="G3965">
        <v>40341</v>
      </c>
      <c r="H3965">
        <v>32272.800000000003</v>
      </c>
      <c r="I3965" s="13">
        <v>0.33333333333333331</v>
      </c>
      <c r="J3965" t="s">
        <v>6208</v>
      </c>
      <c r="K3965">
        <v>0</v>
      </c>
      <c r="L3965">
        <v>1</v>
      </c>
      <c r="M3965" t="s">
        <v>1</v>
      </c>
      <c r="N3965" s="2">
        <v>0.68</v>
      </c>
      <c r="O3965" s="2">
        <v>0.32</v>
      </c>
      <c r="P3965">
        <v>15</v>
      </c>
      <c r="Q3965">
        <v>12</v>
      </c>
      <c r="R3965">
        <v>9</v>
      </c>
      <c r="S3965">
        <v>4</v>
      </c>
      <c r="T3965">
        <v>9</v>
      </c>
      <c r="U3965">
        <v>14</v>
      </c>
      <c r="V3965">
        <v>1</v>
      </c>
      <c r="W3965">
        <v>2</v>
      </c>
      <c r="X3965">
        <v>0</v>
      </c>
      <c r="Y3965">
        <v>0</v>
      </c>
      <c r="Z3965">
        <v>0</v>
      </c>
    </row>
    <row r="3966" spans="1:26" x14ac:dyDescent="0.2">
      <c r="A3966" t="s">
        <v>4084</v>
      </c>
      <c r="B3966" t="s">
        <v>98</v>
      </c>
      <c r="C3966">
        <v>2019</v>
      </c>
      <c r="D3966" t="s">
        <v>28</v>
      </c>
      <c r="E3966" t="s">
        <v>64</v>
      </c>
      <c r="F3966" t="s">
        <v>28</v>
      </c>
      <c r="G3966">
        <v>21944</v>
      </c>
      <c r="H3966">
        <v>17555.2</v>
      </c>
      <c r="I3966" s="13">
        <v>0.5</v>
      </c>
      <c r="J3966" t="s">
        <v>6208</v>
      </c>
      <c r="K3966">
        <v>1</v>
      </c>
      <c r="L3966">
        <v>0</v>
      </c>
      <c r="M3966" t="s">
        <v>0</v>
      </c>
      <c r="N3966" s="2">
        <v>0.48</v>
      </c>
      <c r="O3966" s="2">
        <v>0.52</v>
      </c>
      <c r="P3966">
        <v>13</v>
      </c>
      <c r="Q3966">
        <v>18</v>
      </c>
      <c r="R3966">
        <v>4</v>
      </c>
      <c r="S3966">
        <v>3</v>
      </c>
      <c r="T3966">
        <v>15</v>
      </c>
      <c r="U3966">
        <v>12</v>
      </c>
      <c r="V3966">
        <v>0</v>
      </c>
      <c r="W3966">
        <v>2</v>
      </c>
      <c r="X3966">
        <v>0</v>
      </c>
      <c r="Y3966">
        <v>0</v>
      </c>
      <c r="Z3966">
        <v>0</v>
      </c>
    </row>
    <row r="3967" spans="1:26" x14ac:dyDescent="0.2">
      <c r="A3967" t="s">
        <v>4085</v>
      </c>
      <c r="B3967" t="s">
        <v>32</v>
      </c>
      <c r="C3967">
        <v>2019</v>
      </c>
      <c r="D3967" t="s">
        <v>73</v>
      </c>
      <c r="E3967" t="s">
        <v>23</v>
      </c>
      <c r="F3967" t="s">
        <v>73</v>
      </c>
      <c r="G3967">
        <v>32384</v>
      </c>
      <c r="H3967">
        <v>25907.200000000001</v>
      </c>
      <c r="I3967" s="13">
        <v>0.25</v>
      </c>
      <c r="J3967" t="s">
        <v>6207</v>
      </c>
      <c r="K3967">
        <v>0</v>
      </c>
      <c r="L3967">
        <v>1</v>
      </c>
      <c r="M3967" t="s">
        <v>1</v>
      </c>
      <c r="N3967" s="2">
        <v>0.56999999999999995</v>
      </c>
      <c r="O3967" s="2">
        <v>0.43</v>
      </c>
      <c r="P3967">
        <v>15</v>
      </c>
      <c r="Q3967">
        <v>13</v>
      </c>
      <c r="R3967">
        <v>5</v>
      </c>
      <c r="S3967">
        <v>8</v>
      </c>
      <c r="T3967">
        <v>9</v>
      </c>
      <c r="U3967">
        <v>14</v>
      </c>
      <c r="V3967">
        <v>1</v>
      </c>
      <c r="W3967">
        <v>3</v>
      </c>
      <c r="X3967">
        <v>0</v>
      </c>
      <c r="Y3967">
        <v>0</v>
      </c>
      <c r="Z3967">
        <v>0</v>
      </c>
    </row>
    <row r="3968" spans="1:26" x14ac:dyDescent="0.2">
      <c r="A3968" t="s">
        <v>4086</v>
      </c>
      <c r="B3968" t="s">
        <v>59</v>
      </c>
      <c r="C3968">
        <v>2019</v>
      </c>
      <c r="D3968" t="s">
        <v>22</v>
      </c>
      <c r="E3968" t="s">
        <v>51</v>
      </c>
      <c r="F3968" t="s">
        <v>24</v>
      </c>
      <c r="G3968">
        <v>31750</v>
      </c>
      <c r="H3968">
        <v>25400</v>
      </c>
      <c r="I3968" s="13">
        <v>0.625</v>
      </c>
      <c r="J3968" t="s">
        <v>6206</v>
      </c>
      <c r="K3968">
        <v>1</v>
      </c>
      <c r="L3968">
        <v>2</v>
      </c>
      <c r="M3968" t="s">
        <v>1</v>
      </c>
      <c r="N3968" s="2">
        <v>0.57999999999999996</v>
      </c>
      <c r="O3968" s="2">
        <v>0.42</v>
      </c>
      <c r="P3968">
        <v>11</v>
      </c>
      <c r="Q3968">
        <v>14</v>
      </c>
      <c r="R3968">
        <v>11</v>
      </c>
      <c r="S3968">
        <v>2</v>
      </c>
      <c r="T3968">
        <v>14</v>
      </c>
      <c r="U3968">
        <v>10</v>
      </c>
      <c r="V3968">
        <v>4</v>
      </c>
      <c r="W3968">
        <v>4</v>
      </c>
      <c r="X3968">
        <v>0</v>
      </c>
      <c r="Y3968">
        <v>0</v>
      </c>
      <c r="Z3968">
        <v>0</v>
      </c>
    </row>
    <row r="3969" spans="1:26" x14ac:dyDescent="0.2">
      <c r="A3969" t="s">
        <v>4087</v>
      </c>
      <c r="B3969" t="s">
        <v>66</v>
      </c>
      <c r="C3969">
        <v>2019</v>
      </c>
      <c r="D3969" t="s">
        <v>48</v>
      </c>
      <c r="E3969" t="s">
        <v>45</v>
      </c>
      <c r="F3969" t="s">
        <v>49</v>
      </c>
      <c r="G3969">
        <v>74197</v>
      </c>
      <c r="H3969">
        <v>59357.600000000006</v>
      </c>
      <c r="I3969" s="13">
        <v>0.66666666666666663</v>
      </c>
      <c r="J3969" t="s">
        <v>6207</v>
      </c>
      <c r="K3969">
        <v>1</v>
      </c>
      <c r="L3969">
        <v>1</v>
      </c>
      <c r="M3969" t="s">
        <v>58</v>
      </c>
      <c r="N3969" s="2">
        <v>0.67</v>
      </c>
      <c r="O3969" s="2">
        <v>0.33</v>
      </c>
      <c r="P3969">
        <v>15</v>
      </c>
      <c r="Q3969">
        <v>12</v>
      </c>
      <c r="R3969">
        <v>6</v>
      </c>
      <c r="S3969">
        <v>5</v>
      </c>
      <c r="T3969">
        <v>10</v>
      </c>
      <c r="U3969">
        <v>12</v>
      </c>
      <c r="V3969">
        <v>1</v>
      </c>
      <c r="W3969">
        <v>2</v>
      </c>
      <c r="X3969">
        <v>0</v>
      </c>
      <c r="Y3969">
        <v>0</v>
      </c>
      <c r="Z3969">
        <v>0</v>
      </c>
    </row>
    <row r="3970" spans="1:26" x14ac:dyDescent="0.2">
      <c r="A3970" t="s">
        <v>4088</v>
      </c>
      <c r="B3970" t="s">
        <v>81</v>
      </c>
      <c r="C3970">
        <v>2019</v>
      </c>
      <c r="D3970" t="s">
        <v>46</v>
      </c>
      <c r="E3970" t="s">
        <v>40</v>
      </c>
      <c r="F3970" t="s">
        <v>20</v>
      </c>
      <c r="G3970">
        <v>60704</v>
      </c>
      <c r="H3970">
        <v>48563.200000000004</v>
      </c>
      <c r="I3970" s="13">
        <v>1</v>
      </c>
      <c r="J3970" t="s">
        <v>6207</v>
      </c>
      <c r="K3970">
        <v>0</v>
      </c>
      <c r="L3970">
        <v>3</v>
      </c>
      <c r="M3970" t="s">
        <v>1</v>
      </c>
      <c r="N3970" s="2">
        <v>0.42</v>
      </c>
      <c r="O3970" s="2">
        <v>0.57999999999999996</v>
      </c>
      <c r="P3970">
        <v>25</v>
      </c>
      <c r="Q3970">
        <v>11</v>
      </c>
      <c r="R3970">
        <v>3</v>
      </c>
      <c r="S3970">
        <v>3</v>
      </c>
      <c r="T3970">
        <v>9</v>
      </c>
      <c r="U3970">
        <v>24</v>
      </c>
      <c r="V3970">
        <v>1</v>
      </c>
      <c r="W3970">
        <v>4</v>
      </c>
      <c r="X3970">
        <v>0</v>
      </c>
      <c r="Y3970">
        <v>0</v>
      </c>
      <c r="Z3970">
        <v>0</v>
      </c>
    </row>
    <row r="3971" spans="1:26" x14ac:dyDescent="0.2">
      <c r="A3971" t="s">
        <v>4089</v>
      </c>
      <c r="B3971" t="s">
        <v>76</v>
      </c>
      <c r="C3971">
        <v>2019</v>
      </c>
      <c r="D3971" t="s">
        <v>79</v>
      </c>
      <c r="E3971" t="s">
        <v>90</v>
      </c>
      <c r="F3971" t="s">
        <v>20</v>
      </c>
      <c r="G3971">
        <v>25486</v>
      </c>
      <c r="H3971">
        <v>20388.800000000003</v>
      </c>
      <c r="I3971" s="13">
        <v>1</v>
      </c>
      <c r="J3971" t="s">
        <v>6207</v>
      </c>
      <c r="K3971">
        <v>1</v>
      </c>
      <c r="L3971">
        <v>1</v>
      </c>
      <c r="M3971" t="s">
        <v>58</v>
      </c>
      <c r="N3971" s="2">
        <v>0.34</v>
      </c>
      <c r="O3971" s="2">
        <v>0.66</v>
      </c>
      <c r="P3971">
        <v>13</v>
      </c>
      <c r="Q3971">
        <v>7</v>
      </c>
      <c r="R3971">
        <v>3</v>
      </c>
      <c r="S3971">
        <v>7</v>
      </c>
      <c r="T3971">
        <v>7</v>
      </c>
      <c r="U3971">
        <v>12</v>
      </c>
      <c r="V3971">
        <v>1</v>
      </c>
      <c r="W3971">
        <v>1</v>
      </c>
      <c r="X3971">
        <v>0</v>
      </c>
      <c r="Y3971">
        <v>0</v>
      </c>
      <c r="Z3971">
        <v>0</v>
      </c>
    </row>
    <row r="3972" spans="1:26" x14ac:dyDescent="0.2">
      <c r="A3972" t="s">
        <v>4090</v>
      </c>
      <c r="B3972" t="s">
        <v>60</v>
      </c>
      <c r="C3972">
        <v>2019</v>
      </c>
      <c r="D3972" t="s">
        <v>45</v>
      </c>
      <c r="E3972" t="s">
        <v>46</v>
      </c>
      <c r="F3972" t="s">
        <v>26</v>
      </c>
      <c r="G3972">
        <v>39572</v>
      </c>
      <c r="H3972">
        <v>31657.600000000002</v>
      </c>
      <c r="I3972" s="13">
        <v>0.2</v>
      </c>
      <c r="J3972" t="s">
        <v>6208</v>
      </c>
      <c r="K3972">
        <v>0</v>
      </c>
      <c r="L3972">
        <v>0</v>
      </c>
      <c r="M3972" t="s">
        <v>58</v>
      </c>
      <c r="N3972" s="2">
        <v>0.43</v>
      </c>
      <c r="O3972" s="2">
        <v>0.56999999999999995</v>
      </c>
      <c r="P3972">
        <v>12</v>
      </c>
      <c r="Q3972">
        <v>10</v>
      </c>
      <c r="R3972">
        <v>5</v>
      </c>
      <c r="S3972">
        <v>4</v>
      </c>
      <c r="T3972">
        <v>10</v>
      </c>
      <c r="U3972">
        <v>11</v>
      </c>
      <c r="V3972">
        <v>2</v>
      </c>
      <c r="W3972">
        <v>3</v>
      </c>
      <c r="X3972">
        <v>0</v>
      </c>
      <c r="Y3972">
        <v>0</v>
      </c>
      <c r="Z3972">
        <v>0</v>
      </c>
    </row>
    <row r="3973" spans="1:26" x14ac:dyDescent="0.2">
      <c r="A3973" t="s">
        <v>4091</v>
      </c>
      <c r="B3973" t="s">
        <v>97</v>
      </c>
      <c r="C3973">
        <v>2019</v>
      </c>
      <c r="D3973" t="s">
        <v>69</v>
      </c>
      <c r="E3973" t="s">
        <v>22</v>
      </c>
      <c r="F3973" t="s">
        <v>69</v>
      </c>
      <c r="G3973">
        <v>27359</v>
      </c>
      <c r="H3973">
        <v>21887.200000000001</v>
      </c>
      <c r="I3973" s="13">
        <v>0.5</v>
      </c>
      <c r="J3973" t="s">
        <v>6207</v>
      </c>
      <c r="K3973">
        <v>1</v>
      </c>
      <c r="L3973">
        <v>2</v>
      </c>
      <c r="M3973" t="s">
        <v>1</v>
      </c>
      <c r="N3973" s="2">
        <v>0.5</v>
      </c>
      <c r="O3973" s="2">
        <v>0.5</v>
      </c>
      <c r="P3973">
        <v>16</v>
      </c>
      <c r="Q3973">
        <v>10</v>
      </c>
      <c r="R3973">
        <v>3</v>
      </c>
      <c r="S3973">
        <v>11</v>
      </c>
      <c r="T3973">
        <v>7</v>
      </c>
      <c r="U3973">
        <v>14</v>
      </c>
      <c r="V3973">
        <v>2</v>
      </c>
      <c r="W3973">
        <v>4</v>
      </c>
      <c r="X3973">
        <v>0</v>
      </c>
      <c r="Y3973">
        <v>0</v>
      </c>
      <c r="Z3973">
        <v>0</v>
      </c>
    </row>
    <row r="3974" spans="1:26" x14ac:dyDescent="0.2">
      <c r="A3974" t="s">
        <v>4092</v>
      </c>
      <c r="B3974" t="s">
        <v>84</v>
      </c>
      <c r="C3974">
        <v>2019</v>
      </c>
      <c r="D3974" t="s">
        <v>64</v>
      </c>
      <c r="E3974" t="s">
        <v>79</v>
      </c>
      <c r="F3974" t="s">
        <v>64</v>
      </c>
      <c r="G3974">
        <v>52264</v>
      </c>
      <c r="H3974">
        <v>41811.200000000004</v>
      </c>
      <c r="I3974" s="13">
        <v>1</v>
      </c>
      <c r="J3974" t="s">
        <v>6208</v>
      </c>
      <c r="K3974">
        <v>1</v>
      </c>
      <c r="L3974">
        <v>0</v>
      </c>
      <c r="M3974" t="s">
        <v>0</v>
      </c>
      <c r="N3974" s="2">
        <v>0.42</v>
      </c>
      <c r="O3974" s="2">
        <v>0.57999999999999996</v>
      </c>
      <c r="P3974">
        <v>12</v>
      </c>
      <c r="Q3974">
        <v>15</v>
      </c>
      <c r="R3974">
        <v>4</v>
      </c>
      <c r="S3974">
        <v>5</v>
      </c>
      <c r="T3974">
        <v>12</v>
      </c>
      <c r="U3974">
        <v>11</v>
      </c>
      <c r="V3974">
        <v>2</v>
      </c>
      <c r="W3974">
        <v>0</v>
      </c>
      <c r="X3974">
        <v>0</v>
      </c>
      <c r="Y3974">
        <v>0</v>
      </c>
      <c r="Z3974">
        <v>0</v>
      </c>
    </row>
    <row r="3975" spans="1:26" x14ac:dyDescent="0.2">
      <c r="A3975" t="s">
        <v>4093</v>
      </c>
      <c r="B3975" t="s">
        <v>99</v>
      </c>
      <c r="C3975">
        <v>2019</v>
      </c>
      <c r="D3975" t="s">
        <v>90</v>
      </c>
      <c r="E3975" t="s">
        <v>95</v>
      </c>
      <c r="F3975" t="s">
        <v>91</v>
      </c>
      <c r="G3975">
        <v>31876</v>
      </c>
      <c r="H3975">
        <v>25500.800000000003</v>
      </c>
      <c r="I3975" s="13">
        <v>0.75</v>
      </c>
      <c r="J3975" t="s">
        <v>6207</v>
      </c>
      <c r="K3975">
        <v>0</v>
      </c>
      <c r="L3975">
        <v>1</v>
      </c>
      <c r="M3975" t="s">
        <v>1</v>
      </c>
      <c r="N3975" s="2">
        <v>0.69</v>
      </c>
      <c r="O3975" s="2">
        <v>0.31</v>
      </c>
      <c r="P3975">
        <v>14</v>
      </c>
      <c r="Q3975">
        <v>8</v>
      </c>
      <c r="R3975">
        <v>4</v>
      </c>
      <c r="S3975">
        <v>3</v>
      </c>
      <c r="T3975">
        <v>6</v>
      </c>
      <c r="U3975">
        <v>11</v>
      </c>
      <c r="V3975">
        <v>1</v>
      </c>
      <c r="W3975">
        <v>3</v>
      </c>
      <c r="X3975">
        <v>0</v>
      </c>
      <c r="Y3975">
        <v>0</v>
      </c>
      <c r="Z3975">
        <v>0</v>
      </c>
    </row>
    <row r="3976" spans="1:26" x14ac:dyDescent="0.2">
      <c r="A3976" t="s">
        <v>4094</v>
      </c>
      <c r="B3976" t="s">
        <v>32</v>
      </c>
      <c r="C3976">
        <v>2019</v>
      </c>
      <c r="D3976" t="s">
        <v>86</v>
      </c>
      <c r="E3976" t="s">
        <v>28</v>
      </c>
      <c r="F3976" t="s">
        <v>86</v>
      </c>
      <c r="G3976">
        <v>11364</v>
      </c>
      <c r="H3976">
        <v>9091.2000000000007</v>
      </c>
      <c r="I3976" s="13">
        <v>0.33333333333333331</v>
      </c>
      <c r="J3976" t="s">
        <v>6207</v>
      </c>
      <c r="K3976">
        <v>0</v>
      </c>
      <c r="L3976">
        <v>1</v>
      </c>
      <c r="M3976" t="s">
        <v>1</v>
      </c>
      <c r="N3976" s="2">
        <v>0.65</v>
      </c>
      <c r="O3976" s="2">
        <v>0.35</v>
      </c>
      <c r="P3976">
        <v>21</v>
      </c>
      <c r="Q3976">
        <v>15</v>
      </c>
      <c r="R3976">
        <v>4</v>
      </c>
      <c r="S3976">
        <v>5</v>
      </c>
      <c r="T3976">
        <v>13</v>
      </c>
      <c r="U3976">
        <v>21</v>
      </c>
      <c r="V3976">
        <v>2</v>
      </c>
      <c r="W3976">
        <v>4</v>
      </c>
      <c r="X3976">
        <v>0</v>
      </c>
      <c r="Y3976">
        <v>0</v>
      </c>
      <c r="Z3976">
        <v>0</v>
      </c>
    </row>
    <row r="3977" spans="1:26" x14ac:dyDescent="0.2">
      <c r="A3977" t="s">
        <v>4095</v>
      </c>
      <c r="B3977" t="s">
        <v>76</v>
      </c>
      <c r="C3977">
        <v>2019</v>
      </c>
      <c r="D3977" t="s">
        <v>42</v>
      </c>
      <c r="E3977" t="s">
        <v>73</v>
      </c>
      <c r="F3977" t="s">
        <v>38</v>
      </c>
      <c r="G3977">
        <v>42918</v>
      </c>
      <c r="H3977">
        <v>34334.400000000001</v>
      </c>
      <c r="I3977" s="13">
        <v>0.33333333333333331</v>
      </c>
      <c r="J3977" t="s">
        <v>6207</v>
      </c>
      <c r="K3977">
        <v>1</v>
      </c>
      <c r="L3977">
        <v>3</v>
      </c>
      <c r="M3977" t="s">
        <v>1</v>
      </c>
      <c r="N3977" s="2">
        <v>0.56000000000000005</v>
      </c>
      <c r="O3977" s="2">
        <v>0.44</v>
      </c>
      <c r="P3977">
        <v>18</v>
      </c>
      <c r="Q3977">
        <v>18</v>
      </c>
      <c r="R3977">
        <v>7</v>
      </c>
      <c r="S3977">
        <v>5</v>
      </c>
      <c r="T3977">
        <v>16</v>
      </c>
      <c r="U3977">
        <v>15</v>
      </c>
      <c r="V3977">
        <v>2</v>
      </c>
      <c r="W3977">
        <v>1</v>
      </c>
      <c r="X3977">
        <v>0</v>
      </c>
      <c r="Y3977">
        <v>0</v>
      </c>
      <c r="Z3977">
        <v>0</v>
      </c>
    </row>
    <row r="3978" spans="1:26" x14ac:dyDescent="0.2">
      <c r="A3978" t="s">
        <v>4096</v>
      </c>
      <c r="B3978" t="s">
        <v>41</v>
      </c>
      <c r="C3978">
        <v>2019</v>
      </c>
      <c r="D3978" t="s">
        <v>40</v>
      </c>
      <c r="E3978" t="s">
        <v>80</v>
      </c>
      <c r="F3978" t="s">
        <v>49</v>
      </c>
      <c r="G3978">
        <v>53400</v>
      </c>
      <c r="H3978">
        <v>42720</v>
      </c>
      <c r="I3978" s="13">
        <v>1</v>
      </c>
      <c r="J3978" t="s">
        <v>6207</v>
      </c>
      <c r="K3978">
        <v>3</v>
      </c>
      <c r="L3978">
        <v>1</v>
      </c>
      <c r="M3978" t="s">
        <v>0</v>
      </c>
      <c r="N3978" s="2">
        <v>0.63</v>
      </c>
      <c r="O3978" s="2">
        <v>0.37</v>
      </c>
      <c r="P3978">
        <v>11</v>
      </c>
      <c r="Q3978">
        <v>15</v>
      </c>
      <c r="R3978">
        <v>6</v>
      </c>
      <c r="S3978">
        <v>0</v>
      </c>
      <c r="T3978">
        <v>14</v>
      </c>
      <c r="U3978">
        <v>9</v>
      </c>
      <c r="V3978">
        <v>2</v>
      </c>
      <c r="W3978">
        <v>2</v>
      </c>
      <c r="X3978">
        <v>0</v>
      </c>
      <c r="Y3978">
        <v>0</v>
      </c>
      <c r="Z3978">
        <v>1</v>
      </c>
    </row>
    <row r="3979" spans="1:26" x14ac:dyDescent="0.2">
      <c r="A3979" t="s">
        <v>4097</v>
      </c>
      <c r="B3979" t="s">
        <v>50</v>
      </c>
      <c r="C3979">
        <v>2019</v>
      </c>
      <c r="D3979" t="s">
        <v>85</v>
      </c>
      <c r="E3979" t="s">
        <v>48</v>
      </c>
      <c r="F3979" t="s">
        <v>85</v>
      </c>
      <c r="G3979">
        <v>22220</v>
      </c>
      <c r="H3979">
        <v>17776</v>
      </c>
      <c r="I3979" s="13">
        <v>0.5</v>
      </c>
      <c r="J3979" t="s">
        <v>6207</v>
      </c>
      <c r="K3979">
        <v>2</v>
      </c>
      <c r="L3979">
        <v>0</v>
      </c>
      <c r="M3979" t="s">
        <v>0</v>
      </c>
      <c r="N3979" s="2">
        <v>0.36</v>
      </c>
      <c r="O3979" s="2">
        <v>0.64</v>
      </c>
      <c r="P3979">
        <v>15</v>
      </c>
      <c r="Q3979">
        <v>20</v>
      </c>
      <c r="R3979">
        <v>3</v>
      </c>
      <c r="S3979">
        <v>5</v>
      </c>
      <c r="T3979">
        <v>16</v>
      </c>
      <c r="U3979">
        <v>11</v>
      </c>
      <c r="V3979">
        <v>3</v>
      </c>
      <c r="W3979">
        <v>1</v>
      </c>
      <c r="X3979">
        <v>0</v>
      </c>
      <c r="Y3979">
        <v>0</v>
      </c>
      <c r="Z3979">
        <v>1</v>
      </c>
    </row>
    <row r="3980" spans="1:26" x14ac:dyDescent="0.2">
      <c r="A3980" t="s">
        <v>4098</v>
      </c>
      <c r="B3980" t="s">
        <v>61</v>
      </c>
      <c r="C3980">
        <v>2019</v>
      </c>
      <c r="D3980" t="s">
        <v>51</v>
      </c>
      <c r="E3980" t="s">
        <v>18</v>
      </c>
      <c r="F3980" t="s">
        <v>20</v>
      </c>
      <c r="G3980">
        <v>36284</v>
      </c>
      <c r="H3980">
        <v>29027.200000000001</v>
      </c>
      <c r="I3980" s="13">
        <v>0.75</v>
      </c>
      <c r="J3980" t="s">
        <v>6207</v>
      </c>
      <c r="K3980">
        <v>0</v>
      </c>
      <c r="L3980">
        <v>2</v>
      </c>
      <c r="M3980" t="s">
        <v>1</v>
      </c>
      <c r="N3980" s="2">
        <v>0.45</v>
      </c>
      <c r="O3980" s="2">
        <v>0.55000000000000004</v>
      </c>
      <c r="P3980">
        <v>13</v>
      </c>
      <c r="Q3980">
        <v>8</v>
      </c>
      <c r="R3980">
        <v>3</v>
      </c>
      <c r="S3980">
        <v>5</v>
      </c>
      <c r="T3980">
        <v>9</v>
      </c>
      <c r="U3980">
        <v>11</v>
      </c>
      <c r="V3980">
        <v>4</v>
      </c>
      <c r="W3980">
        <v>3</v>
      </c>
      <c r="X3980">
        <v>1</v>
      </c>
      <c r="Y3980">
        <v>0</v>
      </c>
      <c r="Z3980">
        <v>1</v>
      </c>
    </row>
    <row r="3981" spans="1:26" x14ac:dyDescent="0.2">
      <c r="A3981" t="s">
        <v>4099</v>
      </c>
      <c r="B3981" t="s">
        <v>83</v>
      </c>
      <c r="C3981">
        <v>2019</v>
      </c>
      <c r="D3981" t="s">
        <v>51</v>
      </c>
      <c r="E3981" t="s">
        <v>90</v>
      </c>
      <c r="F3981" t="s">
        <v>20</v>
      </c>
      <c r="G3981">
        <v>36284</v>
      </c>
      <c r="H3981">
        <v>29027.200000000001</v>
      </c>
      <c r="I3981" s="13">
        <v>0.66666666666666663</v>
      </c>
      <c r="J3981" t="s">
        <v>6208</v>
      </c>
      <c r="K3981">
        <v>2</v>
      </c>
      <c r="L3981">
        <v>1</v>
      </c>
      <c r="M3981" t="s">
        <v>0</v>
      </c>
      <c r="N3981" s="2">
        <v>0.54</v>
      </c>
      <c r="O3981" s="2">
        <v>0.46</v>
      </c>
      <c r="P3981">
        <v>8</v>
      </c>
      <c r="Q3981">
        <v>15</v>
      </c>
      <c r="R3981">
        <v>9</v>
      </c>
      <c r="S3981">
        <v>2</v>
      </c>
      <c r="T3981">
        <v>10</v>
      </c>
      <c r="U3981">
        <v>9</v>
      </c>
      <c r="V3981">
        <v>4</v>
      </c>
      <c r="W3981">
        <v>2</v>
      </c>
      <c r="X3981">
        <v>0</v>
      </c>
      <c r="Y3981">
        <v>0</v>
      </c>
      <c r="Z3981">
        <v>0</v>
      </c>
    </row>
    <row r="3982" spans="1:26" x14ac:dyDescent="0.2">
      <c r="A3982" t="s">
        <v>4100</v>
      </c>
      <c r="B3982" t="s">
        <v>93</v>
      </c>
      <c r="C3982">
        <v>2019</v>
      </c>
      <c r="D3982" t="s">
        <v>95</v>
      </c>
      <c r="E3982" t="s">
        <v>85</v>
      </c>
      <c r="F3982" t="s">
        <v>57</v>
      </c>
      <c r="G3982">
        <v>32050</v>
      </c>
      <c r="H3982">
        <v>25640</v>
      </c>
      <c r="I3982" s="13">
        <v>0.33333333333333331</v>
      </c>
      <c r="J3982" t="s">
        <v>6206</v>
      </c>
      <c r="K3982">
        <v>1</v>
      </c>
      <c r="L3982">
        <v>1</v>
      </c>
      <c r="M3982" t="s">
        <v>58</v>
      </c>
      <c r="N3982" s="2">
        <v>0.57999999999999996</v>
      </c>
      <c r="O3982" s="2">
        <v>0.42</v>
      </c>
      <c r="P3982">
        <v>12</v>
      </c>
      <c r="Q3982">
        <v>11</v>
      </c>
      <c r="R3982">
        <v>9</v>
      </c>
      <c r="S3982">
        <v>1</v>
      </c>
      <c r="T3982">
        <v>11</v>
      </c>
      <c r="U3982">
        <v>8</v>
      </c>
      <c r="V3982">
        <v>0</v>
      </c>
      <c r="W3982">
        <v>3</v>
      </c>
      <c r="X3982">
        <v>0</v>
      </c>
      <c r="Y3982">
        <v>0</v>
      </c>
      <c r="Z3982">
        <v>1</v>
      </c>
    </row>
    <row r="3983" spans="1:26" x14ac:dyDescent="0.2">
      <c r="A3983" t="s">
        <v>4101</v>
      </c>
      <c r="B3983" t="s">
        <v>61</v>
      </c>
      <c r="C3983">
        <v>2019</v>
      </c>
      <c r="D3983" t="s">
        <v>45</v>
      </c>
      <c r="E3983" t="s">
        <v>28</v>
      </c>
      <c r="F3983" t="s">
        <v>26</v>
      </c>
      <c r="G3983">
        <v>39572</v>
      </c>
      <c r="H3983">
        <v>31657.600000000002</v>
      </c>
      <c r="I3983" s="13">
        <v>0</v>
      </c>
      <c r="J3983" t="s">
        <v>6207</v>
      </c>
      <c r="K3983">
        <v>1</v>
      </c>
      <c r="L3983">
        <v>0</v>
      </c>
      <c r="M3983" t="s">
        <v>0</v>
      </c>
      <c r="N3983" s="2">
        <v>0.68</v>
      </c>
      <c r="O3983" s="2">
        <v>0.32</v>
      </c>
      <c r="P3983">
        <v>14</v>
      </c>
      <c r="Q3983">
        <v>16</v>
      </c>
      <c r="R3983">
        <v>10</v>
      </c>
      <c r="S3983">
        <v>2</v>
      </c>
      <c r="T3983">
        <v>15</v>
      </c>
      <c r="U3983">
        <v>14</v>
      </c>
      <c r="V3983">
        <v>0</v>
      </c>
      <c r="W3983">
        <v>0</v>
      </c>
      <c r="X3983">
        <v>0</v>
      </c>
      <c r="Y3983">
        <v>0</v>
      </c>
      <c r="Z3983">
        <v>0</v>
      </c>
    </row>
    <row r="3984" spans="1:26" x14ac:dyDescent="0.2">
      <c r="A3984" t="s">
        <v>4102</v>
      </c>
      <c r="B3984" t="s">
        <v>37</v>
      </c>
      <c r="C3984">
        <v>2019</v>
      </c>
      <c r="D3984" t="s">
        <v>79</v>
      </c>
      <c r="E3984" t="s">
        <v>23</v>
      </c>
      <c r="F3984" t="s">
        <v>20</v>
      </c>
      <c r="G3984">
        <v>25486</v>
      </c>
      <c r="H3984">
        <v>20388.800000000003</v>
      </c>
      <c r="I3984" s="13">
        <v>0.5</v>
      </c>
      <c r="J3984" t="s">
        <v>6206</v>
      </c>
      <c r="K3984">
        <v>2</v>
      </c>
      <c r="L3984">
        <v>1</v>
      </c>
      <c r="M3984" t="s">
        <v>0</v>
      </c>
      <c r="N3984" s="2">
        <v>0.57999999999999996</v>
      </c>
      <c r="O3984" s="2">
        <v>0.42</v>
      </c>
      <c r="P3984">
        <v>11</v>
      </c>
      <c r="Q3984">
        <v>7</v>
      </c>
      <c r="R3984">
        <v>7</v>
      </c>
      <c r="S3984">
        <v>6</v>
      </c>
      <c r="T3984">
        <v>5</v>
      </c>
      <c r="U3984">
        <v>10</v>
      </c>
      <c r="V3984">
        <v>0</v>
      </c>
      <c r="W3984">
        <v>2</v>
      </c>
      <c r="X3984">
        <v>0</v>
      </c>
      <c r="Y3984">
        <v>0</v>
      </c>
      <c r="Z3984">
        <v>0</v>
      </c>
    </row>
    <row r="3985" spans="1:26" x14ac:dyDescent="0.2">
      <c r="A3985" t="s">
        <v>4103</v>
      </c>
      <c r="B3985" t="s">
        <v>68</v>
      </c>
      <c r="C3985">
        <v>2019</v>
      </c>
      <c r="D3985" t="s">
        <v>18</v>
      </c>
      <c r="E3985" t="s">
        <v>73</v>
      </c>
      <c r="F3985" t="s">
        <v>20</v>
      </c>
      <c r="G3985">
        <v>40341</v>
      </c>
      <c r="H3985">
        <v>32272.800000000003</v>
      </c>
      <c r="I3985" s="13">
        <v>0.6</v>
      </c>
      <c r="J3985" t="s">
        <v>6207</v>
      </c>
      <c r="K3985">
        <v>0</v>
      </c>
      <c r="L3985">
        <v>2</v>
      </c>
      <c r="M3985" t="s">
        <v>1</v>
      </c>
      <c r="N3985" s="2">
        <v>0.66</v>
      </c>
      <c r="O3985" s="2">
        <v>0.34</v>
      </c>
      <c r="P3985">
        <v>10</v>
      </c>
      <c r="Q3985">
        <v>12</v>
      </c>
      <c r="R3985">
        <v>8</v>
      </c>
      <c r="S3985">
        <v>1</v>
      </c>
      <c r="T3985">
        <v>10</v>
      </c>
      <c r="U3985">
        <v>9</v>
      </c>
      <c r="V3985">
        <v>3</v>
      </c>
      <c r="W3985">
        <v>2</v>
      </c>
      <c r="X3985">
        <v>0</v>
      </c>
      <c r="Y3985">
        <v>0</v>
      </c>
      <c r="Z3985">
        <v>0</v>
      </c>
    </row>
    <row r="3986" spans="1:26" x14ac:dyDescent="0.2">
      <c r="A3986" t="s">
        <v>4104</v>
      </c>
      <c r="B3986" t="s">
        <v>59</v>
      </c>
      <c r="C3986">
        <v>2019</v>
      </c>
      <c r="D3986" t="s">
        <v>86</v>
      </c>
      <c r="E3986" t="s">
        <v>46</v>
      </c>
      <c r="F3986" t="s">
        <v>86</v>
      </c>
      <c r="G3986">
        <v>11364</v>
      </c>
      <c r="H3986">
        <v>9091.2000000000007</v>
      </c>
      <c r="I3986" s="13">
        <v>0.5</v>
      </c>
      <c r="J3986" t="s">
        <v>6206</v>
      </c>
      <c r="K3986">
        <v>1</v>
      </c>
      <c r="L3986">
        <v>1</v>
      </c>
      <c r="M3986" t="s">
        <v>58</v>
      </c>
      <c r="N3986" s="2">
        <v>0.39</v>
      </c>
      <c r="O3986" s="2">
        <v>0.61</v>
      </c>
      <c r="P3986">
        <v>14</v>
      </c>
      <c r="Q3986">
        <v>5</v>
      </c>
      <c r="R3986">
        <v>8</v>
      </c>
      <c r="S3986">
        <v>3</v>
      </c>
      <c r="T3986">
        <v>5</v>
      </c>
      <c r="U3986">
        <v>13</v>
      </c>
      <c r="V3986">
        <v>4</v>
      </c>
      <c r="W3986">
        <v>4</v>
      </c>
      <c r="X3986">
        <v>0</v>
      </c>
      <c r="Y3986">
        <v>0</v>
      </c>
      <c r="Z3986">
        <v>0</v>
      </c>
    </row>
    <row r="3987" spans="1:26" x14ac:dyDescent="0.2">
      <c r="A3987" t="s">
        <v>4105</v>
      </c>
      <c r="B3987" t="s">
        <v>88</v>
      </c>
      <c r="C3987">
        <v>2019</v>
      </c>
      <c r="D3987" t="s">
        <v>42</v>
      </c>
      <c r="E3987" t="s">
        <v>69</v>
      </c>
      <c r="F3987" t="s">
        <v>38</v>
      </c>
      <c r="G3987">
        <v>42918</v>
      </c>
      <c r="H3987">
        <v>34334.400000000001</v>
      </c>
      <c r="I3987" s="13">
        <v>0.8</v>
      </c>
      <c r="J3987" t="s">
        <v>6207</v>
      </c>
      <c r="K3987">
        <v>1</v>
      </c>
      <c r="L3987">
        <v>0</v>
      </c>
      <c r="M3987" t="s">
        <v>0</v>
      </c>
      <c r="N3987" s="2">
        <v>0.43</v>
      </c>
      <c r="O3987" s="2">
        <v>0.56999999999999995</v>
      </c>
      <c r="P3987">
        <v>13</v>
      </c>
      <c r="Q3987">
        <v>15</v>
      </c>
      <c r="R3987">
        <v>5</v>
      </c>
      <c r="S3987">
        <v>8</v>
      </c>
      <c r="T3987">
        <v>15</v>
      </c>
      <c r="U3987">
        <v>12</v>
      </c>
      <c r="V3987">
        <v>2</v>
      </c>
      <c r="W3987">
        <v>3</v>
      </c>
      <c r="X3987">
        <v>0</v>
      </c>
      <c r="Y3987">
        <v>0</v>
      </c>
      <c r="Z3987">
        <v>0</v>
      </c>
    </row>
    <row r="3988" spans="1:26" x14ac:dyDescent="0.2">
      <c r="A3988" t="s">
        <v>4106</v>
      </c>
      <c r="B3988" t="s">
        <v>60</v>
      </c>
      <c r="C3988">
        <v>2019</v>
      </c>
      <c r="D3988" t="s">
        <v>48</v>
      </c>
      <c r="E3988" t="s">
        <v>64</v>
      </c>
      <c r="F3988" t="s">
        <v>49</v>
      </c>
      <c r="G3988">
        <v>74197</v>
      </c>
      <c r="H3988">
        <v>59357.600000000006</v>
      </c>
      <c r="I3988" s="13">
        <v>0.75</v>
      </c>
      <c r="J3988" t="s">
        <v>6208</v>
      </c>
      <c r="K3988">
        <v>4</v>
      </c>
      <c r="L3988">
        <v>1</v>
      </c>
      <c r="M3988" t="s">
        <v>0</v>
      </c>
      <c r="N3988" s="2">
        <v>0.73</v>
      </c>
      <c r="O3988" s="2">
        <v>0.27</v>
      </c>
      <c r="P3988">
        <v>8</v>
      </c>
      <c r="Q3988">
        <v>11</v>
      </c>
      <c r="R3988">
        <v>5</v>
      </c>
      <c r="S3988">
        <v>0</v>
      </c>
      <c r="T3988">
        <v>10</v>
      </c>
      <c r="U3988">
        <v>7</v>
      </c>
      <c r="V3988">
        <v>2</v>
      </c>
      <c r="W3988">
        <v>2</v>
      </c>
      <c r="X3988">
        <v>0</v>
      </c>
      <c r="Y3988">
        <v>0</v>
      </c>
      <c r="Z3988">
        <v>0</v>
      </c>
    </row>
    <row r="3989" spans="1:26" x14ac:dyDescent="0.2">
      <c r="A3989" t="s">
        <v>4107</v>
      </c>
      <c r="B3989" t="s">
        <v>66</v>
      </c>
      <c r="C3989">
        <v>2019</v>
      </c>
      <c r="D3989" t="s">
        <v>80</v>
      </c>
      <c r="E3989" t="s">
        <v>26</v>
      </c>
      <c r="F3989" t="s">
        <v>80</v>
      </c>
      <c r="G3989">
        <v>32261</v>
      </c>
      <c r="H3989">
        <v>25808.800000000003</v>
      </c>
      <c r="I3989" s="13">
        <v>0.5</v>
      </c>
      <c r="J3989" t="s">
        <v>6207</v>
      </c>
      <c r="K3989">
        <v>0</v>
      </c>
      <c r="L3989">
        <v>4</v>
      </c>
      <c r="M3989" t="s">
        <v>1</v>
      </c>
      <c r="N3989" s="2">
        <v>0.41</v>
      </c>
      <c r="O3989" s="2">
        <v>0.59</v>
      </c>
      <c r="P3989">
        <v>13</v>
      </c>
      <c r="Q3989">
        <v>7</v>
      </c>
      <c r="R3989">
        <v>2</v>
      </c>
      <c r="S3989">
        <v>8</v>
      </c>
      <c r="T3989">
        <v>5</v>
      </c>
      <c r="U3989">
        <v>7</v>
      </c>
      <c r="V3989">
        <v>1</v>
      </c>
      <c r="W3989">
        <v>1</v>
      </c>
      <c r="X3989">
        <v>0</v>
      </c>
      <c r="Y3989">
        <v>0</v>
      </c>
      <c r="Z3989">
        <v>1</v>
      </c>
    </row>
    <row r="3990" spans="1:26" x14ac:dyDescent="0.2">
      <c r="A3990" t="s">
        <v>4108</v>
      </c>
      <c r="B3990" t="s">
        <v>32</v>
      </c>
      <c r="C3990">
        <v>2019</v>
      </c>
      <c r="D3990" t="s">
        <v>22</v>
      </c>
      <c r="E3990" t="s">
        <v>40</v>
      </c>
      <c r="F3990" t="s">
        <v>24</v>
      </c>
      <c r="G3990">
        <v>31750</v>
      </c>
      <c r="H3990">
        <v>25400</v>
      </c>
      <c r="I3990" s="13">
        <v>1</v>
      </c>
      <c r="J3990" t="s">
        <v>6207</v>
      </c>
      <c r="K3990">
        <v>3</v>
      </c>
      <c r="L3990">
        <v>2</v>
      </c>
      <c r="M3990" t="s">
        <v>0</v>
      </c>
      <c r="N3990" s="2">
        <v>0.62</v>
      </c>
      <c r="O3990" s="2">
        <v>0.38</v>
      </c>
      <c r="P3990">
        <v>14</v>
      </c>
      <c r="Q3990">
        <v>6</v>
      </c>
      <c r="R3990">
        <v>3</v>
      </c>
      <c r="S3990">
        <v>1</v>
      </c>
      <c r="T3990">
        <v>7</v>
      </c>
      <c r="U3990">
        <v>13</v>
      </c>
      <c r="V3990">
        <v>0</v>
      </c>
      <c r="W3990">
        <v>1</v>
      </c>
      <c r="X3990">
        <v>0</v>
      </c>
      <c r="Y3990">
        <v>1</v>
      </c>
      <c r="Z3990">
        <v>1</v>
      </c>
    </row>
    <row r="3991" spans="1:26" x14ac:dyDescent="0.2">
      <c r="A3991" t="s">
        <v>4109</v>
      </c>
      <c r="B3991" t="s">
        <v>81</v>
      </c>
      <c r="C3991">
        <v>2019</v>
      </c>
      <c r="D3991" t="s">
        <v>90</v>
      </c>
      <c r="E3991" t="s">
        <v>86</v>
      </c>
      <c r="F3991" t="s">
        <v>91</v>
      </c>
      <c r="G3991">
        <v>31876</v>
      </c>
      <c r="H3991">
        <v>25500.800000000003</v>
      </c>
      <c r="I3991" s="13">
        <v>0.5</v>
      </c>
      <c r="J3991" t="s">
        <v>6207</v>
      </c>
      <c r="K3991">
        <v>2</v>
      </c>
      <c r="L3991">
        <v>0</v>
      </c>
      <c r="M3991" t="s">
        <v>0</v>
      </c>
      <c r="N3991" s="2">
        <v>0.55000000000000004</v>
      </c>
      <c r="O3991" s="2">
        <v>0.45</v>
      </c>
      <c r="P3991">
        <v>11</v>
      </c>
      <c r="Q3991">
        <v>12</v>
      </c>
      <c r="R3991">
        <v>9</v>
      </c>
      <c r="S3991">
        <v>2</v>
      </c>
      <c r="T3991">
        <v>9</v>
      </c>
      <c r="U3991">
        <v>11</v>
      </c>
      <c r="V3991">
        <v>0</v>
      </c>
      <c r="W3991">
        <v>2</v>
      </c>
      <c r="X3991">
        <v>0</v>
      </c>
      <c r="Y3991">
        <v>0</v>
      </c>
      <c r="Z3991">
        <v>0</v>
      </c>
    </row>
    <row r="3992" spans="1:26" x14ac:dyDescent="0.2">
      <c r="A3992" t="s">
        <v>4110</v>
      </c>
      <c r="B3992" t="s">
        <v>84</v>
      </c>
      <c r="C3992">
        <v>2019</v>
      </c>
      <c r="D3992" t="s">
        <v>85</v>
      </c>
      <c r="E3992" t="s">
        <v>42</v>
      </c>
      <c r="F3992" t="s">
        <v>85</v>
      </c>
      <c r="G3992">
        <v>22220</v>
      </c>
      <c r="H3992">
        <v>17776</v>
      </c>
      <c r="I3992" s="13">
        <v>0.5</v>
      </c>
      <c r="J3992" t="s">
        <v>6208</v>
      </c>
      <c r="K3992">
        <v>3</v>
      </c>
      <c r="L3992">
        <v>0</v>
      </c>
      <c r="M3992" t="s">
        <v>0</v>
      </c>
      <c r="N3992" s="2">
        <v>0.49</v>
      </c>
      <c r="O3992" s="2">
        <v>0.51</v>
      </c>
      <c r="P3992">
        <v>11</v>
      </c>
      <c r="Q3992">
        <v>17</v>
      </c>
      <c r="R3992">
        <v>6</v>
      </c>
      <c r="S3992">
        <v>3</v>
      </c>
      <c r="T3992">
        <v>16</v>
      </c>
      <c r="U3992">
        <v>9</v>
      </c>
      <c r="V3992">
        <v>4</v>
      </c>
      <c r="W3992">
        <v>1</v>
      </c>
      <c r="X3992">
        <v>1</v>
      </c>
      <c r="Y3992">
        <v>0</v>
      </c>
      <c r="Z3992">
        <v>1</v>
      </c>
    </row>
    <row r="3993" spans="1:26" x14ac:dyDescent="0.2">
      <c r="A3993" t="s">
        <v>4111</v>
      </c>
      <c r="B3993" t="s">
        <v>92</v>
      </c>
      <c r="C3993">
        <v>2019</v>
      </c>
      <c r="D3993" t="s">
        <v>73</v>
      </c>
      <c r="E3993" t="s">
        <v>79</v>
      </c>
      <c r="F3993" t="s">
        <v>73</v>
      </c>
      <c r="G3993">
        <v>32384</v>
      </c>
      <c r="H3993">
        <v>25907.200000000001</v>
      </c>
      <c r="I3993" s="13">
        <v>0.33333333333333331</v>
      </c>
      <c r="J3993" t="s">
        <v>6207</v>
      </c>
      <c r="K3993">
        <v>1</v>
      </c>
      <c r="L3993">
        <v>1</v>
      </c>
      <c r="M3993" t="s">
        <v>58</v>
      </c>
      <c r="N3993" s="2">
        <v>0.6</v>
      </c>
      <c r="O3993" s="2">
        <v>0.4</v>
      </c>
      <c r="P3993">
        <v>9</v>
      </c>
      <c r="Q3993">
        <v>15</v>
      </c>
      <c r="R3993">
        <v>12</v>
      </c>
      <c r="S3993">
        <v>4</v>
      </c>
      <c r="T3993">
        <v>13</v>
      </c>
      <c r="U3993">
        <v>7</v>
      </c>
      <c r="V3993">
        <v>1</v>
      </c>
      <c r="W3993">
        <v>2</v>
      </c>
      <c r="X3993">
        <v>0</v>
      </c>
      <c r="Y3993">
        <v>0</v>
      </c>
      <c r="Z3993">
        <v>0</v>
      </c>
    </row>
    <row r="3994" spans="1:26" x14ac:dyDescent="0.2">
      <c r="A3994" t="s">
        <v>4112</v>
      </c>
      <c r="B3994" t="s">
        <v>50</v>
      </c>
      <c r="C3994">
        <v>2019</v>
      </c>
      <c r="D3994" t="s">
        <v>64</v>
      </c>
      <c r="E3994" t="s">
        <v>45</v>
      </c>
      <c r="F3994" t="s">
        <v>64</v>
      </c>
      <c r="G3994">
        <v>52264</v>
      </c>
      <c r="H3994">
        <v>41811.200000000004</v>
      </c>
      <c r="I3994" s="13">
        <v>0.5</v>
      </c>
      <c r="J3994" t="s">
        <v>6207</v>
      </c>
      <c r="K3994">
        <v>1</v>
      </c>
      <c r="L3994">
        <v>2</v>
      </c>
      <c r="M3994" t="s">
        <v>1</v>
      </c>
      <c r="N3994" s="2">
        <v>0.42</v>
      </c>
      <c r="O3994" s="2">
        <v>0.57999999999999996</v>
      </c>
      <c r="P3994">
        <v>14</v>
      </c>
      <c r="Q3994">
        <v>15</v>
      </c>
      <c r="R3994">
        <v>5</v>
      </c>
      <c r="S3994">
        <v>8</v>
      </c>
      <c r="T3994">
        <v>13</v>
      </c>
      <c r="U3994">
        <v>13</v>
      </c>
      <c r="V3994">
        <v>2</v>
      </c>
      <c r="W3994">
        <v>2</v>
      </c>
      <c r="X3994">
        <v>0</v>
      </c>
      <c r="Y3994">
        <v>0</v>
      </c>
      <c r="Z3994">
        <v>0</v>
      </c>
    </row>
    <row r="3995" spans="1:26" x14ac:dyDescent="0.2">
      <c r="A3995" t="s">
        <v>4113</v>
      </c>
      <c r="B3995" t="s">
        <v>93</v>
      </c>
      <c r="C3995">
        <v>2019</v>
      </c>
      <c r="D3995" t="s">
        <v>23</v>
      </c>
      <c r="E3995" t="s">
        <v>80</v>
      </c>
      <c r="F3995" t="s">
        <v>20</v>
      </c>
      <c r="G3995">
        <v>62500</v>
      </c>
      <c r="H3995">
        <v>50000</v>
      </c>
      <c r="I3995" s="13">
        <v>0.8</v>
      </c>
      <c r="J3995" t="s">
        <v>6206</v>
      </c>
      <c r="K3995">
        <v>1</v>
      </c>
      <c r="L3995">
        <v>2</v>
      </c>
      <c r="M3995" t="s">
        <v>1</v>
      </c>
      <c r="N3995" s="2">
        <v>0.43</v>
      </c>
      <c r="O3995" s="2">
        <v>0.56999999999999995</v>
      </c>
      <c r="P3995">
        <v>7</v>
      </c>
      <c r="Q3995">
        <v>17</v>
      </c>
      <c r="R3995">
        <v>5</v>
      </c>
      <c r="S3995">
        <v>5</v>
      </c>
      <c r="T3995">
        <v>16</v>
      </c>
      <c r="U3995">
        <v>4</v>
      </c>
      <c r="V3995">
        <v>4</v>
      </c>
      <c r="W3995">
        <v>1</v>
      </c>
      <c r="X3995">
        <v>0</v>
      </c>
      <c r="Y3995">
        <v>0</v>
      </c>
      <c r="Z3995">
        <v>1</v>
      </c>
    </row>
    <row r="3996" spans="1:26" x14ac:dyDescent="0.2">
      <c r="A3996" t="s">
        <v>4114</v>
      </c>
      <c r="B3996" t="s">
        <v>60</v>
      </c>
      <c r="C3996">
        <v>2019</v>
      </c>
      <c r="D3996" t="s">
        <v>69</v>
      </c>
      <c r="E3996" t="s">
        <v>51</v>
      </c>
      <c r="F3996" t="s">
        <v>69</v>
      </c>
      <c r="G3996">
        <v>27359</v>
      </c>
      <c r="H3996">
        <v>21887.200000000001</v>
      </c>
      <c r="I3996" s="13">
        <v>0.83333333333333337</v>
      </c>
      <c r="J3996" t="s">
        <v>6208</v>
      </c>
      <c r="K3996">
        <v>2</v>
      </c>
      <c r="L3996">
        <v>2</v>
      </c>
      <c r="M3996" t="s">
        <v>58</v>
      </c>
      <c r="N3996" s="2">
        <v>0.41</v>
      </c>
      <c r="O3996" s="2">
        <v>0.59</v>
      </c>
      <c r="P3996">
        <v>13</v>
      </c>
      <c r="Q3996">
        <v>14</v>
      </c>
      <c r="R3996">
        <v>4</v>
      </c>
      <c r="S3996">
        <v>6</v>
      </c>
      <c r="T3996">
        <v>12</v>
      </c>
      <c r="U3996">
        <v>10</v>
      </c>
      <c r="V3996">
        <v>3</v>
      </c>
      <c r="W3996">
        <v>3</v>
      </c>
      <c r="X3996">
        <v>0</v>
      </c>
      <c r="Y3996">
        <v>0</v>
      </c>
      <c r="Z3996">
        <v>1</v>
      </c>
    </row>
    <row r="3997" spans="1:26" x14ac:dyDescent="0.2">
      <c r="A3997" t="s">
        <v>4115</v>
      </c>
      <c r="B3997" t="s">
        <v>41</v>
      </c>
      <c r="C3997">
        <v>2019</v>
      </c>
      <c r="D3997" t="s">
        <v>28</v>
      </c>
      <c r="E3997" t="s">
        <v>48</v>
      </c>
      <c r="F3997" t="s">
        <v>28</v>
      </c>
      <c r="G3997">
        <v>21944</v>
      </c>
      <c r="H3997">
        <v>17555.2</v>
      </c>
      <c r="I3997" s="13">
        <v>0.14285714285714285</v>
      </c>
      <c r="J3997" t="s">
        <v>6207</v>
      </c>
      <c r="K3997">
        <v>0</v>
      </c>
      <c r="L3997">
        <v>2</v>
      </c>
      <c r="M3997" t="s">
        <v>1</v>
      </c>
      <c r="N3997" s="2">
        <v>0.38</v>
      </c>
      <c r="O3997" s="2">
        <v>0.62</v>
      </c>
      <c r="P3997">
        <v>10</v>
      </c>
      <c r="Q3997">
        <v>25</v>
      </c>
      <c r="R3997">
        <v>5</v>
      </c>
      <c r="S3997">
        <v>4</v>
      </c>
      <c r="T3997">
        <v>17</v>
      </c>
      <c r="U3997">
        <v>10</v>
      </c>
      <c r="V3997">
        <v>4</v>
      </c>
      <c r="W3997">
        <v>3</v>
      </c>
      <c r="X3997">
        <v>0</v>
      </c>
      <c r="Y3997">
        <v>0</v>
      </c>
      <c r="Z3997">
        <v>0</v>
      </c>
    </row>
    <row r="3998" spans="1:26" x14ac:dyDescent="0.2">
      <c r="A3998" t="s">
        <v>4116</v>
      </c>
      <c r="B3998" t="s">
        <v>76</v>
      </c>
      <c r="C3998">
        <v>2019</v>
      </c>
      <c r="D3998" t="s">
        <v>46</v>
      </c>
      <c r="E3998" t="s">
        <v>18</v>
      </c>
      <c r="F3998" t="s">
        <v>20</v>
      </c>
      <c r="G3998">
        <v>60704</v>
      </c>
      <c r="H3998">
        <v>48563.200000000004</v>
      </c>
      <c r="I3998" s="13">
        <v>0.77777777777777779</v>
      </c>
      <c r="J3998" t="s">
        <v>6207</v>
      </c>
      <c r="K3998">
        <v>1</v>
      </c>
      <c r="L3998">
        <v>2</v>
      </c>
      <c r="M3998" t="s">
        <v>1</v>
      </c>
      <c r="N3998" s="2">
        <v>0.42</v>
      </c>
      <c r="O3998" s="2">
        <v>0.57999999999999996</v>
      </c>
      <c r="P3998">
        <v>20</v>
      </c>
      <c r="Q3998">
        <v>15</v>
      </c>
      <c r="R3998">
        <v>2</v>
      </c>
      <c r="S3998">
        <v>3</v>
      </c>
      <c r="T3998">
        <v>13</v>
      </c>
      <c r="U3998">
        <v>19</v>
      </c>
      <c r="V3998">
        <v>5</v>
      </c>
      <c r="W3998">
        <v>4</v>
      </c>
      <c r="X3998">
        <v>0</v>
      </c>
      <c r="Y3998">
        <v>0</v>
      </c>
      <c r="Z3998">
        <v>0</v>
      </c>
    </row>
    <row r="3999" spans="1:26" x14ac:dyDescent="0.2">
      <c r="A3999" t="s">
        <v>4117</v>
      </c>
      <c r="B3999" t="s">
        <v>61</v>
      </c>
      <c r="C3999">
        <v>2019</v>
      </c>
      <c r="D3999" t="s">
        <v>26</v>
      </c>
      <c r="E3999" t="s">
        <v>22</v>
      </c>
      <c r="F3999" t="s">
        <v>26</v>
      </c>
      <c r="G3999">
        <v>61276</v>
      </c>
      <c r="H3999">
        <v>49020.800000000003</v>
      </c>
      <c r="I3999" s="13">
        <v>0</v>
      </c>
      <c r="J3999" t="s">
        <v>6207</v>
      </c>
      <c r="K3999">
        <v>1</v>
      </c>
      <c r="L3999">
        <v>0</v>
      </c>
      <c r="M3999" t="s">
        <v>0</v>
      </c>
      <c r="N3999" s="2">
        <v>0.63</v>
      </c>
      <c r="O3999" s="2">
        <v>0.37</v>
      </c>
      <c r="P3999">
        <v>8</v>
      </c>
      <c r="Q3999">
        <v>9</v>
      </c>
      <c r="R3999">
        <v>5</v>
      </c>
      <c r="S3999">
        <v>6</v>
      </c>
      <c r="T3999">
        <v>7</v>
      </c>
      <c r="U3999">
        <v>3</v>
      </c>
      <c r="V3999">
        <v>1</v>
      </c>
      <c r="W3999">
        <v>1</v>
      </c>
      <c r="X3999">
        <v>0</v>
      </c>
      <c r="Y3999">
        <v>0</v>
      </c>
      <c r="Z3999">
        <v>0</v>
      </c>
    </row>
    <row r="4000" spans="1:26" x14ac:dyDescent="0.2">
      <c r="A4000" t="s">
        <v>4118</v>
      </c>
      <c r="B4000" t="s">
        <v>88</v>
      </c>
      <c r="C4000">
        <v>2019</v>
      </c>
      <c r="D4000" t="s">
        <v>40</v>
      </c>
      <c r="E4000" t="s">
        <v>95</v>
      </c>
      <c r="F4000" t="s">
        <v>49</v>
      </c>
      <c r="G4000">
        <v>53400</v>
      </c>
      <c r="H4000">
        <v>42720</v>
      </c>
      <c r="I4000" s="13">
        <v>1</v>
      </c>
      <c r="J4000" t="s">
        <v>6207</v>
      </c>
      <c r="K4000">
        <v>2</v>
      </c>
      <c r="L4000">
        <v>0</v>
      </c>
      <c r="M4000" t="s">
        <v>0</v>
      </c>
      <c r="N4000" s="2">
        <v>0.72</v>
      </c>
      <c r="O4000" s="2">
        <v>0.28000000000000003</v>
      </c>
      <c r="P4000">
        <v>11</v>
      </c>
      <c r="Q4000">
        <v>6</v>
      </c>
      <c r="R4000">
        <v>8</v>
      </c>
      <c r="S4000">
        <v>5</v>
      </c>
      <c r="T4000">
        <v>5</v>
      </c>
      <c r="U4000">
        <v>6</v>
      </c>
      <c r="V4000">
        <v>1</v>
      </c>
      <c r="W4000">
        <v>1</v>
      </c>
      <c r="X4000">
        <v>0</v>
      </c>
      <c r="Y4000">
        <v>0</v>
      </c>
      <c r="Z4000">
        <v>0</v>
      </c>
    </row>
    <row r="4001" spans="1:26" x14ac:dyDescent="0.2">
      <c r="A4001" t="s">
        <v>4119</v>
      </c>
      <c r="B4001" t="s">
        <v>66</v>
      </c>
      <c r="C4001">
        <v>2019</v>
      </c>
      <c r="D4001" t="s">
        <v>28</v>
      </c>
      <c r="E4001" t="s">
        <v>42</v>
      </c>
      <c r="F4001" t="s">
        <v>28</v>
      </c>
      <c r="G4001">
        <v>21944</v>
      </c>
      <c r="H4001">
        <v>17555.2</v>
      </c>
      <c r="I4001" s="13">
        <v>0</v>
      </c>
      <c r="J4001" t="s">
        <v>6207</v>
      </c>
      <c r="K4001">
        <v>1</v>
      </c>
      <c r="L4001">
        <v>2</v>
      </c>
      <c r="M4001" t="s">
        <v>1</v>
      </c>
      <c r="N4001" s="2">
        <v>0.62</v>
      </c>
      <c r="O4001" s="2">
        <v>0.38</v>
      </c>
      <c r="P4001">
        <v>10</v>
      </c>
      <c r="Q4001">
        <v>13</v>
      </c>
      <c r="R4001">
        <v>8</v>
      </c>
      <c r="S4001">
        <v>4</v>
      </c>
      <c r="T4001">
        <v>12</v>
      </c>
      <c r="U4001">
        <v>10</v>
      </c>
      <c r="V4001">
        <v>1</v>
      </c>
      <c r="W4001">
        <v>1</v>
      </c>
      <c r="X4001">
        <v>0</v>
      </c>
      <c r="Y4001">
        <v>0</v>
      </c>
      <c r="Z4001">
        <v>0</v>
      </c>
    </row>
    <row r="4002" spans="1:26" x14ac:dyDescent="0.2">
      <c r="A4002" t="s">
        <v>4120</v>
      </c>
      <c r="B4002" t="s">
        <v>59</v>
      </c>
      <c r="C4002">
        <v>2019</v>
      </c>
      <c r="D4002" t="s">
        <v>90</v>
      </c>
      <c r="E4002" t="s">
        <v>18</v>
      </c>
      <c r="F4002" t="s">
        <v>91</v>
      </c>
      <c r="G4002">
        <v>31876</v>
      </c>
      <c r="H4002">
        <v>25500.800000000003</v>
      </c>
      <c r="I4002" s="13">
        <v>0.6</v>
      </c>
      <c r="J4002" t="s">
        <v>6206</v>
      </c>
      <c r="K4002">
        <v>1</v>
      </c>
      <c r="L4002">
        <v>1</v>
      </c>
      <c r="M4002" t="s">
        <v>58</v>
      </c>
      <c r="N4002" s="2">
        <v>0.48</v>
      </c>
      <c r="O4002" s="2">
        <v>0.52</v>
      </c>
      <c r="P4002">
        <v>18</v>
      </c>
      <c r="Q4002">
        <v>8</v>
      </c>
      <c r="R4002">
        <v>5</v>
      </c>
      <c r="S4002">
        <v>3</v>
      </c>
      <c r="T4002">
        <v>8</v>
      </c>
      <c r="U4002">
        <v>15</v>
      </c>
      <c r="V4002">
        <v>2</v>
      </c>
      <c r="W4002">
        <v>3</v>
      </c>
      <c r="X4002">
        <v>0</v>
      </c>
      <c r="Y4002">
        <v>0</v>
      </c>
      <c r="Z4002">
        <v>0</v>
      </c>
    </row>
    <row r="4003" spans="1:26" x14ac:dyDescent="0.2">
      <c r="A4003" t="s">
        <v>4121</v>
      </c>
      <c r="B4003" t="s">
        <v>92</v>
      </c>
      <c r="C4003">
        <v>2019</v>
      </c>
      <c r="D4003" t="s">
        <v>85</v>
      </c>
      <c r="E4003" t="s">
        <v>22</v>
      </c>
      <c r="F4003" t="s">
        <v>85</v>
      </c>
      <c r="G4003">
        <v>22220</v>
      </c>
      <c r="H4003">
        <v>17776</v>
      </c>
      <c r="I4003" s="13">
        <v>0.4</v>
      </c>
      <c r="J4003" t="s">
        <v>6207</v>
      </c>
      <c r="K4003">
        <v>2</v>
      </c>
      <c r="L4003">
        <v>1</v>
      </c>
      <c r="M4003" t="s">
        <v>0</v>
      </c>
      <c r="N4003" s="2">
        <v>0.36</v>
      </c>
      <c r="O4003" s="2">
        <v>0.64</v>
      </c>
      <c r="P4003">
        <v>6</v>
      </c>
      <c r="Q4003">
        <v>13</v>
      </c>
      <c r="R4003">
        <v>4</v>
      </c>
      <c r="S4003">
        <v>7</v>
      </c>
      <c r="T4003">
        <v>12</v>
      </c>
      <c r="U4003">
        <v>6</v>
      </c>
      <c r="V4003">
        <v>3</v>
      </c>
      <c r="W4003">
        <v>1</v>
      </c>
      <c r="X4003">
        <v>1</v>
      </c>
      <c r="Y4003">
        <v>0</v>
      </c>
      <c r="Z4003">
        <v>0</v>
      </c>
    </row>
    <row r="4004" spans="1:26" x14ac:dyDescent="0.2">
      <c r="A4004" t="s">
        <v>4122</v>
      </c>
      <c r="B4004" t="s">
        <v>41</v>
      </c>
      <c r="C4004">
        <v>2019</v>
      </c>
      <c r="D4004" t="s">
        <v>73</v>
      </c>
      <c r="E4004" t="s">
        <v>51</v>
      </c>
      <c r="F4004" t="s">
        <v>73</v>
      </c>
      <c r="G4004">
        <v>32384</v>
      </c>
      <c r="H4004">
        <v>25907.200000000001</v>
      </c>
      <c r="I4004" s="13">
        <v>0.75</v>
      </c>
      <c r="J4004" t="s">
        <v>6207</v>
      </c>
      <c r="K4004">
        <v>1</v>
      </c>
      <c r="L4004">
        <v>0</v>
      </c>
      <c r="M4004" t="s">
        <v>0</v>
      </c>
      <c r="N4004" s="2">
        <v>0.41</v>
      </c>
      <c r="O4004" s="2">
        <v>0.59</v>
      </c>
      <c r="P4004">
        <v>10</v>
      </c>
      <c r="Q4004">
        <v>22</v>
      </c>
      <c r="R4004">
        <v>6</v>
      </c>
      <c r="S4004">
        <v>9</v>
      </c>
      <c r="T4004">
        <v>21</v>
      </c>
      <c r="U4004">
        <v>8</v>
      </c>
      <c r="V4004">
        <v>3</v>
      </c>
      <c r="W4004">
        <v>5</v>
      </c>
      <c r="X4004">
        <v>0</v>
      </c>
      <c r="Y4004">
        <v>0</v>
      </c>
      <c r="Z4004">
        <v>0</v>
      </c>
    </row>
    <row r="4005" spans="1:26" x14ac:dyDescent="0.2">
      <c r="A4005" t="s">
        <v>4123</v>
      </c>
      <c r="B4005" t="s">
        <v>32</v>
      </c>
      <c r="C4005">
        <v>2019</v>
      </c>
      <c r="D4005" t="s">
        <v>64</v>
      </c>
      <c r="E4005" t="s">
        <v>80</v>
      </c>
      <c r="F4005" t="s">
        <v>64</v>
      </c>
      <c r="G4005">
        <v>52264</v>
      </c>
      <c r="H4005">
        <v>41811.200000000004</v>
      </c>
      <c r="I4005" s="13">
        <v>1</v>
      </c>
      <c r="J4005" t="s">
        <v>6207</v>
      </c>
      <c r="K4005">
        <v>0</v>
      </c>
      <c r="L4005">
        <v>3</v>
      </c>
      <c r="M4005" t="s">
        <v>1</v>
      </c>
      <c r="N4005" s="2">
        <v>0.23</v>
      </c>
      <c r="O4005" s="2">
        <v>0.77</v>
      </c>
      <c r="P4005">
        <v>15</v>
      </c>
      <c r="Q4005">
        <v>8</v>
      </c>
      <c r="R4005">
        <v>4</v>
      </c>
      <c r="S4005">
        <v>5</v>
      </c>
      <c r="T4005">
        <v>8</v>
      </c>
      <c r="U4005">
        <v>12</v>
      </c>
      <c r="V4005">
        <v>1</v>
      </c>
      <c r="W4005">
        <v>1</v>
      </c>
      <c r="X4005">
        <v>0</v>
      </c>
      <c r="Y4005">
        <v>0</v>
      </c>
      <c r="Z4005">
        <v>0</v>
      </c>
    </row>
    <row r="4006" spans="1:26" x14ac:dyDescent="0.2">
      <c r="A4006" t="s">
        <v>4124</v>
      </c>
      <c r="B4006" t="s">
        <v>83</v>
      </c>
      <c r="C4006">
        <v>2019</v>
      </c>
      <c r="D4006" t="s">
        <v>23</v>
      </c>
      <c r="E4006" t="s">
        <v>86</v>
      </c>
      <c r="F4006" t="s">
        <v>20</v>
      </c>
      <c r="G4006">
        <v>62500</v>
      </c>
      <c r="H4006">
        <v>50000</v>
      </c>
      <c r="I4006" s="13">
        <v>0.33333333333333331</v>
      </c>
      <c r="J4006" t="s">
        <v>6208</v>
      </c>
      <c r="K4006">
        <v>4</v>
      </c>
      <c r="L4006">
        <v>0</v>
      </c>
      <c r="M4006" t="s">
        <v>0</v>
      </c>
      <c r="N4006" s="2">
        <v>0.43</v>
      </c>
      <c r="O4006" s="2">
        <v>0.56999999999999995</v>
      </c>
      <c r="P4006">
        <v>14</v>
      </c>
      <c r="Q4006">
        <v>4</v>
      </c>
      <c r="R4006">
        <v>9</v>
      </c>
      <c r="S4006">
        <v>2</v>
      </c>
      <c r="T4006">
        <v>3</v>
      </c>
      <c r="U4006">
        <v>12</v>
      </c>
      <c r="V4006">
        <v>1</v>
      </c>
      <c r="W4006">
        <v>2</v>
      </c>
      <c r="X4006">
        <v>0</v>
      </c>
      <c r="Y4006">
        <v>0</v>
      </c>
      <c r="Z4006">
        <v>1</v>
      </c>
    </row>
    <row r="4007" spans="1:26" x14ac:dyDescent="0.2">
      <c r="A4007" t="s">
        <v>4125</v>
      </c>
      <c r="B4007" t="s">
        <v>68</v>
      </c>
      <c r="C4007">
        <v>2019</v>
      </c>
      <c r="D4007" t="s">
        <v>69</v>
      </c>
      <c r="E4007" t="s">
        <v>79</v>
      </c>
      <c r="F4007" t="s">
        <v>69</v>
      </c>
      <c r="G4007">
        <v>27359</v>
      </c>
      <c r="H4007">
        <v>21887.200000000001</v>
      </c>
      <c r="I4007" s="13">
        <v>0.6</v>
      </c>
      <c r="J4007" t="s">
        <v>6207</v>
      </c>
      <c r="K4007">
        <v>1</v>
      </c>
      <c r="L4007">
        <v>1</v>
      </c>
      <c r="M4007" t="s">
        <v>58</v>
      </c>
      <c r="N4007" s="2">
        <v>0.41</v>
      </c>
      <c r="O4007" s="2">
        <v>0.59</v>
      </c>
      <c r="P4007">
        <v>10</v>
      </c>
      <c r="Q4007">
        <v>14</v>
      </c>
      <c r="R4007">
        <v>2</v>
      </c>
      <c r="S4007">
        <v>5</v>
      </c>
      <c r="T4007">
        <v>12</v>
      </c>
      <c r="U4007">
        <v>9</v>
      </c>
      <c r="V4007">
        <v>5</v>
      </c>
      <c r="W4007">
        <v>0</v>
      </c>
      <c r="X4007">
        <v>0</v>
      </c>
      <c r="Y4007">
        <v>0</v>
      </c>
      <c r="Z4007">
        <v>0</v>
      </c>
    </row>
    <row r="4008" spans="1:26" x14ac:dyDescent="0.2">
      <c r="A4008" t="s">
        <v>4126</v>
      </c>
      <c r="B4008" t="s">
        <v>37</v>
      </c>
      <c r="C4008">
        <v>2019</v>
      </c>
      <c r="D4008" t="s">
        <v>40</v>
      </c>
      <c r="E4008" t="s">
        <v>45</v>
      </c>
      <c r="F4008" t="s">
        <v>49</v>
      </c>
      <c r="G4008">
        <v>53400</v>
      </c>
      <c r="H4008">
        <v>42720</v>
      </c>
      <c r="I4008" s="13">
        <v>0.25</v>
      </c>
      <c r="J4008" t="s">
        <v>6206</v>
      </c>
      <c r="K4008">
        <v>2</v>
      </c>
      <c r="L4008">
        <v>1</v>
      </c>
      <c r="M4008" t="s">
        <v>0</v>
      </c>
      <c r="N4008" s="2">
        <v>0.65</v>
      </c>
      <c r="O4008" s="2">
        <v>0.35</v>
      </c>
      <c r="P4008">
        <v>13</v>
      </c>
      <c r="Q4008">
        <v>14</v>
      </c>
      <c r="R4008">
        <v>3</v>
      </c>
      <c r="S4008">
        <v>6</v>
      </c>
      <c r="T4008">
        <v>11</v>
      </c>
      <c r="U4008">
        <v>11</v>
      </c>
      <c r="V4008">
        <v>0</v>
      </c>
      <c r="W4008">
        <v>4</v>
      </c>
      <c r="X4008">
        <v>0</v>
      </c>
      <c r="Y4008">
        <v>0</v>
      </c>
      <c r="Z4008">
        <v>0</v>
      </c>
    </row>
    <row r="4009" spans="1:26" x14ac:dyDescent="0.2">
      <c r="A4009" t="s">
        <v>4127</v>
      </c>
      <c r="B4009" t="s">
        <v>88</v>
      </c>
      <c r="C4009">
        <v>2019</v>
      </c>
      <c r="D4009" t="s">
        <v>46</v>
      </c>
      <c r="E4009" t="s">
        <v>48</v>
      </c>
      <c r="F4009" t="s">
        <v>20</v>
      </c>
      <c r="G4009">
        <v>60704</v>
      </c>
      <c r="H4009">
        <v>48563.200000000004</v>
      </c>
      <c r="I4009" s="13">
        <v>0.5</v>
      </c>
      <c r="J4009" t="s">
        <v>6207</v>
      </c>
      <c r="K4009">
        <v>2</v>
      </c>
      <c r="L4009">
        <v>0</v>
      </c>
      <c r="M4009" t="s">
        <v>0</v>
      </c>
      <c r="N4009" s="2">
        <v>0.49</v>
      </c>
      <c r="O4009" s="2">
        <v>0.51</v>
      </c>
      <c r="P4009">
        <v>15</v>
      </c>
      <c r="Q4009">
        <v>11</v>
      </c>
      <c r="R4009">
        <v>1</v>
      </c>
      <c r="S4009">
        <v>4</v>
      </c>
      <c r="T4009">
        <v>11</v>
      </c>
      <c r="U4009">
        <v>15</v>
      </c>
      <c r="V4009">
        <v>2</v>
      </c>
      <c r="W4009">
        <v>0</v>
      </c>
      <c r="X4009">
        <v>0</v>
      </c>
      <c r="Y4009">
        <v>0</v>
      </c>
      <c r="Z4009">
        <v>0</v>
      </c>
    </row>
    <row r="4010" spans="1:26" x14ac:dyDescent="0.2">
      <c r="A4010" t="s">
        <v>4128</v>
      </c>
      <c r="B4010" t="s">
        <v>81</v>
      </c>
      <c r="C4010">
        <v>2019</v>
      </c>
      <c r="D4010" t="s">
        <v>26</v>
      </c>
      <c r="E4010" t="s">
        <v>95</v>
      </c>
      <c r="F4010" t="s">
        <v>26</v>
      </c>
      <c r="G4010">
        <v>61276</v>
      </c>
      <c r="H4010">
        <v>49020.800000000003</v>
      </c>
      <c r="I4010" s="13">
        <v>0</v>
      </c>
      <c r="J4010" t="s">
        <v>6207</v>
      </c>
      <c r="K4010">
        <v>2</v>
      </c>
      <c r="L4010">
        <v>0</v>
      </c>
      <c r="M4010" t="s">
        <v>0</v>
      </c>
      <c r="N4010" s="2">
        <v>0.75</v>
      </c>
      <c r="O4010" s="2">
        <v>0.25</v>
      </c>
      <c r="P4010">
        <v>11</v>
      </c>
      <c r="Q4010">
        <v>6</v>
      </c>
      <c r="R4010">
        <v>8</v>
      </c>
      <c r="S4010">
        <v>4</v>
      </c>
      <c r="T4010">
        <v>5</v>
      </c>
      <c r="U4010">
        <v>8</v>
      </c>
      <c r="V4010">
        <v>0</v>
      </c>
      <c r="W4010">
        <v>0</v>
      </c>
      <c r="X4010">
        <v>0</v>
      </c>
      <c r="Y4010">
        <v>0</v>
      </c>
      <c r="Z4010">
        <v>0</v>
      </c>
    </row>
    <row r="4011" spans="1:26" x14ac:dyDescent="0.2">
      <c r="A4011" t="s">
        <v>4129</v>
      </c>
      <c r="B4011" t="s">
        <v>66</v>
      </c>
      <c r="C4011">
        <v>2019</v>
      </c>
      <c r="D4011" t="s">
        <v>95</v>
      </c>
      <c r="E4011" t="s">
        <v>23</v>
      </c>
      <c r="F4011" t="s">
        <v>57</v>
      </c>
      <c r="G4011">
        <v>32050</v>
      </c>
      <c r="H4011">
        <v>25640</v>
      </c>
      <c r="I4011" s="13">
        <v>1</v>
      </c>
      <c r="J4011" t="s">
        <v>6207</v>
      </c>
      <c r="K4011">
        <v>1</v>
      </c>
      <c r="L4011">
        <v>0</v>
      </c>
      <c r="M4011" t="s">
        <v>0</v>
      </c>
      <c r="N4011" s="2">
        <v>0.47</v>
      </c>
      <c r="O4011" s="2">
        <v>0.53</v>
      </c>
      <c r="P4011">
        <v>6</v>
      </c>
      <c r="Q4011">
        <v>14</v>
      </c>
      <c r="R4011">
        <v>7</v>
      </c>
      <c r="S4011">
        <v>3</v>
      </c>
      <c r="T4011">
        <v>11</v>
      </c>
      <c r="U4011">
        <v>6</v>
      </c>
      <c r="V4011">
        <v>1</v>
      </c>
      <c r="W4011">
        <v>0</v>
      </c>
      <c r="X4011">
        <v>0</v>
      </c>
      <c r="Y4011">
        <v>0</v>
      </c>
      <c r="Z4011">
        <v>0</v>
      </c>
    </row>
    <row r="4012" spans="1:26" x14ac:dyDescent="0.2">
      <c r="A4012" t="s">
        <v>4130</v>
      </c>
      <c r="B4012" t="s">
        <v>81</v>
      </c>
      <c r="C4012">
        <v>2019</v>
      </c>
      <c r="D4012" t="s">
        <v>79</v>
      </c>
      <c r="E4012" t="s">
        <v>46</v>
      </c>
      <c r="F4012" t="s">
        <v>20</v>
      </c>
      <c r="G4012">
        <v>25486</v>
      </c>
      <c r="H4012">
        <v>20388.800000000003</v>
      </c>
      <c r="I4012" s="13">
        <v>0.66666666666666663</v>
      </c>
      <c r="J4012" t="s">
        <v>6207</v>
      </c>
      <c r="K4012">
        <v>1</v>
      </c>
      <c r="L4012">
        <v>1</v>
      </c>
      <c r="M4012" t="s">
        <v>58</v>
      </c>
      <c r="N4012" s="2">
        <v>0.42</v>
      </c>
      <c r="O4012" s="2">
        <v>0.57999999999999996</v>
      </c>
      <c r="P4012">
        <v>23</v>
      </c>
      <c r="Q4012">
        <v>17</v>
      </c>
      <c r="R4012">
        <v>1</v>
      </c>
      <c r="S4012">
        <v>4</v>
      </c>
      <c r="T4012">
        <v>14</v>
      </c>
      <c r="U4012">
        <v>21</v>
      </c>
      <c r="V4012">
        <v>2</v>
      </c>
      <c r="W4012">
        <v>3</v>
      </c>
      <c r="X4012">
        <v>0</v>
      </c>
      <c r="Y4012">
        <v>1</v>
      </c>
      <c r="Z4012">
        <v>0</v>
      </c>
    </row>
    <row r="4013" spans="1:26" x14ac:dyDescent="0.2">
      <c r="A4013" t="s">
        <v>4131</v>
      </c>
      <c r="B4013" t="s">
        <v>97</v>
      </c>
      <c r="C4013">
        <v>2019</v>
      </c>
      <c r="D4013" t="s">
        <v>22</v>
      </c>
      <c r="E4013" t="s">
        <v>64</v>
      </c>
      <c r="F4013" t="s">
        <v>24</v>
      </c>
      <c r="G4013">
        <v>31750</v>
      </c>
      <c r="H4013">
        <v>25400</v>
      </c>
      <c r="I4013" s="13">
        <v>0.66666666666666663</v>
      </c>
      <c r="J4013" t="s">
        <v>6207</v>
      </c>
      <c r="K4013">
        <v>1</v>
      </c>
      <c r="L4013">
        <v>1</v>
      </c>
      <c r="M4013" t="s">
        <v>58</v>
      </c>
      <c r="N4013" s="2">
        <v>0.65</v>
      </c>
      <c r="O4013" s="2">
        <v>0.35</v>
      </c>
      <c r="P4013">
        <v>13</v>
      </c>
      <c r="Q4013">
        <v>14</v>
      </c>
      <c r="R4013">
        <v>5</v>
      </c>
      <c r="S4013">
        <v>2</v>
      </c>
      <c r="T4013">
        <v>13</v>
      </c>
      <c r="U4013">
        <v>12</v>
      </c>
      <c r="V4013">
        <v>0</v>
      </c>
      <c r="W4013">
        <v>3</v>
      </c>
      <c r="X4013">
        <v>0</v>
      </c>
      <c r="Y4013">
        <v>0</v>
      </c>
      <c r="Z4013">
        <v>0</v>
      </c>
    </row>
    <row r="4014" spans="1:26" x14ac:dyDescent="0.2">
      <c r="A4014" t="s">
        <v>4132</v>
      </c>
      <c r="B4014" t="s">
        <v>61</v>
      </c>
      <c r="C4014">
        <v>2019</v>
      </c>
      <c r="D4014" t="s">
        <v>48</v>
      </c>
      <c r="E4014" t="s">
        <v>69</v>
      </c>
      <c r="F4014" t="s">
        <v>49</v>
      </c>
      <c r="G4014">
        <v>74197</v>
      </c>
      <c r="H4014">
        <v>59357.600000000006</v>
      </c>
      <c r="I4014" s="13">
        <v>0</v>
      </c>
      <c r="J4014" t="s">
        <v>6207</v>
      </c>
      <c r="K4014">
        <v>4</v>
      </c>
      <c r="L4014">
        <v>0</v>
      </c>
      <c r="M4014" t="s">
        <v>0</v>
      </c>
      <c r="N4014" s="2">
        <v>0.6</v>
      </c>
      <c r="O4014" s="2">
        <v>0.4</v>
      </c>
      <c r="P4014">
        <v>6</v>
      </c>
      <c r="Q4014">
        <v>20</v>
      </c>
      <c r="R4014">
        <v>4</v>
      </c>
      <c r="S4014">
        <v>2</v>
      </c>
      <c r="T4014">
        <v>18</v>
      </c>
      <c r="U4014">
        <v>7</v>
      </c>
      <c r="V4014">
        <v>0</v>
      </c>
      <c r="W4014">
        <v>0</v>
      </c>
      <c r="X4014">
        <v>0</v>
      </c>
      <c r="Y4014">
        <v>0</v>
      </c>
      <c r="Z4014">
        <v>1</v>
      </c>
    </row>
    <row r="4015" spans="1:26" x14ac:dyDescent="0.2">
      <c r="A4015" t="s">
        <v>4133</v>
      </c>
      <c r="B4015" t="s">
        <v>50</v>
      </c>
      <c r="C4015">
        <v>2019</v>
      </c>
      <c r="D4015" t="s">
        <v>80</v>
      </c>
      <c r="E4015" t="s">
        <v>73</v>
      </c>
      <c r="F4015" t="s">
        <v>80</v>
      </c>
      <c r="G4015">
        <v>32261</v>
      </c>
      <c r="H4015">
        <v>25808.800000000003</v>
      </c>
      <c r="I4015" s="13">
        <v>0.33333333333333331</v>
      </c>
      <c r="J4015" t="s">
        <v>6207</v>
      </c>
      <c r="K4015">
        <v>1</v>
      </c>
      <c r="L4015">
        <v>2</v>
      </c>
      <c r="M4015" t="s">
        <v>1</v>
      </c>
      <c r="N4015" s="2">
        <v>0.57999999999999996</v>
      </c>
      <c r="O4015" s="2">
        <v>0.42</v>
      </c>
      <c r="P4015">
        <v>18</v>
      </c>
      <c r="Q4015">
        <v>13</v>
      </c>
      <c r="R4015">
        <v>2</v>
      </c>
      <c r="S4015">
        <v>4</v>
      </c>
      <c r="T4015">
        <v>9</v>
      </c>
      <c r="U4015">
        <v>17</v>
      </c>
      <c r="V4015">
        <v>0</v>
      </c>
      <c r="W4015">
        <v>3</v>
      </c>
      <c r="X4015">
        <v>0</v>
      </c>
      <c r="Y4015">
        <v>0</v>
      </c>
      <c r="Z4015">
        <v>0</v>
      </c>
    </row>
    <row r="4016" spans="1:26" x14ac:dyDescent="0.2">
      <c r="A4016" t="s">
        <v>4134</v>
      </c>
      <c r="B4016" t="s">
        <v>93</v>
      </c>
      <c r="C4016">
        <v>2019</v>
      </c>
      <c r="D4016" t="s">
        <v>45</v>
      </c>
      <c r="E4016" t="s">
        <v>90</v>
      </c>
      <c r="F4016" t="s">
        <v>26</v>
      </c>
      <c r="G4016">
        <v>39572</v>
      </c>
      <c r="H4016">
        <v>31657.600000000002</v>
      </c>
      <c r="I4016" s="13">
        <v>0.33333333333333331</v>
      </c>
      <c r="J4016" t="s">
        <v>6206</v>
      </c>
      <c r="K4016">
        <v>1</v>
      </c>
      <c r="L4016">
        <v>0</v>
      </c>
      <c r="M4016" t="s">
        <v>0</v>
      </c>
      <c r="N4016" s="2">
        <v>0.53</v>
      </c>
      <c r="O4016" s="2">
        <v>0.47</v>
      </c>
      <c r="P4016">
        <v>9</v>
      </c>
      <c r="Q4016">
        <v>9</v>
      </c>
      <c r="R4016">
        <v>4</v>
      </c>
      <c r="S4016">
        <v>3</v>
      </c>
      <c r="T4016">
        <v>7</v>
      </c>
      <c r="U4016">
        <v>7</v>
      </c>
      <c r="V4016">
        <v>2</v>
      </c>
      <c r="W4016">
        <v>1</v>
      </c>
      <c r="X4016">
        <v>0</v>
      </c>
      <c r="Y4016">
        <v>0</v>
      </c>
      <c r="Z4016">
        <v>0</v>
      </c>
    </row>
    <row r="4017" spans="1:26" x14ac:dyDescent="0.2">
      <c r="A4017" t="s">
        <v>4135</v>
      </c>
      <c r="B4017" t="s">
        <v>60</v>
      </c>
      <c r="C4017">
        <v>2019</v>
      </c>
      <c r="D4017" t="s">
        <v>18</v>
      </c>
      <c r="E4017" t="s">
        <v>28</v>
      </c>
      <c r="F4017" t="s">
        <v>20</v>
      </c>
      <c r="G4017">
        <v>40341</v>
      </c>
      <c r="H4017">
        <v>32272.800000000003</v>
      </c>
      <c r="I4017" s="13">
        <v>0</v>
      </c>
      <c r="J4017" t="s">
        <v>6208</v>
      </c>
      <c r="K4017">
        <v>3</v>
      </c>
      <c r="L4017">
        <v>0</v>
      </c>
      <c r="M4017" t="s">
        <v>0</v>
      </c>
      <c r="N4017" s="2">
        <v>0.65</v>
      </c>
      <c r="O4017" s="2">
        <v>0.35</v>
      </c>
      <c r="P4017">
        <v>9</v>
      </c>
      <c r="Q4017">
        <v>13</v>
      </c>
      <c r="R4017">
        <v>10</v>
      </c>
      <c r="S4017">
        <v>3</v>
      </c>
      <c r="T4017">
        <v>7</v>
      </c>
      <c r="U4017">
        <v>4</v>
      </c>
      <c r="V4017">
        <v>0</v>
      </c>
      <c r="W4017">
        <v>3</v>
      </c>
      <c r="X4017">
        <v>0</v>
      </c>
      <c r="Y4017">
        <v>0</v>
      </c>
      <c r="Z4017">
        <v>1</v>
      </c>
    </row>
    <row r="4018" spans="1:26" x14ac:dyDescent="0.2">
      <c r="A4018" t="s">
        <v>4136</v>
      </c>
      <c r="B4018" t="s">
        <v>32</v>
      </c>
      <c r="C4018">
        <v>2019</v>
      </c>
      <c r="D4018" t="s">
        <v>51</v>
      </c>
      <c r="E4018" t="s">
        <v>26</v>
      </c>
      <c r="F4018" t="s">
        <v>20</v>
      </c>
      <c r="G4018">
        <v>36284</v>
      </c>
      <c r="H4018">
        <v>29027.200000000001</v>
      </c>
      <c r="I4018" s="13">
        <v>0.5</v>
      </c>
      <c r="J4018" t="s">
        <v>6207</v>
      </c>
      <c r="K4018">
        <v>0</v>
      </c>
      <c r="L4018">
        <v>1</v>
      </c>
      <c r="M4018" t="s">
        <v>1</v>
      </c>
      <c r="N4018" s="2">
        <v>0.33</v>
      </c>
      <c r="O4018" s="2">
        <v>0.67</v>
      </c>
      <c r="P4018">
        <v>10</v>
      </c>
      <c r="Q4018">
        <v>6</v>
      </c>
      <c r="R4018">
        <v>4</v>
      </c>
      <c r="S4018">
        <v>3</v>
      </c>
      <c r="T4018">
        <v>4</v>
      </c>
      <c r="U4018">
        <v>8</v>
      </c>
      <c r="V4018">
        <v>0</v>
      </c>
      <c r="W4018">
        <v>2</v>
      </c>
      <c r="X4018">
        <v>0</v>
      </c>
      <c r="Y4018">
        <v>0</v>
      </c>
      <c r="Z4018">
        <v>0</v>
      </c>
    </row>
    <row r="4019" spans="1:26" x14ac:dyDescent="0.2">
      <c r="A4019" t="s">
        <v>4137</v>
      </c>
      <c r="B4019" t="s">
        <v>41</v>
      </c>
      <c r="C4019">
        <v>2019</v>
      </c>
      <c r="D4019" t="s">
        <v>86</v>
      </c>
      <c r="E4019" t="s">
        <v>85</v>
      </c>
      <c r="F4019" t="s">
        <v>86</v>
      </c>
      <c r="G4019">
        <v>11364</v>
      </c>
      <c r="H4019">
        <v>9091.2000000000007</v>
      </c>
      <c r="I4019" s="13">
        <v>0</v>
      </c>
      <c r="J4019" t="s">
        <v>6207</v>
      </c>
      <c r="K4019">
        <v>0</v>
      </c>
      <c r="L4019">
        <v>3</v>
      </c>
      <c r="M4019" t="s">
        <v>1</v>
      </c>
      <c r="N4019" s="2">
        <v>0.56000000000000005</v>
      </c>
      <c r="O4019" s="2">
        <v>0.44</v>
      </c>
      <c r="P4019">
        <v>18</v>
      </c>
      <c r="Q4019">
        <v>3</v>
      </c>
      <c r="R4019">
        <v>5</v>
      </c>
      <c r="S4019">
        <v>5</v>
      </c>
      <c r="T4019">
        <v>3</v>
      </c>
      <c r="U4019">
        <v>13</v>
      </c>
      <c r="V4019">
        <v>1</v>
      </c>
      <c r="W4019">
        <v>1</v>
      </c>
      <c r="X4019">
        <v>0</v>
      </c>
      <c r="Y4019">
        <v>0</v>
      </c>
      <c r="Z4019">
        <v>0</v>
      </c>
    </row>
    <row r="4020" spans="1:26" x14ac:dyDescent="0.2">
      <c r="A4020" t="s">
        <v>4138</v>
      </c>
      <c r="B4020" t="s">
        <v>68</v>
      </c>
      <c r="C4020">
        <v>2019</v>
      </c>
      <c r="D4020" t="s">
        <v>42</v>
      </c>
      <c r="E4020" t="s">
        <v>40</v>
      </c>
      <c r="F4020" t="s">
        <v>38</v>
      </c>
      <c r="G4020">
        <v>42918</v>
      </c>
      <c r="H4020">
        <v>34334.400000000001</v>
      </c>
      <c r="I4020" s="13">
        <v>0.33333333333333331</v>
      </c>
      <c r="J4020" t="s">
        <v>6207</v>
      </c>
      <c r="K4020">
        <v>1</v>
      </c>
      <c r="L4020">
        <v>6</v>
      </c>
      <c r="M4020" t="s">
        <v>1</v>
      </c>
      <c r="N4020" s="2">
        <v>0.28999999999999998</v>
      </c>
      <c r="O4020" s="2">
        <v>0.71</v>
      </c>
      <c r="P4020">
        <v>11</v>
      </c>
      <c r="Q4020">
        <v>6</v>
      </c>
      <c r="R4020">
        <v>2</v>
      </c>
      <c r="S4020">
        <v>4</v>
      </c>
      <c r="T4020">
        <v>5</v>
      </c>
      <c r="U4020">
        <v>12</v>
      </c>
      <c r="V4020">
        <v>2</v>
      </c>
      <c r="W4020">
        <v>1</v>
      </c>
      <c r="X4020">
        <v>0</v>
      </c>
      <c r="Y4020">
        <v>0</v>
      </c>
      <c r="Z4020">
        <v>1</v>
      </c>
    </row>
    <row r="4021" spans="1:26" x14ac:dyDescent="0.2">
      <c r="A4021" t="s">
        <v>4139</v>
      </c>
      <c r="B4021" t="s">
        <v>66</v>
      </c>
      <c r="C4021">
        <v>2019</v>
      </c>
      <c r="D4021" t="s">
        <v>85</v>
      </c>
      <c r="E4021" t="s">
        <v>51</v>
      </c>
      <c r="F4021" t="s">
        <v>85</v>
      </c>
      <c r="G4021">
        <v>22220</v>
      </c>
      <c r="H4021">
        <v>17776</v>
      </c>
      <c r="I4021" s="13">
        <v>0.6</v>
      </c>
      <c r="J4021" t="s">
        <v>6207</v>
      </c>
      <c r="K4021">
        <v>0</v>
      </c>
      <c r="L4021">
        <v>0</v>
      </c>
      <c r="M4021" t="s">
        <v>58</v>
      </c>
      <c r="N4021" s="2">
        <v>0.42</v>
      </c>
      <c r="O4021" s="2">
        <v>0.57999999999999996</v>
      </c>
      <c r="P4021">
        <v>15</v>
      </c>
      <c r="Q4021">
        <v>15</v>
      </c>
      <c r="R4021">
        <v>3</v>
      </c>
      <c r="S4021">
        <v>3</v>
      </c>
      <c r="T4021">
        <v>13</v>
      </c>
      <c r="U4021">
        <v>13</v>
      </c>
      <c r="V4021">
        <v>2</v>
      </c>
      <c r="W4021">
        <v>3</v>
      </c>
      <c r="X4021">
        <v>0</v>
      </c>
      <c r="Y4021">
        <v>0</v>
      </c>
      <c r="Z4021">
        <v>1</v>
      </c>
    </row>
    <row r="4022" spans="1:26" x14ac:dyDescent="0.2">
      <c r="A4022" t="s">
        <v>4140</v>
      </c>
      <c r="B4022" t="s">
        <v>37</v>
      </c>
      <c r="C4022">
        <v>2019</v>
      </c>
      <c r="D4022" t="s">
        <v>23</v>
      </c>
      <c r="E4022" t="s">
        <v>45</v>
      </c>
      <c r="F4022" t="s">
        <v>20</v>
      </c>
      <c r="G4022">
        <v>62500</v>
      </c>
      <c r="H4022">
        <v>50000</v>
      </c>
      <c r="I4022" s="13">
        <v>1</v>
      </c>
      <c r="J4022" t="s">
        <v>6206</v>
      </c>
      <c r="K4022">
        <v>1</v>
      </c>
      <c r="L4022">
        <v>1</v>
      </c>
      <c r="M4022" t="s">
        <v>58</v>
      </c>
      <c r="N4022" s="2">
        <v>0.49</v>
      </c>
      <c r="O4022" s="2">
        <v>0.51</v>
      </c>
      <c r="P4022">
        <v>14</v>
      </c>
      <c r="Q4022">
        <v>14</v>
      </c>
      <c r="R4022">
        <v>7</v>
      </c>
      <c r="S4022">
        <v>6</v>
      </c>
      <c r="T4022">
        <v>11</v>
      </c>
      <c r="U4022">
        <v>13</v>
      </c>
      <c r="V4022">
        <v>1</v>
      </c>
      <c r="W4022">
        <v>0</v>
      </c>
      <c r="X4022">
        <v>0</v>
      </c>
      <c r="Y4022">
        <v>0</v>
      </c>
      <c r="Z4022">
        <v>0</v>
      </c>
    </row>
    <row r="4023" spans="1:26" x14ac:dyDescent="0.2">
      <c r="A4023" t="s">
        <v>4141</v>
      </c>
      <c r="B4023" t="s">
        <v>100</v>
      </c>
      <c r="C4023">
        <v>2019</v>
      </c>
      <c r="D4023" t="s">
        <v>73</v>
      </c>
      <c r="E4023" t="s">
        <v>22</v>
      </c>
      <c r="F4023" t="s">
        <v>73</v>
      </c>
      <c r="G4023">
        <v>32384</v>
      </c>
      <c r="H4023">
        <v>25907.200000000001</v>
      </c>
      <c r="I4023" s="13">
        <v>0.66666666666666663</v>
      </c>
      <c r="J4023" t="s">
        <v>6207</v>
      </c>
      <c r="K4023">
        <v>2</v>
      </c>
      <c r="L4023">
        <v>3</v>
      </c>
      <c r="M4023" t="s">
        <v>1</v>
      </c>
      <c r="N4023" s="2">
        <v>0.53</v>
      </c>
      <c r="O4023" s="2">
        <v>0.47</v>
      </c>
      <c r="P4023">
        <v>14</v>
      </c>
      <c r="Q4023">
        <v>14</v>
      </c>
      <c r="R4023">
        <v>1</v>
      </c>
      <c r="S4023">
        <v>3</v>
      </c>
      <c r="T4023">
        <v>13</v>
      </c>
      <c r="U4023">
        <v>12</v>
      </c>
      <c r="V4023">
        <v>2</v>
      </c>
      <c r="W4023">
        <v>1</v>
      </c>
      <c r="X4023">
        <v>0</v>
      </c>
      <c r="Y4023">
        <v>0</v>
      </c>
      <c r="Z4023">
        <v>1</v>
      </c>
    </row>
    <row r="4024" spans="1:26" x14ac:dyDescent="0.2">
      <c r="A4024" t="s">
        <v>4142</v>
      </c>
      <c r="B4024" t="s">
        <v>81</v>
      </c>
      <c r="C4024">
        <v>2019</v>
      </c>
      <c r="D4024" t="s">
        <v>69</v>
      </c>
      <c r="E4024" t="s">
        <v>86</v>
      </c>
      <c r="F4024" t="s">
        <v>69</v>
      </c>
      <c r="G4024">
        <v>27359</v>
      </c>
      <c r="H4024">
        <v>21887.200000000001</v>
      </c>
      <c r="I4024" s="13">
        <v>0.33333333333333331</v>
      </c>
      <c r="J4024" t="s">
        <v>6207</v>
      </c>
      <c r="K4024">
        <v>1</v>
      </c>
      <c r="L4024">
        <v>0</v>
      </c>
      <c r="M4024" t="s">
        <v>0</v>
      </c>
      <c r="N4024" s="2">
        <v>0.66</v>
      </c>
      <c r="O4024" s="2">
        <v>0.34</v>
      </c>
      <c r="P4024">
        <v>12</v>
      </c>
      <c r="Q4024">
        <v>10</v>
      </c>
      <c r="R4024">
        <v>4</v>
      </c>
      <c r="S4024">
        <v>5</v>
      </c>
      <c r="T4024">
        <v>10</v>
      </c>
      <c r="U4024">
        <v>10</v>
      </c>
      <c r="V4024">
        <v>2</v>
      </c>
      <c r="W4024">
        <v>2</v>
      </c>
      <c r="X4024">
        <v>1</v>
      </c>
      <c r="Y4024">
        <v>1</v>
      </c>
      <c r="Z4024">
        <v>1</v>
      </c>
    </row>
    <row r="4025" spans="1:26" x14ac:dyDescent="0.2">
      <c r="A4025" t="s">
        <v>4143</v>
      </c>
      <c r="B4025" t="s">
        <v>83</v>
      </c>
      <c r="C4025">
        <v>2019</v>
      </c>
      <c r="D4025" t="s">
        <v>40</v>
      </c>
      <c r="E4025" t="s">
        <v>79</v>
      </c>
      <c r="F4025" t="s">
        <v>49</v>
      </c>
      <c r="G4025">
        <v>53400</v>
      </c>
      <c r="H4025">
        <v>42720</v>
      </c>
      <c r="I4025" s="13">
        <v>1</v>
      </c>
      <c r="J4025" t="s">
        <v>6208</v>
      </c>
      <c r="K4025">
        <v>2</v>
      </c>
      <c r="L4025">
        <v>2</v>
      </c>
      <c r="M4025" t="s">
        <v>58</v>
      </c>
      <c r="N4025" s="2">
        <v>0.72</v>
      </c>
      <c r="O4025" s="2">
        <v>0.28000000000000003</v>
      </c>
      <c r="P4025">
        <v>8</v>
      </c>
      <c r="Q4025">
        <v>9</v>
      </c>
      <c r="R4025">
        <v>14</v>
      </c>
      <c r="S4025">
        <v>2</v>
      </c>
      <c r="T4025">
        <v>9</v>
      </c>
      <c r="U4025">
        <v>7</v>
      </c>
      <c r="V4025">
        <v>1</v>
      </c>
      <c r="W4025">
        <v>2</v>
      </c>
      <c r="X4025">
        <v>0</v>
      </c>
      <c r="Y4025">
        <v>0</v>
      </c>
      <c r="Z4025">
        <v>0</v>
      </c>
    </row>
    <row r="4026" spans="1:26" x14ac:dyDescent="0.2">
      <c r="A4026" t="s">
        <v>4144</v>
      </c>
      <c r="B4026" t="s">
        <v>92</v>
      </c>
      <c r="C4026">
        <v>2019</v>
      </c>
      <c r="D4026" t="s">
        <v>90</v>
      </c>
      <c r="E4026" t="s">
        <v>42</v>
      </c>
      <c r="F4026" t="s">
        <v>91</v>
      </c>
      <c r="G4026">
        <v>31876</v>
      </c>
      <c r="H4026">
        <v>25500.800000000003</v>
      </c>
      <c r="I4026" s="13">
        <v>0.5</v>
      </c>
      <c r="J4026" t="s">
        <v>6207</v>
      </c>
      <c r="K4026">
        <v>1</v>
      </c>
      <c r="L4026">
        <v>1</v>
      </c>
      <c r="M4026" t="s">
        <v>58</v>
      </c>
      <c r="N4026" s="2">
        <v>0.56000000000000005</v>
      </c>
      <c r="O4026" s="2">
        <v>0.44</v>
      </c>
      <c r="P4026">
        <v>18</v>
      </c>
      <c r="Q4026">
        <v>14</v>
      </c>
      <c r="R4026">
        <v>3</v>
      </c>
      <c r="S4026">
        <v>4</v>
      </c>
      <c r="T4026">
        <v>11</v>
      </c>
      <c r="U4026">
        <v>13</v>
      </c>
      <c r="V4026">
        <v>3</v>
      </c>
      <c r="W4026">
        <v>3</v>
      </c>
      <c r="X4026">
        <v>0</v>
      </c>
      <c r="Y4026">
        <v>0</v>
      </c>
      <c r="Z4026">
        <v>0</v>
      </c>
    </row>
    <row r="4027" spans="1:26" x14ac:dyDescent="0.2">
      <c r="A4027" t="s">
        <v>4145</v>
      </c>
      <c r="B4027" t="s">
        <v>41</v>
      </c>
      <c r="C4027">
        <v>2019</v>
      </c>
      <c r="D4027" t="s">
        <v>46</v>
      </c>
      <c r="E4027" t="s">
        <v>95</v>
      </c>
      <c r="F4027" t="s">
        <v>20</v>
      </c>
      <c r="G4027">
        <v>60704</v>
      </c>
      <c r="H4027">
        <v>48563.200000000004</v>
      </c>
      <c r="I4027" s="13">
        <v>0.66666666666666663</v>
      </c>
      <c r="J4027" t="s">
        <v>6207</v>
      </c>
      <c r="K4027">
        <v>1</v>
      </c>
      <c r="L4027">
        <v>1</v>
      </c>
      <c r="M4027" t="s">
        <v>58</v>
      </c>
      <c r="N4027" s="2">
        <v>0.61</v>
      </c>
      <c r="O4027" s="2">
        <v>0.39</v>
      </c>
      <c r="P4027">
        <v>13</v>
      </c>
      <c r="Q4027">
        <v>12</v>
      </c>
      <c r="R4027">
        <v>4</v>
      </c>
      <c r="S4027">
        <v>5</v>
      </c>
      <c r="T4027">
        <v>9</v>
      </c>
      <c r="U4027">
        <v>13</v>
      </c>
      <c r="V4027">
        <v>1</v>
      </c>
      <c r="W4027">
        <v>2</v>
      </c>
      <c r="X4027">
        <v>0</v>
      </c>
      <c r="Y4027">
        <v>0</v>
      </c>
      <c r="Z4027">
        <v>0</v>
      </c>
    </row>
    <row r="4028" spans="1:26" x14ac:dyDescent="0.2">
      <c r="A4028" t="s">
        <v>4146</v>
      </c>
      <c r="B4028" t="s">
        <v>88</v>
      </c>
      <c r="C4028">
        <v>2019</v>
      </c>
      <c r="D4028" t="s">
        <v>64</v>
      </c>
      <c r="E4028" t="s">
        <v>18</v>
      </c>
      <c r="F4028" t="s">
        <v>64</v>
      </c>
      <c r="G4028">
        <v>52264</v>
      </c>
      <c r="H4028">
        <v>41811.200000000004</v>
      </c>
      <c r="I4028" s="13">
        <v>1</v>
      </c>
      <c r="J4028" t="s">
        <v>6207</v>
      </c>
      <c r="K4028">
        <v>1</v>
      </c>
      <c r="L4028">
        <v>0</v>
      </c>
      <c r="M4028" t="s">
        <v>0</v>
      </c>
      <c r="N4028" s="2">
        <v>0.3</v>
      </c>
      <c r="O4028" s="2">
        <v>0.7</v>
      </c>
      <c r="P4028">
        <v>17</v>
      </c>
      <c r="Q4028">
        <v>10</v>
      </c>
      <c r="R4028">
        <v>1</v>
      </c>
      <c r="S4028">
        <v>10</v>
      </c>
      <c r="T4028">
        <v>9</v>
      </c>
      <c r="U4028">
        <v>14</v>
      </c>
      <c r="V4028">
        <v>1</v>
      </c>
      <c r="W4028">
        <v>1</v>
      </c>
      <c r="X4028">
        <v>0</v>
      </c>
      <c r="Y4028">
        <v>0</v>
      </c>
      <c r="Z4028">
        <v>0</v>
      </c>
    </row>
    <row r="4029" spans="1:26" x14ac:dyDescent="0.2">
      <c r="A4029" t="s">
        <v>4147</v>
      </c>
      <c r="B4029" t="s">
        <v>61</v>
      </c>
      <c r="C4029">
        <v>2019</v>
      </c>
      <c r="D4029" t="s">
        <v>28</v>
      </c>
      <c r="E4029" t="s">
        <v>80</v>
      </c>
      <c r="F4029" t="s">
        <v>28</v>
      </c>
      <c r="G4029">
        <v>21944</v>
      </c>
      <c r="H4029">
        <v>17555.2</v>
      </c>
      <c r="I4029" s="13">
        <v>0</v>
      </c>
      <c r="J4029" t="s">
        <v>6207</v>
      </c>
      <c r="K4029">
        <v>2</v>
      </c>
      <c r="L4029">
        <v>1</v>
      </c>
      <c r="M4029" t="s">
        <v>0</v>
      </c>
      <c r="N4029" s="2">
        <v>0.44</v>
      </c>
      <c r="O4029" s="2">
        <v>0.56000000000000005</v>
      </c>
      <c r="P4029">
        <v>8</v>
      </c>
      <c r="Q4029">
        <v>15</v>
      </c>
      <c r="R4029">
        <v>4</v>
      </c>
      <c r="S4029">
        <v>5</v>
      </c>
      <c r="T4029">
        <v>14</v>
      </c>
      <c r="U4029">
        <v>8</v>
      </c>
      <c r="V4029">
        <v>1</v>
      </c>
      <c r="W4029">
        <v>0</v>
      </c>
      <c r="X4029">
        <v>0</v>
      </c>
      <c r="Y4029">
        <v>0</v>
      </c>
      <c r="Z4029">
        <v>1</v>
      </c>
    </row>
    <row r="4030" spans="1:26" x14ac:dyDescent="0.2">
      <c r="A4030" t="s">
        <v>4148</v>
      </c>
      <c r="B4030" t="s">
        <v>76</v>
      </c>
      <c r="C4030">
        <v>2019</v>
      </c>
      <c r="D4030" t="s">
        <v>26</v>
      </c>
      <c r="E4030" t="s">
        <v>48</v>
      </c>
      <c r="F4030" t="s">
        <v>26</v>
      </c>
      <c r="G4030">
        <v>61276</v>
      </c>
      <c r="H4030">
        <v>49020.800000000003</v>
      </c>
      <c r="I4030" s="13">
        <v>0.75</v>
      </c>
      <c r="J4030" t="s">
        <v>6207</v>
      </c>
      <c r="K4030">
        <v>2</v>
      </c>
      <c r="L4030">
        <v>0</v>
      </c>
      <c r="M4030" t="s">
        <v>0</v>
      </c>
      <c r="N4030" s="2">
        <v>0.53</v>
      </c>
      <c r="O4030" s="2">
        <v>0.47</v>
      </c>
      <c r="P4030">
        <v>14</v>
      </c>
      <c r="Q4030">
        <v>9</v>
      </c>
      <c r="R4030">
        <v>11</v>
      </c>
      <c r="S4030">
        <v>5</v>
      </c>
      <c r="T4030">
        <v>7</v>
      </c>
      <c r="U4030">
        <v>10</v>
      </c>
      <c r="V4030">
        <v>1</v>
      </c>
      <c r="W4030">
        <v>3</v>
      </c>
      <c r="X4030">
        <v>0</v>
      </c>
      <c r="Y4030">
        <v>0</v>
      </c>
      <c r="Z4030">
        <v>0</v>
      </c>
    </row>
    <row r="4031" spans="1:26" x14ac:dyDescent="0.2">
      <c r="A4031" t="s">
        <v>4149</v>
      </c>
      <c r="B4031" t="s">
        <v>50</v>
      </c>
      <c r="C4031">
        <v>2019</v>
      </c>
      <c r="D4031" t="s">
        <v>95</v>
      </c>
      <c r="E4031" t="s">
        <v>40</v>
      </c>
      <c r="F4031" t="s">
        <v>57</v>
      </c>
      <c r="G4031">
        <v>32050</v>
      </c>
      <c r="H4031">
        <v>25640</v>
      </c>
      <c r="I4031" s="13">
        <v>0.5714285714285714</v>
      </c>
      <c r="J4031" t="s">
        <v>6207</v>
      </c>
      <c r="K4031">
        <v>0</v>
      </c>
      <c r="L4031">
        <v>1</v>
      </c>
      <c r="M4031" t="s">
        <v>1</v>
      </c>
      <c r="N4031" s="2">
        <v>0.33</v>
      </c>
      <c r="O4031" s="2">
        <v>0.67</v>
      </c>
      <c r="P4031">
        <v>13</v>
      </c>
      <c r="Q4031">
        <v>16</v>
      </c>
      <c r="R4031">
        <v>5</v>
      </c>
      <c r="S4031">
        <v>13</v>
      </c>
      <c r="T4031">
        <v>13</v>
      </c>
      <c r="U4031">
        <v>13</v>
      </c>
      <c r="V4031">
        <v>4</v>
      </c>
      <c r="W4031">
        <v>3</v>
      </c>
      <c r="X4031">
        <v>0</v>
      </c>
      <c r="Y4031">
        <v>0</v>
      </c>
      <c r="Z4031">
        <v>1</v>
      </c>
    </row>
    <row r="4032" spans="1:26" x14ac:dyDescent="0.2">
      <c r="A4032" t="s">
        <v>4150</v>
      </c>
      <c r="B4032" t="s">
        <v>84</v>
      </c>
      <c r="C4032">
        <v>2019</v>
      </c>
      <c r="D4032" t="s">
        <v>45</v>
      </c>
      <c r="E4032" t="s">
        <v>64</v>
      </c>
      <c r="F4032" t="s">
        <v>26</v>
      </c>
      <c r="G4032">
        <v>39572</v>
      </c>
      <c r="H4032">
        <v>31657.600000000002</v>
      </c>
      <c r="I4032" s="13">
        <v>0.5</v>
      </c>
      <c r="J4032" t="s">
        <v>6208</v>
      </c>
      <c r="K4032">
        <v>2</v>
      </c>
      <c r="L4032">
        <v>2</v>
      </c>
      <c r="M4032" t="s">
        <v>58</v>
      </c>
      <c r="N4032" s="2">
        <v>0.55000000000000004</v>
      </c>
      <c r="O4032" s="2">
        <v>0.45</v>
      </c>
      <c r="P4032">
        <v>10</v>
      </c>
      <c r="Q4032">
        <v>14</v>
      </c>
      <c r="R4032">
        <v>6</v>
      </c>
      <c r="S4032">
        <v>4</v>
      </c>
      <c r="T4032">
        <v>13</v>
      </c>
      <c r="U4032">
        <v>10</v>
      </c>
      <c r="V4032">
        <v>1</v>
      </c>
      <c r="W4032">
        <v>1</v>
      </c>
      <c r="X4032">
        <v>0</v>
      </c>
      <c r="Y4032">
        <v>0</v>
      </c>
      <c r="Z4032">
        <v>0</v>
      </c>
    </row>
    <row r="4033" spans="1:26" x14ac:dyDescent="0.2">
      <c r="A4033" t="s">
        <v>4151</v>
      </c>
      <c r="B4033" t="s">
        <v>37</v>
      </c>
      <c r="C4033">
        <v>2019</v>
      </c>
      <c r="D4033" t="s">
        <v>79</v>
      </c>
      <c r="E4033" t="s">
        <v>73</v>
      </c>
      <c r="F4033" t="s">
        <v>20</v>
      </c>
      <c r="G4033">
        <v>25486</v>
      </c>
      <c r="H4033">
        <v>20388.800000000003</v>
      </c>
      <c r="I4033" s="13">
        <v>0.33333333333333331</v>
      </c>
      <c r="J4033" t="s">
        <v>6206</v>
      </c>
      <c r="K4033">
        <v>0</v>
      </c>
      <c r="L4033">
        <v>2</v>
      </c>
      <c r="M4033" t="s">
        <v>1</v>
      </c>
      <c r="N4033" s="2">
        <v>0.44</v>
      </c>
      <c r="O4033" s="2">
        <v>0.56000000000000005</v>
      </c>
      <c r="P4033">
        <v>14</v>
      </c>
      <c r="Q4033">
        <v>14</v>
      </c>
      <c r="R4033">
        <v>0</v>
      </c>
      <c r="S4033">
        <v>8</v>
      </c>
      <c r="T4033">
        <v>12</v>
      </c>
      <c r="U4033">
        <v>13</v>
      </c>
      <c r="V4033">
        <v>1</v>
      </c>
      <c r="W4033">
        <v>2</v>
      </c>
      <c r="X4033">
        <v>0</v>
      </c>
      <c r="Y4033">
        <v>0</v>
      </c>
      <c r="Z4033">
        <v>0</v>
      </c>
    </row>
    <row r="4034" spans="1:26" x14ac:dyDescent="0.2">
      <c r="A4034" t="s">
        <v>4152</v>
      </c>
      <c r="B4034" t="s">
        <v>60</v>
      </c>
      <c r="C4034">
        <v>2019</v>
      </c>
      <c r="D4034" t="s">
        <v>86</v>
      </c>
      <c r="E4034" t="s">
        <v>90</v>
      </c>
      <c r="F4034" t="s">
        <v>86</v>
      </c>
      <c r="G4034">
        <v>11364</v>
      </c>
      <c r="H4034">
        <v>9091.2000000000007</v>
      </c>
      <c r="I4034" s="13">
        <v>1</v>
      </c>
      <c r="J4034" t="s">
        <v>6208</v>
      </c>
      <c r="K4034">
        <v>3</v>
      </c>
      <c r="L4034">
        <v>1</v>
      </c>
      <c r="M4034" t="s">
        <v>0</v>
      </c>
      <c r="N4034" s="2">
        <v>0.35</v>
      </c>
      <c r="O4034" s="2">
        <v>0.65</v>
      </c>
      <c r="P4034">
        <v>13</v>
      </c>
      <c r="Q4034">
        <v>11</v>
      </c>
      <c r="R4034">
        <v>5</v>
      </c>
      <c r="S4034">
        <v>8</v>
      </c>
      <c r="T4034">
        <v>9</v>
      </c>
      <c r="U4034">
        <v>12</v>
      </c>
      <c r="V4034">
        <v>1</v>
      </c>
      <c r="W4034">
        <v>1</v>
      </c>
      <c r="X4034">
        <v>0</v>
      </c>
      <c r="Y4034">
        <v>0</v>
      </c>
      <c r="Z4034">
        <v>0</v>
      </c>
    </row>
    <row r="4035" spans="1:26" x14ac:dyDescent="0.2">
      <c r="A4035" t="s">
        <v>4153</v>
      </c>
      <c r="B4035" t="s">
        <v>32</v>
      </c>
      <c r="C4035">
        <v>2019</v>
      </c>
      <c r="D4035" t="s">
        <v>42</v>
      </c>
      <c r="E4035" t="s">
        <v>85</v>
      </c>
      <c r="F4035" t="s">
        <v>38</v>
      </c>
      <c r="G4035">
        <v>42918</v>
      </c>
      <c r="H4035">
        <v>34334.400000000001</v>
      </c>
      <c r="I4035" s="13">
        <v>0.5</v>
      </c>
      <c r="J4035" t="s">
        <v>6207</v>
      </c>
      <c r="K4035">
        <v>2</v>
      </c>
      <c r="L4035">
        <v>1</v>
      </c>
      <c r="M4035" t="s">
        <v>0</v>
      </c>
      <c r="N4035" s="2">
        <v>0.65</v>
      </c>
      <c r="O4035" s="2">
        <v>0.35</v>
      </c>
      <c r="P4035">
        <v>21</v>
      </c>
      <c r="Q4035">
        <v>11</v>
      </c>
      <c r="R4035">
        <v>6</v>
      </c>
      <c r="S4035">
        <v>3</v>
      </c>
      <c r="T4035">
        <v>11</v>
      </c>
      <c r="U4035">
        <v>18</v>
      </c>
      <c r="V4035">
        <v>2</v>
      </c>
      <c r="W4035">
        <v>2</v>
      </c>
      <c r="X4035">
        <v>0</v>
      </c>
      <c r="Y4035">
        <v>0</v>
      </c>
      <c r="Z4035">
        <v>0</v>
      </c>
    </row>
    <row r="4036" spans="1:26" x14ac:dyDescent="0.2">
      <c r="A4036" t="s">
        <v>4154</v>
      </c>
      <c r="B4036" t="s">
        <v>59</v>
      </c>
      <c r="C4036">
        <v>2019</v>
      </c>
      <c r="D4036" t="s">
        <v>18</v>
      </c>
      <c r="E4036" t="s">
        <v>46</v>
      </c>
      <c r="F4036" t="s">
        <v>20</v>
      </c>
      <c r="G4036">
        <v>40341</v>
      </c>
      <c r="H4036">
        <v>32272.800000000003</v>
      </c>
      <c r="I4036" s="13">
        <v>1</v>
      </c>
      <c r="J4036" t="s">
        <v>6206</v>
      </c>
      <c r="K4036">
        <v>2</v>
      </c>
      <c r="L4036">
        <v>2</v>
      </c>
      <c r="M4036" t="s">
        <v>58</v>
      </c>
      <c r="N4036" s="2">
        <v>0.59</v>
      </c>
      <c r="O4036" s="2">
        <v>0.41</v>
      </c>
      <c r="P4036">
        <v>6</v>
      </c>
      <c r="Q4036">
        <v>13</v>
      </c>
      <c r="R4036">
        <v>17</v>
      </c>
      <c r="S4036">
        <v>5</v>
      </c>
      <c r="T4036">
        <v>11</v>
      </c>
      <c r="U4036">
        <v>6</v>
      </c>
      <c r="V4036">
        <v>2</v>
      </c>
      <c r="W4036">
        <v>1</v>
      </c>
      <c r="X4036">
        <v>0</v>
      </c>
      <c r="Y4036">
        <v>1</v>
      </c>
      <c r="Z4036">
        <v>1</v>
      </c>
    </row>
    <row r="4037" spans="1:26" x14ac:dyDescent="0.2">
      <c r="A4037" t="s">
        <v>4155</v>
      </c>
      <c r="B4037" t="s">
        <v>88</v>
      </c>
      <c r="C4037">
        <v>2019</v>
      </c>
      <c r="D4037" t="s">
        <v>51</v>
      </c>
      <c r="E4037" t="s">
        <v>69</v>
      </c>
      <c r="F4037" t="s">
        <v>20</v>
      </c>
      <c r="G4037">
        <v>36284</v>
      </c>
      <c r="H4037">
        <v>29027.200000000001</v>
      </c>
      <c r="I4037" s="13">
        <v>0</v>
      </c>
      <c r="J4037" t="s">
        <v>6207</v>
      </c>
      <c r="K4037">
        <v>2</v>
      </c>
      <c r="L4037">
        <v>1</v>
      </c>
      <c r="M4037" t="s">
        <v>0</v>
      </c>
      <c r="N4037" s="2">
        <v>0.5</v>
      </c>
      <c r="O4037" s="2">
        <v>0.5</v>
      </c>
      <c r="P4037">
        <v>7</v>
      </c>
      <c r="Q4037">
        <v>12</v>
      </c>
      <c r="R4037">
        <v>7</v>
      </c>
      <c r="S4037">
        <v>3</v>
      </c>
      <c r="T4037">
        <v>12</v>
      </c>
      <c r="U4037">
        <v>7</v>
      </c>
      <c r="V4037">
        <v>0</v>
      </c>
      <c r="W4037">
        <v>1</v>
      </c>
      <c r="X4037">
        <v>0</v>
      </c>
      <c r="Y4037">
        <v>0</v>
      </c>
      <c r="Z4037">
        <v>1</v>
      </c>
    </row>
    <row r="4038" spans="1:26" x14ac:dyDescent="0.2">
      <c r="A4038" t="s">
        <v>4156</v>
      </c>
      <c r="B4038" t="s">
        <v>93</v>
      </c>
      <c r="C4038">
        <v>2019</v>
      </c>
      <c r="D4038" t="s">
        <v>80</v>
      </c>
      <c r="E4038" t="s">
        <v>23</v>
      </c>
      <c r="F4038" t="s">
        <v>80</v>
      </c>
      <c r="G4038">
        <v>32261</v>
      </c>
      <c r="H4038">
        <v>25808.800000000003</v>
      </c>
      <c r="I4038" s="13">
        <v>1</v>
      </c>
      <c r="J4038" t="s">
        <v>6206</v>
      </c>
      <c r="K4038">
        <v>4</v>
      </c>
      <c r="L4038">
        <v>1</v>
      </c>
      <c r="M4038" t="s">
        <v>0</v>
      </c>
      <c r="N4038" s="2">
        <v>0.67</v>
      </c>
      <c r="O4038" s="2">
        <v>0.33</v>
      </c>
      <c r="P4038">
        <v>19</v>
      </c>
      <c r="Q4038">
        <v>11</v>
      </c>
      <c r="R4038">
        <v>7</v>
      </c>
      <c r="S4038">
        <v>8</v>
      </c>
      <c r="T4038">
        <v>10</v>
      </c>
      <c r="U4038">
        <v>19</v>
      </c>
      <c r="V4038">
        <v>1</v>
      </c>
      <c r="W4038">
        <v>1</v>
      </c>
      <c r="X4038">
        <v>0</v>
      </c>
      <c r="Y4038">
        <v>0</v>
      </c>
      <c r="Z4038">
        <v>2</v>
      </c>
    </row>
    <row r="4039" spans="1:26" x14ac:dyDescent="0.2">
      <c r="A4039" t="s">
        <v>4157</v>
      </c>
      <c r="B4039" t="s">
        <v>68</v>
      </c>
      <c r="C4039">
        <v>2019</v>
      </c>
      <c r="D4039" t="s">
        <v>48</v>
      </c>
      <c r="E4039" t="s">
        <v>28</v>
      </c>
      <c r="F4039" t="s">
        <v>49</v>
      </c>
      <c r="G4039">
        <v>74197</v>
      </c>
      <c r="H4039">
        <v>59357.600000000006</v>
      </c>
      <c r="I4039" s="13">
        <v>0</v>
      </c>
      <c r="J4039" t="s">
        <v>6207</v>
      </c>
      <c r="K4039">
        <v>0</v>
      </c>
      <c r="L4039">
        <v>2</v>
      </c>
      <c r="M4039" t="s">
        <v>1</v>
      </c>
      <c r="N4039" s="2">
        <v>0.72</v>
      </c>
      <c r="O4039" s="2">
        <v>0.28000000000000003</v>
      </c>
      <c r="P4039">
        <v>9</v>
      </c>
      <c r="Q4039">
        <v>13</v>
      </c>
      <c r="R4039">
        <v>5</v>
      </c>
      <c r="S4039">
        <v>2</v>
      </c>
      <c r="T4039">
        <v>11</v>
      </c>
      <c r="U4039">
        <v>7</v>
      </c>
      <c r="V4039">
        <v>0</v>
      </c>
      <c r="W4039">
        <v>2</v>
      </c>
      <c r="X4039">
        <v>0</v>
      </c>
      <c r="Y4039">
        <v>0</v>
      </c>
      <c r="Z4039">
        <v>0</v>
      </c>
    </row>
    <row r="4040" spans="1:26" x14ac:dyDescent="0.2">
      <c r="A4040" t="s">
        <v>4158</v>
      </c>
      <c r="B4040" t="s">
        <v>66</v>
      </c>
      <c r="C4040">
        <v>2019</v>
      </c>
      <c r="D4040" t="s">
        <v>22</v>
      </c>
      <c r="E4040" t="s">
        <v>26</v>
      </c>
      <c r="F4040" t="s">
        <v>24</v>
      </c>
      <c r="G4040">
        <v>31750</v>
      </c>
      <c r="H4040">
        <v>25400</v>
      </c>
      <c r="I4040" s="13">
        <v>0</v>
      </c>
      <c r="J4040" t="s">
        <v>6207</v>
      </c>
      <c r="K4040">
        <v>1</v>
      </c>
      <c r="L4040">
        <v>2</v>
      </c>
      <c r="M4040" t="s">
        <v>1</v>
      </c>
      <c r="N4040" s="2">
        <v>0.47</v>
      </c>
      <c r="O4040" s="2">
        <v>0.53</v>
      </c>
      <c r="P4040">
        <v>11</v>
      </c>
      <c r="Q4040">
        <v>8</v>
      </c>
      <c r="R4040">
        <v>2</v>
      </c>
      <c r="S4040">
        <v>4</v>
      </c>
      <c r="T4040">
        <v>6</v>
      </c>
      <c r="U4040">
        <v>11</v>
      </c>
      <c r="V4040">
        <v>0</v>
      </c>
      <c r="W4040">
        <v>1</v>
      </c>
      <c r="X4040">
        <v>0</v>
      </c>
      <c r="Y4040">
        <v>0</v>
      </c>
      <c r="Z4040">
        <v>0</v>
      </c>
    </row>
    <row r="4041" spans="1:26" x14ac:dyDescent="0.2">
      <c r="A4041" t="s">
        <v>4159</v>
      </c>
      <c r="B4041" t="s">
        <v>68</v>
      </c>
      <c r="C4041">
        <v>2019</v>
      </c>
      <c r="D4041" t="s">
        <v>23</v>
      </c>
      <c r="E4041" t="s">
        <v>26</v>
      </c>
      <c r="F4041" t="s">
        <v>20</v>
      </c>
      <c r="G4041">
        <v>62500</v>
      </c>
      <c r="H4041">
        <v>50000</v>
      </c>
      <c r="I4041" s="13">
        <v>0.5</v>
      </c>
      <c r="J4041" t="s">
        <v>6207</v>
      </c>
      <c r="K4041">
        <v>0</v>
      </c>
      <c r="L4041">
        <v>2</v>
      </c>
      <c r="M4041" t="s">
        <v>1</v>
      </c>
      <c r="N4041" s="2">
        <v>0.28999999999999998</v>
      </c>
      <c r="O4041" s="2">
        <v>0.71</v>
      </c>
      <c r="P4041">
        <v>6</v>
      </c>
      <c r="Q4041">
        <v>6</v>
      </c>
      <c r="R4041">
        <v>3</v>
      </c>
      <c r="S4041">
        <v>7</v>
      </c>
      <c r="T4041">
        <v>6</v>
      </c>
      <c r="U4041">
        <v>6</v>
      </c>
      <c r="V4041">
        <v>2</v>
      </c>
      <c r="W4041">
        <v>0</v>
      </c>
      <c r="X4041">
        <v>0</v>
      </c>
      <c r="Y4041">
        <v>0</v>
      </c>
      <c r="Z4041">
        <v>1</v>
      </c>
    </row>
    <row r="4042" spans="1:26" x14ac:dyDescent="0.2">
      <c r="A4042" t="s">
        <v>4160</v>
      </c>
      <c r="B4042" t="s">
        <v>50</v>
      </c>
      <c r="C4042">
        <v>2019</v>
      </c>
      <c r="D4042" t="s">
        <v>80</v>
      </c>
      <c r="E4042" t="s">
        <v>18</v>
      </c>
      <c r="F4042" t="s">
        <v>80</v>
      </c>
      <c r="G4042">
        <v>32261</v>
      </c>
      <c r="H4042">
        <v>25808.800000000003</v>
      </c>
      <c r="I4042" s="13">
        <v>0.5</v>
      </c>
      <c r="J4042" t="s">
        <v>6207</v>
      </c>
      <c r="K4042">
        <v>2</v>
      </c>
      <c r="L4042">
        <v>2</v>
      </c>
      <c r="M4042" t="s">
        <v>58</v>
      </c>
      <c r="N4042" s="2">
        <v>0.5</v>
      </c>
      <c r="O4042" s="2">
        <v>0.5</v>
      </c>
      <c r="P4042">
        <v>15</v>
      </c>
      <c r="Q4042">
        <v>17</v>
      </c>
      <c r="R4042">
        <v>4</v>
      </c>
      <c r="S4042">
        <v>6</v>
      </c>
      <c r="T4042">
        <v>16</v>
      </c>
      <c r="U4042">
        <v>14</v>
      </c>
      <c r="V4042">
        <v>2</v>
      </c>
      <c r="W4042">
        <v>2</v>
      </c>
      <c r="X4042">
        <v>0</v>
      </c>
      <c r="Y4042">
        <v>0</v>
      </c>
      <c r="Z4042">
        <v>0</v>
      </c>
    </row>
    <row r="4043" spans="1:26" x14ac:dyDescent="0.2">
      <c r="A4043" t="s">
        <v>4161</v>
      </c>
      <c r="B4043" t="s">
        <v>66</v>
      </c>
      <c r="C4043">
        <v>2019</v>
      </c>
      <c r="D4043" t="s">
        <v>23</v>
      </c>
      <c r="E4043" t="s">
        <v>90</v>
      </c>
      <c r="F4043" t="s">
        <v>20</v>
      </c>
      <c r="G4043">
        <v>62500</v>
      </c>
      <c r="H4043">
        <v>50000</v>
      </c>
      <c r="I4043" s="13">
        <v>0.5</v>
      </c>
      <c r="J4043" t="s">
        <v>6207</v>
      </c>
      <c r="K4043">
        <v>3</v>
      </c>
      <c r="L4043">
        <v>3</v>
      </c>
      <c r="M4043" t="s">
        <v>58</v>
      </c>
      <c r="N4043" s="2">
        <v>0.35</v>
      </c>
      <c r="O4043" s="2">
        <v>0.65</v>
      </c>
      <c r="P4043">
        <v>11</v>
      </c>
      <c r="Q4043">
        <v>11</v>
      </c>
      <c r="R4043">
        <v>4</v>
      </c>
      <c r="S4043">
        <v>6</v>
      </c>
      <c r="T4043">
        <v>8</v>
      </c>
      <c r="U4043">
        <v>9</v>
      </c>
      <c r="V4043">
        <v>1</v>
      </c>
      <c r="W4043">
        <v>1</v>
      </c>
      <c r="X4043">
        <v>0</v>
      </c>
      <c r="Y4043">
        <v>0</v>
      </c>
      <c r="Z4043">
        <v>0</v>
      </c>
    </row>
    <row r="4044" spans="1:26" x14ac:dyDescent="0.2">
      <c r="A4044" t="s">
        <v>4162</v>
      </c>
      <c r="B4044" t="s">
        <v>76</v>
      </c>
      <c r="C4044">
        <v>2019</v>
      </c>
      <c r="D4044" t="s">
        <v>85</v>
      </c>
      <c r="E4044" t="s">
        <v>45</v>
      </c>
      <c r="F4044" t="s">
        <v>85</v>
      </c>
      <c r="G4044">
        <v>22220</v>
      </c>
      <c r="H4044">
        <v>17776</v>
      </c>
      <c r="I4044" s="13">
        <v>0.66666666666666663</v>
      </c>
      <c r="J4044" t="s">
        <v>6207</v>
      </c>
      <c r="K4044">
        <v>2</v>
      </c>
      <c r="L4044">
        <v>3</v>
      </c>
      <c r="M4044" t="s">
        <v>1</v>
      </c>
      <c r="N4044" s="2">
        <v>0.44</v>
      </c>
      <c r="O4044" s="2">
        <v>0.56000000000000005</v>
      </c>
      <c r="P4044">
        <v>16</v>
      </c>
      <c r="Q4044">
        <v>18</v>
      </c>
      <c r="R4044">
        <v>4</v>
      </c>
      <c r="S4044">
        <v>4</v>
      </c>
      <c r="T4044">
        <v>17</v>
      </c>
      <c r="U4044">
        <v>14</v>
      </c>
      <c r="V4044">
        <v>2</v>
      </c>
      <c r="W4044">
        <v>3</v>
      </c>
      <c r="X4044">
        <v>0</v>
      </c>
      <c r="Y4044">
        <v>1</v>
      </c>
      <c r="Z4044">
        <v>0</v>
      </c>
    </row>
    <row r="4045" spans="1:26" x14ac:dyDescent="0.2">
      <c r="A4045" t="s">
        <v>4163</v>
      </c>
      <c r="B4045" t="s">
        <v>32</v>
      </c>
      <c r="C4045">
        <v>2019</v>
      </c>
      <c r="D4045" t="s">
        <v>64</v>
      </c>
      <c r="E4045" t="s">
        <v>69</v>
      </c>
      <c r="F4045" t="s">
        <v>64</v>
      </c>
      <c r="G4045">
        <v>52264</v>
      </c>
      <c r="H4045">
        <v>41811.200000000004</v>
      </c>
      <c r="I4045" s="13">
        <v>0.66666666666666663</v>
      </c>
      <c r="J4045" t="s">
        <v>6207</v>
      </c>
      <c r="K4045">
        <v>0</v>
      </c>
      <c r="L4045">
        <v>0</v>
      </c>
      <c r="M4045" t="s">
        <v>58</v>
      </c>
      <c r="N4045" s="2">
        <v>0.43</v>
      </c>
      <c r="O4045" s="2">
        <v>0.56999999999999995</v>
      </c>
      <c r="P4045">
        <v>16</v>
      </c>
      <c r="Q4045">
        <v>13</v>
      </c>
      <c r="R4045">
        <v>8</v>
      </c>
      <c r="S4045">
        <v>12</v>
      </c>
      <c r="T4045">
        <v>10</v>
      </c>
      <c r="U4045">
        <v>15</v>
      </c>
      <c r="V4045">
        <v>2</v>
      </c>
      <c r="W4045">
        <v>1</v>
      </c>
      <c r="X4045">
        <v>0</v>
      </c>
      <c r="Y4045">
        <v>0</v>
      </c>
      <c r="Z4045">
        <v>0</v>
      </c>
    </row>
    <row r="4046" spans="1:26" x14ac:dyDescent="0.2">
      <c r="A4046" t="s">
        <v>4164</v>
      </c>
      <c r="B4046" t="s">
        <v>60</v>
      </c>
      <c r="C4046">
        <v>2019</v>
      </c>
      <c r="D4046" t="s">
        <v>26</v>
      </c>
      <c r="E4046" t="s">
        <v>73</v>
      </c>
      <c r="F4046" t="s">
        <v>26</v>
      </c>
      <c r="G4046">
        <v>61276</v>
      </c>
      <c r="H4046">
        <v>49020.800000000003</v>
      </c>
      <c r="I4046" s="13">
        <v>0</v>
      </c>
      <c r="J4046" t="s">
        <v>6208</v>
      </c>
      <c r="K4046">
        <v>4</v>
      </c>
      <c r="L4046">
        <v>0</v>
      </c>
      <c r="M4046" t="s">
        <v>0</v>
      </c>
      <c r="N4046" s="2">
        <v>0.62</v>
      </c>
      <c r="O4046" s="2">
        <v>0.38</v>
      </c>
      <c r="P4046">
        <v>20</v>
      </c>
      <c r="Q4046">
        <v>11</v>
      </c>
      <c r="R4046">
        <v>6</v>
      </c>
      <c r="S4046">
        <v>11</v>
      </c>
      <c r="T4046">
        <v>9</v>
      </c>
      <c r="U4046">
        <v>15</v>
      </c>
      <c r="V4046">
        <v>0</v>
      </c>
      <c r="W4046">
        <v>2</v>
      </c>
      <c r="X4046">
        <v>0</v>
      </c>
      <c r="Y4046">
        <v>0</v>
      </c>
      <c r="Z4046">
        <v>0</v>
      </c>
    </row>
    <row r="4047" spans="1:26" x14ac:dyDescent="0.2">
      <c r="A4047" t="s">
        <v>4165</v>
      </c>
      <c r="B4047" t="s">
        <v>92</v>
      </c>
      <c r="C4047">
        <v>2019</v>
      </c>
      <c r="D4047" t="s">
        <v>79</v>
      </c>
      <c r="E4047" t="s">
        <v>95</v>
      </c>
      <c r="F4047" t="s">
        <v>20</v>
      </c>
      <c r="G4047">
        <v>25486</v>
      </c>
      <c r="H4047">
        <v>20388.800000000003</v>
      </c>
      <c r="I4047" s="13">
        <v>0.4</v>
      </c>
      <c r="J4047" t="s">
        <v>6207</v>
      </c>
      <c r="K4047">
        <v>0</v>
      </c>
      <c r="L4047">
        <v>1</v>
      </c>
      <c r="M4047" t="s">
        <v>1</v>
      </c>
      <c r="N4047" s="2">
        <v>0.61</v>
      </c>
      <c r="O4047" s="2">
        <v>0.39</v>
      </c>
      <c r="P4047">
        <v>18</v>
      </c>
      <c r="Q4047">
        <v>10</v>
      </c>
      <c r="R4047">
        <v>9</v>
      </c>
      <c r="S4047">
        <v>5</v>
      </c>
      <c r="T4047">
        <v>9</v>
      </c>
      <c r="U4047">
        <v>15</v>
      </c>
      <c r="V4047">
        <v>3</v>
      </c>
      <c r="W4047">
        <v>2</v>
      </c>
      <c r="X4047">
        <v>0</v>
      </c>
      <c r="Y4047">
        <v>0</v>
      </c>
      <c r="Z4047">
        <v>0</v>
      </c>
    </row>
    <row r="4048" spans="1:26" x14ac:dyDescent="0.2">
      <c r="A4048" t="s">
        <v>4166</v>
      </c>
      <c r="B4048" t="s">
        <v>61</v>
      </c>
      <c r="C4048">
        <v>2019</v>
      </c>
      <c r="D4048" t="s">
        <v>86</v>
      </c>
      <c r="E4048" t="s">
        <v>42</v>
      </c>
      <c r="F4048" t="s">
        <v>86</v>
      </c>
      <c r="G4048">
        <v>11364</v>
      </c>
      <c r="H4048">
        <v>9091.2000000000007</v>
      </c>
      <c r="I4048" s="13">
        <v>0.33333333333333331</v>
      </c>
      <c r="J4048" t="s">
        <v>6207</v>
      </c>
      <c r="K4048">
        <v>2</v>
      </c>
      <c r="L4048">
        <v>1</v>
      </c>
      <c r="M4048" t="s">
        <v>0</v>
      </c>
      <c r="N4048" s="2">
        <v>0.4</v>
      </c>
      <c r="O4048" s="2">
        <v>0.6</v>
      </c>
      <c r="P4048">
        <v>16</v>
      </c>
      <c r="Q4048">
        <v>10</v>
      </c>
      <c r="R4048">
        <v>1</v>
      </c>
      <c r="S4048">
        <v>8</v>
      </c>
      <c r="T4048">
        <v>10</v>
      </c>
      <c r="U4048">
        <v>15</v>
      </c>
      <c r="V4048">
        <v>2</v>
      </c>
      <c r="W4048">
        <v>3</v>
      </c>
      <c r="X4048">
        <v>1</v>
      </c>
      <c r="Y4048">
        <v>0</v>
      </c>
      <c r="Z4048">
        <v>0</v>
      </c>
    </row>
    <row r="4049" spans="1:26" x14ac:dyDescent="0.2">
      <c r="A4049" t="s">
        <v>4167</v>
      </c>
      <c r="B4049" t="s">
        <v>81</v>
      </c>
      <c r="C4049">
        <v>2019</v>
      </c>
      <c r="D4049" t="s">
        <v>48</v>
      </c>
      <c r="E4049" t="s">
        <v>22</v>
      </c>
      <c r="F4049" t="s">
        <v>49</v>
      </c>
      <c r="G4049">
        <v>74197</v>
      </c>
      <c r="H4049">
        <v>59357.600000000006</v>
      </c>
      <c r="I4049" s="13">
        <v>0.66666666666666663</v>
      </c>
      <c r="J4049" t="s">
        <v>6207</v>
      </c>
      <c r="K4049">
        <v>0</v>
      </c>
      <c r="L4049">
        <v>0</v>
      </c>
      <c r="M4049" t="s">
        <v>58</v>
      </c>
      <c r="N4049" s="2">
        <v>0.64</v>
      </c>
      <c r="O4049" s="2">
        <v>0.36</v>
      </c>
      <c r="P4049">
        <v>16</v>
      </c>
      <c r="Q4049">
        <v>14</v>
      </c>
      <c r="R4049">
        <v>4</v>
      </c>
      <c r="S4049">
        <v>6</v>
      </c>
      <c r="T4049">
        <v>14</v>
      </c>
      <c r="U4049">
        <v>15</v>
      </c>
      <c r="V4049">
        <v>3</v>
      </c>
      <c r="W4049">
        <v>3</v>
      </c>
      <c r="X4049">
        <v>0</v>
      </c>
      <c r="Y4049">
        <v>0</v>
      </c>
      <c r="Z4049">
        <v>0</v>
      </c>
    </row>
    <row r="4050" spans="1:26" x14ac:dyDescent="0.2">
      <c r="A4050" t="s">
        <v>4168</v>
      </c>
      <c r="B4050" t="s">
        <v>88</v>
      </c>
      <c r="C4050">
        <v>2019</v>
      </c>
      <c r="D4050" t="s">
        <v>28</v>
      </c>
      <c r="E4050" t="s">
        <v>46</v>
      </c>
      <c r="F4050" t="s">
        <v>28</v>
      </c>
      <c r="G4050">
        <v>21944</v>
      </c>
      <c r="H4050">
        <v>17555.2</v>
      </c>
      <c r="I4050" s="13">
        <v>0.75</v>
      </c>
      <c r="J4050" t="s">
        <v>6207</v>
      </c>
      <c r="K4050">
        <v>0</v>
      </c>
      <c r="L4050">
        <v>0</v>
      </c>
      <c r="M4050" t="s">
        <v>58</v>
      </c>
      <c r="N4050" s="2">
        <v>0.42</v>
      </c>
      <c r="O4050" s="2">
        <v>0.57999999999999996</v>
      </c>
      <c r="P4050">
        <v>12</v>
      </c>
      <c r="Q4050">
        <v>13</v>
      </c>
      <c r="R4050">
        <v>5</v>
      </c>
      <c r="S4050">
        <v>7</v>
      </c>
      <c r="T4050">
        <v>8</v>
      </c>
      <c r="U4050">
        <v>11</v>
      </c>
      <c r="V4050">
        <v>1</v>
      </c>
      <c r="W4050">
        <v>3</v>
      </c>
      <c r="X4050">
        <v>0</v>
      </c>
      <c r="Y4050">
        <v>0</v>
      </c>
      <c r="Z4050">
        <v>0</v>
      </c>
    </row>
    <row r="4051" spans="1:26" x14ac:dyDescent="0.2">
      <c r="A4051" t="s">
        <v>4169</v>
      </c>
      <c r="B4051" t="s">
        <v>41</v>
      </c>
      <c r="C4051">
        <v>2019</v>
      </c>
      <c r="D4051" t="s">
        <v>51</v>
      </c>
      <c r="E4051" t="s">
        <v>40</v>
      </c>
      <c r="F4051" t="s">
        <v>20</v>
      </c>
      <c r="G4051">
        <v>36284</v>
      </c>
      <c r="H4051">
        <v>29027.200000000001</v>
      </c>
      <c r="I4051" s="13">
        <v>0.5714285714285714</v>
      </c>
      <c r="J4051" t="s">
        <v>6207</v>
      </c>
      <c r="K4051">
        <v>2</v>
      </c>
      <c r="L4051">
        <v>0</v>
      </c>
      <c r="M4051" t="s">
        <v>0</v>
      </c>
      <c r="N4051" s="2">
        <v>0.33</v>
      </c>
      <c r="O4051" s="2">
        <v>0.67</v>
      </c>
      <c r="P4051">
        <v>14</v>
      </c>
      <c r="Q4051">
        <v>9</v>
      </c>
      <c r="R4051">
        <v>2</v>
      </c>
      <c r="S4051">
        <v>6</v>
      </c>
      <c r="T4051">
        <v>8</v>
      </c>
      <c r="U4051">
        <v>14</v>
      </c>
      <c r="V4051">
        <v>2</v>
      </c>
      <c r="W4051">
        <v>4</v>
      </c>
      <c r="X4051">
        <v>0</v>
      </c>
      <c r="Y4051">
        <v>1</v>
      </c>
      <c r="Z4051">
        <v>1</v>
      </c>
    </row>
    <row r="4052" spans="1:26" x14ac:dyDescent="0.2">
      <c r="A4052" t="s">
        <v>4170</v>
      </c>
      <c r="B4052" t="s">
        <v>93</v>
      </c>
      <c r="C4052">
        <v>2019</v>
      </c>
      <c r="D4052" t="s">
        <v>45</v>
      </c>
      <c r="E4052" t="s">
        <v>79</v>
      </c>
      <c r="F4052" t="s">
        <v>26</v>
      </c>
      <c r="G4052">
        <v>39572</v>
      </c>
      <c r="H4052">
        <v>31657.600000000002</v>
      </c>
      <c r="I4052" s="13">
        <v>1</v>
      </c>
      <c r="J4052" t="s">
        <v>6206</v>
      </c>
      <c r="K4052">
        <v>3</v>
      </c>
      <c r="L4052">
        <v>1</v>
      </c>
      <c r="M4052" t="s">
        <v>0</v>
      </c>
      <c r="N4052" s="2">
        <v>0.46</v>
      </c>
      <c r="O4052" s="2">
        <v>0.54</v>
      </c>
      <c r="P4052">
        <v>14</v>
      </c>
      <c r="Q4052">
        <v>12</v>
      </c>
      <c r="R4052">
        <v>4</v>
      </c>
      <c r="S4052">
        <v>6</v>
      </c>
      <c r="T4052">
        <v>11</v>
      </c>
      <c r="U4052">
        <v>12</v>
      </c>
      <c r="V4052">
        <v>0</v>
      </c>
      <c r="W4052">
        <v>1</v>
      </c>
      <c r="X4052">
        <v>0</v>
      </c>
      <c r="Y4052">
        <v>0</v>
      </c>
      <c r="Z4052">
        <v>0</v>
      </c>
    </row>
    <row r="4053" spans="1:26" x14ac:dyDescent="0.2">
      <c r="A4053" t="s">
        <v>4171</v>
      </c>
      <c r="B4053" t="s">
        <v>60</v>
      </c>
      <c r="C4053">
        <v>2019</v>
      </c>
      <c r="D4053" t="s">
        <v>90</v>
      </c>
      <c r="E4053" t="s">
        <v>85</v>
      </c>
      <c r="F4053" t="s">
        <v>91</v>
      </c>
      <c r="G4053">
        <v>31876</v>
      </c>
      <c r="H4053">
        <v>25500.800000000003</v>
      </c>
      <c r="I4053" s="13">
        <v>0.5</v>
      </c>
      <c r="J4053" t="s">
        <v>6208</v>
      </c>
      <c r="K4053">
        <v>1</v>
      </c>
      <c r="L4053">
        <v>1</v>
      </c>
      <c r="M4053" t="s">
        <v>58</v>
      </c>
      <c r="N4053" s="2">
        <v>0.67</v>
      </c>
      <c r="O4053" s="2">
        <v>0.33</v>
      </c>
      <c r="P4053">
        <v>14</v>
      </c>
      <c r="Q4053">
        <v>11</v>
      </c>
      <c r="R4053">
        <v>3</v>
      </c>
      <c r="S4053">
        <v>2</v>
      </c>
      <c r="T4053">
        <v>9</v>
      </c>
      <c r="U4053">
        <v>12</v>
      </c>
      <c r="V4053">
        <v>2</v>
      </c>
      <c r="W4053">
        <v>2</v>
      </c>
      <c r="X4053">
        <v>0</v>
      </c>
      <c r="Y4053">
        <v>0</v>
      </c>
      <c r="Z4053">
        <v>0</v>
      </c>
    </row>
    <row r="4054" spans="1:26" x14ac:dyDescent="0.2">
      <c r="A4054" t="s">
        <v>4172</v>
      </c>
      <c r="B4054" t="s">
        <v>68</v>
      </c>
      <c r="C4054">
        <v>2019</v>
      </c>
      <c r="D4054" t="s">
        <v>95</v>
      </c>
      <c r="E4054" t="s">
        <v>86</v>
      </c>
      <c r="F4054" t="s">
        <v>57</v>
      </c>
      <c r="G4054">
        <v>32050</v>
      </c>
      <c r="H4054">
        <v>25640</v>
      </c>
      <c r="I4054" s="13">
        <v>0.4</v>
      </c>
      <c r="J4054" t="s">
        <v>6207</v>
      </c>
      <c r="K4054">
        <v>2</v>
      </c>
      <c r="L4054">
        <v>1</v>
      </c>
      <c r="M4054" t="s">
        <v>0</v>
      </c>
      <c r="N4054" s="2">
        <v>0.54</v>
      </c>
      <c r="O4054" s="2">
        <v>0.46</v>
      </c>
      <c r="P4054">
        <v>9</v>
      </c>
      <c r="Q4054">
        <v>9</v>
      </c>
      <c r="R4054">
        <v>8</v>
      </c>
      <c r="S4054">
        <v>4</v>
      </c>
      <c r="T4054">
        <v>10</v>
      </c>
      <c r="U4054">
        <v>8</v>
      </c>
      <c r="V4054">
        <v>2</v>
      </c>
      <c r="W4054">
        <v>3</v>
      </c>
      <c r="X4054">
        <v>0</v>
      </c>
      <c r="Y4054">
        <v>0</v>
      </c>
      <c r="Z4054">
        <v>0</v>
      </c>
    </row>
    <row r="4055" spans="1:26" x14ac:dyDescent="0.2">
      <c r="A4055" t="s">
        <v>4173</v>
      </c>
      <c r="B4055" t="s">
        <v>41</v>
      </c>
      <c r="C4055">
        <v>2019</v>
      </c>
      <c r="D4055" t="s">
        <v>22</v>
      </c>
      <c r="E4055" t="s">
        <v>80</v>
      </c>
      <c r="F4055" t="s">
        <v>24</v>
      </c>
      <c r="G4055">
        <v>31750</v>
      </c>
      <c r="H4055">
        <v>25400</v>
      </c>
      <c r="I4055" s="13">
        <v>0.5</v>
      </c>
      <c r="J4055" t="s">
        <v>6207</v>
      </c>
      <c r="K4055">
        <v>0</v>
      </c>
      <c r="L4055">
        <v>0</v>
      </c>
      <c r="M4055" t="s">
        <v>58</v>
      </c>
      <c r="N4055" s="2">
        <v>0.41</v>
      </c>
      <c r="O4055" s="2">
        <v>0.59</v>
      </c>
      <c r="P4055">
        <v>10</v>
      </c>
      <c r="Q4055">
        <v>16</v>
      </c>
      <c r="R4055">
        <v>7</v>
      </c>
      <c r="S4055">
        <v>0</v>
      </c>
      <c r="T4055">
        <v>13</v>
      </c>
      <c r="U4055">
        <v>10</v>
      </c>
      <c r="V4055">
        <v>2</v>
      </c>
      <c r="W4055">
        <v>3</v>
      </c>
      <c r="X4055">
        <v>0</v>
      </c>
      <c r="Y4055">
        <v>1</v>
      </c>
      <c r="Z4055">
        <v>0</v>
      </c>
    </row>
    <row r="4056" spans="1:26" x14ac:dyDescent="0.2">
      <c r="A4056" t="s">
        <v>4174</v>
      </c>
      <c r="B4056" t="s">
        <v>84</v>
      </c>
      <c r="C4056">
        <v>2019</v>
      </c>
      <c r="D4056" t="s">
        <v>73</v>
      </c>
      <c r="E4056" t="s">
        <v>28</v>
      </c>
      <c r="F4056" t="s">
        <v>73</v>
      </c>
      <c r="G4056">
        <v>32384</v>
      </c>
      <c r="H4056">
        <v>25907.200000000001</v>
      </c>
      <c r="I4056" s="13">
        <v>0.75</v>
      </c>
      <c r="J4056" t="s">
        <v>6208</v>
      </c>
      <c r="K4056">
        <v>1</v>
      </c>
      <c r="L4056">
        <v>2</v>
      </c>
      <c r="M4056" t="s">
        <v>1</v>
      </c>
      <c r="N4056" s="2">
        <v>0.64</v>
      </c>
      <c r="O4056" s="2">
        <v>0.36</v>
      </c>
      <c r="P4056">
        <v>15</v>
      </c>
      <c r="Q4056">
        <v>9</v>
      </c>
      <c r="R4056">
        <v>4</v>
      </c>
      <c r="S4056">
        <v>3</v>
      </c>
      <c r="T4056">
        <v>8</v>
      </c>
      <c r="U4056">
        <v>11</v>
      </c>
      <c r="V4056">
        <v>2</v>
      </c>
      <c r="W4056">
        <v>2</v>
      </c>
      <c r="X4056">
        <v>0</v>
      </c>
      <c r="Y4056">
        <v>0</v>
      </c>
      <c r="Z4056">
        <v>0</v>
      </c>
    </row>
    <row r="4057" spans="1:26" x14ac:dyDescent="0.2">
      <c r="A4057" t="s">
        <v>4175</v>
      </c>
      <c r="B4057" t="s">
        <v>59</v>
      </c>
      <c r="C4057">
        <v>2019</v>
      </c>
      <c r="D4057" t="s">
        <v>69</v>
      </c>
      <c r="E4057" t="s">
        <v>26</v>
      </c>
      <c r="F4057" t="s">
        <v>69</v>
      </c>
      <c r="G4057">
        <v>27359</v>
      </c>
      <c r="H4057">
        <v>21887.200000000001</v>
      </c>
      <c r="I4057" s="13">
        <v>0.66666666666666663</v>
      </c>
      <c r="J4057" t="s">
        <v>6206</v>
      </c>
      <c r="K4057">
        <v>0</v>
      </c>
      <c r="L4057">
        <v>1</v>
      </c>
      <c r="M4057" t="s">
        <v>1</v>
      </c>
      <c r="N4057" s="2">
        <v>0.37</v>
      </c>
      <c r="O4057" s="2">
        <v>0.63</v>
      </c>
      <c r="P4057">
        <v>12</v>
      </c>
      <c r="Q4057">
        <v>6</v>
      </c>
      <c r="R4057">
        <v>2</v>
      </c>
      <c r="S4057">
        <v>7</v>
      </c>
      <c r="T4057">
        <v>5</v>
      </c>
      <c r="U4057">
        <v>11</v>
      </c>
      <c r="V4057">
        <v>1</v>
      </c>
      <c r="W4057">
        <v>2</v>
      </c>
      <c r="X4057">
        <v>0</v>
      </c>
      <c r="Y4057">
        <v>0</v>
      </c>
      <c r="Z4057">
        <v>0</v>
      </c>
    </row>
    <row r="4058" spans="1:26" x14ac:dyDescent="0.2">
      <c r="A4058" t="s">
        <v>4176</v>
      </c>
      <c r="B4058" t="s">
        <v>32</v>
      </c>
      <c r="C4058">
        <v>2019</v>
      </c>
      <c r="D4058" t="s">
        <v>42</v>
      </c>
      <c r="E4058" t="s">
        <v>51</v>
      </c>
      <c r="F4058" t="s">
        <v>38</v>
      </c>
      <c r="G4058">
        <v>42918</v>
      </c>
      <c r="H4058">
        <v>34334.400000000001</v>
      </c>
      <c r="I4058" s="13">
        <v>1</v>
      </c>
      <c r="J4058" t="s">
        <v>6207</v>
      </c>
      <c r="K4058">
        <v>2</v>
      </c>
      <c r="L4058">
        <v>3</v>
      </c>
      <c r="M4058" t="s">
        <v>1</v>
      </c>
      <c r="N4058" s="2">
        <v>0.55000000000000004</v>
      </c>
      <c r="O4058" s="2">
        <v>0.45</v>
      </c>
      <c r="P4058">
        <v>11</v>
      </c>
      <c r="Q4058">
        <v>11</v>
      </c>
      <c r="R4058">
        <v>12</v>
      </c>
      <c r="S4058">
        <v>7</v>
      </c>
      <c r="T4058">
        <v>12</v>
      </c>
      <c r="U4058">
        <v>10</v>
      </c>
      <c r="V4058">
        <v>2</v>
      </c>
      <c r="W4058">
        <v>0</v>
      </c>
      <c r="X4058">
        <v>0</v>
      </c>
      <c r="Y4058">
        <v>0</v>
      </c>
      <c r="Z4058">
        <v>1</v>
      </c>
    </row>
    <row r="4059" spans="1:26" x14ac:dyDescent="0.2">
      <c r="A4059" t="s">
        <v>4177</v>
      </c>
      <c r="B4059" t="s">
        <v>50</v>
      </c>
      <c r="C4059">
        <v>2019</v>
      </c>
      <c r="D4059" t="s">
        <v>46</v>
      </c>
      <c r="E4059" t="s">
        <v>64</v>
      </c>
      <c r="F4059" t="s">
        <v>20</v>
      </c>
      <c r="G4059">
        <v>60704</v>
      </c>
      <c r="H4059">
        <v>48563.200000000004</v>
      </c>
      <c r="I4059" s="13">
        <v>0.5</v>
      </c>
      <c r="J4059" t="s">
        <v>6207</v>
      </c>
      <c r="K4059">
        <v>4</v>
      </c>
      <c r="L4059">
        <v>0</v>
      </c>
      <c r="M4059" t="s">
        <v>0</v>
      </c>
      <c r="N4059" s="2">
        <v>0.69</v>
      </c>
      <c r="O4059" s="2">
        <v>0.31</v>
      </c>
      <c r="P4059">
        <v>13</v>
      </c>
      <c r="Q4059">
        <v>17</v>
      </c>
      <c r="R4059">
        <v>5</v>
      </c>
      <c r="S4059">
        <v>6</v>
      </c>
      <c r="T4059">
        <v>15</v>
      </c>
      <c r="U4059">
        <v>9</v>
      </c>
      <c r="V4059">
        <v>2</v>
      </c>
      <c r="W4059">
        <v>0</v>
      </c>
      <c r="X4059">
        <v>0</v>
      </c>
      <c r="Y4059">
        <v>0</v>
      </c>
      <c r="Z4059">
        <v>0</v>
      </c>
    </row>
    <row r="4060" spans="1:26" x14ac:dyDescent="0.2">
      <c r="A4060" t="s">
        <v>4178</v>
      </c>
      <c r="B4060" t="s">
        <v>61</v>
      </c>
      <c r="C4060">
        <v>2019</v>
      </c>
      <c r="D4060" t="s">
        <v>18</v>
      </c>
      <c r="E4060" t="s">
        <v>48</v>
      </c>
      <c r="F4060" t="s">
        <v>20</v>
      </c>
      <c r="G4060">
        <v>40341</v>
      </c>
      <c r="H4060">
        <v>32272.800000000003</v>
      </c>
      <c r="I4060" s="13">
        <v>0.8571428571428571</v>
      </c>
      <c r="J4060" t="s">
        <v>6207</v>
      </c>
      <c r="K4060">
        <v>0</v>
      </c>
      <c r="L4060">
        <v>2</v>
      </c>
      <c r="M4060" t="s">
        <v>1</v>
      </c>
      <c r="N4060" s="2">
        <v>0.61</v>
      </c>
      <c r="O4060" s="2">
        <v>0.39</v>
      </c>
      <c r="P4060">
        <v>11</v>
      </c>
      <c r="Q4060">
        <v>13</v>
      </c>
      <c r="R4060">
        <v>9</v>
      </c>
      <c r="S4060">
        <v>8</v>
      </c>
      <c r="T4060">
        <v>11</v>
      </c>
      <c r="U4060">
        <v>11</v>
      </c>
      <c r="V4060">
        <v>4</v>
      </c>
      <c r="W4060">
        <v>3</v>
      </c>
      <c r="X4060">
        <v>0</v>
      </c>
      <c r="Y4060">
        <v>0</v>
      </c>
      <c r="Z4060">
        <v>0</v>
      </c>
    </row>
    <row r="4061" spans="1:26" x14ac:dyDescent="0.2">
      <c r="A4061" t="s">
        <v>4179</v>
      </c>
      <c r="B4061" t="s">
        <v>60</v>
      </c>
      <c r="C4061">
        <v>2019</v>
      </c>
      <c r="D4061" t="s">
        <v>40</v>
      </c>
      <c r="E4061" t="s">
        <v>23</v>
      </c>
      <c r="F4061" t="s">
        <v>49</v>
      </c>
      <c r="G4061">
        <v>53400</v>
      </c>
      <c r="H4061">
        <v>42720</v>
      </c>
      <c r="I4061" s="13">
        <v>1</v>
      </c>
      <c r="J4061" t="s">
        <v>6208</v>
      </c>
      <c r="K4061">
        <v>2</v>
      </c>
      <c r="L4061">
        <v>0</v>
      </c>
      <c r="M4061" t="s">
        <v>0</v>
      </c>
      <c r="N4061" s="2">
        <v>0.78</v>
      </c>
      <c r="O4061" s="2">
        <v>0.22</v>
      </c>
      <c r="P4061">
        <v>10</v>
      </c>
      <c r="Q4061">
        <v>7</v>
      </c>
      <c r="R4061">
        <v>6</v>
      </c>
      <c r="S4061">
        <v>1</v>
      </c>
      <c r="T4061">
        <v>5</v>
      </c>
      <c r="U4061">
        <v>7</v>
      </c>
      <c r="V4061">
        <v>0</v>
      </c>
      <c r="W4061">
        <v>1</v>
      </c>
      <c r="X4061">
        <v>0</v>
      </c>
      <c r="Y4061">
        <v>0</v>
      </c>
      <c r="Z4061">
        <v>0</v>
      </c>
    </row>
    <row r="4062" spans="1:26" x14ac:dyDescent="0.2">
      <c r="A4062" t="s">
        <v>4180</v>
      </c>
      <c r="B4062" t="s">
        <v>66</v>
      </c>
      <c r="C4062">
        <v>2019</v>
      </c>
      <c r="D4062" t="s">
        <v>18</v>
      </c>
      <c r="E4062" t="s">
        <v>51</v>
      </c>
      <c r="F4062" t="s">
        <v>20</v>
      </c>
      <c r="G4062">
        <v>40341</v>
      </c>
      <c r="H4062">
        <v>32272.800000000003</v>
      </c>
      <c r="I4062" s="13">
        <v>0.66666666666666663</v>
      </c>
      <c r="J4062" t="s">
        <v>6207</v>
      </c>
      <c r="K4062">
        <v>2</v>
      </c>
      <c r="L4062">
        <v>1</v>
      </c>
      <c r="M4062" t="s">
        <v>0</v>
      </c>
      <c r="N4062" s="2">
        <v>0.49</v>
      </c>
      <c r="O4062" s="2">
        <v>0.51</v>
      </c>
      <c r="P4062">
        <v>13</v>
      </c>
      <c r="Q4062">
        <v>16</v>
      </c>
      <c r="R4062">
        <v>3</v>
      </c>
      <c r="S4062">
        <v>5</v>
      </c>
      <c r="T4062">
        <v>14</v>
      </c>
      <c r="U4062">
        <v>14</v>
      </c>
      <c r="V4062">
        <v>1</v>
      </c>
      <c r="W4062">
        <v>2</v>
      </c>
      <c r="X4062">
        <v>0</v>
      </c>
      <c r="Y4062">
        <v>0</v>
      </c>
      <c r="Z4062">
        <v>0</v>
      </c>
    </row>
    <row r="4063" spans="1:26" x14ac:dyDescent="0.2">
      <c r="A4063" t="s">
        <v>4181</v>
      </c>
      <c r="B4063" t="s">
        <v>76</v>
      </c>
      <c r="C4063">
        <v>2019</v>
      </c>
      <c r="D4063" t="s">
        <v>73</v>
      </c>
      <c r="E4063" t="s">
        <v>42</v>
      </c>
      <c r="F4063" t="s">
        <v>73</v>
      </c>
      <c r="G4063">
        <v>32384</v>
      </c>
      <c r="H4063">
        <v>25907.200000000001</v>
      </c>
      <c r="I4063" s="13">
        <v>0.4</v>
      </c>
      <c r="J4063" t="s">
        <v>6207</v>
      </c>
      <c r="K4063">
        <v>2</v>
      </c>
      <c r="L4063">
        <v>0</v>
      </c>
      <c r="M4063" t="s">
        <v>0</v>
      </c>
      <c r="N4063" s="2">
        <v>0.46</v>
      </c>
      <c r="O4063" s="2">
        <v>0.54</v>
      </c>
      <c r="P4063">
        <v>20</v>
      </c>
      <c r="Q4063">
        <v>13</v>
      </c>
      <c r="R4063">
        <v>9</v>
      </c>
      <c r="S4063">
        <v>6</v>
      </c>
      <c r="T4063">
        <v>13</v>
      </c>
      <c r="U4063">
        <v>17</v>
      </c>
      <c r="V4063">
        <v>1</v>
      </c>
      <c r="W4063">
        <v>4</v>
      </c>
      <c r="X4063">
        <v>0</v>
      </c>
      <c r="Y4063">
        <v>0</v>
      </c>
      <c r="Z4063">
        <v>0</v>
      </c>
    </row>
    <row r="4064" spans="1:26" x14ac:dyDescent="0.2">
      <c r="A4064" t="s">
        <v>4182</v>
      </c>
      <c r="B4064" t="s">
        <v>83</v>
      </c>
      <c r="C4064">
        <v>2019</v>
      </c>
      <c r="D4064" t="s">
        <v>95</v>
      </c>
      <c r="E4064" t="s">
        <v>90</v>
      </c>
      <c r="F4064" t="s">
        <v>57</v>
      </c>
      <c r="G4064">
        <v>32050</v>
      </c>
      <c r="H4064">
        <v>25640</v>
      </c>
      <c r="I4064" s="13">
        <v>1</v>
      </c>
      <c r="J4064" t="s">
        <v>6208</v>
      </c>
      <c r="K4064">
        <v>1</v>
      </c>
      <c r="L4064">
        <v>1</v>
      </c>
      <c r="M4064" t="s">
        <v>58</v>
      </c>
      <c r="N4064" s="2">
        <v>0.66</v>
      </c>
      <c r="O4064" s="2">
        <v>0.34</v>
      </c>
      <c r="P4064">
        <v>8</v>
      </c>
      <c r="Q4064">
        <v>6</v>
      </c>
      <c r="R4064">
        <v>12</v>
      </c>
      <c r="S4064">
        <v>2</v>
      </c>
      <c r="T4064">
        <v>5</v>
      </c>
      <c r="U4064">
        <v>6</v>
      </c>
      <c r="V4064">
        <v>0</v>
      </c>
      <c r="W4064">
        <v>2</v>
      </c>
      <c r="X4064">
        <v>0</v>
      </c>
      <c r="Y4064">
        <v>0</v>
      </c>
      <c r="Z4064">
        <v>0</v>
      </c>
    </row>
    <row r="4065" spans="1:26" x14ac:dyDescent="0.2">
      <c r="A4065" t="s">
        <v>4183</v>
      </c>
      <c r="B4065" t="s">
        <v>97</v>
      </c>
      <c r="C4065">
        <v>2019</v>
      </c>
      <c r="D4065" t="s">
        <v>79</v>
      </c>
      <c r="E4065" t="s">
        <v>64</v>
      </c>
      <c r="F4065" t="s">
        <v>20</v>
      </c>
      <c r="G4065">
        <v>25486</v>
      </c>
      <c r="H4065">
        <v>20388.800000000003</v>
      </c>
      <c r="I4065" s="13">
        <v>0.55555555555555558</v>
      </c>
      <c r="J4065" t="s">
        <v>6207</v>
      </c>
      <c r="K4065">
        <v>1</v>
      </c>
      <c r="L4065">
        <v>0</v>
      </c>
      <c r="M4065" t="s">
        <v>0</v>
      </c>
      <c r="N4065" s="2">
        <v>0.44</v>
      </c>
      <c r="O4065" s="2">
        <v>0.56000000000000005</v>
      </c>
      <c r="P4065">
        <v>14</v>
      </c>
      <c r="Q4065">
        <v>15</v>
      </c>
      <c r="R4065">
        <v>7</v>
      </c>
      <c r="S4065">
        <v>5</v>
      </c>
      <c r="T4065">
        <v>15</v>
      </c>
      <c r="U4065">
        <v>11</v>
      </c>
      <c r="V4065">
        <v>2</v>
      </c>
      <c r="W4065">
        <v>6</v>
      </c>
      <c r="X4065">
        <v>0</v>
      </c>
      <c r="Y4065">
        <v>1</v>
      </c>
      <c r="Z4065">
        <v>0</v>
      </c>
    </row>
    <row r="4066" spans="1:26" x14ac:dyDescent="0.2">
      <c r="A4066" t="s">
        <v>4184</v>
      </c>
      <c r="B4066" t="s">
        <v>41</v>
      </c>
      <c r="C4066">
        <v>2019</v>
      </c>
      <c r="D4066" t="s">
        <v>28</v>
      </c>
      <c r="E4066" t="s">
        <v>86</v>
      </c>
      <c r="F4066" t="s">
        <v>28</v>
      </c>
      <c r="G4066">
        <v>21944</v>
      </c>
      <c r="H4066">
        <v>17555.2</v>
      </c>
      <c r="I4066" s="13">
        <v>0.14285714285714285</v>
      </c>
      <c r="J4066" t="s">
        <v>6207</v>
      </c>
      <c r="K4066">
        <v>3</v>
      </c>
      <c r="L4066">
        <v>0</v>
      </c>
      <c r="M4066" t="s">
        <v>0</v>
      </c>
      <c r="N4066" s="2">
        <v>0.42</v>
      </c>
      <c r="O4066" s="2">
        <v>0.57999999999999996</v>
      </c>
      <c r="P4066">
        <v>7</v>
      </c>
      <c r="Q4066">
        <v>9</v>
      </c>
      <c r="R4066">
        <v>7</v>
      </c>
      <c r="S4066">
        <v>3</v>
      </c>
      <c r="T4066">
        <v>9</v>
      </c>
      <c r="U4066">
        <v>9</v>
      </c>
      <c r="V4066">
        <v>4</v>
      </c>
      <c r="W4066">
        <v>3</v>
      </c>
      <c r="X4066">
        <v>0</v>
      </c>
      <c r="Y4066">
        <v>0</v>
      </c>
      <c r="Z4066">
        <v>1</v>
      </c>
    </row>
    <row r="4067" spans="1:26" x14ac:dyDescent="0.2">
      <c r="A4067" t="s">
        <v>4185</v>
      </c>
      <c r="B4067" t="s">
        <v>81</v>
      </c>
      <c r="C4067">
        <v>2019</v>
      </c>
      <c r="D4067" t="s">
        <v>80</v>
      </c>
      <c r="E4067" t="s">
        <v>40</v>
      </c>
      <c r="F4067" t="s">
        <v>80</v>
      </c>
      <c r="G4067">
        <v>32261</v>
      </c>
      <c r="H4067">
        <v>25808.800000000003</v>
      </c>
      <c r="I4067" s="13">
        <v>0</v>
      </c>
      <c r="J4067" t="s">
        <v>6207</v>
      </c>
      <c r="K4067">
        <v>0</v>
      </c>
      <c r="L4067">
        <v>1</v>
      </c>
      <c r="M4067" t="s">
        <v>1</v>
      </c>
      <c r="N4067" s="2">
        <v>0.32</v>
      </c>
      <c r="O4067" s="2">
        <v>0.68</v>
      </c>
      <c r="P4067">
        <v>11</v>
      </c>
      <c r="Q4067">
        <v>14</v>
      </c>
      <c r="R4067">
        <v>3</v>
      </c>
      <c r="S4067">
        <v>7</v>
      </c>
      <c r="T4067">
        <v>14</v>
      </c>
      <c r="U4067">
        <v>10</v>
      </c>
      <c r="V4067">
        <v>0</v>
      </c>
      <c r="W4067">
        <v>0</v>
      </c>
      <c r="X4067">
        <v>0</v>
      </c>
      <c r="Y4067">
        <v>0</v>
      </c>
      <c r="Z4067">
        <v>1</v>
      </c>
    </row>
    <row r="4068" spans="1:26" x14ac:dyDescent="0.2">
      <c r="A4068" t="s">
        <v>4186</v>
      </c>
      <c r="B4068" t="s">
        <v>88</v>
      </c>
      <c r="C4068">
        <v>2019</v>
      </c>
      <c r="D4068" t="s">
        <v>22</v>
      </c>
      <c r="E4068" t="s">
        <v>69</v>
      </c>
      <c r="F4068" t="s">
        <v>24</v>
      </c>
      <c r="G4068">
        <v>31750</v>
      </c>
      <c r="H4068">
        <v>25400</v>
      </c>
      <c r="I4068" s="13">
        <v>0.4</v>
      </c>
      <c r="J4068" t="s">
        <v>6207</v>
      </c>
      <c r="K4068">
        <v>3</v>
      </c>
      <c r="L4068">
        <v>0</v>
      </c>
      <c r="M4068" t="s">
        <v>0</v>
      </c>
      <c r="N4068" s="2">
        <v>0.4</v>
      </c>
      <c r="O4068" s="2">
        <v>0.6</v>
      </c>
      <c r="P4068">
        <v>6</v>
      </c>
      <c r="Q4068">
        <v>13</v>
      </c>
      <c r="R4068">
        <v>4</v>
      </c>
      <c r="S4068">
        <v>1</v>
      </c>
      <c r="T4068">
        <v>11</v>
      </c>
      <c r="U4068">
        <v>6</v>
      </c>
      <c r="V4068">
        <v>2</v>
      </c>
      <c r="W4068">
        <v>3</v>
      </c>
      <c r="X4068">
        <v>0</v>
      </c>
      <c r="Y4068">
        <v>0</v>
      </c>
      <c r="Z4068">
        <v>0</v>
      </c>
    </row>
    <row r="4069" spans="1:26" x14ac:dyDescent="0.2">
      <c r="A4069" t="s">
        <v>4187</v>
      </c>
      <c r="B4069" t="s">
        <v>32</v>
      </c>
      <c r="C4069">
        <v>2019</v>
      </c>
      <c r="D4069" t="s">
        <v>48</v>
      </c>
      <c r="E4069" t="s">
        <v>85</v>
      </c>
      <c r="F4069" t="s">
        <v>49</v>
      </c>
      <c r="G4069">
        <v>74197</v>
      </c>
      <c r="H4069">
        <v>59357.600000000006</v>
      </c>
      <c r="I4069" s="13">
        <v>0</v>
      </c>
      <c r="J4069" t="s">
        <v>6207</v>
      </c>
      <c r="K4069">
        <v>3</v>
      </c>
      <c r="L4069">
        <v>0</v>
      </c>
      <c r="M4069" t="s">
        <v>0</v>
      </c>
      <c r="N4069" s="2">
        <v>0.57999999999999996</v>
      </c>
      <c r="O4069" s="2">
        <v>0.42</v>
      </c>
      <c r="P4069">
        <v>15</v>
      </c>
      <c r="Q4069">
        <v>7</v>
      </c>
      <c r="R4069">
        <v>3</v>
      </c>
      <c r="S4069">
        <v>5</v>
      </c>
      <c r="T4069">
        <v>6</v>
      </c>
      <c r="U4069">
        <v>15</v>
      </c>
      <c r="V4069">
        <v>0</v>
      </c>
      <c r="W4069">
        <v>1</v>
      </c>
      <c r="X4069">
        <v>0</v>
      </c>
      <c r="Y4069">
        <v>0</v>
      </c>
      <c r="Z4069">
        <v>1</v>
      </c>
    </row>
    <row r="4070" spans="1:26" x14ac:dyDescent="0.2">
      <c r="A4070" t="s">
        <v>4188</v>
      </c>
      <c r="B4070" t="s">
        <v>59</v>
      </c>
      <c r="C4070">
        <v>2019</v>
      </c>
      <c r="D4070" t="s">
        <v>46</v>
      </c>
      <c r="E4070" t="s">
        <v>45</v>
      </c>
      <c r="F4070" t="s">
        <v>20</v>
      </c>
      <c r="G4070">
        <v>60704</v>
      </c>
      <c r="H4070">
        <v>48563.200000000004</v>
      </c>
      <c r="I4070" s="13">
        <v>1</v>
      </c>
      <c r="J4070" t="s">
        <v>6206</v>
      </c>
      <c r="K4070">
        <v>3</v>
      </c>
      <c r="L4070">
        <v>2</v>
      </c>
      <c r="M4070" t="s">
        <v>0</v>
      </c>
      <c r="N4070" s="2">
        <v>0.51</v>
      </c>
      <c r="O4070" s="2">
        <v>0.49</v>
      </c>
      <c r="P4070">
        <v>15</v>
      </c>
      <c r="Q4070">
        <v>14</v>
      </c>
      <c r="R4070">
        <v>6</v>
      </c>
      <c r="S4070">
        <v>3</v>
      </c>
      <c r="T4070">
        <v>12</v>
      </c>
      <c r="U4070">
        <v>12</v>
      </c>
      <c r="V4070">
        <v>0</v>
      </c>
      <c r="W4070">
        <v>4</v>
      </c>
      <c r="X4070">
        <v>0</v>
      </c>
      <c r="Y4070">
        <v>0</v>
      </c>
      <c r="Z4070">
        <v>0</v>
      </c>
    </row>
    <row r="4071" spans="1:26" x14ac:dyDescent="0.2">
      <c r="A4071" t="s">
        <v>4189</v>
      </c>
      <c r="B4071" t="s">
        <v>68</v>
      </c>
      <c r="C4071">
        <v>2019</v>
      </c>
      <c r="D4071" t="s">
        <v>26</v>
      </c>
      <c r="E4071" t="s">
        <v>23</v>
      </c>
      <c r="F4071" t="s">
        <v>26</v>
      </c>
      <c r="G4071">
        <v>61276</v>
      </c>
      <c r="H4071">
        <v>49020.800000000003</v>
      </c>
      <c r="I4071" s="13">
        <v>0.33333333333333331</v>
      </c>
      <c r="J4071" t="s">
        <v>6207</v>
      </c>
      <c r="K4071">
        <v>3</v>
      </c>
      <c r="L4071">
        <v>2</v>
      </c>
      <c r="M4071" t="s">
        <v>0</v>
      </c>
      <c r="N4071" s="2">
        <v>0.69</v>
      </c>
      <c r="O4071" s="2">
        <v>0.31</v>
      </c>
      <c r="P4071">
        <v>12</v>
      </c>
      <c r="Q4071">
        <v>6</v>
      </c>
      <c r="R4071">
        <v>16</v>
      </c>
      <c r="S4071">
        <v>8</v>
      </c>
      <c r="T4071">
        <v>4</v>
      </c>
      <c r="U4071">
        <v>10</v>
      </c>
      <c r="V4071">
        <v>0</v>
      </c>
      <c r="W4071">
        <v>3</v>
      </c>
      <c r="X4071">
        <v>0</v>
      </c>
      <c r="Y4071">
        <v>0</v>
      </c>
      <c r="Z4071">
        <v>0</v>
      </c>
    </row>
    <row r="4072" spans="1:26" x14ac:dyDescent="0.2">
      <c r="A4072" t="s">
        <v>4190</v>
      </c>
      <c r="B4072" t="s">
        <v>76</v>
      </c>
      <c r="C4072">
        <v>2019</v>
      </c>
      <c r="D4072" t="s">
        <v>69</v>
      </c>
      <c r="E4072" t="s">
        <v>80</v>
      </c>
      <c r="F4072" t="s">
        <v>69</v>
      </c>
      <c r="G4072">
        <v>27359</v>
      </c>
      <c r="H4072">
        <v>21887.200000000001</v>
      </c>
      <c r="I4072" s="13">
        <v>0.66666666666666663</v>
      </c>
      <c r="J4072" t="s">
        <v>6207</v>
      </c>
      <c r="K4072">
        <v>1</v>
      </c>
      <c r="L4072">
        <v>0</v>
      </c>
      <c r="M4072" t="s">
        <v>0</v>
      </c>
      <c r="N4072" s="2">
        <v>0.42</v>
      </c>
      <c r="O4072" s="2">
        <v>0.57999999999999996</v>
      </c>
      <c r="P4072">
        <v>16</v>
      </c>
      <c r="Q4072">
        <v>16</v>
      </c>
      <c r="R4072">
        <v>6</v>
      </c>
      <c r="S4072">
        <v>7</v>
      </c>
      <c r="T4072">
        <v>13</v>
      </c>
      <c r="U4072">
        <v>16</v>
      </c>
      <c r="V4072">
        <v>1</v>
      </c>
      <c r="W4072">
        <v>2</v>
      </c>
      <c r="X4072">
        <v>0</v>
      </c>
      <c r="Y4072">
        <v>0</v>
      </c>
      <c r="Z4072">
        <v>0</v>
      </c>
    </row>
    <row r="4073" spans="1:26" x14ac:dyDescent="0.2">
      <c r="A4073" t="s">
        <v>4191</v>
      </c>
      <c r="B4073" t="s">
        <v>32</v>
      </c>
      <c r="C4073">
        <v>2019</v>
      </c>
      <c r="D4073" t="s">
        <v>90</v>
      </c>
      <c r="E4073" t="s">
        <v>79</v>
      </c>
      <c r="F4073" t="s">
        <v>91</v>
      </c>
      <c r="G4073">
        <v>31876</v>
      </c>
      <c r="H4073">
        <v>25500.800000000003</v>
      </c>
      <c r="I4073" s="13">
        <v>1</v>
      </c>
      <c r="J4073" t="s">
        <v>6207</v>
      </c>
      <c r="K4073">
        <v>0</v>
      </c>
      <c r="L4073">
        <v>1</v>
      </c>
      <c r="M4073" t="s">
        <v>1</v>
      </c>
      <c r="N4073" s="2">
        <v>0.66</v>
      </c>
      <c r="O4073" s="2">
        <v>0.34</v>
      </c>
      <c r="P4073">
        <v>11</v>
      </c>
      <c r="Q4073">
        <v>10</v>
      </c>
      <c r="R4073">
        <v>8</v>
      </c>
      <c r="S4073">
        <v>7</v>
      </c>
      <c r="T4073">
        <v>8</v>
      </c>
      <c r="U4073">
        <v>9</v>
      </c>
      <c r="V4073">
        <v>2</v>
      </c>
      <c r="W4073">
        <v>1</v>
      </c>
      <c r="X4073">
        <v>0</v>
      </c>
      <c r="Y4073">
        <v>0</v>
      </c>
      <c r="Z4073">
        <v>0</v>
      </c>
    </row>
    <row r="4074" spans="1:26" x14ac:dyDescent="0.2">
      <c r="A4074" t="s">
        <v>4192</v>
      </c>
      <c r="B4074" t="s">
        <v>61</v>
      </c>
      <c r="C4074">
        <v>2019</v>
      </c>
      <c r="D4074" t="s">
        <v>23</v>
      </c>
      <c r="E4074" t="s">
        <v>73</v>
      </c>
      <c r="F4074" t="s">
        <v>20</v>
      </c>
      <c r="G4074">
        <v>62500</v>
      </c>
      <c r="H4074">
        <v>50000</v>
      </c>
      <c r="I4074" s="13">
        <v>0</v>
      </c>
      <c r="J4074" t="s">
        <v>6207</v>
      </c>
      <c r="K4074">
        <v>3</v>
      </c>
      <c r="L4074">
        <v>1</v>
      </c>
      <c r="M4074" t="s">
        <v>0</v>
      </c>
      <c r="N4074" s="2">
        <v>0.34</v>
      </c>
      <c r="O4074" s="2">
        <v>0.66</v>
      </c>
      <c r="P4074">
        <v>12</v>
      </c>
      <c r="Q4074">
        <v>8</v>
      </c>
      <c r="R4074">
        <v>4</v>
      </c>
      <c r="S4074">
        <v>9</v>
      </c>
      <c r="T4074">
        <v>8</v>
      </c>
      <c r="U4074">
        <v>11</v>
      </c>
      <c r="V4074">
        <v>1</v>
      </c>
      <c r="W4074">
        <v>1</v>
      </c>
      <c r="X4074">
        <v>0</v>
      </c>
      <c r="Y4074">
        <v>0</v>
      </c>
      <c r="Z4074">
        <v>0</v>
      </c>
    </row>
    <row r="4075" spans="1:26" x14ac:dyDescent="0.2">
      <c r="A4075" t="s">
        <v>4193</v>
      </c>
      <c r="B4075" t="s">
        <v>92</v>
      </c>
      <c r="C4075">
        <v>2019</v>
      </c>
      <c r="D4075" t="s">
        <v>64</v>
      </c>
      <c r="E4075" t="s">
        <v>28</v>
      </c>
      <c r="F4075" t="s">
        <v>64</v>
      </c>
      <c r="G4075">
        <v>52264</v>
      </c>
      <c r="H4075">
        <v>41811.200000000004</v>
      </c>
      <c r="I4075" s="13">
        <v>0.14285714285714285</v>
      </c>
      <c r="J4075" t="s">
        <v>6207</v>
      </c>
      <c r="K4075">
        <v>0</v>
      </c>
      <c r="L4075">
        <v>0</v>
      </c>
      <c r="M4075" t="s">
        <v>58</v>
      </c>
      <c r="N4075" s="2">
        <v>0.54</v>
      </c>
      <c r="O4075" s="2">
        <v>0.46</v>
      </c>
      <c r="P4075">
        <v>12</v>
      </c>
      <c r="Q4075">
        <v>13</v>
      </c>
      <c r="R4075">
        <v>11</v>
      </c>
      <c r="S4075">
        <v>7</v>
      </c>
      <c r="T4075">
        <v>11</v>
      </c>
      <c r="U4075">
        <v>9</v>
      </c>
      <c r="V4075">
        <v>4</v>
      </c>
      <c r="W4075">
        <v>3</v>
      </c>
      <c r="X4075">
        <v>0</v>
      </c>
      <c r="Y4075">
        <v>0</v>
      </c>
      <c r="Z4075">
        <v>0</v>
      </c>
    </row>
    <row r="4076" spans="1:26" x14ac:dyDescent="0.2">
      <c r="A4076" t="s">
        <v>4194</v>
      </c>
      <c r="B4076" t="s">
        <v>37</v>
      </c>
      <c r="C4076">
        <v>2019</v>
      </c>
      <c r="D4076" t="s">
        <v>86</v>
      </c>
      <c r="E4076" t="s">
        <v>18</v>
      </c>
      <c r="F4076" t="s">
        <v>86</v>
      </c>
      <c r="G4076">
        <v>11364</v>
      </c>
      <c r="H4076">
        <v>9091.2000000000007</v>
      </c>
      <c r="I4076" s="13">
        <v>0.5</v>
      </c>
      <c r="J4076" t="s">
        <v>6206</v>
      </c>
      <c r="K4076">
        <v>2</v>
      </c>
      <c r="L4076">
        <v>2</v>
      </c>
      <c r="M4076" t="s">
        <v>58</v>
      </c>
      <c r="N4076" s="2">
        <v>0.27</v>
      </c>
      <c r="O4076" s="2">
        <v>0.73</v>
      </c>
      <c r="P4076">
        <v>8</v>
      </c>
      <c r="Q4076">
        <v>9</v>
      </c>
      <c r="R4076">
        <v>4</v>
      </c>
      <c r="S4076">
        <v>14</v>
      </c>
      <c r="T4076">
        <v>8</v>
      </c>
      <c r="U4076">
        <v>5</v>
      </c>
      <c r="V4076">
        <v>2</v>
      </c>
      <c r="W4076">
        <v>2</v>
      </c>
      <c r="X4076">
        <v>0</v>
      </c>
      <c r="Y4076">
        <v>0</v>
      </c>
      <c r="Z4076">
        <v>0</v>
      </c>
    </row>
    <row r="4077" spans="1:26" x14ac:dyDescent="0.2">
      <c r="A4077" t="s">
        <v>4195</v>
      </c>
      <c r="B4077" t="s">
        <v>66</v>
      </c>
      <c r="C4077">
        <v>2019</v>
      </c>
      <c r="D4077" t="s">
        <v>85</v>
      </c>
      <c r="E4077" t="s">
        <v>26</v>
      </c>
      <c r="F4077" t="s">
        <v>85</v>
      </c>
      <c r="G4077">
        <v>22220</v>
      </c>
      <c r="H4077">
        <v>17776</v>
      </c>
      <c r="I4077" s="13">
        <v>0</v>
      </c>
      <c r="J4077" t="s">
        <v>6207</v>
      </c>
      <c r="K4077">
        <v>3</v>
      </c>
      <c r="L4077">
        <v>0</v>
      </c>
      <c r="M4077" t="s">
        <v>0</v>
      </c>
      <c r="N4077" s="2">
        <v>0.28999999999999998</v>
      </c>
      <c r="O4077" s="2">
        <v>0.71</v>
      </c>
      <c r="P4077">
        <v>9</v>
      </c>
      <c r="Q4077">
        <v>9</v>
      </c>
      <c r="R4077">
        <v>3</v>
      </c>
      <c r="S4077">
        <v>5</v>
      </c>
      <c r="T4077">
        <v>4</v>
      </c>
      <c r="U4077">
        <v>8</v>
      </c>
      <c r="V4077">
        <v>0</v>
      </c>
      <c r="W4077">
        <v>0</v>
      </c>
      <c r="X4077">
        <v>0</v>
      </c>
      <c r="Y4077">
        <v>0</v>
      </c>
      <c r="Z4077">
        <v>0</v>
      </c>
    </row>
    <row r="4078" spans="1:26" x14ac:dyDescent="0.2">
      <c r="A4078" t="s">
        <v>4196</v>
      </c>
      <c r="B4078" t="s">
        <v>59</v>
      </c>
      <c r="C4078">
        <v>2019</v>
      </c>
      <c r="D4078" t="s">
        <v>51</v>
      </c>
      <c r="E4078" t="s">
        <v>22</v>
      </c>
      <c r="F4078" t="s">
        <v>20</v>
      </c>
      <c r="G4078">
        <v>36284</v>
      </c>
      <c r="H4078">
        <v>29027.200000000001</v>
      </c>
      <c r="I4078" s="13">
        <v>0.6</v>
      </c>
      <c r="J4078" t="s">
        <v>6206</v>
      </c>
      <c r="K4078">
        <v>2</v>
      </c>
      <c r="L4078">
        <v>3</v>
      </c>
      <c r="M4078" t="s">
        <v>1</v>
      </c>
      <c r="N4078" s="2">
        <v>0.65</v>
      </c>
      <c r="O4078" s="2">
        <v>0.35</v>
      </c>
      <c r="P4078">
        <v>14</v>
      </c>
      <c r="Q4078">
        <v>11</v>
      </c>
      <c r="R4078">
        <v>4</v>
      </c>
      <c r="S4078">
        <v>5</v>
      </c>
      <c r="T4078">
        <v>12</v>
      </c>
      <c r="U4078">
        <v>14</v>
      </c>
      <c r="V4078">
        <v>3</v>
      </c>
      <c r="W4078">
        <v>2</v>
      </c>
      <c r="X4078">
        <v>0</v>
      </c>
      <c r="Y4078">
        <v>0</v>
      </c>
      <c r="Z4078">
        <v>0</v>
      </c>
    </row>
    <row r="4079" spans="1:26" x14ac:dyDescent="0.2">
      <c r="A4079" t="s">
        <v>4197</v>
      </c>
      <c r="B4079" t="s">
        <v>88</v>
      </c>
      <c r="C4079">
        <v>2019</v>
      </c>
      <c r="D4079" t="s">
        <v>45</v>
      </c>
      <c r="E4079" t="s">
        <v>48</v>
      </c>
      <c r="F4079" t="s">
        <v>26</v>
      </c>
      <c r="G4079">
        <v>39572</v>
      </c>
      <c r="H4079">
        <v>31657.600000000002</v>
      </c>
      <c r="I4079" s="13">
        <v>0.375</v>
      </c>
      <c r="J4079" t="s">
        <v>6207</v>
      </c>
      <c r="K4079">
        <v>1</v>
      </c>
      <c r="L4079">
        <v>1</v>
      </c>
      <c r="M4079" t="s">
        <v>58</v>
      </c>
      <c r="N4079" s="2">
        <v>0.44</v>
      </c>
      <c r="O4079" s="2">
        <v>0.56000000000000005</v>
      </c>
      <c r="P4079">
        <v>12</v>
      </c>
      <c r="Q4079">
        <v>13</v>
      </c>
      <c r="R4079">
        <v>13</v>
      </c>
      <c r="S4079">
        <v>8</v>
      </c>
      <c r="T4079">
        <v>11</v>
      </c>
      <c r="U4079">
        <v>11</v>
      </c>
      <c r="V4079">
        <v>3</v>
      </c>
      <c r="W4079">
        <v>4</v>
      </c>
      <c r="X4079">
        <v>1</v>
      </c>
      <c r="Y4079">
        <v>0</v>
      </c>
      <c r="Z4079">
        <v>0</v>
      </c>
    </row>
    <row r="4080" spans="1:26" x14ac:dyDescent="0.2">
      <c r="A4080" t="s">
        <v>4198</v>
      </c>
      <c r="B4080" t="s">
        <v>81</v>
      </c>
      <c r="C4080">
        <v>2019</v>
      </c>
      <c r="D4080" t="s">
        <v>26</v>
      </c>
      <c r="E4080" t="s">
        <v>86</v>
      </c>
      <c r="F4080" t="s">
        <v>26</v>
      </c>
      <c r="G4080">
        <v>61276</v>
      </c>
      <c r="H4080">
        <v>49020.800000000003</v>
      </c>
      <c r="I4080" s="13">
        <v>0</v>
      </c>
      <c r="J4080" t="s">
        <v>6207</v>
      </c>
      <c r="K4080">
        <v>2</v>
      </c>
      <c r="L4080">
        <v>1</v>
      </c>
      <c r="M4080" t="s">
        <v>0</v>
      </c>
      <c r="N4080" s="2">
        <v>0.74</v>
      </c>
      <c r="O4080" s="2">
        <v>0.26</v>
      </c>
      <c r="P4080">
        <v>16</v>
      </c>
      <c r="Q4080">
        <v>11</v>
      </c>
      <c r="R4080">
        <v>9</v>
      </c>
      <c r="S4080">
        <v>4</v>
      </c>
      <c r="T4080">
        <v>10</v>
      </c>
      <c r="U4080">
        <v>12</v>
      </c>
      <c r="V4080">
        <v>0</v>
      </c>
      <c r="W4080">
        <v>1</v>
      </c>
      <c r="X4080">
        <v>0</v>
      </c>
      <c r="Y4080">
        <v>0</v>
      </c>
      <c r="Z4080">
        <v>0</v>
      </c>
    </row>
    <row r="4081" spans="1:26" x14ac:dyDescent="0.2">
      <c r="A4081" t="s">
        <v>4199</v>
      </c>
      <c r="B4081" t="s">
        <v>37</v>
      </c>
      <c r="C4081">
        <v>2019</v>
      </c>
      <c r="D4081" t="s">
        <v>22</v>
      </c>
      <c r="E4081" t="s">
        <v>90</v>
      </c>
      <c r="F4081" t="s">
        <v>24</v>
      </c>
      <c r="G4081">
        <v>31750</v>
      </c>
      <c r="H4081">
        <v>25400</v>
      </c>
      <c r="I4081" s="13">
        <v>0.5</v>
      </c>
      <c r="J4081" t="s">
        <v>6206</v>
      </c>
      <c r="K4081">
        <v>0</v>
      </c>
      <c r="L4081">
        <v>0</v>
      </c>
      <c r="M4081" t="s">
        <v>58</v>
      </c>
      <c r="N4081" s="2">
        <v>0.43</v>
      </c>
      <c r="O4081" s="2">
        <v>0.56999999999999995</v>
      </c>
      <c r="P4081">
        <v>7</v>
      </c>
      <c r="Q4081">
        <v>4</v>
      </c>
      <c r="R4081">
        <v>2</v>
      </c>
      <c r="S4081">
        <v>0</v>
      </c>
      <c r="T4081">
        <v>4</v>
      </c>
      <c r="U4081">
        <v>7</v>
      </c>
      <c r="V4081">
        <v>1</v>
      </c>
      <c r="W4081">
        <v>3</v>
      </c>
      <c r="X4081">
        <v>0</v>
      </c>
      <c r="Y4081">
        <v>0</v>
      </c>
      <c r="Z4081">
        <v>0</v>
      </c>
    </row>
    <row r="4082" spans="1:26" x14ac:dyDescent="0.2">
      <c r="A4082" t="s">
        <v>4200</v>
      </c>
      <c r="B4082" t="s">
        <v>83</v>
      </c>
      <c r="C4082">
        <v>2019</v>
      </c>
      <c r="D4082" t="s">
        <v>73</v>
      </c>
      <c r="E4082" t="s">
        <v>64</v>
      </c>
      <c r="F4082" t="s">
        <v>73</v>
      </c>
      <c r="G4082">
        <v>32384</v>
      </c>
      <c r="H4082">
        <v>25907.200000000001</v>
      </c>
      <c r="I4082" s="13">
        <v>0.75</v>
      </c>
      <c r="J4082" t="s">
        <v>6208</v>
      </c>
      <c r="K4082">
        <v>0</v>
      </c>
      <c r="L4082">
        <v>1</v>
      </c>
      <c r="M4082" t="s">
        <v>1</v>
      </c>
      <c r="N4082" s="2">
        <v>0.38</v>
      </c>
      <c r="O4082" s="2">
        <v>0.62</v>
      </c>
      <c r="P4082">
        <v>17</v>
      </c>
      <c r="Q4082">
        <v>13</v>
      </c>
      <c r="R4082">
        <v>5</v>
      </c>
      <c r="S4082">
        <v>8</v>
      </c>
      <c r="T4082">
        <v>14</v>
      </c>
      <c r="U4082">
        <v>15</v>
      </c>
      <c r="V4082">
        <v>0</v>
      </c>
      <c r="W4082">
        <v>3</v>
      </c>
      <c r="X4082">
        <v>1</v>
      </c>
      <c r="Y4082">
        <v>0</v>
      </c>
      <c r="Z4082">
        <v>1</v>
      </c>
    </row>
    <row r="4083" spans="1:26" x14ac:dyDescent="0.2">
      <c r="A4083" t="s">
        <v>4201</v>
      </c>
      <c r="B4083" t="s">
        <v>84</v>
      </c>
      <c r="C4083">
        <v>2019</v>
      </c>
      <c r="D4083" t="s">
        <v>95</v>
      </c>
      <c r="E4083" t="s">
        <v>69</v>
      </c>
      <c r="F4083" t="s">
        <v>57</v>
      </c>
      <c r="G4083">
        <v>32050</v>
      </c>
      <c r="H4083">
        <v>25640</v>
      </c>
      <c r="I4083" s="13">
        <v>0</v>
      </c>
      <c r="J4083" t="s">
        <v>6208</v>
      </c>
      <c r="K4083">
        <v>1</v>
      </c>
      <c r="L4083">
        <v>0</v>
      </c>
      <c r="M4083" t="s">
        <v>0</v>
      </c>
      <c r="N4083" s="2">
        <v>0.42</v>
      </c>
      <c r="O4083" s="2">
        <v>0.57999999999999996</v>
      </c>
      <c r="P4083">
        <v>11</v>
      </c>
      <c r="Q4083">
        <v>14</v>
      </c>
      <c r="R4083">
        <v>10</v>
      </c>
      <c r="S4083">
        <v>5</v>
      </c>
      <c r="T4083">
        <v>12</v>
      </c>
      <c r="U4083">
        <v>8</v>
      </c>
      <c r="V4083">
        <v>0</v>
      </c>
      <c r="W4083">
        <v>0</v>
      </c>
      <c r="X4083">
        <v>0</v>
      </c>
      <c r="Y4083">
        <v>0</v>
      </c>
      <c r="Z4083">
        <v>0</v>
      </c>
    </row>
    <row r="4084" spans="1:26" x14ac:dyDescent="0.2">
      <c r="A4084" t="s">
        <v>4202</v>
      </c>
      <c r="B4084" t="s">
        <v>61</v>
      </c>
      <c r="C4084">
        <v>2019</v>
      </c>
      <c r="D4084" t="s">
        <v>79</v>
      </c>
      <c r="E4084" t="s">
        <v>85</v>
      </c>
      <c r="F4084" t="s">
        <v>20</v>
      </c>
      <c r="G4084">
        <v>25486</v>
      </c>
      <c r="H4084">
        <v>20388.800000000003</v>
      </c>
      <c r="I4084" s="13">
        <v>1</v>
      </c>
      <c r="J4084" t="s">
        <v>6207</v>
      </c>
      <c r="K4084">
        <v>1</v>
      </c>
      <c r="L4084">
        <v>0</v>
      </c>
      <c r="M4084" t="s">
        <v>0</v>
      </c>
      <c r="N4084" s="2">
        <v>0.45</v>
      </c>
      <c r="O4084" s="2">
        <v>0.55000000000000004</v>
      </c>
      <c r="P4084">
        <v>17</v>
      </c>
      <c r="Q4084">
        <v>16</v>
      </c>
      <c r="R4084">
        <v>8</v>
      </c>
      <c r="S4084">
        <v>8</v>
      </c>
      <c r="T4084">
        <v>12</v>
      </c>
      <c r="U4084">
        <v>16</v>
      </c>
      <c r="V4084">
        <v>4</v>
      </c>
      <c r="W4084">
        <v>4</v>
      </c>
      <c r="X4084">
        <v>0</v>
      </c>
      <c r="Y4084">
        <v>0</v>
      </c>
      <c r="Z4084">
        <v>0</v>
      </c>
    </row>
    <row r="4085" spans="1:26" x14ac:dyDescent="0.2">
      <c r="A4085" t="s">
        <v>4203</v>
      </c>
      <c r="B4085" t="s">
        <v>32</v>
      </c>
      <c r="C4085">
        <v>2019</v>
      </c>
      <c r="D4085" t="s">
        <v>46</v>
      </c>
      <c r="E4085" t="s">
        <v>23</v>
      </c>
      <c r="F4085" t="s">
        <v>20</v>
      </c>
      <c r="G4085">
        <v>60704</v>
      </c>
      <c r="H4085">
        <v>48563.200000000004</v>
      </c>
      <c r="I4085" s="13">
        <v>1</v>
      </c>
      <c r="J4085" t="s">
        <v>6207</v>
      </c>
      <c r="K4085">
        <v>1</v>
      </c>
      <c r="L4085">
        <v>0</v>
      </c>
      <c r="M4085" t="s">
        <v>0</v>
      </c>
      <c r="N4085" s="2">
        <v>0.69</v>
      </c>
      <c r="O4085" s="2">
        <v>0.31</v>
      </c>
      <c r="P4085">
        <v>11</v>
      </c>
      <c r="Q4085">
        <v>13</v>
      </c>
      <c r="R4085">
        <v>6</v>
      </c>
      <c r="S4085">
        <v>7</v>
      </c>
      <c r="T4085">
        <v>11</v>
      </c>
      <c r="U4085">
        <v>9</v>
      </c>
      <c r="V4085">
        <v>1</v>
      </c>
      <c r="W4085">
        <v>2</v>
      </c>
      <c r="X4085">
        <v>0</v>
      </c>
      <c r="Y4085">
        <v>0</v>
      </c>
      <c r="Z4085">
        <v>0</v>
      </c>
    </row>
    <row r="4086" spans="1:26" x14ac:dyDescent="0.2">
      <c r="A4086" t="s">
        <v>4204</v>
      </c>
      <c r="B4086" t="s">
        <v>68</v>
      </c>
      <c r="C4086">
        <v>2019</v>
      </c>
      <c r="D4086" t="s">
        <v>28</v>
      </c>
      <c r="E4086" t="s">
        <v>51</v>
      </c>
      <c r="F4086" t="s">
        <v>28</v>
      </c>
      <c r="G4086">
        <v>21944</v>
      </c>
      <c r="H4086">
        <v>17555.2</v>
      </c>
      <c r="I4086" s="13">
        <v>0.55555555555555558</v>
      </c>
      <c r="J4086" t="s">
        <v>6207</v>
      </c>
      <c r="K4086">
        <v>1</v>
      </c>
      <c r="L4086">
        <v>1</v>
      </c>
      <c r="M4086" t="s">
        <v>58</v>
      </c>
      <c r="N4086" s="2">
        <v>0.45</v>
      </c>
      <c r="O4086" s="2">
        <v>0.55000000000000004</v>
      </c>
      <c r="P4086">
        <v>11</v>
      </c>
      <c r="Q4086">
        <v>17</v>
      </c>
      <c r="R4086">
        <v>3</v>
      </c>
      <c r="S4086">
        <v>5</v>
      </c>
      <c r="T4086">
        <v>16</v>
      </c>
      <c r="U4086">
        <v>11</v>
      </c>
      <c r="V4086">
        <v>5</v>
      </c>
      <c r="W4086">
        <v>4</v>
      </c>
      <c r="X4086">
        <v>0</v>
      </c>
      <c r="Y4086">
        <v>0</v>
      </c>
      <c r="Z4086">
        <v>1</v>
      </c>
    </row>
    <row r="4087" spans="1:26" x14ac:dyDescent="0.2">
      <c r="A4087" t="s">
        <v>4205</v>
      </c>
      <c r="B4087" t="s">
        <v>60</v>
      </c>
      <c r="C4087">
        <v>2019</v>
      </c>
      <c r="D4087" t="s">
        <v>18</v>
      </c>
      <c r="E4087" t="s">
        <v>45</v>
      </c>
      <c r="F4087" t="s">
        <v>20</v>
      </c>
      <c r="G4087">
        <v>40341</v>
      </c>
      <c r="H4087">
        <v>32272.800000000003</v>
      </c>
      <c r="I4087" s="13">
        <v>1</v>
      </c>
      <c r="J4087" t="s">
        <v>6208</v>
      </c>
      <c r="K4087">
        <v>4</v>
      </c>
      <c r="L4087">
        <v>0</v>
      </c>
      <c r="M4087" t="s">
        <v>0</v>
      </c>
      <c r="N4087" s="2">
        <v>0.61</v>
      </c>
      <c r="O4087" s="2">
        <v>0.39</v>
      </c>
      <c r="P4087">
        <v>12</v>
      </c>
      <c r="Q4087">
        <v>8</v>
      </c>
      <c r="R4087">
        <v>6</v>
      </c>
      <c r="S4087">
        <v>1</v>
      </c>
      <c r="T4087">
        <v>8</v>
      </c>
      <c r="U4087">
        <v>10</v>
      </c>
      <c r="V4087">
        <v>1</v>
      </c>
      <c r="W4087">
        <v>2</v>
      </c>
      <c r="X4087">
        <v>0</v>
      </c>
      <c r="Y4087">
        <v>0</v>
      </c>
      <c r="Z4087">
        <v>0</v>
      </c>
    </row>
    <row r="4088" spans="1:26" x14ac:dyDescent="0.2">
      <c r="A4088" t="s">
        <v>4206</v>
      </c>
      <c r="B4088" t="s">
        <v>41</v>
      </c>
      <c r="C4088">
        <v>2019</v>
      </c>
      <c r="D4088" t="s">
        <v>48</v>
      </c>
      <c r="E4088" t="s">
        <v>40</v>
      </c>
      <c r="F4088" t="s">
        <v>49</v>
      </c>
      <c r="G4088">
        <v>74197</v>
      </c>
      <c r="H4088">
        <v>59357.600000000006</v>
      </c>
      <c r="I4088" s="13">
        <v>0.83333333333333337</v>
      </c>
      <c r="J4088" t="s">
        <v>6207</v>
      </c>
      <c r="K4088">
        <v>2</v>
      </c>
      <c r="L4088">
        <v>0</v>
      </c>
      <c r="M4088" t="s">
        <v>0</v>
      </c>
      <c r="N4088" s="2">
        <v>0.28000000000000003</v>
      </c>
      <c r="O4088" s="2">
        <v>0.72</v>
      </c>
      <c r="P4088">
        <v>11</v>
      </c>
      <c r="Q4088">
        <v>12</v>
      </c>
      <c r="R4088">
        <v>2</v>
      </c>
      <c r="S4088">
        <v>11</v>
      </c>
      <c r="T4088">
        <v>11</v>
      </c>
      <c r="U4088">
        <v>9</v>
      </c>
      <c r="V4088">
        <v>2</v>
      </c>
      <c r="W4088">
        <v>4</v>
      </c>
      <c r="X4088">
        <v>0</v>
      </c>
      <c r="Y4088">
        <v>0</v>
      </c>
      <c r="Z4088">
        <v>0</v>
      </c>
    </row>
    <row r="4089" spans="1:26" x14ac:dyDescent="0.2">
      <c r="A4089" t="s">
        <v>4207</v>
      </c>
      <c r="B4089" t="s">
        <v>66</v>
      </c>
      <c r="C4089">
        <v>2019</v>
      </c>
      <c r="D4089" t="s">
        <v>80</v>
      </c>
      <c r="E4089" t="s">
        <v>42</v>
      </c>
      <c r="F4089" t="s">
        <v>80</v>
      </c>
      <c r="G4089">
        <v>32261</v>
      </c>
      <c r="H4089">
        <v>25808.800000000003</v>
      </c>
      <c r="I4089" s="13">
        <v>0.66666666666666663</v>
      </c>
      <c r="J4089" t="s">
        <v>6207</v>
      </c>
      <c r="K4089">
        <v>4</v>
      </c>
      <c r="L4089">
        <v>0</v>
      </c>
      <c r="M4089" t="s">
        <v>0</v>
      </c>
      <c r="N4089" s="2">
        <v>0.65</v>
      </c>
      <c r="O4089" s="2">
        <v>0.35</v>
      </c>
      <c r="P4089">
        <v>12</v>
      </c>
      <c r="Q4089">
        <v>18</v>
      </c>
      <c r="R4089">
        <v>9</v>
      </c>
      <c r="S4089">
        <v>0</v>
      </c>
      <c r="T4089">
        <v>15</v>
      </c>
      <c r="U4089">
        <v>12</v>
      </c>
      <c r="V4089">
        <v>2</v>
      </c>
      <c r="W4089">
        <v>1</v>
      </c>
      <c r="X4089">
        <v>0</v>
      </c>
      <c r="Y4089">
        <v>0</v>
      </c>
      <c r="Z4089">
        <v>1</v>
      </c>
    </row>
    <row r="4090" spans="1:26" x14ac:dyDescent="0.2">
      <c r="A4090" t="s">
        <v>4208</v>
      </c>
      <c r="B4090" t="s">
        <v>66</v>
      </c>
      <c r="C4090">
        <v>2019</v>
      </c>
      <c r="D4090" t="s">
        <v>42</v>
      </c>
      <c r="E4090" t="s">
        <v>95</v>
      </c>
      <c r="F4090" t="s">
        <v>38</v>
      </c>
      <c r="G4090">
        <v>42918</v>
      </c>
      <c r="H4090">
        <v>0</v>
      </c>
      <c r="I4090" s="13">
        <v>0.5</v>
      </c>
      <c r="J4090" t="s">
        <v>6207</v>
      </c>
      <c r="K4090">
        <v>0</v>
      </c>
      <c r="L4090">
        <v>0</v>
      </c>
      <c r="M4090" t="s">
        <v>58</v>
      </c>
      <c r="N4090" s="2">
        <v>0.45</v>
      </c>
      <c r="O4090" s="2">
        <v>0.55000000000000004</v>
      </c>
      <c r="P4090">
        <v>14</v>
      </c>
      <c r="Q4090">
        <v>12</v>
      </c>
      <c r="R4090">
        <v>12</v>
      </c>
      <c r="S4090">
        <v>4</v>
      </c>
      <c r="T4090">
        <v>11</v>
      </c>
      <c r="U4090">
        <v>14</v>
      </c>
      <c r="V4090">
        <v>1</v>
      </c>
      <c r="W4090">
        <v>1</v>
      </c>
      <c r="X4090">
        <v>0</v>
      </c>
      <c r="Y4090">
        <v>0</v>
      </c>
      <c r="Z4090">
        <v>0</v>
      </c>
    </row>
    <row r="4091" spans="1:26" x14ac:dyDescent="0.2">
      <c r="A4091" t="s">
        <v>4209</v>
      </c>
      <c r="B4091" t="s">
        <v>61</v>
      </c>
      <c r="C4091">
        <v>2019</v>
      </c>
      <c r="D4091" t="s">
        <v>40</v>
      </c>
      <c r="E4091" t="s">
        <v>46</v>
      </c>
      <c r="F4091" t="s">
        <v>49</v>
      </c>
      <c r="G4091">
        <v>53400</v>
      </c>
      <c r="H4091">
        <v>0</v>
      </c>
      <c r="I4091" s="13">
        <v>0.66666666666666663</v>
      </c>
      <c r="J4091" t="s">
        <v>6207</v>
      </c>
      <c r="K4091">
        <v>3</v>
      </c>
      <c r="L4091">
        <v>0</v>
      </c>
      <c r="M4091" t="s">
        <v>0</v>
      </c>
      <c r="N4091" s="2">
        <v>0.67</v>
      </c>
      <c r="O4091" s="2">
        <v>0.33</v>
      </c>
      <c r="P4091">
        <v>11</v>
      </c>
      <c r="Q4091">
        <v>11</v>
      </c>
      <c r="R4091">
        <v>5</v>
      </c>
      <c r="S4091">
        <v>2</v>
      </c>
      <c r="T4091">
        <v>9</v>
      </c>
      <c r="U4091">
        <v>7</v>
      </c>
      <c r="V4091">
        <v>1</v>
      </c>
      <c r="W4091">
        <v>1</v>
      </c>
      <c r="X4091">
        <v>0</v>
      </c>
      <c r="Y4091">
        <v>1</v>
      </c>
      <c r="Z4091">
        <v>1</v>
      </c>
    </row>
    <row r="4092" spans="1:26" x14ac:dyDescent="0.2">
      <c r="A4092" t="s">
        <v>4210</v>
      </c>
      <c r="B4092" t="s">
        <v>60</v>
      </c>
      <c r="C4092">
        <v>2019</v>
      </c>
      <c r="D4092" t="s">
        <v>69</v>
      </c>
      <c r="E4092" t="s">
        <v>73</v>
      </c>
      <c r="F4092" t="s">
        <v>69</v>
      </c>
      <c r="G4092">
        <v>27359</v>
      </c>
      <c r="H4092">
        <v>0</v>
      </c>
      <c r="I4092" s="13">
        <v>0</v>
      </c>
      <c r="J4092" t="s">
        <v>6208</v>
      </c>
      <c r="K4092">
        <v>0</v>
      </c>
      <c r="L4092">
        <v>3</v>
      </c>
      <c r="M4092" t="s">
        <v>1</v>
      </c>
      <c r="N4092" s="2">
        <v>0.55000000000000004</v>
      </c>
      <c r="O4092" s="2">
        <v>0.45</v>
      </c>
      <c r="P4092">
        <v>16</v>
      </c>
      <c r="Q4092">
        <v>13</v>
      </c>
      <c r="R4092">
        <v>9</v>
      </c>
      <c r="S4092">
        <v>7</v>
      </c>
      <c r="T4092">
        <v>9</v>
      </c>
      <c r="U4092">
        <v>15</v>
      </c>
      <c r="V4092">
        <v>1</v>
      </c>
      <c r="W4092">
        <v>1</v>
      </c>
      <c r="X4092">
        <v>0</v>
      </c>
      <c r="Y4092">
        <v>0</v>
      </c>
      <c r="Z4092">
        <v>0</v>
      </c>
    </row>
    <row r="4093" spans="1:26" x14ac:dyDescent="0.2">
      <c r="A4093" t="s">
        <v>4211</v>
      </c>
      <c r="B4093" t="s">
        <v>68</v>
      </c>
      <c r="C4093">
        <v>2019</v>
      </c>
      <c r="D4093" t="s">
        <v>51</v>
      </c>
      <c r="E4093" t="s">
        <v>48</v>
      </c>
      <c r="F4093" t="s">
        <v>20</v>
      </c>
      <c r="G4093">
        <v>36284</v>
      </c>
      <c r="H4093">
        <v>0</v>
      </c>
      <c r="I4093" s="13">
        <v>0</v>
      </c>
      <c r="J4093" t="s">
        <v>6207</v>
      </c>
      <c r="K4093">
        <v>1</v>
      </c>
      <c r="L4093">
        <v>1</v>
      </c>
      <c r="M4093" t="s">
        <v>58</v>
      </c>
      <c r="N4093" s="2">
        <v>0.39</v>
      </c>
      <c r="O4093" s="2">
        <v>0.61</v>
      </c>
      <c r="P4093">
        <v>22</v>
      </c>
      <c r="Q4093">
        <v>17</v>
      </c>
      <c r="R4093">
        <v>7</v>
      </c>
      <c r="S4093">
        <v>6</v>
      </c>
      <c r="T4093">
        <v>17</v>
      </c>
      <c r="U4093">
        <v>18</v>
      </c>
      <c r="V4093">
        <v>0</v>
      </c>
      <c r="W4093">
        <v>1</v>
      </c>
      <c r="X4093">
        <v>0</v>
      </c>
      <c r="Y4093">
        <v>0</v>
      </c>
      <c r="Z4093">
        <v>1</v>
      </c>
    </row>
    <row r="4094" spans="1:26" x14ac:dyDescent="0.2">
      <c r="A4094" t="s">
        <v>4212</v>
      </c>
      <c r="B4094" t="s">
        <v>76</v>
      </c>
      <c r="C4094">
        <v>2019</v>
      </c>
      <c r="D4094" t="s">
        <v>85</v>
      </c>
      <c r="E4094" t="s">
        <v>80</v>
      </c>
      <c r="F4094" t="s">
        <v>85</v>
      </c>
      <c r="G4094">
        <v>22220</v>
      </c>
      <c r="H4094">
        <v>0</v>
      </c>
      <c r="I4094" s="13">
        <v>1</v>
      </c>
      <c r="J4094" t="s">
        <v>6207</v>
      </c>
      <c r="K4094">
        <v>1</v>
      </c>
      <c r="L4094">
        <v>1</v>
      </c>
      <c r="M4094" t="s">
        <v>58</v>
      </c>
      <c r="N4094" s="2">
        <v>0.32</v>
      </c>
      <c r="O4094" s="2">
        <v>0.68</v>
      </c>
      <c r="P4094">
        <v>15</v>
      </c>
      <c r="Q4094">
        <v>15</v>
      </c>
      <c r="R4094">
        <v>2</v>
      </c>
      <c r="S4094">
        <v>7</v>
      </c>
      <c r="T4094">
        <v>15</v>
      </c>
      <c r="U4094">
        <v>12</v>
      </c>
      <c r="V4094">
        <v>0</v>
      </c>
      <c r="W4094">
        <v>1</v>
      </c>
      <c r="X4094">
        <v>0</v>
      </c>
      <c r="Y4094">
        <v>0</v>
      </c>
      <c r="Z4094">
        <v>0</v>
      </c>
    </row>
    <row r="4095" spans="1:26" x14ac:dyDescent="0.2">
      <c r="A4095" t="s">
        <v>4213</v>
      </c>
      <c r="B4095" t="s">
        <v>32</v>
      </c>
      <c r="C4095">
        <v>2019</v>
      </c>
      <c r="D4095" t="s">
        <v>90</v>
      </c>
      <c r="E4095" t="s">
        <v>46</v>
      </c>
      <c r="F4095" t="s">
        <v>91</v>
      </c>
      <c r="G4095">
        <v>31876</v>
      </c>
      <c r="H4095">
        <v>0</v>
      </c>
      <c r="I4095" s="13">
        <v>0.66666666666666663</v>
      </c>
      <c r="J4095" t="s">
        <v>6207</v>
      </c>
      <c r="K4095">
        <v>2</v>
      </c>
      <c r="L4095">
        <v>1</v>
      </c>
      <c r="M4095" t="s">
        <v>0</v>
      </c>
      <c r="N4095" s="2">
        <v>0.41</v>
      </c>
      <c r="O4095" s="2">
        <v>0.59</v>
      </c>
      <c r="P4095">
        <v>12</v>
      </c>
      <c r="Q4095">
        <v>13</v>
      </c>
      <c r="R4095">
        <v>10</v>
      </c>
      <c r="S4095">
        <v>7</v>
      </c>
      <c r="T4095">
        <v>13</v>
      </c>
      <c r="U4095">
        <v>8</v>
      </c>
      <c r="V4095">
        <v>2</v>
      </c>
      <c r="W4095">
        <v>1</v>
      </c>
      <c r="X4095">
        <v>0</v>
      </c>
      <c r="Y4095">
        <v>0</v>
      </c>
      <c r="Z4095">
        <v>0</v>
      </c>
    </row>
    <row r="4096" spans="1:26" x14ac:dyDescent="0.2">
      <c r="A4096" t="s">
        <v>4214</v>
      </c>
      <c r="B4096" t="s">
        <v>61</v>
      </c>
      <c r="C4096">
        <v>2019</v>
      </c>
      <c r="D4096" t="s">
        <v>23</v>
      </c>
      <c r="E4096" t="s">
        <v>22</v>
      </c>
      <c r="F4096" t="s">
        <v>20</v>
      </c>
      <c r="G4096">
        <v>62500</v>
      </c>
      <c r="H4096">
        <v>0</v>
      </c>
      <c r="I4096" s="13">
        <v>1</v>
      </c>
      <c r="J4096" t="s">
        <v>6207</v>
      </c>
      <c r="K4096">
        <v>0</v>
      </c>
      <c r="L4096">
        <v>2</v>
      </c>
      <c r="M4096" t="s">
        <v>1</v>
      </c>
      <c r="N4096" s="2">
        <v>0.42</v>
      </c>
      <c r="O4096" s="2">
        <v>0.57999999999999996</v>
      </c>
      <c r="P4096">
        <v>8</v>
      </c>
      <c r="Q4096">
        <v>8</v>
      </c>
      <c r="R4096">
        <v>5</v>
      </c>
      <c r="S4096">
        <v>7</v>
      </c>
      <c r="T4096">
        <v>8</v>
      </c>
      <c r="U4096">
        <v>7</v>
      </c>
      <c r="V4096">
        <v>1</v>
      </c>
      <c r="W4096">
        <v>1</v>
      </c>
      <c r="X4096">
        <v>0</v>
      </c>
      <c r="Y4096">
        <v>0</v>
      </c>
      <c r="Z4096">
        <v>0</v>
      </c>
    </row>
    <row r="4097" spans="1:26" x14ac:dyDescent="0.2">
      <c r="A4097" t="s">
        <v>4215</v>
      </c>
      <c r="B4097" t="s">
        <v>59</v>
      </c>
      <c r="C4097">
        <v>2019</v>
      </c>
      <c r="D4097" t="s">
        <v>86</v>
      </c>
      <c r="E4097" t="s">
        <v>79</v>
      </c>
      <c r="F4097" t="s">
        <v>86</v>
      </c>
      <c r="G4097">
        <v>11364</v>
      </c>
      <c r="H4097">
        <v>0</v>
      </c>
      <c r="I4097" s="13">
        <v>0.2</v>
      </c>
      <c r="J4097" t="s">
        <v>6206</v>
      </c>
      <c r="K4097">
        <v>0</v>
      </c>
      <c r="L4097">
        <v>2</v>
      </c>
      <c r="M4097" t="s">
        <v>1</v>
      </c>
      <c r="N4097" s="2">
        <v>0.59</v>
      </c>
      <c r="O4097" s="2">
        <v>0.41</v>
      </c>
      <c r="P4097">
        <v>18</v>
      </c>
      <c r="Q4097">
        <v>16</v>
      </c>
      <c r="R4097">
        <v>11</v>
      </c>
      <c r="S4097">
        <v>4</v>
      </c>
      <c r="T4097">
        <v>13</v>
      </c>
      <c r="U4097">
        <v>15</v>
      </c>
      <c r="V4097">
        <v>3</v>
      </c>
      <c r="W4097">
        <v>2</v>
      </c>
      <c r="X4097">
        <v>0</v>
      </c>
      <c r="Y4097">
        <v>0</v>
      </c>
      <c r="Z4097">
        <v>0</v>
      </c>
    </row>
    <row r="4098" spans="1:26" x14ac:dyDescent="0.2">
      <c r="A4098" t="s">
        <v>4216</v>
      </c>
      <c r="B4098" t="s">
        <v>93</v>
      </c>
      <c r="C4098">
        <v>2019</v>
      </c>
      <c r="D4098" t="s">
        <v>64</v>
      </c>
      <c r="E4098" t="s">
        <v>95</v>
      </c>
      <c r="F4098" t="s">
        <v>64</v>
      </c>
      <c r="G4098">
        <v>52264</v>
      </c>
      <c r="H4098">
        <v>0</v>
      </c>
      <c r="I4098" s="13">
        <v>0.5</v>
      </c>
      <c r="J4098" t="s">
        <v>6206</v>
      </c>
      <c r="K4098">
        <v>3</v>
      </c>
      <c r="L4098">
        <v>0</v>
      </c>
      <c r="M4098" t="s">
        <v>0</v>
      </c>
      <c r="N4098" s="2">
        <v>0.46</v>
      </c>
      <c r="O4098" s="2">
        <v>0.54</v>
      </c>
      <c r="P4098">
        <v>11</v>
      </c>
      <c r="Q4098">
        <v>11</v>
      </c>
      <c r="R4098">
        <v>2</v>
      </c>
      <c r="S4098">
        <v>4</v>
      </c>
      <c r="T4098">
        <v>9</v>
      </c>
      <c r="U4098">
        <v>10</v>
      </c>
      <c r="V4098">
        <v>2</v>
      </c>
      <c r="W4098">
        <v>1</v>
      </c>
      <c r="X4098">
        <v>0</v>
      </c>
      <c r="Y4098">
        <v>1</v>
      </c>
      <c r="Z4098">
        <v>0</v>
      </c>
    </row>
    <row r="4099" spans="1:26" x14ac:dyDescent="0.2">
      <c r="A4099" t="s">
        <v>4217</v>
      </c>
      <c r="B4099" t="s">
        <v>81</v>
      </c>
      <c r="C4099">
        <v>2019</v>
      </c>
      <c r="D4099" t="s">
        <v>42</v>
      </c>
      <c r="E4099" t="s">
        <v>18</v>
      </c>
      <c r="F4099" t="s">
        <v>38</v>
      </c>
      <c r="G4099">
        <v>42918</v>
      </c>
      <c r="H4099">
        <v>0</v>
      </c>
      <c r="I4099" s="13">
        <v>0.33333333333333331</v>
      </c>
      <c r="J4099" t="s">
        <v>6207</v>
      </c>
      <c r="K4099">
        <v>1</v>
      </c>
      <c r="L4099">
        <v>2</v>
      </c>
      <c r="M4099" t="s">
        <v>1</v>
      </c>
      <c r="N4099" s="2">
        <v>0.26</v>
      </c>
      <c r="O4099" s="2">
        <v>0.74</v>
      </c>
      <c r="P4099">
        <v>17</v>
      </c>
      <c r="Q4099">
        <v>9</v>
      </c>
      <c r="R4099">
        <v>2</v>
      </c>
      <c r="S4099">
        <v>10</v>
      </c>
      <c r="T4099">
        <v>9</v>
      </c>
      <c r="U4099">
        <v>17</v>
      </c>
      <c r="V4099">
        <v>2</v>
      </c>
      <c r="W4099">
        <v>1</v>
      </c>
      <c r="X4099">
        <v>0</v>
      </c>
      <c r="Y4099">
        <v>0</v>
      </c>
      <c r="Z4099">
        <v>0</v>
      </c>
    </row>
    <row r="4100" spans="1:26" x14ac:dyDescent="0.2">
      <c r="A4100" t="s">
        <v>4218</v>
      </c>
      <c r="B4100" t="s">
        <v>41</v>
      </c>
      <c r="C4100">
        <v>2019</v>
      </c>
      <c r="D4100" t="s">
        <v>45</v>
      </c>
      <c r="E4100" t="s">
        <v>26</v>
      </c>
      <c r="F4100" t="s">
        <v>26</v>
      </c>
      <c r="G4100">
        <v>39572</v>
      </c>
      <c r="H4100">
        <v>0</v>
      </c>
      <c r="I4100" s="13">
        <v>0.5</v>
      </c>
      <c r="J4100" t="s">
        <v>6207</v>
      </c>
      <c r="K4100">
        <v>0</v>
      </c>
      <c r="L4100">
        <v>0</v>
      </c>
      <c r="M4100" t="s">
        <v>58</v>
      </c>
      <c r="N4100" s="2">
        <v>0.3</v>
      </c>
      <c r="O4100" s="2">
        <v>0.7</v>
      </c>
      <c r="P4100">
        <v>14</v>
      </c>
      <c r="Q4100">
        <v>17</v>
      </c>
      <c r="R4100">
        <v>1</v>
      </c>
      <c r="S4100">
        <v>6</v>
      </c>
      <c r="T4100">
        <v>15</v>
      </c>
      <c r="U4100">
        <v>12</v>
      </c>
      <c r="V4100">
        <v>2</v>
      </c>
      <c r="W4100">
        <v>2</v>
      </c>
      <c r="X4100">
        <v>0</v>
      </c>
      <c r="Y4100">
        <v>0</v>
      </c>
      <c r="Z4100">
        <v>0</v>
      </c>
    </row>
    <row r="4101" spans="1:26" x14ac:dyDescent="0.2">
      <c r="A4101" t="s">
        <v>4219</v>
      </c>
      <c r="B4101" t="s">
        <v>37</v>
      </c>
      <c r="C4101">
        <v>2019</v>
      </c>
      <c r="D4101" t="s">
        <v>40</v>
      </c>
      <c r="E4101" t="s">
        <v>28</v>
      </c>
      <c r="F4101" t="s">
        <v>49</v>
      </c>
      <c r="G4101">
        <v>53400</v>
      </c>
      <c r="H4101">
        <v>0</v>
      </c>
      <c r="I4101" s="13">
        <v>0.5</v>
      </c>
      <c r="J4101" t="s">
        <v>6206</v>
      </c>
      <c r="K4101">
        <v>5</v>
      </c>
      <c r="L4101">
        <v>0</v>
      </c>
      <c r="M4101" t="s">
        <v>0</v>
      </c>
      <c r="N4101" s="2">
        <v>0.72</v>
      </c>
      <c r="O4101" s="2">
        <v>0.28000000000000003</v>
      </c>
      <c r="P4101">
        <v>8</v>
      </c>
      <c r="Q4101">
        <v>9</v>
      </c>
      <c r="R4101">
        <v>3</v>
      </c>
      <c r="S4101">
        <v>1</v>
      </c>
      <c r="T4101">
        <v>8</v>
      </c>
      <c r="U4101">
        <v>7</v>
      </c>
      <c r="V4101">
        <v>1</v>
      </c>
      <c r="W4101">
        <v>1</v>
      </c>
      <c r="X4101">
        <v>0</v>
      </c>
      <c r="Y4101">
        <v>0</v>
      </c>
      <c r="Z4101">
        <v>1</v>
      </c>
    </row>
    <row r="4102" spans="1:26" x14ac:dyDescent="0.2">
      <c r="A4102" t="s">
        <v>4220</v>
      </c>
      <c r="B4102" t="s">
        <v>50</v>
      </c>
      <c r="C4102">
        <v>2019</v>
      </c>
      <c r="D4102" t="s">
        <v>80</v>
      </c>
      <c r="E4102" t="s">
        <v>90</v>
      </c>
      <c r="F4102" t="s">
        <v>80</v>
      </c>
      <c r="G4102">
        <v>32261</v>
      </c>
      <c r="H4102">
        <v>0</v>
      </c>
      <c r="I4102" s="13">
        <v>0.5</v>
      </c>
      <c r="J4102" t="s">
        <v>6207</v>
      </c>
      <c r="K4102">
        <v>0</v>
      </c>
      <c r="L4102">
        <v>0</v>
      </c>
      <c r="M4102" t="s">
        <v>58</v>
      </c>
      <c r="N4102" s="2">
        <v>0.66</v>
      </c>
      <c r="O4102" s="2">
        <v>0.34</v>
      </c>
      <c r="P4102">
        <v>13</v>
      </c>
      <c r="Q4102">
        <v>9</v>
      </c>
      <c r="R4102">
        <v>6</v>
      </c>
      <c r="S4102">
        <v>7</v>
      </c>
      <c r="T4102">
        <v>10</v>
      </c>
      <c r="U4102">
        <v>13</v>
      </c>
      <c r="V4102">
        <v>2</v>
      </c>
      <c r="W4102">
        <v>2</v>
      </c>
      <c r="X4102">
        <v>0</v>
      </c>
      <c r="Y4102">
        <v>0</v>
      </c>
      <c r="Z4102">
        <v>1</v>
      </c>
    </row>
    <row r="4103" spans="1:26" x14ac:dyDescent="0.2">
      <c r="A4103" t="s">
        <v>4221</v>
      </c>
      <c r="B4103" t="s">
        <v>76</v>
      </c>
      <c r="C4103">
        <v>2019</v>
      </c>
      <c r="D4103" t="s">
        <v>51</v>
      </c>
      <c r="E4103" t="s">
        <v>23</v>
      </c>
      <c r="F4103" t="s">
        <v>20</v>
      </c>
      <c r="G4103">
        <v>36284</v>
      </c>
      <c r="H4103">
        <v>0</v>
      </c>
      <c r="I4103" s="13">
        <v>0.25</v>
      </c>
      <c r="J4103" t="s">
        <v>6207</v>
      </c>
      <c r="K4103">
        <v>2</v>
      </c>
      <c r="L4103">
        <v>0</v>
      </c>
      <c r="M4103" t="s">
        <v>0</v>
      </c>
      <c r="N4103" s="2">
        <v>0.64</v>
      </c>
      <c r="O4103" s="2">
        <v>0.36</v>
      </c>
      <c r="P4103">
        <v>9</v>
      </c>
      <c r="Q4103">
        <v>15</v>
      </c>
      <c r="R4103">
        <v>9</v>
      </c>
      <c r="S4103">
        <v>4</v>
      </c>
      <c r="T4103">
        <v>12</v>
      </c>
      <c r="U4103">
        <v>7</v>
      </c>
      <c r="V4103">
        <v>2</v>
      </c>
      <c r="W4103">
        <v>2</v>
      </c>
      <c r="X4103">
        <v>0</v>
      </c>
      <c r="Y4103">
        <v>0</v>
      </c>
      <c r="Z4103">
        <v>0</v>
      </c>
    </row>
    <row r="4104" spans="1:26" x14ac:dyDescent="0.2">
      <c r="A4104" t="s">
        <v>4222</v>
      </c>
      <c r="B4104" t="s">
        <v>66</v>
      </c>
      <c r="C4104">
        <v>2019</v>
      </c>
      <c r="D4104" t="s">
        <v>22</v>
      </c>
      <c r="E4104" t="s">
        <v>86</v>
      </c>
      <c r="F4104" t="s">
        <v>24</v>
      </c>
      <c r="G4104">
        <v>31750</v>
      </c>
      <c r="H4104">
        <v>0</v>
      </c>
      <c r="I4104" s="13">
        <v>0.5</v>
      </c>
      <c r="J4104" t="s">
        <v>6207</v>
      </c>
      <c r="K4104">
        <v>1</v>
      </c>
      <c r="L4104">
        <v>0</v>
      </c>
      <c r="M4104" t="s">
        <v>0</v>
      </c>
      <c r="N4104" s="2">
        <v>0.55000000000000004</v>
      </c>
      <c r="O4104" s="2">
        <v>0.45</v>
      </c>
      <c r="P4104">
        <v>13</v>
      </c>
      <c r="Q4104">
        <v>13</v>
      </c>
      <c r="R4104">
        <v>6</v>
      </c>
      <c r="S4104">
        <v>4</v>
      </c>
      <c r="T4104">
        <v>11</v>
      </c>
      <c r="U4104">
        <v>11</v>
      </c>
      <c r="V4104">
        <v>3</v>
      </c>
      <c r="W4104">
        <v>3</v>
      </c>
      <c r="X4104">
        <v>0</v>
      </c>
      <c r="Y4104">
        <v>0</v>
      </c>
      <c r="Z4104">
        <v>0</v>
      </c>
    </row>
    <row r="4105" spans="1:26" x14ac:dyDescent="0.2">
      <c r="A4105" t="s">
        <v>4223</v>
      </c>
      <c r="B4105" t="s">
        <v>92</v>
      </c>
      <c r="C4105">
        <v>2019</v>
      </c>
      <c r="D4105" t="s">
        <v>69</v>
      </c>
      <c r="E4105" t="s">
        <v>45</v>
      </c>
      <c r="F4105" t="s">
        <v>69</v>
      </c>
      <c r="G4105">
        <v>27359</v>
      </c>
      <c r="H4105">
        <v>0</v>
      </c>
      <c r="I4105" s="13">
        <v>1</v>
      </c>
      <c r="J4105" t="s">
        <v>6207</v>
      </c>
      <c r="K4105">
        <v>0</v>
      </c>
      <c r="L4105">
        <v>1</v>
      </c>
      <c r="M4105" t="s">
        <v>1</v>
      </c>
      <c r="N4105" s="2">
        <v>0.46</v>
      </c>
      <c r="O4105" s="2">
        <v>0.54</v>
      </c>
      <c r="P4105">
        <v>14</v>
      </c>
      <c r="Q4105">
        <v>9</v>
      </c>
      <c r="R4105">
        <v>6</v>
      </c>
      <c r="S4105">
        <v>5</v>
      </c>
      <c r="T4105">
        <v>8</v>
      </c>
      <c r="U4105">
        <v>13</v>
      </c>
      <c r="V4105">
        <v>0</v>
      </c>
      <c r="W4105">
        <v>1</v>
      </c>
      <c r="X4105">
        <v>0</v>
      </c>
      <c r="Y4105">
        <v>0</v>
      </c>
      <c r="Z4105">
        <v>0</v>
      </c>
    </row>
    <row r="4106" spans="1:26" x14ac:dyDescent="0.2">
      <c r="A4106" t="s">
        <v>4224</v>
      </c>
      <c r="B4106" t="s">
        <v>88</v>
      </c>
      <c r="C4106">
        <v>2019</v>
      </c>
      <c r="D4106" t="s">
        <v>64</v>
      </c>
      <c r="E4106" t="s">
        <v>42</v>
      </c>
      <c r="F4106" t="s">
        <v>64</v>
      </c>
      <c r="G4106">
        <v>52264</v>
      </c>
      <c r="H4106">
        <v>0</v>
      </c>
      <c r="I4106" s="13">
        <v>0.5</v>
      </c>
      <c r="J4106" t="s">
        <v>6207</v>
      </c>
      <c r="K4106">
        <v>1</v>
      </c>
      <c r="L4106">
        <v>1</v>
      </c>
      <c r="M4106" t="s">
        <v>58</v>
      </c>
      <c r="N4106" s="2">
        <v>0.52</v>
      </c>
      <c r="O4106" s="2">
        <v>0.48</v>
      </c>
      <c r="P4106">
        <v>12</v>
      </c>
      <c r="Q4106">
        <v>17</v>
      </c>
      <c r="R4106">
        <v>6</v>
      </c>
      <c r="S4106">
        <v>9</v>
      </c>
      <c r="T4106">
        <v>15</v>
      </c>
      <c r="U4106">
        <v>13</v>
      </c>
      <c r="V4106">
        <v>2</v>
      </c>
      <c r="W4106">
        <v>2</v>
      </c>
      <c r="X4106">
        <v>0</v>
      </c>
      <c r="Y4106">
        <v>0</v>
      </c>
      <c r="Z4106">
        <v>0</v>
      </c>
    </row>
    <row r="4107" spans="1:26" x14ac:dyDescent="0.2">
      <c r="A4107" t="s">
        <v>4225</v>
      </c>
      <c r="B4107" t="s">
        <v>61</v>
      </c>
      <c r="C4107">
        <v>2019</v>
      </c>
      <c r="D4107" t="s">
        <v>48</v>
      </c>
      <c r="E4107" t="s">
        <v>95</v>
      </c>
      <c r="F4107" t="s">
        <v>49</v>
      </c>
      <c r="G4107">
        <v>74197</v>
      </c>
      <c r="H4107">
        <v>0</v>
      </c>
      <c r="I4107" s="13">
        <v>0</v>
      </c>
      <c r="J4107" t="s">
        <v>6207</v>
      </c>
      <c r="K4107">
        <v>3</v>
      </c>
      <c r="L4107">
        <v>0</v>
      </c>
      <c r="M4107" t="s">
        <v>0</v>
      </c>
      <c r="N4107" s="2">
        <v>0.68</v>
      </c>
      <c r="O4107" s="2">
        <v>0.32</v>
      </c>
      <c r="P4107">
        <v>8</v>
      </c>
      <c r="Q4107">
        <v>11</v>
      </c>
      <c r="R4107">
        <v>10</v>
      </c>
      <c r="S4107">
        <v>5</v>
      </c>
      <c r="T4107">
        <v>10</v>
      </c>
      <c r="U4107">
        <v>6</v>
      </c>
      <c r="V4107">
        <v>1</v>
      </c>
      <c r="W4107">
        <v>0</v>
      </c>
      <c r="X4107">
        <v>0</v>
      </c>
      <c r="Y4107">
        <v>0</v>
      </c>
      <c r="Z4107">
        <v>0</v>
      </c>
    </row>
    <row r="4108" spans="1:26" x14ac:dyDescent="0.2">
      <c r="A4108" t="s">
        <v>4226</v>
      </c>
      <c r="B4108" t="s">
        <v>32</v>
      </c>
      <c r="C4108">
        <v>2019</v>
      </c>
      <c r="D4108" t="s">
        <v>26</v>
      </c>
      <c r="E4108" t="s">
        <v>79</v>
      </c>
      <c r="F4108" t="s">
        <v>26</v>
      </c>
      <c r="G4108">
        <v>61276</v>
      </c>
      <c r="H4108">
        <v>0</v>
      </c>
      <c r="I4108" s="13">
        <v>0</v>
      </c>
      <c r="J4108" t="s">
        <v>6207</v>
      </c>
      <c r="K4108">
        <v>4</v>
      </c>
      <c r="L4108">
        <v>0</v>
      </c>
      <c r="M4108" t="s">
        <v>0</v>
      </c>
      <c r="N4108" s="2">
        <v>0.74</v>
      </c>
      <c r="O4108" s="2">
        <v>0.26</v>
      </c>
      <c r="P4108">
        <v>6</v>
      </c>
      <c r="Q4108">
        <v>7</v>
      </c>
      <c r="R4108">
        <v>6</v>
      </c>
      <c r="S4108">
        <v>0</v>
      </c>
      <c r="T4108">
        <v>7</v>
      </c>
      <c r="U4108">
        <v>5</v>
      </c>
      <c r="V4108">
        <v>0</v>
      </c>
      <c r="W4108">
        <v>0</v>
      </c>
      <c r="X4108">
        <v>0</v>
      </c>
      <c r="Y4108">
        <v>0</v>
      </c>
      <c r="Z4108">
        <v>0</v>
      </c>
    </row>
    <row r="4109" spans="1:26" x14ac:dyDescent="0.2">
      <c r="A4109" t="s">
        <v>4227</v>
      </c>
      <c r="B4109" t="s">
        <v>83</v>
      </c>
      <c r="C4109">
        <v>2019</v>
      </c>
      <c r="D4109" t="s">
        <v>73</v>
      </c>
      <c r="E4109" t="s">
        <v>46</v>
      </c>
      <c r="F4109" t="s">
        <v>73</v>
      </c>
      <c r="G4109">
        <v>32384</v>
      </c>
      <c r="H4109">
        <v>0</v>
      </c>
      <c r="I4109" s="13">
        <v>0.33333333333333331</v>
      </c>
      <c r="J4109" t="s">
        <v>6208</v>
      </c>
      <c r="K4109">
        <v>0</v>
      </c>
      <c r="L4109">
        <v>2</v>
      </c>
      <c r="M4109" t="s">
        <v>1</v>
      </c>
      <c r="N4109" s="2">
        <v>0.53</v>
      </c>
      <c r="O4109" s="2">
        <v>0.47</v>
      </c>
      <c r="P4109">
        <v>16</v>
      </c>
      <c r="Q4109">
        <v>13</v>
      </c>
      <c r="R4109">
        <v>4</v>
      </c>
      <c r="S4109">
        <v>6</v>
      </c>
      <c r="T4109">
        <v>10</v>
      </c>
      <c r="U4109">
        <v>14</v>
      </c>
      <c r="V4109">
        <v>0</v>
      </c>
      <c r="W4109">
        <v>2</v>
      </c>
      <c r="X4109">
        <v>1</v>
      </c>
      <c r="Y4109">
        <v>0</v>
      </c>
      <c r="Z4109">
        <v>0</v>
      </c>
    </row>
    <row r="4110" spans="1:26" x14ac:dyDescent="0.2">
      <c r="A4110" t="s">
        <v>4228</v>
      </c>
      <c r="B4110" t="s">
        <v>41</v>
      </c>
      <c r="C4110">
        <v>2019</v>
      </c>
      <c r="D4110" t="s">
        <v>28</v>
      </c>
      <c r="E4110" t="s">
        <v>85</v>
      </c>
      <c r="F4110" t="s">
        <v>28</v>
      </c>
      <c r="G4110">
        <v>21944</v>
      </c>
      <c r="H4110">
        <v>0</v>
      </c>
      <c r="I4110" s="13">
        <v>0</v>
      </c>
      <c r="J4110" t="s">
        <v>6207</v>
      </c>
      <c r="K4110">
        <v>1</v>
      </c>
      <c r="L4110">
        <v>0</v>
      </c>
      <c r="M4110" t="s">
        <v>0</v>
      </c>
      <c r="N4110" s="2">
        <v>0.54</v>
      </c>
      <c r="O4110" s="2">
        <v>0.46</v>
      </c>
      <c r="P4110">
        <v>16</v>
      </c>
      <c r="Q4110">
        <v>15</v>
      </c>
      <c r="R4110">
        <v>1</v>
      </c>
      <c r="S4110">
        <v>7</v>
      </c>
      <c r="T4110">
        <v>13</v>
      </c>
      <c r="U4110">
        <v>15</v>
      </c>
      <c r="V4110">
        <v>1</v>
      </c>
      <c r="W4110">
        <v>0</v>
      </c>
      <c r="X4110">
        <v>0</v>
      </c>
      <c r="Y4110">
        <v>0</v>
      </c>
      <c r="Z4110">
        <v>0</v>
      </c>
    </row>
    <row r="4111" spans="1:26" x14ac:dyDescent="0.2">
      <c r="A4111" t="s">
        <v>4229</v>
      </c>
      <c r="B4111" t="s">
        <v>59</v>
      </c>
      <c r="C4111">
        <v>2019</v>
      </c>
      <c r="D4111" t="s">
        <v>18</v>
      </c>
      <c r="E4111" t="s">
        <v>40</v>
      </c>
      <c r="F4111" t="s">
        <v>20</v>
      </c>
      <c r="G4111">
        <v>40341</v>
      </c>
      <c r="H4111">
        <v>0</v>
      </c>
      <c r="I4111" s="13">
        <v>1</v>
      </c>
      <c r="J4111" t="s">
        <v>6206</v>
      </c>
      <c r="K4111">
        <v>2</v>
      </c>
      <c r="L4111">
        <v>1</v>
      </c>
      <c r="M4111" t="s">
        <v>0</v>
      </c>
      <c r="N4111" s="2">
        <v>0.35</v>
      </c>
      <c r="O4111" s="2">
        <v>0.65</v>
      </c>
      <c r="P4111">
        <v>4</v>
      </c>
      <c r="Q4111">
        <v>16</v>
      </c>
      <c r="R4111">
        <v>5</v>
      </c>
      <c r="S4111">
        <v>7</v>
      </c>
      <c r="T4111">
        <v>13</v>
      </c>
      <c r="U4111">
        <v>3</v>
      </c>
      <c r="V4111">
        <v>1</v>
      </c>
      <c r="W4111">
        <v>1</v>
      </c>
      <c r="X4111">
        <v>0</v>
      </c>
      <c r="Y4111">
        <v>1</v>
      </c>
      <c r="Z4111">
        <v>1</v>
      </c>
    </row>
    <row r="4112" spans="1:26" x14ac:dyDescent="0.2">
      <c r="A4112" t="s">
        <v>4230</v>
      </c>
      <c r="B4112" t="s">
        <v>76</v>
      </c>
      <c r="C4112">
        <v>2019</v>
      </c>
      <c r="D4112" t="s">
        <v>42</v>
      </c>
      <c r="E4112" t="s">
        <v>22</v>
      </c>
      <c r="F4112" t="s">
        <v>38</v>
      </c>
      <c r="G4112">
        <v>42918</v>
      </c>
      <c r="H4112">
        <v>0</v>
      </c>
      <c r="I4112" s="13">
        <v>0.5</v>
      </c>
      <c r="J4112" t="s">
        <v>6207</v>
      </c>
      <c r="K4112">
        <v>0</v>
      </c>
      <c r="L4112">
        <v>1</v>
      </c>
      <c r="M4112" t="s">
        <v>1</v>
      </c>
      <c r="N4112" s="2">
        <v>0.48</v>
      </c>
      <c r="O4112" s="2">
        <v>0.52</v>
      </c>
      <c r="P4112">
        <v>18</v>
      </c>
      <c r="Q4112">
        <v>17</v>
      </c>
      <c r="R4112">
        <v>2</v>
      </c>
      <c r="S4112">
        <v>2</v>
      </c>
      <c r="T4112">
        <v>16</v>
      </c>
      <c r="U4112">
        <v>16</v>
      </c>
      <c r="V4112">
        <v>1</v>
      </c>
      <c r="W4112">
        <v>1</v>
      </c>
      <c r="X4112">
        <v>0</v>
      </c>
      <c r="Y4112">
        <v>0</v>
      </c>
      <c r="Z4112">
        <v>0</v>
      </c>
    </row>
    <row r="4113" spans="1:26" x14ac:dyDescent="0.2">
      <c r="A4113" t="s">
        <v>4231</v>
      </c>
      <c r="B4113" t="s">
        <v>66</v>
      </c>
      <c r="C4113">
        <v>2019</v>
      </c>
      <c r="D4113" t="s">
        <v>85</v>
      </c>
      <c r="E4113" t="s">
        <v>73</v>
      </c>
      <c r="F4113" t="s">
        <v>85</v>
      </c>
      <c r="G4113">
        <v>22220</v>
      </c>
      <c r="H4113">
        <v>0</v>
      </c>
      <c r="I4113" s="13">
        <v>0.33333333333333331</v>
      </c>
      <c r="J4113" t="s">
        <v>6207</v>
      </c>
      <c r="K4113">
        <v>1</v>
      </c>
      <c r="L4113">
        <v>3</v>
      </c>
      <c r="M4113" t="s">
        <v>1</v>
      </c>
      <c r="N4113" s="2">
        <v>0.48</v>
      </c>
      <c r="O4113" s="2">
        <v>0.52</v>
      </c>
      <c r="P4113">
        <v>10</v>
      </c>
      <c r="Q4113">
        <v>17</v>
      </c>
      <c r="R4113">
        <v>5</v>
      </c>
      <c r="S4113">
        <v>3</v>
      </c>
      <c r="T4113">
        <v>18</v>
      </c>
      <c r="U4113">
        <v>9</v>
      </c>
      <c r="V4113">
        <v>3</v>
      </c>
      <c r="W4113">
        <v>0</v>
      </c>
      <c r="X4113">
        <v>0</v>
      </c>
      <c r="Y4113">
        <v>0</v>
      </c>
      <c r="Z4113">
        <v>0</v>
      </c>
    </row>
    <row r="4114" spans="1:26" x14ac:dyDescent="0.2">
      <c r="A4114" t="s">
        <v>4232</v>
      </c>
      <c r="B4114" t="s">
        <v>84</v>
      </c>
      <c r="C4114">
        <v>2019</v>
      </c>
      <c r="D4114" t="s">
        <v>79</v>
      </c>
      <c r="E4114" t="s">
        <v>28</v>
      </c>
      <c r="F4114" t="s">
        <v>20</v>
      </c>
      <c r="G4114">
        <v>25486</v>
      </c>
      <c r="H4114">
        <v>0</v>
      </c>
      <c r="I4114" s="13">
        <v>0.5</v>
      </c>
      <c r="J4114" t="s">
        <v>6208</v>
      </c>
      <c r="K4114">
        <v>0</v>
      </c>
      <c r="L4114">
        <v>1</v>
      </c>
      <c r="M4114" t="s">
        <v>1</v>
      </c>
      <c r="N4114" s="2">
        <v>0.57999999999999996</v>
      </c>
      <c r="O4114" s="2">
        <v>0.42</v>
      </c>
      <c r="P4114">
        <v>13</v>
      </c>
      <c r="Q4114">
        <v>12</v>
      </c>
      <c r="R4114">
        <v>9</v>
      </c>
      <c r="S4114">
        <v>1</v>
      </c>
      <c r="T4114">
        <v>12</v>
      </c>
      <c r="U4114">
        <v>13</v>
      </c>
      <c r="V4114">
        <v>1</v>
      </c>
      <c r="W4114">
        <v>1</v>
      </c>
      <c r="X4114">
        <v>0</v>
      </c>
      <c r="Y4114">
        <v>0</v>
      </c>
      <c r="Z4114">
        <v>0</v>
      </c>
    </row>
    <row r="4115" spans="1:26" x14ac:dyDescent="0.2">
      <c r="A4115" t="s">
        <v>4233</v>
      </c>
      <c r="B4115" t="s">
        <v>37</v>
      </c>
      <c r="C4115">
        <v>2019</v>
      </c>
      <c r="D4115" t="s">
        <v>90</v>
      </c>
      <c r="E4115" t="s">
        <v>48</v>
      </c>
      <c r="F4115" t="s">
        <v>91</v>
      </c>
      <c r="G4115">
        <v>31876</v>
      </c>
      <c r="H4115">
        <v>0</v>
      </c>
      <c r="I4115" s="13">
        <v>0</v>
      </c>
      <c r="J4115" t="s">
        <v>6206</v>
      </c>
      <c r="K4115">
        <v>0</v>
      </c>
      <c r="L4115">
        <v>3</v>
      </c>
      <c r="M4115" t="s">
        <v>1</v>
      </c>
      <c r="N4115" s="2">
        <v>0.37</v>
      </c>
      <c r="O4115" s="2">
        <v>0.63</v>
      </c>
      <c r="P4115">
        <v>11</v>
      </c>
      <c r="Q4115">
        <v>12</v>
      </c>
      <c r="R4115">
        <v>4</v>
      </c>
      <c r="S4115">
        <v>5</v>
      </c>
      <c r="T4115">
        <v>10</v>
      </c>
      <c r="U4115">
        <v>9</v>
      </c>
      <c r="V4115">
        <v>0</v>
      </c>
      <c r="W4115">
        <v>1</v>
      </c>
      <c r="X4115">
        <v>0</v>
      </c>
      <c r="Y4115">
        <v>0</v>
      </c>
      <c r="Z4115">
        <v>0</v>
      </c>
    </row>
    <row r="4116" spans="1:26" x14ac:dyDescent="0.2">
      <c r="A4116" t="s">
        <v>4234</v>
      </c>
      <c r="B4116" t="s">
        <v>93</v>
      </c>
      <c r="C4116">
        <v>2019</v>
      </c>
      <c r="D4116" t="s">
        <v>45</v>
      </c>
      <c r="E4116" t="s">
        <v>80</v>
      </c>
      <c r="F4116" t="s">
        <v>26</v>
      </c>
      <c r="G4116">
        <v>39572</v>
      </c>
      <c r="H4116">
        <v>0</v>
      </c>
      <c r="I4116" s="13">
        <v>0.5</v>
      </c>
      <c r="J4116" t="s">
        <v>6206</v>
      </c>
      <c r="K4116">
        <v>2</v>
      </c>
      <c r="L4116">
        <v>1</v>
      </c>
      <c r="M4116" t="s">
        <v>0</v>
      </c>
      <c r="N4116" s="2">
        <v>0.35</v>
      </c>
      <c r="O4116" s="2">
        <v>0.65</v>
      </c>
      <c r="P4116">
        <v>10</v>
      </c>
      <c r="Q4116">
        <v>13</v>
      </c>
      <c r="R4116">
        <v>3</v>
      </c>
      <c r="S4116">
        <v>5</v>
      </c>
      <c r="T4116">
        <v>13</v>
      </c>
      <c r="U4116">
        <v>10</v>
      </c>
      <c r="V4116">
        <v>1</v>
      </c>
      <c r="W4116">
        <v>1</v>
      </c>
      <c r="X4116">
        <v>0</v>
      </c>
      <c r="Y4116">
        <v>0</v>
      </c>
      <c r="Z4116">
        <v>1</v>
      </c>
    </row>
    <row r="4117" spans="1:26" x14ac:dyDescent="0.2">
      <c r="A4117" t="s">
        <v>4235</v>
      </c>
      <c r="B4117" t="s">
        <v>60</v>
      </c>
      <c r="C4117">
        <v>2019</v>
      </c>
      <c r="D4117" t="s">
        <v>86</v>
      </c>
      <c r="E4117" t="s">
        <v>64</v>
      </c>
      <c r="F4117" t="s">
        <v>86</v>
      </c>
      <c r="G4117">
        <v>11364</v>
      </c>
      <c r="H4117">
        <v>0</v>
      </c>
      <c r="I4117" s="13">
        <v>0.5</v>
      </c>
      <c r="J4117" t="s">
        <v>6208</v>
      </c>
      <c r="K4117">
        <v>1</v>
      </c>
      <c r="L4117">
        <v>4</v>
      </c>
      <c r="M4117" t="s">
        <v>1</v>
      </c>
      <c r="N4117" s="2">
        <v>0.55000000000000004</v>
      </c>
      <c r="O4117" s="2">
        <v>0.45</v>
      </c>
      <c r="P4117">
        <v>13</v>
      </c>
      <c r="Q4117">
        <v>11</v>
      </c>
      <c r="R4117">
        <v>6</v>
      </c>
      <c r="S4117">
        <v>3</v>
      </c>
      <c r="T4117">
        <v>11</v>
      </c>
      <c r="U4117">
        <v>10</v>
      </c>
      <c r="V4117">
        <v>2</v>
      </c>
      <c r="W4117">
        <v>0</v>
      </c>
      <c r="X4117">
        <v>0</v>
      </c>
      <c r="Y4117">
        <v>0</v>
      </c>
      <c r="Z4117">
        <v>0</v>
      </c>
    </row>
    <row r="4118" spans="1:26" x14ac:dyDescent="0.2">
      <c r="A4118" t="s">
        <v>4236</v>
      </c>
      <c r="B4118" t="s">
        <v>97</v>
      </c>
      <c r="C4118">
        <v>2019</v>
      </c>
      <c r="D4118" t="s">
        <v>46</v>
      </c>
      <c r="E4118" t="s">
        <v>69</v>
      </c>
      <c r="F4118" t="s">
        <v>20</v>
      </c>
      <c r="G4118">
        <v>60704</v>
      </c>
      <c r="H4118">
        <v>0</v>
      </c>
      <c r="I4118" s="13">
        <v>0.8</v>
      </c>
      <c r="J4118" t="s">
        <v>6207</v>
      </c>
      <c r="K4118">
        <v>4</v>
      </c>
      <c r="L4118">
        <v>0</v>
      </c>
      <c r="M4118" t="s">
        <v>0</v>
      </c>
      <c r="N4118" s="2">
        <v>0.52</v>
      </c>
      <c r="O4118" s="2">
        <v>0.48</v>
      </c>
      <c r="P4118">
        <v>12</v>
      </c>
      <c r="Q4118">
        <v>10</v>
      </c>
      <c r="R4118">
        <v>6</v>
      </c>
      <c r="S4118">
        <v>2</v>
      </c>
      <c r="T4118">
        <v>10</v>
      </c>
      <c r="U4118">
        <v>10</v>
      </c>
      <c r="V4118">
        <v>1</v>
      </c>
      <c r="W4118">
        <v>4</v>
      </c>
      <c r="X4118">
        <v>0</v>
      </c>
      <c r="Y4118">
        <v>0</v>
      </c>
      <c r="Z4118">
        <v>0</v>
      </c>
    </row>
    <row r="4119" spans="1:26" x14ac:dyDescent="0.2">
      <c r="A4119" t="s">
        <v>4237</v>
      </c>
      <c r="B4119" t="s">
        <v>32</v>
      </c>
      <c r="C4119">
        <v>2019</v>
      </c>
      <c r="D4119" t="s">
        <v>23</v>
      </c>
      <c r="E4119" t="s">
        <v>18</v>
      </c>
      <c r="F4119" t="s">
        <v>20</v>
      </c>
      <c r="G4119">
        <v>62500</v>
      </c>
      <c r="H4119">
        <v>0</v>
      </c>
      <c r="I4119" s="13">
        <v>0.66666666666666663</v>
      </c>
      <c r="J4119" t="s">
        <v>6207</v>
      </c>
      <c r="K4119">
        <v>3</v>
      </c>
      <c r="L4119">
        <v>2</v>
      </c>
      <c r="M4119" t="s">
        <v>0</v>
      </c>
      <c r="N4119" s="2">
        <v>0.28999999999999998</v>
      </c>
      <c r="O4119" s="2">
        <v>0.71</v>
      </c>
      <c r="P4119">
        <v>11</v>
      </c>
      <c r="Q4119">
        <v>11</v>
      </c>
      <c r="R4119">
        <v>2</v>
      </c>
      <c r="S4119">
        <v>3</v>
      </c>
      <c r="T4119">
        <v>9</v>
      </c>
      <c r="U4119">
        <v>9</v>
      </c>
      <c r="V4119">
        <v>2</v>
      </c>
      <c r="W4119">
        <v>1</v>
      </c>
      <c r="X4119">
        <v>0</v>
      </c>
      <c r="Y4119">
        <v>0</v>
      </c>
      <c r="Z4119">
        <v>1</v>
      </c>
    </row>
    <row r="4120" spans="1:26" x14ac:dyDescent="0.2">
      <c r="A4120" t="s">
        <v>4238</v>
      </c>
      <c r="B4120" t="s">
        <v>88</v>
      </c>
      <c r="C4120">
        <v>2019</v>
      </c>
      <c r="D4120" t="s">
        <v>95</v>
      </c>
      <c r="E4120" t="s">
        <v>51</v>
      </c>
      <c r="F4120" t="s">
        <v>57</v>
      </c>
      <c r="G4120">
        <v>32050</v>
      </c>
      <c r="H4120">
        <v>0</v>
      </c>
      <c r="I4120" s="13">
        <v>0</v>
      </c>
      <c r="J4120" t="s">
        <v>6207</v>
      </c>
      <c r="K4120">
        <v>3</v>
      </c>
      <c r="L4120">
        <v>1</v>
      </c>
      <c r="M4120" t="s">
        <v>0</v>
      </c>
      <c r="N4120" s="2">
        <v>0.33</v>
      </c>
      <c r="O4120" s="2">
        <v>0.67</v>
      </c>
      <c r="P4120">
        <v>14</v>
      </c>
      <c r="Q4120">
        <v>16</v>
      </c>
      <c r="R4120">
        <v>1</v>
      </c>
      <c r="S4120">
        <v>6</v>
      </c>
      <c r="T4120">
        <v>13</v>
      </c>
      <c r="U4120">
        <v>13</v>
      </c>
      <c r="V4120">
        <v>2</v>
      </c>
      <c r="W4120">
        <v>0</v>
      </c>
      <c r="X4120">
        <v>0</v>
      </c>
      <c r="Y4120">
        <v>0</v>
      </c>
      <c r="Z4120">
        <v>0</v>
      </c>
    </row>
    <row r="4121" spans="1:26" x14ac:dyDescent="0.2">
      <c r="A4121" t="s">
        <v>4239</v>
      </c>
      <c r="B4121" t="s">
        <v>61</v>
      </c>
      <c r="C4121">
        <v>2019</v>
      </c>
      <c r="D4121" t="s">
        <v>40</v>
      </c>
      <c r="E4121" t="s">
        <v>26</v>
      </c>
      <c r="F4121" t="s">
        <v>49</v>
      </c>
      <c r="G4121">
        <v>53400</v>
      </c>
      <c r="H4121">
        <v>0</v>
      </c>
      <c r="I4121" s="13">
        <v>0.5</v>
      </c>
      <c r="J4121" t="s">
        <v>6207</v>
      </c>
      <c r="K4121">
        <v>4</v>
      </c>
      <c r="L4121">
        <v>0</v>
      </c>
      <c r="M4121" t="s">
        <v>0</v>
      </c>
      <c r="N4121" s="2">
        <v>0.48</v>
      </c>
      <c r="O4121" s="2">
        <v>0.52</v>
      </c>
      <c r="P4121">
        <v>8</v>
      </c>
      <c r="Q4121">
        <v>11</v>
      </c>
      <c r="R4121">
        <v>3</v>
      </c>
      <c r="S4121">
        <v>3</v>
      </c>
      <c r="T4121">
        <v>8</v>
      </c>
      <c r="U4121">
        <v>7</v>
      </c>
      <c r="V4121">
        <v>2</v>
      </c>
      <c r="W4121">
        <v>2</v>
      </c>
      <c r="X4121">
        <v>0</v>
      </c>
      <c r="Y4121">
        <v>0</v>
      </c>
      <c r="Z4121">
        <v>1</v>
      </c>
    </row>
    <row r="4122" spans="1:26" x14ac:dyDescent="0.2">
      <c r="A4122" t="s">
        <v>4240</v>
      </c>
      <c r="B4122" t="s">
        <v>59</v>
      </c>
      <c r="C4122">
        <v>2019</v>
      </c>
      <c r="D4122" t="s">
        <v>69</v>
      </c>
      <c r="E4122" t="s">
        <v>90</v>
      </c>
      <c r="F4122" t="s">
        <v>69</v>
      </c>
      <c r="G4122">
        <v>27359</v>
      </c>
      <c r="H4122">
        <v>0</v>
      </c>
      <c r="I4122" s="13">
        <v>0.5</v>
      </c>
      <c r="J4122" t="s">
        <v>6206</v>
      </c>
      <c r="K4122">
        <v>0</v>
      </c>
      <c r="L4122">
        <v>1</v>
      </c>
      <c r="M4122" t="s">
        <v>1</v>
      </c>
      <c r="N4122" s="2">
        <v>0.57999999999999996</v>
      </c>
      <c r="O4122" s="2">
        <v>0.42</v>
      </c>
      <c r="P4122">
        <v>13</v>
      </c>
      <c r="Q4122">
        <v>15</v>
      </c>
      <c r="R4122">
        <v>0</v>
      </c>
      <c r="S4122">
        <v>2</v>
      </c>
      <c r="T4122">
        <v>11</v>
      </c>
      <c r="U4122">
        <v>13</v>
      </c>
      <c r="V4122">
        <v>2</v>
      </c>
      <c r="W4122">
        <v>2</v>
      </c>
      <c r="X4122">
        <v>0</v>
      </c>
      <c r="Y4122">
        <v>0</v>
      </c>
      <c r="Z4122">
        <v>0</v>
      </c>
    </row>
    <row r="4123" spans="1:26" x14ac:dyDescent="0.2">
      <c r="A4123" t="s">
        <v>4241</v>
      </c>
      <c r="B4123" t="s">
        <v>41</v>
      </c>
      <c r="C4123">
        <v>2019</v>
      </c>
      <c r="D4123" t="s">
        <v>48</v>
      </c>
      <c r="E4123" t="s">
        <v>86</v>
      </c>
      <c r="F4123" t="s">
        <v>49</v>
      </c>
      <c r="G4123">
        <v>74197</v>
      </c>
      <c r="H4123">
        <v>0</v>
      </c>
      <c r="I4123" s="13">
        <v>1</v>
      </c>
      <c r="J4123" t="s">
        <v>6207</v>
      </c>
      <c r="K4123">
        <v>5</v>
      </c>
      <c r="L4123">
        <v>2</v>
      </c>
      <c r="M4123" t="s">
        <v>0</v>
      </c>
      <c r="N4123" s="2">
        <v>0.7</v>
      </c>
      <c r="O4123" s="2">
        <v>0.3</v>
      </c>
      <c r="P4123">
        <v>16</v>
      </c>
      <c r="Q4123">
        <v>6</v>
      </c>
      <c r="R4123">
        <v>8</v>
      </c>
      <c r="S4123">
        <v>3</v>
      </c>
      <c r="T4123">
        <v>3</v>
      </c>
      <c r="U4123">
        <v>12</v>
      </c>
      <c r="V4123">
        <v>0</v>
      </c>
      <c r="W4123">
        <v>1</v>
      </c>
      <c r="X4123">
        <v>0</v>
      </c>
      <c r="Y4123">
        <v>0</v>
      </c>
      <c r="Z4123">
        <v>2</v>
      </c>
    </row>
    <row r="4124" spans="1:26" x14ac:dyDescent="0.2">
      <c r="A4124" t="s">
        <v>4242</v>
      </c>
      <c r="B4124" t="s">
        <v>68</v>
      </c>
      <c r="C4124">
        <v>2019</v>
      </c>
      <c r="D4124" t="s">
        <v>80</v>
      </c>
      <c r="E4124" t="s">
        <v>79</v>
      </c>
      <c r="F4124" t="s">
        <v>80</v>
      </c>
      <c r="G4124">
        <v>32261</v>
      </c>
      <c r="H4124">
        <v>0</v>
      </c>
      <c r="I4124" s="13">
        <v>0</v>
      </c>
      <c r="J4124" t="s">
        <v>6207</v>
      </c>
      <c r="K4124">
        <v>3</v>
      </c>
      <c r="L4124">
        <v>0</v>
      </c>
      <c r="M4124" t="s">
        <v>0</v>
      </c>
      <c r="N4124" s="2">
        <v>0.52</v>
      </c>
      <c r="O4124" s="2">
        <v>0.48</v>
      </c>
      <c r="P4124">
        <v>9</v>
      </c>
      <c r="Q4124">
        <v>19</v>
      </c>
      <c r="R4124">
        <v>3</v>
      </c>
      <c r="S4124">
        <v>7</v>
      </c>
      <c r="T4124">
        <v>18</v>
      </c>
      <c r="U4124">
        <v>8</v>
      </c>
      <c r="V4124">
        <v>2</v>
      </c>
      <c r="W4124">
        <v>1</v>
      </c>
      <c r="X4124">
        <v>0</v>
      </c>
      <c r="Y4124">
        <v>0</v>
      </c>
      <c r="Z4124">
        <v>0</v>
      </c>
    </row>
    <row r="4125" spans="1:26" x14ac:dyDescent="0.2">
      <c r="A4125" t="s">
        <v>4243</v>
      </c>
      <c r="B4125" t="s">
        <v>66</v>
      </c>
      <c r="C4125">
        <v>2019</v>
      </c>
      <c r="D4125" t="s">
        <v>22</v>
      </c>
      <c r="E4125" t="s">
        <v>46</v>
      </c>
      <c r="F4125" t="s">
        <v>24</v>
      </c>
      <c r="G4125">
        <v>31750</v>
      </c>
      <c r="H4125">
        <v>0</v>
      </c>
      <c r="I4125" s="13">
        <v>0.66666666666666663</v>
      </c>
      <c r="J4125" t="s">
        <v>6207</v>
      </c>
      <c r="K4125">
        <v>0</v>
      </c>
      <c r="L4125">
        <v>2</v>
      </c>
      <c r="M4125" t="s">
        <v>1</v>
      </c>
      <c r="N4125" s="2">
        <v>0.52</v>
      </c>
      <c r="O4125" s="2">
        <v>0.48</v>
      </c>
      <c r="P4125">
        <v>11</v>
      </c>
      <c r="Q4125">
        <v>7</v>
      </c>
      <c r="R4125">
        <v>3</v>
      </c>
      <c r="S4125">
        <v>5</v>
      </c>
      <c r="T4125">
        <v>6</v>
      </c>
      <c r="U4125">
        <v>11</v>
      </c>
      <c r="V4125">
        <v>2</v>
      </c>
      <c r="W4125">
        <v>4</v>
      </c>
      <c r="X4125">
        <v>0</v>
      </c>
      <c r="Y4125">
        <v>0</v>
      </c>
      <c r="Z4125">
        <v>0</v>
      </c>
    </row>
    <row r="4126" spans="1:26" x14ac:dyDescent="0.2">
      <c r="A4126" t="s">
        <v>4244</v>
      </c>
      <c r="B4126" t="s">
        <v>60</v>
      </c>
      <c r="C4126">
        <v>2019</v>
      </c>
      <c r="D4126" t="s">
        <v>18</v>
      </c>
      <c r="E4126" t="s">
        <v>85</v>
      </c>
      <c r="F4126" t="s">
        <v>20</v>
      </c>
      <c r="G4126">
        <v>40341</v>
      </c>
      <c r="H4126">
        <v>0</v>
      </c>
      <c r="I4126" s="13">
        <v>1</v>
      </c>
      <c r="J4126" t="s">
        <v>6208</v>
      </c>
      <c r="K4126">
        <v>3</v>
      </c>
      <c r="L4126">
        <v>0</v>
      </c>
      <c r="M4126" t="s">
        <v>0</v>
      </c>
      <c r="N4126" s="2">
        <v>0.7</v>
      </c>
      <c r="O4126" s="2">
        <v>0.3</v>
      </c>
      <c r="P4126">
        <v>13</v>
      </c>
      <c r="Q4126">
        <v>10</v>
      </c>
      <c r="R4126">
        <v>5</v>
      </c>
      <c r="S4126">
        <v>3</v>
      </c>
      <c r="T4126">
        <v>9</v>
      </c>
      <c r="U4126">
        <v>12</v>
      </c>
      <c r="V4126">
        <v>0</v>
      </c>
      <c r="W4126">
        <v>2</v>
      </c>
      <c r="X4126">
        <v>0</v>
      </c>
      <c r="Y4126">
        <v>0</v>
      </c>
      <c r="Z4126">
        <v>1</v>
      </c>
    </row>
    <row r="4127" spans="1:26" x14ac:dyDescent="0.2">
      <c r="A4127" t="s">
        <v>4245</v>
      </c>
      <c r="B4127" t="s">
        <v>97</v>
      </c>
      <c r="C4127">
        <v>2019</v>
      </c>
      <c r="D4127" t="s">
        <v>28</v>
      </c>
      <c r="E4127" t="s">
        <v>95</v>
      </c>
      <c r="F4127" t="s">
        <v>28</v>
      </c>
      <c r="G4127">
        <v>21944</v>
      </c>
      <c r="H4127">
        <v>0</v>
      </c>
      <c r="I4127" s="13">
        <v>0</v>
      </c>
      <c r="J4127" t="s">
        <v>6207</v>
      </c>
      <c r="K4127">
        <v>1</v>
      </c>
      <c r="L4127">
        <v>1</v>
      </c>
      <c r="M4127" t="s">
        <v>58</v>
      </c>
      <c r="N4127" s="2">
        <v>0.47</v>
      </c>
      <c r="O4127" s="2">
        <v>0.53</v>
      </c>
      <c r="P4127">
        <v>15</v>
      </c>
      <c r="Q4127">
        <v>10</v>
      </c>
      <c r="R4127">
        <v>3</v>
      </c>
      <c r="S4127">
        <v>9</v>
      </c>
      <c r="T4127">
        <v>8</v>
      </c>
      <c r="U4127">
        <v>14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8" spans="1:26" x14ac:dyDescent="0.2">
      <c r="A4128" t="s">
        <v>4246</v>
      </c>
      <c r="B4128" t="s">
        <v>76</v>
      </c>
      <c r="C4128">
        <v>2019</v>
      </c>
      <c r="D4128" t="s">
        <v>64</v>
      </c>
      <c r="E4128" t="s">
        <v>23</v>
      </c>
      <c r="F4128" t="s">
        <v>64</v>
      </c>
      <c r="G4128">
        <v>52264</v>
      </c>
      <c r="H4128">
        <v>0</v>
      </c>
      <c r="I4128" s="13">
        <v>0</v>
      </c>
      <c r="J4128" t="s">
        <v>6207</v>
      </c>
      <c r="K4128">
        <v>2</v>
      </c>
      <c r="L4128">
        <v>2</v>
      </c>
      <c r="M4128" t="s">
        <v>58</v>
      </c>
      <c r="N4128" s="2">
        <v>0.56999999999999995</v>
      </c>
      <c r="O4128" s="2">
        <v>0.43</v>
      </c>
      <c r="P4128">
        <v>12</v>
      </c>
      <c r="Q4128">
        <v>11</v>
      </c>
      <c r="R4128">
        <v>6</v>
      </c>
      <c r="S4128">
        <v>4</v>
      </c>
      <c r="T4128">
        <v>9</v>
      </c>
      <c r="U4128">
        <v>11</v>
      </c>
      <c r="V4128">
        <v>1</v>
      </c>
      <c r="W4128">
        <v>0</v>
      </c>
      <c r="X4128">
        <v>0</v>
      </c>
      <c r="Y4128">
        <v>0</v>
      </c>
      <c r="Z4128">
        <v>0</v>
      </c>
    </row>
    <row r="4129" spans="1:26" x14ac:dyDescent="0.2">
      <c r="A4129" t="s">
        <v>4247</v>
      </c>
      <c r="B4129" t="s">
        <v>81</v>
      </c>
      <c r="C4129">
        <v>2019</v>
      </c>
      <c r="D4129" t="s">
        <v>26</v>
      </c>
      <c r="E4129" t="s">
        <v>42</v>
      </c>
      <c r="F4129" t="s">
        <v>26</v>
      </c>
      <c r="G4129">
        <v>61276</v>
      </c>
      <c r="H4129">
        <v>0</v>
      </c>
      <c r="I4129" s="13">
        <v>0</v>
      </c>
      <c r="J4129" t="s">
        <v>6207</v>
      </c>
      <c r="K4129">
        <v>2</v>
      </c>
      <c r="L4129">
        <v>0</v>
      </c>
      <c r="M4129" t="s">
        <v>0</v>
      </c>
      <c r="N4129" s="2">
        <v>0.71</v>
      </c>
      <c r="O4129" s="2">
        <v>0.28999999999999998</v>
      </c>
      <c r="P4129">
        <v>13</v>
      </c>
      <c r="Q4129">
        <v>20</v>
      </c>
      <c r="R4129">
        <v>7</v>
      </c>
      <c r="S4129">
        <v>5</v>
      </c>
      <c r="T4129">
        <v>18</v>
      </c>
      <c r="U4129">
        <v>8</v>
      </c>
      <c r="V4129">
        <v>1</v>
      </c>
      <c r="W4129">
        <v>1</v>
      </c>
      <c r="X4129">
        <v>0</v>
      </c>
      <c r="Y4129">
        <v>0</v>
      </c>
      <c r="Z4129">
        <v>0</v>
      </c>
    </row>
    <row r="4130" spans="1:26" x14ac:dyDescent="0.2">
      <c r="A4130" t="s">
        <v>4248</v>
      </c>
      <c r="B4130" t="s">
        <v>37</v>
      </c>
      <c r="C4130">
        <v>2019</v>
      </c>
      <c r="D4130" t="s">
        <v>73</v>
      </c>
      <c r="E4130" t="s">
        <v>40</v>
      </c>
      <c r="F4130" t="s">
        <v>73</v>
      </c>
      <c r="G4130">
        <v>32384</v>
      </c>
      <c r="H4130">
        <v>0</v>
      </c>
      <c r="I4130" s="13">
        <v>1</v>
      </c>
      <c r="J4130" t="s">
        <v>6206</v>
      </c>
      <c r="K4130">
        <v>1</v>
      </c>
      <c r="L4130">
        <v>0</v>
      </c>
      <c r="M4130" t="s">
        <v>0</v>
      </c>
      <c r="N4130" s="2">
        <v>0.26</v>
      </c>
      <c r="O4130" s="2">
        <v>0.74</v>
      </c>
      <c r="P4130">
        <v>10</v>
      </c>
      <c r="Q4130">
        <v>9</v>
      </c>
      <c r="R4130">
        <v>2</v>
      </c>
      <c r="S4130">
        <v>13</v>
      </c>
      <c r="T4130">
        <v>6</v>
      </c>
      <c r="U4130">
        <v>7</v>
      </c>
      <c r="V4130">
        <v>1</v>
      </c>
      <c r="W4130">
        <v>2</v>
      </c>
      <c r="X4130">
        <v>0</v>
      </c>
      <c r="Y4130">
        <v>0</v>
      </c>
      <c r="Z4130">
        <v>0</v>
      </c>
    </row>
    <row r="4131" spans="1:26" x14ac:dyDescent="0.2">
      <c r="A4131" t="s">
        <v>4249</v>
      </c>
      <c r="B4131" t="s">
        <v>83</v>
      </c>
      <c r="C4131">
        <v>2019</v>
      </c>
      <c r="D4131" t="s">
        <v>51</v>
      </c>
      <c r="E4131" t="s">
        <v>45</v>
      </c>
      <c r="F4131" t="s">
        <v>20</v>
      </c>
      <c r="G4131">
        <v>36284</v>
      </c>
      <c r="H4131">
        <v>0</v>
      </c>
      <c r="I4131" s="13">
        <v>0.8</v>
      </c>
      <c r="J4131" t="s">
        <v>6208</v>
      </c>
      <c r="K4131">
        <v>1</v>
      </c>
      <c r="L4131">
        <v>0</v>
      </c>
      <c r="M4131" t="s">
        <v>0</v>
      </c>
      <c r="N4131" s="2">
        <v>0.51</v>
      </c>
      <c r="O4131" s="2">
        <v>0.49</v>
      </c>
      <c r="P4131">
        <v>20</v>
      </c>
      <c r="Q4131">
        <v>16</v>
      </c>
      <c r="R4131">
        <v>5</v>
      </c>
      <c r="S4131">
        <v>6</v>
      </c>
      <c r="T4131">
        <v>14</v>
      </c>
      <c r="U4131">
        <v>18</v>
      </c>
      <c r="V4131">
        <v>3</v>
      </c>
      <c r="W4131">
        <v>2</v>
      </c>
      <c r="X4131">
        <v>0</v>
      </c>
      <c r="Y4131">
        <v>0</v>
      </c>
      <c r="Z4131">
        <v>0</v>
      </c>
    </row>
    <row r="4132" spans="1:26" x14ac:dyDescent="0.2">
      <c r="A4132" t="s">
        <v>4250</v>
      </c>
      <c r="B4132" t="s">
        <v>61</v>
      </c>
      <c r="C4132">
        <v>2019</v>
      </c>
      <c r="D4132" t="s">
        <v>85</v>
      </c>
      <c r="E4132" t="s">
        <v>69</v>
      </c>
      <c r="F4132" t="s">
        <v>85</v>
      </c>
      <c r="G4132">
        <v>22220</v>
      </c>
      <c r="H4132">
        <v>0</v>
      </c>
      <c r="I4132" s="13">
        <v>0.33333333333333331</v>
      </c>
      <c r="J4132" t="s">
        <v>6207</v>
      </c>
      <c r="K4132">
        <v>2</v>
      </c>
      <c r="L4132">
        <v>1</v>
      </c>
      <c r="M4132" t="s">
        <v>0</v>
      </c>
      <c r="N4132" s="2">
        <v>0.43</v>
      </c>
      <c r="O4132" s="2">
        <v>0.56999999999999995</v>
      </c>
      <c r="P4132">
        <v>15</v>
      </c>
      <c r="Q4132">
        <v>11</v>
      </c>
      <c r="R4132">
        <v>4</v>
      </c>
      <c r="S4132">
        <v>3</v>
      </c>
      <c r="T4132">
        <v>11</v>
      </c>
      <c r="U4132">
        <v>15</v>
      </c>
      <c r="V4132">
        <v>2</v>
      </c>
      <c r="W4132">
        <v>4</v>
      </c>
      <c r="X4132">
        <v>0</v>
      </c>
      <c r="Y4132">
        <v>0</v>
      </c>
      <c r="Z4132">
        <v>0</v>
      </c>
    </row>
    <row r="4133" spans="1:26" x14ac:dyDescent="0.2">
      <c r="A4133" t="s">
        <v>4251</v>
      </c>
      <c r="B4133" t="s">
        <v>93</v>
      </c>
      <c r="C4133">
        <v>2019</v>
      </c>
      <c r="D4133" t="s">
        <v>79</v>
      </c>
      <c r="E4133" t="s">
        <v>18</v>
      </c>
      <c r="F4133" t="s">
        <v>20</v>
      </c>
      <c r="G4133">
        <v>25486</v>
      </c>
      <c r="H4133">
        <v>0</v>
      </c>
      <c r="I4133" s="13">
        <v>1</v>
      </c>
      <c r="J4133" t="s">
        <v>6206</v>
      </c>
      <c r="K4133">
        <v>2</v>
      </c>
      <c r="L4133">
        <v>3</v>
      </c>
      <c r="M4133" t="s">
        <v>1</v>
      </c>
      <c r="N4133" s="2">
        <v>0.42</v>
      </c>
      <c r="O4133" s="2">
        <v>0.57999999999999996</v>
      </c>
      <c r="P4133">
        <v>10</v>
      </c>
      <c r="Q4133">
        <v>12</v>
      </c>
      <c r="R4133">
        <v>7</v>
      </c>
      <c r="S4133">
        <v>9</v>
      </c>
      <c r="T4133">
        <v>11</v>
      </c>
      <c r="U4133">
        <v>10</v>
      </c>
      <c r="V4133">
        <v>1</v>
      </c>
      <c r="W4133">
        <v>0</v>
      </c>
      <c r="X4133">
        <v>0</v>
      </c>
      <c r="Y4133">
        <v>0</v>
      </c>
      <c r="Z4133">
        <v>0</v>
      </c>
    </row>
    <row r="4134" spans="1:26" x14ac:dyDescent="0.2">
      <c r="A4134" t="s">
        <v>4252</v>
      </c>
      <c r="B4134" t="s">
        <v>88</v>
      </c>
      <c r="C4134">
        <v>2019</v>
      </c>
      <c r="D4134" t="s">
        <v>46</v>
      </c>
      <c r="E4134" t="s">
        <v>80</v>
      </c>
      <c r="F4134" t="s">
        <v>20</v>
      </c>
      <c r="G4134">
        <v>60704</v>
      </c>
      <c r="H4134">
        <v>0</v>
      </c>
      <c r="I4134" s="13">
        <v>0.5</v>
      </c>
      <c r="J4134" t="s">
        <v>6207</v>
      </c>
      <c r="K4134">
        <v>1</v>
      </c>
      <c r="L4134">
        <v>1</v>
      </c>
      <c r="M4134" t="s">
        <v>58</v>
      </c>
      <c r="N4134" s="2">
        <v>0.38</v>
      </c>
      <c r="O4134" s="2">
        <v>0.62</v>
      </c>
      <c r="P4134">
        <v>15</v>
      </c>
      <c r="Q4134">
        <v>14</v>
      </c>
      <c r="R4134">
        <v>10</v>
      </c>
      <c r="S4134">
        <v>1</v>
      </c>
      <c r="T4134">
        <v>10</v>
      </c>
      <c r="U4134">
        <v>14</v>
      </c>
      <c r="V4134">
        <v>1</v>
      </c>
      <c r="W4134">
        <v>0</v>
      </c>
      <c r="X4134">
        <v>1</v>
      </c>
      <c r="Y4134">
        <v>0</v>
      </c>
      <c r="Z4134">
        <v>0</v>
      </c>
    </row>
    <row r="4135" spans="1:26" x14ac:dyDescent="0.2">
      <c r="A4135" t="s">
        <v>4253</v>
      </c>
      <c r="B4135" t="s">
        <v>66</v>
      </c>
      <c r="C4135">
        <v>2019</v>
      </c>
      <c r="D4135" t="s">
        <v>23</v>
      </c>
      <c r="E4135" t="s">
        <v>28</v>
      </c>
      <c r="F4135" t="s">
        <v>20</v>
      </c>
      <c r="G4135">
        <v>62500</v>
      </c>
      <c r="H4135">
        <v>0</v>
      </c>
      <c r="I4135" s="13">
        <v>0</v>
      </c>
      <c r="J4135" t="s">
        <v>6207</v>
      </c>
      <c r="K4135">
        <v>0</v>
      </c>
      <c r="L4135">
        <v>1</v>
      </c>
      <c r="M4135" t="s">
        <v>1</v>
      </c>
      <c r="N4135" s="2">
        <v>0.53</v>
      </c>
      <c r="O4135" s="2">
        <v>0.47</v>
      </c>
      <c r="P4135">
        <v>12</v>
      </c>
      <c r="Q4135">
        <v>7</v>
      </c>
      <c r="R4135">
        <v>10</v>
      </c>
      <c r="S4135">
        <v>3</v>
      </c>
      <c r="T4135">
        <v>7</v>
      </c>
      <c r="U4135">
        <v>7</v>
      </c>
      <c r="V4135">
        <v>1</v>
      </c>
      <c r="W4135">
        <v>1</v>
      </c>
      <c r="X4135">
        <v>0</v>
      </c>
      <c r="Y4135">
        <v>0</v>
      </c>
      <c r="Z4135">
        <v>0</v>
      </c>
    </row>
    <row r="4136" spans="1:26" x14ac:dyDescent="0.2">
      <c r="A4136" t="s">
        <v>4254</v>
      </c>
      <c r="B4136" t="s">
        <v>32</v>
      </c>
      <c r="C4136">
        <v>2019</v>
      </c>
      <c r="D4136" t="s">
        <v>95</v>
      </c>
      <c r="E4136" t="s">
        <v>22</v>
      </c>
      <c r="F4136" t="s">
        <v>57</v>
      </c>
      <c r="G4136">
        <v>32050</v>
      </c>
      <c r="H4136">
        <v>0</v>
      </c>
      <c r="I4136" s="13">
        <v>0.5</v>
      </c>
      <c r="J4136" t="s">
        <v>6207</v>
      </c>
      <c r="K4136">
        <v>1</v>
      </c>
      <c r="L4136">
        <v>0</v>
      </c>
      <c r="M4136" t="s">
        <v>0</v>
      </c>
      <c r="N4136" s="2">
        <v>0.43</v>
      </c>
      <c r="O4136" s="2">
        <v>0.56999999999999995</v>
      </c>
      <c r="P4136">
        <v>6</v>
      </c>
      <c r="Q4136">
        <v>8</v>
      </c>
      <c r="R4136">
        <v>6</v>
      </c>
      <c r="S4136">
        <v>1</v>
      </c>
      <c r="T4136">
        <v>5</v>
      </c>
      <c r="U4136">
        <v>6</v>
      </c>
      <c r="V4136">
        <v>2</v>
      </c>
      <c r="W4136">
        <v>0</v>
      </c>
      <c r="X4136">
        <v>0</v>
      </c>
      <c r="Y4136">
        <v>0</v>
      </c>
      <c r="Z4136">
        <v>0</v>
      </c>
    </row>
    <row r="4137" spans="1:26" x14ac:dyDescent="0.2">
      <c r="A4137" t="s">
        <v>4255</v>
      </c>
      <c r="B4137" t="s">
        <v>92</v>
      </c>
      <c r="C4137">
        <v>2019</v>
      </c>
      <c r="D4137" t="s">
        <v>40</v>
      </c>
      <c r="E4137" t="s">
        <v>64</v>
      </c>
      <c r="F4137" t="s">
        <v>49</v>
      </c>
      <c r="G4137">
        <v>53400</v>
      </c>
      <c r="H4137">
        <v>0</v>
      </c>
      <c r="I4137" s="13">
        <v>0</v>
      </c>
      <c r="J4137" t="s">
        <v>6207</v>
      </c>
      <c r="K4137">
        <v>5</v>
      </c>
      <c r="L4137">
        <v>0</v>
      </c>
      <c r="M4137" t="s">
        <v>0</v>
      </c>
      <c r="N4137" s="2">
        <v>0.74</v>
      </c>
      <c r="O4137" s="2">
        <v>0.26</v>
      </c>
      <c r="P4137">
        <v>7</v>
      </c>
      <c r="Q4137">
        <v>15</v>
      </c>
      <c r="R4137">
        <v>8</v>
      </c>
      <c r="S4137">
        <v>1</v>
      </c>
      <c r="T4137">
        <v>13</v>
      </c>
      <c r="U4137">
        <v>7</v>
      </c>
      <c r="V4137">
        <v>0</v>
      </c>
      <c r="W4137">
        <v>0</v>
      </c>
      <c r="X4137">
        <v>0</v>
      </c>
      <c r="Y4137">
        <v>0</v>
      </c>
      <c r="Z4137">
        <v>0</v>
      </c>
    </row>
    <row r="4138" spans="1:26" x14ac:dyDescent="0.2">
      <c r="A4138" t="s">
        <v>4256</v>
      </c>
      <c r="B4138" t="s">
        <v>76</v>
      </c>
      <c r="C4138">
        <v>2019</v>
      </c>
      <c r="D4138" t="s">
        <v>90</v>
      </c>
      <c r="E4138" t="s">
        <v>26</v>
      </c>
      <c r="F4138" t="s">
        <v>91</v>
      </c>
      <c r="G4138">
        <v>31876</v>
      </c>
      <c r="H4138">
        <v>0</v>
      </c>
      <c r="I4138" s="13">
        <v>0.8</v>
      </c>
      <c r="J4138" t="s">
        <v>6207</v>
      </c>
      <c r="K4138">
        <v>1</v>
      </c>
      <c r="L4138">
        <v>3</v>
      </c>
      <c r="M4138" t="s">
        <v>1</v>
      </c>
      <c r="N4138" s="2">
        <v>0.44</v>
      </c>
      <c r="O4138" s="2">
        <v>0.56000000000000005</v>
      </c>
      <c r="P4138">
        <v>15</v>
      </c>
      <c r="Q4138">
        <v>12</v>
      </c>
      <c r="R4138">
        <v>6</v>
      </c>
      <c r="S4138">
        <v>10</v>
      </c>
      <c r="T4138">
        <v>7</v>
      </c>
      <c r="U4138">
        <v>15</v>
      </c>
      <c r="V4138">
        <v>1</v>
      </c>
      <c r="W4138">
        <v>4</v>
      </c>
      <c r="X4138">
        <v>0</v>
      </c>
      <c r="Y4138">
        <v>0</v>
      </c>
      <c r="Z4138">
        <v>0</v>
      </c>
    </row>
    <row r="4139" spans="1:26" x14ac:dyDescent="0.2">
      <c r="A4139" t="s">
        <v>4257</v>
      </c>
      <c r="B4139" t="s">
        <v>50</v>
      </c>
      <c r="C4139">
        <v>2019</v>
      </c>
      <c r="D4139" t="s">
        <v>45</v>
      </c>
      <c r="E4139" t="s">
        <v>73</v>
      </c>
      <c r="F4139" t="s">
        <v>26</v>
      </c>
      <c r="G4139">
        <v>39572</v>
      </c>
      <c r="H4139">
        <v>0</v>
      </c>
      <c r="I4139" s="13">
        <v>0.5</v>
      </c>
      <c r="J4139" t="s">
        <v>6207</v>
      </c>
      <c r="K4139">
        <v>1</v>
      </c>
      <c r="L4139">
        <v>1</v>
      </c>
      <c r="M4139" t="s">
        <v>58</v>
      </c>
      <c r="N4139" s="2">
        <v>0.39</v>
      </c>
      <c r="O4139" s="2">
        <v>0.61</v>
      </c>
      <c r="P4139">
        <v>16</v>
      </c>
      <c r="Q4139">
        <v>14</v>
      </c>
      <c r="R4139">
        <v>3</v>
      </c>
      <c r="S4139">
        <v>5</v>
      </c>
      <c r="T4139">
        <v>13</v>
      </c>
      <c r="U4139">
        <v>14</v>
      </c>
      <c r="V4139">
        <v>3</v>
      </c>
      <c r="W4139">
        <v>3</v>
      </c>
      <c r="X4139">
        <v>0</v>
      </c>
      <c r="Y4139">
        <v>0</v>
      </c>
      <c r="Z4139">
        <v>1</v>
      </c>
    </row>
    <row r="4140" spans="1:26" x14ac:dyDescent="0.2">
      <c r="A4140" t="s">
        <v>4258</v>
      </c>
      <c r="B4140" t="s">
        <v>81</v>
      </c>
      <c r="C4140">
        <v>2019</v>
      </c>
      <c r="D4140" t="s">
        <v>86</v>
      </c>
      <c r="E4140" t="s">
        <v>51</v>
      </c>
      <c r="F4140" t="s">
        <v>86</v>
      </c>
      <c r="G4140">
        <v>11364</v>
      </c>
      <c r="H4140">
        <v>0</v>
      </c>
      <c r="I4140" s="13">
        <v>0.6</v>
      </c>
      <c r="J4140" t="s">
        <v>6207</v>
      </c>
      <c r="K4140">
        <v>0</v>
      </c>
      <c r="L4140">
        <v>0</v>
      </c>
      <c r="M4140" t="s">
        <v>58</v>
      </c>
      <c r="N4140" s="2">
        <v>0.36</v>
      </c>
      <c r="O4140" s="2">
        <v>0.64</v>
      </c>
      <c r="P4140">
        <v>14</v>
      </c>
      <c r="Q4140">
        <v>13</v>
      </c>
      <c r="R4140">
        <v>8</v>
      </c>
      <c r="S4140">
        <v>12</v>
      </c>
      <c r="T4140">
        <v>11</v>
      </c>
      <c r="U4140">
        <v>14</v>
      </c>
      <c r="V4140">
        <v>3</v>
      </c>
      <c r="W4140">
        <v>2</v>
      </c>
      <c r="X4140">
        <v>0</v>
      </c>
      <c r="Y4140">
        <v>0</v>
      </c>
      <c r="Z4140">
        <v>0</v>
      </c>
    </row>
    <row r="4141" spans="1:26" x14ac:dyDescent="0.2">
      <c r="A4141" t="s">
        <v>4259</v>
      </c>
      <c r="B4141" t="s">
        <v>68</v>
      </c>
      <c r="C4141">
        <v>2019</v>
      </c>
      <c r="D4141" t="s">
        <v>42</v>
      </c>
      <c r="E4141" t="s">
        <v>48</v>
      </c>
      <c r="F4141" t="s">
        <v>38</v>
      </c>
      <c r="G4141">
        <v>42918</v>
      </c>
      <c r="H4141">
        <v>0</v>
      </c>
      <c r="I4141" s="13">
        <v>0.8</v>
      </c>
      <c r="J4141" t="s">
        <v>6207</v>
      </c>
      <c r="K4141">
        <v>0</v>
      </c>
      <c r="L4141">
        <v>3</v>
      </c>
      <c r="M4141" t="s">
        <v>1</v>
      </c>
      <c r="N4141" s="2">
        <v>0.33</v>
      </c>
      <c r="O4141" s="2">
        <v>0.67</v>
      </c>
      <c r="P4141">
        <v>14</v>
      </c>
      <c r="Q4141">
        <v>8</v>
      </c>
      <c r="R4141">
        <v>3</v>
      </c>
      <c r="S4141">
        <v>5</v>
      </c>
      <c r="T4141">
        <v>7</v>
      </c>
      <c r="U4141">
        <v>13</v>
      </c>
      <c r="V4141">
        <v>2</v>
      </c>
      <c r="W4141">
        <v>3</v>
      </c>
      <c r="X4141">
        <v>0</v>
      </c>
      <c r="Y4141">
        <v>0</v>
      </c>
      <c r="Z4141">
        <v>1</v>
      </c>
    </row>
    <row r="4142" spans="1:26" x14ac:dyDescent="0.2">
      <c r="A4142" t="s">
        <v>4260</v>
      </c>
      <c r="B4142" t="s">
        <v>76</v>
      </c>
      <c r="C4142">
        <v>2019</v>
      </c>
      <c r="D4142" t="s">
        <v>85</v>
      </c>
      <c r="E4142" t="s">
        <v>64</v>
      </c>
      <c r="F4142" t="s">
        <v>85</v>
      </c>
      <c r="G4142">
        <v>22220</v>
      </c>
      <c r="H4142">
        <v>0</v>
      </c>
      <c r="I4142" s="13">
        <v>0.6</v>
      </c>
      <c r="J4142" t="s">
        <v>6207</v>
      </c>
      <c r="K4142">
        <v>2</v>
      </c>
      <c r="L4142">
        <v>1</v>
      </c>
      <c r="M4142" t="s">
        <v>0</v>
      </c>
      <c r="N4142" s="2">
        <v>0.48</v>
      </c>
      <c r="O4142" s="2">
        <v>0.52</v>
      </c>
      <c r="P4142">
        <v>16</v>
      </c>
      <c r="Q4142">
        <v>26</v>
      </c>
      <c r="R4142">
        <v>2</v>
      </c>
      <c r="S4142">
        <v>4</v>
      </c>
      <c r="T4142">
        <v>23</v>
      </c>
      <c r="U4142">
        <v>15</v>
      </c>
      <c r="V4142">
        <v>1</v>
      </c>
      <c r="W4142">
        <v>4</v>
      </c>
      <c r="X4142">
        <v>0</v>
      </c>
      <c r="Y4142">
        <v>0</v>
      </c>
      <c r="Z4142">
        <v>2</v>
      </c>
    </row>
    <row r="4143" spans="1:26" x14ac:dyDescent="0.2">
      <c r="A4143" t="s">
        <v>4261</v>
      </c>
      <c r="B4143" t="s">
        <v>60</v>
      </c>
      <c r="C4143">
        <v>2019</v>
      </c>
      <c r="D4143" t="s">
        <v>69</v>
      </c>
      <c r="E4143" t="s">
        <v>23</v>
      </c>
      <c r="F4143" t="s">
        <v>69</v>
      </c>
      <c r="G4143">
        <v>27359</v>
      </c>
      <c r="H4143">
        <v>0</v>
      </c>
      <c r="I4143" s="13">
        <v>1</v>
      </c>
      <c r="J4143" t="s">
        <v>6208</v>
      </c>
      <c r="K4143">
        <v>0</v>
      </c>
      <c r="L4143">
        <v>4</v>
      </c>
      <c r="M4143" t="s">
        <v>1</v>
      </c>
      <c r="N4143" s="2">
        <v>0.52</v>
      </c>
      <c r="O4143" s="2">
        <v>0.48</v>
      </c>
      <c r="P4143">
        <v>8</v>
      </c>
      <c r="Q4143">
        <v>10</v>
      </c>
      <c r="R4143">
        <v>1</v>
      </c>
      <c r="S4143">
        <v>6</v>
      </c>
      <c r="T4143">
        <v>9</v>
      </c>
      <c r="U4143">
        <v>8</v>
      </c>
      <c r="V4143">
        <v>1</v>
      </c>
      <c r="W4143">
        <v>0</v>
      </c>
      <c r="X4143">
        <v>0</v>
      </c>
      <c r="Y4143">
        <v>0</v>
      </c>
      <c r="Z4143">
        <v>0</v>
      </c>
    </row>
    <row r="4144" spans="1:26" x14ac:dyDescent="0.2">
      <c r="A4144" t="s">
        <v>4262</v>
      </c>
      <c r="B4144" t="s">
        <v>93</v>
      </c>
      <c r="C4144">
        <v>2019</v>
      </c>
      <c r="D4144" t="s">
        <v>26</v>
      </c>
      <c r="E4144" t="s">
        <v>28</v>
      </c>
      <c r="F4144" t="s">
        <v>26</v>
      </c>
      <c r="G4144">
        <v>61276</v>
      </c>
      <c r="H4144">
        <v>0</v>
      </c>
      <c r="I4144" s="13">
        <v>0.33333333333333331</v>
      </c>
      <c r="J4144" t="s">
        <v>6206</v>
      </c>
      <c r="K4144">
        <v>1</v>
      </c>
      <c r="L4144">
        <v>1</v>
      </c>
      <c r="M4144" t="s">
        <v>58</v>
      </c>
      <c r="N4144" s="2">
        <v>0.71</v>
      </c>
      <c r="O4144" s="2">
        <v>0.28999999999999998</v>
      </c>
      <c r="P4144">
        <v>7</v>
      </c>
      <c r="Q4144">
        <v>9</v>
      </c>
      <c r="R4144">
        <v>11</v>
      </c>
      <c r="S4144">
        <v>6</v>
      </c>
      <c r="T4144">
        <v>7</v>
      </c>
      <c r="U4144">
        <v>4</v>
      </c>
      <c r="V4144">
        <v>1</v>
      </c>
      <c r="W4144">
        <v>2</v>
      </c>
      <c r="X4144">
        <v>0</v>
      </c>
      <c r="Y4144">
        <v>0</v>
      </c>
      <c r="Z4144">
        <v>0</v>
      </c>
    </row>
    <row r="4145" spans="1:26" x14ac:dyDescent="0.2">
      <c r="A4145" t="s">
        <v>4263</v>
      </c>
      <c r="B4145" t="s">
        <v>37</v>
      </c>
      <c r="C4145">
        <v>2019</v>
      </c>
      <c r="D4145" t="s">
        <v>95</v>
      </c>
      <c r="E4145" t="s">
        <v>18</v>
      </c>
      <c r="F4145" t="s">
        <v>57</v>
      </c>
      <c r="G4145">
        <v>32050</v>
      </c>
      <c r="H4145">
        <v>0</v>
      </c>
      <c r="I4145" s="13">
        <v>1</v>
      </c>
      <c r="J4145" t="s">
        <v>6206</v>
      </c>
      <c r="K4145">
        <v>3</v>
      </c>
      <c r="L4145">
        <v>0</v>
      </c>
      <c r="M4145" t="s">
        <v>0</v>
      </c>
      <c r="N4145" s="2">
        <v>0.24</v>
      </c>
      <c r="O4145" s="2">
        <v>0.76</v>
      </c>
      <c r="P4145">
        <v>6</v>
      </c>
      <c r="Q4145">
        <v>9</v>
      </c>
      <c r="R4145">
        <v>4</v>
      </c>
      <c r="S4145">
        <v>6</v>
      </c>
      <c r="T4145">
        <v>8</v>
      </c>
      <c r="U4145">
        <v>6</v>
      </c>
      <c r="V4145">
        <v>1</v>
      </c>
      <c r="W4145">
        <v>0</v>
      </c>
      <c r="X4145">
        <v>0</v>
      </c>
      <c r="Y4145">
        <v>0</v>
      </c>
      <c r="Z4145">
        <v>0</v>
      </c>
    </row>
    <row r="4146" spans="1:26" x14ac:dyDescent="0.2">
      <c r="A4146" t="s">
        <v>4264</v>
      </c>
      <c r="B4146" t="s">
        <v>83</v>
      </c>
      <c r="C4146">
        <v>2019</v>
      </c>
      <c r="D4146" t="s">
        <v>90</v>
      </c>
      <c r="E4146" t="s">
        <v>40</v>
      </c>
      <c r="F4146" t="s">
        <v>91</v>
      </c>
      <c r="G4146">
        <v>31876</v>
      </c>
      <c r="H4146">
        <v>0</v>
      </c>
      <c r="I4146" s="13">
        <v>1</v>
      </c>
      <c r="J4146" t="s">
        <v>6208</v>
      </c>
      <c r="K4146">
        <v>0</v>
      </c>
      <c r="L4146">
        <v>5</v>
      </c>
      <c r="M4146" t="s">
        <v>1</v>
      </c>
      <c r="N4146" s="2">
        <v>0.28999999999999998</v>
      </c>
      <c r="O4146" s="2">
        <v>0.71</v>
      </c>
      <c r="P4146">
        <v>4</v>
      </c>
      <c r="Q4146">
        <v>13</v>
      </c>
      <c r="R4146">
        <v>2</v>
      </c>
      <c r="S4146">
        <v>7</v>
      </c>
      <c r="T4146">
        <v>7</v>
      </c>
      <c r="U4146">
        <v>3</v>
      </c>
      <c r="V4146">
        <v>1</v>
      </c>
      <c r="W4146">
        <v>0</v>
      </c>
      <c r="X4146">
        <v>0</v>
      </c>
      <c r="Y4146">
        <v>0</v>
      </c>
      <c r="Z4146">
        <v>0</v>
      </c>
    </row>
    <row r="4147" spans="1:26" x14ac:dyDescent="0.2">
      <c r="A4147" t="s">
        <v>4265</v>
      </c>
      <c r="B4147" t="s">
        <v>61</v>
      </c>
      <c r="C4147">
        <v>2019</v>
      </c>
      <c r="D4147" t="s">
        <v>22</v>
      </c>
      <c r="E4147" t="s">
        <v>45</v>
      </c>
      <c r="F4147" t="s">
        <v>24</v>
      </c>
      <c r="G4147">
        <v>31750</v>
      </c>
      <c r="H4147">
        <v>0</v>
      </c>
      <c r="I4147" s="13">
        <v>0.5</v>
      </c>
      <c r="J4147" t="s">
        <v>6207</v>
      </c>
      <c r="K4147">
        <v>3</v>
      </c>
      <c r="L4147">
        <v>0</v>
      </c>
      <c r="M4147" t="s">
        <v>0</v>
      </c>
      <c r="N4147" s="2">
        <v>0.55000000000000004</v>
      </c>
      <c r="O4147" s="2">
        <v>0.45</v>
      </c>
      <c r="P4147">
        <v>8</v>
      </c>
      <c r="Q4147">
        <v>10</v>
      </c>
      <c r="R4147">
        <v>5</v>
      </c>
      <c r="S4147">
        <v>2</v>
      </c>
      <c r="T4147">
        <v>9</v>
      </c>
      <c r="U4147">
        <v>9</v>
      </c>
      <c r="V4147">
        <v>0</v>
      </c>
      <c r="W4147">
        <v>2</v>
      </c>
      <c r="X4147">
        <v>0</v>
      </c>
      <c r="Y4147">
        <v>0</v>
      </c>
      <c r="Z4147">
        <v>1</v>
      </c>
    </row>
    <row r="4148" spans="1:26" x14ac:dyDescent="0.2">
      <c r="A4148" t="s">
        <v>4266</v>
      </c>
      <c r="B4148" t="s">
        <v>32</v>
      </c>
      <c r="C4148">
        <v>2019</v>
      </c>
      <c r="D4148" t="s">
        <v>42</v>
      </c>
      <c r="E4148" t="s">
        <v>79</v>
      </c>
      <c r="F4148" t="s">
        <v>38</v>
      </c>
      <c r="G4148">
        <v>42918</v>
      </c>
      <c r="H4148">
        <v>0</v>
      </c>
      <c r="I4148" s="13">
        <v>0.8571428571428571</v>
      </c>
      <c r="J4148" t="s">
        <v>6207</v>
      </c>
      <c r="K4148">
        <v>2</v>
      </c>
      <c r="L4148">
        <v>0</v>
      </c>
      <c r="M4148" t="s">
        <v>0</v>
      </c>
      <c r="N4148" s="2">
        <v>0.45</v>
      </c>
      <c r="O4148" s="2">
        <v>0.55000000000000004</v>
      </c>
      <c r="P4148">
        <v>21</v>
      </c>
      <c r="Q4148">
        <v>21</v>
      </c>
      <c r="R4148">
        <v>5</v>
      </c>
      <c r="S4148">
        <v>1</v>
      </c>
      <c r="T4148">
        <v>21</v>
      </c>
      <c r="U4148">
        <v>21</v>
      </c>
      <c r="V4148">
        <v>2</v>
      </c>
      <c r="W4148">
        <v>4</v>
      </c>
      <c r="X4148">
        <v>0</v>
      </c>
      <c r="Y4148">
        <v>1</v>
      </c>
      <c r="Z4148">
        <v>0</v>
      </c>
    </row>
    <row r="4149" spans="1:26" x14ac:dyDescent="0.2">
      <c r="A4149" t="s">
        <v>4267</v>
      </c>
      <c r="B4149" t="s">
        <v>66</v>
      </c>
      <c r="C4149">
        <v>2019</v>
      </c>
      <c r="D4149" t="s">
        <v>51</v>
      </c>
      <c r="E4149" t="s">
        <v>46</v>
      </c>
      <c r="F4149" t="s">
        <v>20</v>
      </c>
      <c r="G4149">
        <v>36284</v>
      </c>
      <c r="H4149">
        <v>0</v>
      </c>
      <c r="I4149" s="13">
        <v>0.625</v>
      </c>
      <c r="J4149" t="s">
        <v>6207</v>
      </c>
      <c r="K4149">
        <v>2</v>
      </c>
      <c r="L4149">
        <v>1</v>
      </c>
      <c r="M4149" t="s">
        <v>0</v>
      </c>
      <c r="N4149" s="2">
        <v>0.37</v>
      </c>
      <c r="O4149" s="2">
        <v>0.63</v>
      </c>
      <c r="P4149">
        <v>11</v>
      </c>
      <c r="Q4149">
        <v>18</v>
      </c>
      <c r="R4149">
        <v>6</v>
      </c>
      <c r="S4149">
        <v>5</v>
      </c>
      <c r="T4149">
        <v>16</v>
      </c>
      <c r="U4149">
        <v>11</v>
      </c>
      <c r="V4149">
        <v>5</v>
      </c>
      <c r="W4149">
        <v>3</v>
      </c>
      <c r="X4149">
        <v>0</v>
      </c>
      <c r="Y4149">
        <v>0</v>
      </c>
      <c r="Z4149">
        <v>0</v>
      </c>
    </row>
    <row r="4150" spans="1:26" x14ac:dyDescent="0.2">
      <c r="A4150" t="s">
        <v>4268</v>
      </c>
      <c r="B4150" t="s">
        <v>59</v>
      </c>
      <c r="C4150">
        <v>2019</v>
      </c>
      <c r="D4150" t="s">
        <v>86</v>
      </c>
      <c r="E4150" t="s">
        <v>80</v>
      </c>
      <c r="F4150" t="s">
        <v>86</v>
      </c>
      <c r="G4150">
        <v>11364</v>
      </c>
      <c r="H4150">
        <v>0</v>
      </c>
      <c r="I4150" s="13">
        <v>0.5</v>
      </c>
      <c r="J4150" t="s">
        <v>6206</v>
      </c>
      <c r="K4150">
        <v>4</v>
      </c>
      <c r="L4150">
        <v>1</v>
      </c>
      <c r="M4150" t="s">
        <v>0</v>
      </c>
      <c r="N4150" s="2">
        <v>0.44</v>
      </c>
      <c r="O4150" s="2">
        <v>0.56000000000000005</v>
      </c>
      <c r="P4150">
        <v>12</v>
      </c>
      <c r="Q4150">
        <v>17</v>
      </c>
      <c r="R4150">
        <v>2</v>
      </c>
      <c r="S4150">
        <v>6</v>
      </c>
      <c r="T4150">
        <v>11</v>
      </c>
      <c r="U4150">
        <v>12</v>
      </c>
      <c r="V4150">
        <v>2</v>
      </c>
      <c r="W4150">
        <v>1</v>
      </c>
      <c r="X4150">
        <v>0</v>
      </c>
      <c r="Y4150">
        <v>1</v>
      </c>
      <c r="Z4150">
        <v>1</v>
      </c>
    </row>
    <row r="4151" spans="1:26" x14ac:dyDescent="0.2">
      <c r="A4151" t="s">
        <v>4269</v>
      </c>
      <c r="B4151" t="s">
        <v>88</v>
      </c>
      <c r="C4151">
        <v>2019</v>
      </c>
      <c r="D4151" t="s">
        <v>48</v>
      </c>
      <c r="E4151" t="s">
        <v>73</v>
      </c>
      <c r="F4151" t="s">
        <v>49</v>
      </c>
      <c r="G4151">
        <v>74197</v>
      </c>
      <c r="H4151">
        <v>0</v>
      </c>
      <c r="I4151" s="13">
        <v>0.25</v>
      </c>
      <c r="J4151" t="s">
        <v>6207</v>
      </c>
      <c r="K4151">
        <v>2</v>
      </c>
      <c r="L4151">
        <v>2</v>
      </c>
      <c r="M4151" t="s">
        <v>58</v>
      </c>
      <c r="N4151" s="2">
        <v>0.48</v>
      </c>
      <c r="O4151" s="2">
        <v>0.52</v>
      </c>
      <c r="P4151">
        <v>14</v>
      </c>
      <c r="Q4151">
        <v>15</v>
      </c>
      <c r="R4151">
        <v>4</v>
      </c>
      <c r="S4151">
        <v>6</v>
      </c>
      <c r="T4151">
        <v>14</v>
      </c>
      <c r="U4151">
        <v>15</v>
      </c>
      <c r="V4151">
        <v>1</v>
      </c>
      <c r="W4151">
        <v>3</v>
      </c>
      <c r="X4151">
        <v>0</v>
      </c>
      <c r="Y4151">
        <v>0</v>
      </c>
      <c r="Z4151">
        <v>0</v>
      </c>
    </row>
    <row r="4152" spans="1:26" x14ac:dyDescent="0.2">
      <c r="A4152" t="s">
        <v>4270</v>
      </c>
      <c r="B4152" t="s">
        <v>68</v>
      </c>
      <c r="C4152">
        <v>2019</v>
      </c>
      <c r="D4152" t="s">
        <v>18</v>
      </c>
      <c r="E4152" t="s">
        <v>69</v>
      </c>
      <c r="F4152" t="s">
        <v>20</v>
      </c>
      <c r="G4152">
        <v>40341</v>
      </c>
      <c r="H4152">
        <v>0</v>
      </c>
      <c r="I4152" s="13">
        <v>0.75</v>
      </c>
      <c r="J4152" t="s">
        <v>6207</v>
      </c>
      <c r="K4152">
        <v>1</v>
      </c>
      <c r="L4152">
        <v>0</v>
      </c>
      <c r="M4152" t="s">
        <v>0</v>
      </c>
      <c r="N4152" s="2">
        <v>0.68</v>
      </c>
      <c r="O4152" s="2">
        <v>0.32</v>
      </c>
      <c r="P4152">
        <v>10</v>
      </c>
      <c r="Q4152">
        <v>10</v>
      </c>
      <c r="R4152">
        <v>8</v>
      </c>
      <c r="S4152">
        <v>1</v>
      </c>
      <c r="T4152">
        <v>10</v>
      </c>
      <c r="U4152">
        <v>9</v>
      </c>
      <c r="V4152">
        <v>2</v>
      </c>
      <c r="W4152">
        <v>2</v>
      </c>
      <c r="X4152">
        <v>0</v>
      </c>
      <c r="Y4152">
        <v>0</v>
      </c>
      <c r="Z4152">
        <v>0</v>
      </c>
    </row>
    <row r="4153" spans="1:26" x14ac:dyDescent="0.2">
      <c r="A4153" t="s">
        <v>4271</v>
      </c>
      <c r="B4153" t="s">
        <v>93</v>
      </c>
      <c r="C4153">
        <v>2019</v>
      </c>
      <c r="D4153" t="s">
        <v>64</v>
      </c>
      <c r="E4153" t="s">
        <v>51</v>
      </c>
      <c r="F4153" t="s">
        <v>64</v>
      </c>
      <c r="G4153">
        <v>52264</v>
      </c>
      <c r="H4153">
        <v>0</v>
      </c>
      <c r="I4153" s="13">
        <v>0.4</v>
      </c>
      <c r="J4153" t="s">
        <v>6206</v>
      </c>
      <c r="K4153">
        <v>1</v>
      </c>
      <c r="L4153">
        <v>3</v>
      </c>
      <c r="M4153" t="s">
        <v>1</v>
      </c>
      <c r="N4153" s="2">
        <v>0.53</v>
      </c>
      <c r="O4153" s="2">
        <v>0.47</v>
      </c>
      <c r="P4153">
        <v>14</v>
      </c>
      <c r="Q4153">
        <v>6</v>
      </c>
      <c r="R4153">
        <v>5</v>
      </c>
      <c r="S4153">
        <v>4</v>
      </c>
      <c r="T4153">
        <v>6</v>
      </c>
      <c r="U4153">
        <v>13</v>
      </c>
      <c r="V4153">
        <v>2</v>
      </c>
      <c r="W4153">
        <v>3</v>
      </c>
      <c r="X4153">
        <v>0</v>
      </c>
      <c r="Y4153">
        <v>0</v>
      </c>
      <c r="Z4153">
        <v>0</v>
      </c>
    </row>
    <row r="4154" spans="1:26" x14ac:dyDescent="0.2">
      <c r="A4154" t="s">
        <v>4272</v>
      </c>
      <c r="B4154" t="s">
        <v>50</v>
      </c>
      <c r="C4154">
        <v>2019</v>
      </c>
      <c r="D4154" t="s">
        <v>40</v>
      </c>
      <c r="E4154" t="s">
        <v>86</v>
      </c>
      <c r="F4154" t="s">
        <v>49</v>
      </c>
      <c r="G4154">
        <v>53400</v>
      </c>
      <c r="H4154">
        <v>0</v>
      </c>
      <c r="I4154" s="13">
        <v>0.5</v>
      </c>
      <c r="J4154" t="s">
        <v>6207</v>
      </c>
      <c r="K4154">
        <v>2</v>
      </c>
      <c r="L4154">
        <v>1</v>
      </c>
      <c r="M4154" t="s">
        <v>0</v>
      </c>
      <c r="N4154" s="2">
        <v>0.73</v>
      </c>
      <c r="O4154" s="2">
        <v>0.27</v>
      </c>
      <c r="P4154">
        <v>13</v>
      </c>
      <c r="Q4154">
        <v>12</v>
      </c>
      <c r="R4154">
        <v>3</v>
      </c>
      <c r="S4154">
        <v>5</v>
      </c>
      <c r="T4154">
        <v>10</v>
      </c>
      <c r="U4154">
        <v>10</v>
      </c>
      <c r="V4154">
        <v>1</v>
      </c>
      <c r="W4154">
        <v>1</v>
      </c>
      <c r="X4154">
        <v>0</v>
      </c>
      <c r="Y4154">
        <v>0</v>
      </c>
      <c r="Z4154">
        <v>0</v>
      </c>
    </row>
    <row r="4155" spans="1:26" x14ac:dyDescent="0.2">
      <c r="A4155" t="s">
        <v>4273</v>
      </c>
      <c r="B4155" t="s">
        <v>41</v>
      </c>
      <c r="C4155">
        <v>2019</v>
      </c>
      <c r="D4155" t="s">
        <v>28</v>
      </c>
      <c r="E4155" t="s">
        <v>22</v>
      </c>
      <c r="F4155" t="s">
        <v>28</v>
      </c>
      <c r="G4155">
        <v>21944</v>
      </c>
      <c r="H4155">
        <v>0</v>
      </c>
      <c r="I4155" s="13">
        <v>0</v>
      </c>
      <c r="J4155" t="s">
        <v>6207</v>
      </c>
      <c r="K4155">
        <v>1</v>
      </c>
      <c r="L4155">
        <v>1</v>
      </c>
      <c r="M4155" t="s">
        <v>58</v>
      </c>
      <c r="N4155" s="2">
        <v>0.46</v>
      </c>
      <c r="O4155" s="2">
        <v>0.54</v>
      </c>
      <c r="P4155">
        <v>8</v>
      </c>
      <c r="Q4155">
        <v>11</v>
      </c>
      <c r="R4155">
        <v>3</v>
      </c>
      <c r="S4155">
        <v>8</v>
      </c>
      <c r="T4155">
        <v>10</v>
      </c>
      <c r="U4155">
        <v>8</v>
      </c>
      <c r="V4155">
        <v>0</v>
      </c>
      <c r="W4155">
        <v>0</v>
      </c>
      <c r="X4155">
        <v>0</v>
      </c>
      <c r="Y4155">
        <v>0</v>
      </c>
      <c r="Z4155">
        <v>1</v>
      </c>
    </row>
    <row r="4156" spans="1:26" x14ac:dyDescent="0.2">
      <c r="A4156" t="s">
        <v>4274</v>
      </c>
      <c r="B4156" t="s">
        <v>81</v>
      </c>
      <c r="C4156">
        <v>2019</v>
      </c>
      <c r="D4156" t="s">
        <v>46</v>
      </c>
      <c r="E4156" t="s">
        <v>26</v>
      </c>
      <c r="F4156" t="s">
        <v>20</v>
      </c>
      <c r="G4156">
        <v>60704</v>
      </c>
      <c r="H4156">
        <v>0</v>
      </c>
      <c r="I4156" s="13">
        <v>0.75</v>
      </c>
      <c r="J4156" t="s">
        <v>6207</v>
      </c>
      <c r="K4156">
        <v>2</v>
      </c>
      <c r="L4156">
        <v>1</v>
      </c>
      <c r="M4156" t="s">
        <v>0</v>
      </c>
      <c r="N4156" s="2">
        <v>0.31</v>
      </c>
      <c r="O4156" s="2">
        <v>0.69</v>
      </c>
      <c r="P4156">
        <v>14</v>
      </c>
      <c r="Q4156">
        <v>19</v>
      </c>
      <c r="R4156">
        <v>2</v>
      </c>
      <c r="S4156">
        <v>13</v>
      </c>
      <c r="T4156">
        <v>14</v>
      </c>
      <c r="U4156">
        <v>10</v>
      </c>
      <c r="V4156">
        <v>3</v>
      </c>
      <c r="W4156">
        <v>1</v>
      </c>
      <c r="X4156">
        <v>0</v>
      </c>
      <c r="Y4156">
        <v>0</v>
      </c>
      <c r="Z4156">
        <v>0</v>
      </c>
    </row>
    <row r="4157" spans="1:26" x14ac:dyDescent="0.2">
      <c r="A4157" t="s">
        <v>4275</v>
      </c>
      <c r="B4157" t="s">
        <v>66</v>
      </c>
      <c r="C4157">
        <v>2019</v>
      </c>
      <c r="D4157" t="s">
        <v>80</v>
      </c>
      <c r="E4157" t="s">
        <v>95</v>
      </c>
      <c r="F4157" t="s">
        <v>80</v>
      </c>
      <c r="G4157">
        <v>32261</v>
      </c>
      <c r="H4157">
        <v>0</v>
      </c>
      <c r="I4157" s="13">
        <v>0.33333333333333331</v>
      </c>
      <c r="J4157" t="s">
        <v>6207</v>
      </c>
      <c r="K4157">
        <v>2</v>
      </c>
      <c r="L4157">
        <v>0</v>
      </c>
      <c r="M4157" t="s">
        <v>0</v>
      </c>
      <c r="N4157" s="2">
        <v>0.54</v>
      </c>
      <c r="O4157" s="2">
        <v>0.46</v>
      </c>
      <c r="P4157">
        <v>14</v>
      </c>
      <c r="Q4157">
        <v>15</v>
      </c>
      <c r="R4157">
        <v>9</v>
      </c>
      <c r="S4157">
        <v>5</v>
      </c>
      <c r="T4157">
        <v>12</v>
      </c>
      <c r="U4157">
        <v>10</v>
      </c>
      <c r="V4157">
        <v>1</v>
      </c>
      <c r="W4157">
        <v>2</v>
      </c>
      <c r="X4157">
        <v>0</v>
      </c>
      <c r="Y4157">
        <v>0</v>
      </c>
      <c r="Z4157">
        <v>0</v>
      </c>
    </row>
    <row r="4158" spans="1:26" x14ac:dyDescent="0.2">
      <c r="A4158" t="s">
        <v>4276</v>
      </c>
      <c r="B4158" t="s">
        <v>61</v>
      </c>
      <c r="C4158">
        <v>2019</v>
      </c>
      <c r="D4158" t="s">
        <v>45</v>
      </c>
      <c r="E4158" t="s">
        <v>42</v>
      </c>
      <c r="F4158" t="s">
        <v>26</v>
      </c>
      <c r="G4158">
        <v>39572</v>
      </c>
      <c r="H4158">
        <v>0</v>
      </c>
      <c r="I4158" s="13">
        <v>1</v>
      </c>
      <c r="J4158" t="s">
        <v>6207</v>
      </c>
      <c r="K4158">
        <v>1</v>
      </c>
      <c r="L4158">
        <v>1</v>
      </c>
      <c r="M4158" t="s">
        <v>58</v>
      </c>
      <c r="N4158" s="2">
        <v>0.55000000000000004</v>
      </c>
      <c r="O4158" s="2">
        <v>0.45</v>
      </c>
      <c r="P4158">
        <v>13</v>
      </c>
      <c r="Q4158">
        <v>15</v>
      </c>
      <c r="R4158">
        <v>5</v>
      </c>
      <c r="S4158">
        <v>5</v>
      </c>
      <c r="T4158">
        <v>15</v>
      </c>
      <c r="U4158">
        <v>13</v>
      </c>
      <c r="V4158">
        <v>2</v>
      </c>
      <c r="W4158">
        <v>1</v>
      </c>
      <c r="X4158">
        <v>0</v>
      </c>
      <c r="Y4158">
        <v>0</v>
      </c>
      <c r="Z4158">
        <v>0</v>
      </c>
    </row>
    <row r="4159" spans="1:26" x14ac:dyDescent="0.2">
      <c r="A4159" t="s">
        <v>4277</v>
      </c>
      <c r="B4159" t="s">
        <v>37</v>
      </c>
      <c r="C4159">
        <v>2019</v>
      </c>
      <c r="D4159" t="s">
        <v>73</v>
      </c>
      <c r="E4159" t="s">
        <v>90</v>
      </c>
      <c r="F4159" t="s">
        <v>73</v>
      </c>
      <c r="G4159">
        <v>32384</v>
      </c>
      <c r="H4159">
        <v>0</v>
      </c>
      <c r="I4159" s="13">
        <v>1</v>
      </c>
      <c r="J4159" t="s">
        <v>6206</v>
      </c>
      <c r="K4159">
        <v>1</v>
      </c>
      <c r="L4159">
        <v>1</v>
      </c>
      <c r="M4159" t="s">
        <v>58</v>
      </c>
      <c r="N4159" s="2">
        <v>0.68</v>
      </c>
      <c r="O4159" s="2">
        <v>0.32</v>
      </c>
      <c r="P4159">
        <v>12</v>
      </c>
      <c r="Q4159">
        <v>6</v>
      </c>
      <c r="R4159">
        <v>8</v>
      </c>
      <c r="S4159">
        <v>2</v>
      </c>
      <c r="T4159">
        <v>6</v>
      </c>
      <c r="U4159">
        <v>10</v>
      </c>
      <c r="V4159">
        <v>1</v>
      </c>
      <c r="W4159">
        <v>0</v>
      </c>
      <c r="X4159">
        <v>0</v>
      </c>
      <c r="Y4159">
        <v>0</v>
      </c>
      <c r="Z4159">
        <v>0</v>
      </c>
    </row>
    <row r="4160" spans="1:26" x14ac:dyDescent="0.2">
      <c r="A4160" t="s">
        <v>4278</v>
      </c>
      <c r="B4160" t="s">
        <v>83</v>
      </c>
      <c r="C4160">
        <v>2019</v>
      </c>
      <c r="D4160" t="s">
        <v>79</v>
      </c>
      <c r="E4160" t="s">
        <v>48</v>
      </c>
      <c r="F4160" t="s">
        <v>20</v>
      </c>
      <c r="G4160">
        <v>25486</v>
      </c>
      <c r="H4160">
        <v>0</v>
      </c>
      <c r="I4160" s="13">
        <v>0.66666666666666663</v>
      </c>
      <c r="J4160" t="s">
        <v>6208</v>
      </c>
      <c r="K4160">
        <v>0</v>
      </c>
      <c r="L4160">
        <v>2</v>
      </c>
      <c r="M4160" t="s">
        <v>1</v>
      </c>
      <c r="N4160" s="2">
        <v>0.41</v>
      </c>
      <c r="O4160" s="2">
        <v>0.59</v>
      </c>
      <c r="P4160">
        <v>15</v>
      </c>
      <c r="Q4160">
        <v>11</v>
      </c>
      <c r="R4160">
        <v>2</v>
      </c>
      <c r="S4160">
        <v>7</v>
      </c>
      <c r="T4160">
        <v>10</v>
      </c>
      <c r="U4160">
        <v>15</v>
      </c>
      <c r="V4160">
        <v>1</v>
      </c>
      <c r="W4160">
        <v>2</v>
      </c>
      <c r="X4160">
        <v>0</v>
      </c>
      <c r="Y4160">
        <v>0</v>
      </c>
      <c r="Z4160">
        <v>0</v>
      </c>
    </row>
    <row r="4161" spans="1:26" x14ac:dyDescent="0.2">
      <c r="A4161" t="s">
        <v>4279</v>
      </c>
      <c r="B4161" t="s">
        <v>32</v>
      </c>
      <c r="C4161">
        <v>2019</v>
      </c>
      <c r="D4161" t="s">
        <v>23</v>
      </c>
      <c r="E4161" t="s">
        <v>85</v>
      </c>
      <c r="F4161" t="s">
        <v>20</v>
      </c>
      <c r="G4161">
        <v>62500</v>
      </c>
      <c r="H4161">
        <v>0</v>
      </c>
      <c r="I4161" s="13">
        <v>0</v>
      </c>
      <c r="J4161" t="s">
        <v>6207</v>
      </c>
      <c r="K4161">
        <v>3</v>
      </c>
      <c r="L4161">
        <v>1</v>
      </c>
      <c r="M4161" t="s">
        <v>0</v>
      </c>
      <c r="N4161" s="2">
        <v>0.41</v>
      </c>
      <c r="O4161" s="2">
        <v>0.59</v>
      </c>
      <c r="P4161">
        <v>15</v>
      </c>
      <c r="Q4161">
        <v>13</v>
      </c>
      <c r="R4161">
        <v>9</v>
      </c>
      <c r="S4161">
        <v>3</v>
      </c>
      <c r="T4161">
        <v>11</v>
      </c>
      <c r="U4161">
        <v>11</v>
      </c>
      <c r="V4161">
        <v>0</v>
      </c>
      <c r="W4161">
        <v>2</v>
      </c>
      <c r="X4161">
        <v>0</v>
      </c>
      <c r="Y4161">
        <v>0</v>
      </c>
      <c r="Z4161">
        <v>0</v>
      </c>
    </row>
    <row r="4162" spans="1:26" x14ac:dyDescent="0.2">
      <c r="A4162" t="s">
        <v>4280</v>
      </c>
      <c r="B4162" t="s">
        <v>60</v>
      </c>
      <c r="C4162">
        <v>2019</v>
      </c>
      <c r="D4162" t="s">
        <v>69</v>
      </c>
      <c r="E4162" t="s">
        <v>28</v>
      </c>
      <c r="F4162" t="s">
        <v>69</v>
      </c>
      <c r="G4162">
        <v>27359</v>
      </c>
      <c r="H4162">
        <v>0</v>
      </c>
      <c r="I4162" s="13">
        <v>1</v>
      </c>
      <c r="J4162" t="s">
        <v>6208</v>
      </c>
      <c r="K4162">
        <v>0</v>
      </c>
      <c r="L4162">
        <v>2</v>
      </c>
      <c r="M4162" t="s">
        <v>1</v>
      </c>
      <c r="N4162" s="2">
        <v>0.42</v>
      </c>
      <c r="O4162" s="2">
        <v>0.57999999999999996</v>
      </c>
      <c r="P4162">
        <v>18</v>
      </c>
      <c r="Q4162">
        <v>10</v>
      </c>
      <c r="R4162">
        <v>6</v>
      </c>
      <c r="S4162">
        <v>8</v>
      </c>
      <c r="T4162">
        <v>9</v>
      </c>
      <c r="U4162">
        <v>16</v>
      </c>
      <c r="V4162">
        <v>0</v>
      </c>
      <c r="W4162">
        <v>0</v>
      </c>
      <c r="X4162">
        <v>2</v>
      </c>
      <c r="Y4162">
        <v>0</v>
      </c>
      <c r="Z4162">
        <v>0</v>
      </c>
    </row>
    <row r="4163" spans="1:26" x14ac:dyDescent="0.2">
      <c r="A4163" t="s">
        <v>4281</v>
      </c>
      <c r="B4163" t="s">
        <v>76</v>
      </c>
      <c r="C4163">
        <v>2019</v>
      </c>
      <c r="D4163" t="s">
        <v>86</v>
      </c>
      <c r="E4163" t="s">
        <v>73</v>
      </c>
      <c r="F4163" t="s">
        <v>86</v>
      </c>
      <c r="G4163">
        <v>11364</v>
      </c>
      <c r="H4163">
        <v>0</v>
      </c>
      <c r="I4163" s="13">
        <v>0.5</v>
      </c>
      <c r="J4163" t="s">
        <v>6207</v>
      </c>
      <c r="K4163">
        <v>0</v>
      </c>
      <c r="L4163">
        <v>2</v>
      </c>
      <c r="M4163" t="s">
        <v>1</v>
      </c>
      <c r="N4163" s="2">
        <v>0.42</v>
      </c>
      <c r="O4163" s="2">
        <v>0.57999999999999996</v>
      </c>
      <c r="P4163">
        <v>11</v>
      </c>
      <c r="Q4163">
        <v>14</v>
      </c>
      <c r="R4163">
        <v>12</v>
      </c>
      <c r="S4163">
        <v>6</v>
      </c>
      <c r="T4163">
        <v>12</v>
      </c>
      <c r="U4163">
        <v>11</v>
      </c>
      <c r="V4163">
        <v>2</v>
      </c>
      <c r="W4163">
        <v>2</v>
      </c>
      <c r="X4163">
        <v>0</v>
      </c>
      <c r="Y4163">
        <v>0</v>
      </c>
      <c r="Z4163">
        <v>1</v>
      </c>
    </row>
    <row r="4164" spans="1:26" x14ac:dyDescent="0.2">
      <c r="A4164" t="s">
        <v>4282</v>
      </c>
      <c r="B4164" t="s">
        <v>61</v>
      </c>
      <c r="C4164">
        <v>2019</v>
      </c>
      <c r="D4164" t="s">
        <v>51</v>
      </c>
      <c r="E4164" t="s">
        <v>80</v>
      </c>
      <c r="F4164" t="s">
        <v>20</v>
      </c>
      <c r="G4164">
        <v>36284</v>
      </c>
      <c r="H4164">
        <v>0</v>
      </c>
      <c r="I4164" s="13">
        <v>0.66666666666666663</v>
      </c>
      <c r="J4164" t="s">
        <v>6207</v>
      </c>
      <c r="K4164">
        <v>3</v>
      </c>
      <c r="L4164">
        <v>0</v>
      </c>
      <c r="M4164" t="s">
        <v>0</v>
      </c>
      <c r="N4164" s="2">
        <v>0.3</v>
      </c>
      <c r="O4164" s="2">
        <v>0.7</v>
      </c>
      <c r="P4164">
        <v>10</v>
      </c>
      <c r="Q4164">
        <v>19</v>
      </c>
      <c r="R4164">
        <v>4</v>
      </c>
      <c r="S4164">
        <v>13</v>
      </c>
      <c r="T4164">
        <v>15</v>
      </c>
      <c r="U4164">
        <v>10</v>
      </c>
      <c r="V4164">
        <v>2</v>
      </c>
      <c r="W4164">
        <v>1</v>
      </c>
      <c r="X4164">
        <v>0</v>
      </c>
      <c r="Y4164">
        <v>0</v>
      </c>
      <c r="Z4164">
        <v>0</v>
      </c>
    </row>
    <row r="4165" spans="1:26" x14ac:dyDescent="0.2">
      <c r="A4165" t="s">
        <v>4283</v>
      </c>
      <c r="B4165" t="s">
        <v>59</v>
      </c>
      <c r="C4165">
        <v>2019</v>
      </c>
      <c r="D4165" t="s">
        <v>95</v>
      </c>
      <c r="E4165" t="s">
        <v>45</v>
      </c>
      <c r="F4165" t="s">
        <v>57</v>
      </c>
      <c r="G4165">
        <v>32050</v>
      </c>
      <c r="H4165">
        <v>0</v>
      </c>
      <c r="I4165" s="13">
        <v>0.25</v>
      </c>
      <c r="J4165" t="s">
        <v>6206</v>
      </c>
      <c r="K4165">
        <v>0</v>
      </c>
      <c r="L4165">
        <v>1</v>
      </c>
      <c r="M4165" t="s">
        <v>1</v>
      </c>
      <c r="N4165" s="2">
        <v>0.51</v>
      </c>
      <c r="O4165" s="2">
        <v>0.49</v>
      </c>
      <c r="P4165">
        <v>21</v>
      </c>
      <c r="Q4165">
        <v>12</v>
      </c>
      <c r="R4165">
        <v>7</v>
      </c>
      <c r="S4165">
        <v>1</v>
      </c>
      <c r="T4165">
        <v>11</v>
      </c>
      <c r="U4165">
        <v>19</v>
      </c>
      <c r="V4165">
        <v>1</v>
      </c>
      <c r="W4165">
        <v>3</v>
      </c>
      <c r="X4165">
        <v>0</v>
      </c>
      <c r="Y4165">
        <v>0</v>
      </c>
      <c r="Z4165">
        <v>0</v>
      </c>
    </row>
    <row r="4166" spans="1:26" x14ac:dyDescent="0.2">
      <c r="A4166" t="s">
        <v>4284</v>
      </c>
      <c r="B4166" t="s">
        <v>84</v>
      </c>
      <c r="C4166">
        <v>2019</v>
      </c>
      <c r="D4166" t="s">
        <v>90</v>
      </c>
      <c r="E4166" t="s">
        <v>64</v>
      </c>
      <c r="F4166" t="s">
        <v>91</v>
      </c>
      <c r="G4166">
        <v>31876</v>
      </c>
      <c r="H4166">
        <v>0</v>
      </c>
      <c r="I4166" s="13">
        <v>0.33333333333333331</v>
      </c>
      <c r="J4166" t="s">
        <v>6208</v>
      </c>
      <c r="K4166">
        <v>0</v>
      </c>
      <c r="L4166">
        <v>0</v>
      </c>
      <c r="M4166" t="s">
        <v>58</v>
      </c>
      <c r="N4166" s="2">
        <v>0.62</v>
      </c>
      <c r="O4166" s="2">
        <v>0.38</v>
      </c>
      <c r="P4166">
        <v>13</v>
      </c>
      <c r="Q4166">
        <v>16</v>
      </c>
      <c r="R4166">
        <v>9</v>
      </c>
      <c r="S4166">
        <v>7</v>
      </c>
      <c r="T4166">
        <v>13</v>
      </c>
      <c r="U4166">
        <v>12</v>
      </c>
      <c r="V4166">
        <v>4</v>
      </c>
      <c r="W4166">
        <v>2</v>
      </c>
      <c r="X4166">
        <v>0</v>
      </c>
      <c r="Y4166">
        <v>0</v>
      </c>
      <c r="Z4166">
        <v>0</v>
      </c>
    </row>
    <row r="4167" spans="1:26" x14ac:dyDescent="0.2">
      <c r="A4167" t="s">
        <v>4285</v>
      </c>
      <c r="B4167" t="s">
        <v>97</v>
      </c>
      <c r="C4167">
        <v>2019</v>
      </c>
      <c r="D4167" t="s">
        <v>22</v>
      </c>
      <c r="E4167" t="s">
        <v>79</v>
      </c>
      <c r="F4167" t="s">
        <v>24</v>
      </c>
      <c r="G4167">
        <v>31750</v>
      </c>
      <c r="H4167">
        <v>0</v>
      </c>
      <c r="I4167" s="13">
        <v>0.66666666666666663</v>
      </c>
      <c r="J4167" t="s">
        <v>6207</v>
      </c>
      <c r="K4167">
        <v>2</v>
      </c>
      <c r="L4167">
        <v>0</v>
      </c>
      <c r="M4167" t="s">
        <v>0</v>
      </c>
      <c r="N4167" s="2">
        <v>0.54</v>
      </c>
      <c r="O4167" s="2">
        <v>0.46</v>
      </c>
      <c r="P4167">
        <v>16</v>
      </c>
      <c r="Q4167">
        <v>12</v>
      </c>
      <c r="R4167">
        <v>5</v>
      </c>
      <c r="S4167">
        <v>2</v>
      </c>
      <c r="T4167">
        <v>11</v>
      </c>
      <c r="U4167">
        <v>15</v>
      </c>
      <c r="V4167">
        <v>2</v>
      </c>
      <c r="W4167">
        <v>1</v>
      </c>
      <c r="X4167">
        <v>0</v>
      </c>
      <c r="Y4167">
        <v>0</v>
      </c>
      <c r="Z4167">
        <v>0</v>
      </c>
    </row>
    <row r="4168" spans="1:26" x14ac:dyDescent="0.2">
      <c r="A4168" t="s">
        <v>4286</v>
      </c>
      <c r="B4168" t="s">
        <v>66</v>
      </c>
      <c r="C4168">
        <v>2019</v>
      </c>
      <c r="D4168" t="s">
        <v>85</v>
      </c>
      <c r="E4168" t="s">
        <v>40</v>
      </c>
      <c r="F4168" t="s">
        <v>85</v>
      </c>
      <c r="G4168">
        <v>22220</v>
      </c>
      <c r="H4168">
        <v>0</v>
      </c>
      <c r="I4168" s="13">
        <v>0.5</v>
      </c>
      <c r="J4168" t="s">
        <v>6207</v>
      </c>
      <c r="K4168">
        <v>0</v>
      </c>
      <c r="L4168">
        <v>4</v>
      </c>
      <c r="M4168" t="s">
        <v>1</v>
      </c>
      <c r="N4168" s="2">
        <v>0.23</v>
      </c>
      <c r="O4168" s="2">
        <v>0.77</v>
      </c>
      <c r="P4168">
        <v>14</v>
      </c>
      <c r="Q4168">
        <v>18</v>
      </c>
      <c r="R4168">
        <v>0</v>
      </c>
      <c r="S4168">
        <v>8</v>
      </c>
      <c r="T4168">
        <v>14</v>
      </c>
      <c r="U4168">
        <v>11</v>
      </c>
      <c r="V4168">
        <v>2</v>
      </c>
      <c r="W4168">
        <v>0</v>
      </c>
      <c r="X4168">
        <v>0</v>
      </c>
      <c r="Y4168">
        <v>0</v>
      </c>
      <c r="Z4168">
        <v>1</v>
      </c>
    </row>
    <row r="4169" spans="1:26" x14ac:dyDescent="0.2">
      <c r="A4169" t="s">
        <v>4287</v>
      </c>
      <c r="B4169" t="s">
        <v>88</v>
      </c>
      <c r="C4169">
        <v>2019</v>
      </c>
      <c r="D4169" t="s">
        <v>42</v>
      </c>
      <c r="E4169" t="s">
        <v>46</v>
      </c>
      <c r="F4169" t="s">
        <v>38</v>
      </c>
      <c r="G4169">
        <v>42918</v>
      </c>
      <c r="H4169">
        <v>0</v>
      </c>
      <c r="I4169" s="13">
        <v>0.66666666666666663</v>
      </c>
      <c r="J4169" t="s">
        <v>6207</v>
      </c>
      <c r="K4169">
        <v>1</v>
      </c>
      <c r="L4169">
        <v>0</v>
      </c>
      <c r="M4169" t="s">
        <v>0</v>
      </c>
      <c r="N4169" s="2">
        <v>0.31</v>
      </c>
      <c r="O4169" s="2">
        <v>0.69</v>
      </c>
      <c r="P4169">
        <v>20</v>
      </c>
      <c r="Q4169">
        <v>14</v>
      </c>
      <c r="R4169">
        <v>8</v>
      </c>
      <c r="S4169">
        <v>9</v>
      </c>
      <c r="T4169">
        <v>13</v>
      </c>
      <c r="U4169">
        <v>19</v>
      </c>
      <c r="V4169">
        <v>2</v>
      </c>
      <c r="W4169">
        <v>4</v>
      </c>
      <c r="X4169">
        <v>0</v>
      </c>
      <c r="Y4169">
        <v>0</v>
      </c>
      <c r="Z4169">
        <v>0</v>
      </c>
    </row>
    <row r="4170" spans="1:26" x14ac:dyDescent="0.2">
      <c r="A4170" t="s">
        <v>4288</v>
      </c>
      <c r="B4170" t="s">
        <v>81</v>
      </c>
      <c r="C4170">
        <v>2019</v>
      </c>
      <c r="D4170" t="s">
        <v>48</v>
      </c>
      <c r="E4170" t="s">
        <v>23</v>
      </c>
      <c r="F4170" t="s">
        <v>49</v>
      </c>
      <c r="G4170">
        <v>74197</v>
      </c>
      <c r="H4170">
        <v>0</v>
      </c>
      <c r="I4170" s="13">
        <v>0.75</v>
      </c>
      <c r="J4170" t="s">
        <v>6207</v>
      </c>
      <c r="K4170">
        <v>1</v>
      </c>
      <c r="L4170">
        <v>1</v>
      </c>
      <c r="M4170" t="s">
        <v>58</v>
      </c>
      <c r="N4170" s="2">
        <v>0.56999999999999995</v>
      </c>
      <c r="O4170" s="2">
        <v>0.43</v>
      </c>
      <c r="P4170">
        <v>11</v>
      </c>
      <c r="Q4170">
        <v>12</v>
      </c>
      <c r="R4170">
        <v>2</v>
      </c>
      <c r="S4170">
        <v>3</v>
      </c>
      <c r="T4170">
        <v>10</v>
      </c>
      <c r="U4170">
        <v>9</v>
      </c>
      <c r="V4170">
        <v>3</v>
      </c>
      <c r="W4170">
        <v>1</v>
      </c>
      <c r="X4170">
        <v>0</v>
      </c>
      <c r="Y4170">
        <v>0</v>
      </c>
      <c r="Z4170">
        <v>1</v>
      </c>
    </row>
    <row r="4171" spans="1:26" x14ac:dyDescent="0.2">
      <c r="A4171" t="s">
        <v>4289</v>
      </c>
      <c r="B4171" t="s">
        <v>37</v>
      </c>
      <c r="C4171">
        <v>2019</v>
      </c>
      <c r="D4171" t="s">
        <v>26</v>
      </c>
      <c r="E4171" t="s">
        <v>18</v>
      </c>
      <c r="F4171" t="s">
        <v>26</v>
      </c>
      <c r="G4171">
        <v>61276</v>
      </c>
      <c r="H4171">
        <v>0</v>
      </c>
      <c r="I4171" s="13">
        <v>1</v>
      </c>
      <c r="J4171" t="s">
        <v>6206</v>
      </c>
      <c r="K4171">
        <v>5</v>
      </c>
      <c r="L4171">
        <v>3</v>
      </c>
      <c r="M4171" t="s">
        <v>0</v>
      </c>
      <c r="N4171" s="2">
        <v>0.5</v>
      </c>
      <c r="O4171" s="2">
        <v>0.5</v>
      </c>
      <c r="P4171">
        <v>14</v>
      </c>
      <c r="Q4171">
        <v>8</v>
      </c>
      <c r="R4171">
        <v>6</v>
      </c>
      <c r="S4171">
        <v>0</v>
      </c>
      <c r="T4171">
        <v>8</v>
      </c>
      <c r="U4171">
        <v>11</v>
      </c>
      <c r="V4171">
        <v>1</v>
      </c>
      <c r="W4171">
        <v>0</v>
      </c>
      <c r="X4171">
        <v>0</v>
      </c>
      <c r="Y4171">
        <v>0</v>
      </c>
      <c r="Z4171">
        <v>0</v>
      </c>
    </row>
    <row r="4172" spans="1:26" x14ac:dyDescent="0.2">
      <c r="A4172" t="s">
        <v>4290</v>
      </c>
      <c r="B4172" t="s">
        <v>66</v>
      </c>
      <c r="C4172">
        <v>2019</v>
      </c>
      <c r="D4172" t="s">
        <v>23</v>
      </c>
      <c r="E4172" t="s">
        <v>42</v>
      </c>
      <c r="F4172" t="s">
        <v>20</v>
      </c>
      <c r="G4172">
        <v>62500</v>
      </c>
      <c r="H4172">
        <v>0</v>
      </c>
      <c r="I4172" s="13">
        <v>0.33333333333333331</v>
      </c>
      <c r="J4172" t="s">
        <v>6207</v>
      </c>
      <c r="K4172">
        <v>1</v>
      </c>
      <c r="L4172">
        <v>1</v>
      </c>
      <c r="M4172" t="s">
        <v>58</v>
      </c>
      <c r="N4172" s="2">
        <v>0.62</v>
      </c>
      <c r="O4172" s="2">
        <v>0.38</v>
      </c>
      <c r="P4172">
        <v>14</v>
      </c>
      <c r="Q4172">
        <v>16</v>
      </c>
      <c r="R4172">
        <v>0</v>
      </c>
      <c r="S4172">
        <v>7</v>
      </c>
      <c r="T4172">
        <v>16</v>
      </c>
      <c r="U4172">
        <v>13</v>
      </c>
      <c r="V4172">
        <v>2</v>
      </c>
      <c r="W4172">
        <v>1</v>
      </c>
      <c r="X4172">
        <v>0</v>
      </c>
      <c r="Y4172">
        <v>0</v>
      </c>
      <c r="Z4172">
        <v>0</v>
      </c>
    </row>
    <row r="4173" spans="1:26" x14ac:dyDescent="0.2">
      <c r="A4173" t="s">
        <v>4291</v>
      </c>
      <c r="B4173" t="s">
        <v>97</v>
      </c>
      <c r="C4173">
        <v>2019</v>
      </c>
      <c r="D4173" t="s">
        <v>73</v>
      </c>
      <c r="E4173" t="s">
        <v>95</v>
      </c>
      <c r="F4173" t="s">
        <v>73</v>
      </c>
      <c r="G4173">
        <v>32384</v>
      </c>
      <c r="H4173">
        <v>0</v>
      </c>
      <c r="I4173" s="13">
        <v>1</v>
      </c>
      <c r="J4173" t="s">
        <v>6207</v>
      </c>
      <c r="K4173">
        <v>3</v>
      </c>
      <c r="L4173">
        <v>1</v>
      </c>
      <c r="M4173" t="s">
        <v>0</v>
      </c>
      <c r="N4173" s="2">
        <v>0.73</v>
      </c>
      <c r="O4173" s="2">
        <v>0.27</v>
      </c>
      <c r="P4173">
        <v>17</v>
      </c>
      <c r="Q4173">
        <v>11</v>
      </c>
      <c r="R4173">
        <v>9</v>
      </c>
      <c r="S4173">
        <v>1</v>
      </c>
      <c r="T4173">
        <v>9</v>
      </c>
      <c r="U4173">
        <v>16</v>
      </c>
      <c r="V4173">
        <v>0</v>
      </c>
      <c r="W4173">
        <v>1</v>
      </c>
      <c r="X4173">
        <v>0</v>
      </c>
      <c r="Y4173">
        <v>0</v>
      </c>
      <c r="Z4173">
        <v>1</v>
      </c>
    </row>
    <row r="4174" spans="1:26" x14ac:dyDescent="0.2">
      <c r="A4174" t="s">
        <v>4292</v>
      </c>
      <c r="B4174" t="s">
        <v>61</v>
      </c>
      <c r="C4174">
        <v>2019</v>
      </c>
      <c r="D4174" t="s">
        <v>64</v>
      </c>
      <c r="E4174" t="s">
        <v>26</v>
      </c>
      <c r="F4174" t="s">
        <v>64</v>
      </c>
      <c r="G4174">
        <v>52264</v>
      </c>
      <c r="H4174">
        <v>0</v>
      </c>
      <c r="I4174" s="13">
        <v>1</v>
      </c>
      <c r="J4174" t="s">
        <v>6207</v>
      </c>
      <c r="K4174">
        <v>1</v>
      </c>
      <c r="L4174">
        <v>3</v>
      </c>
      <c r="M4174" t="s">
        <v>1</v>
      </c>
      <c r="N4174" s="2">
        <v>0.26</v>
      </c>
      <c r="O4174" s="2">
        <v>0.74</v>
      </c>
      <c r="P4174">
        <v>6</v>
      </c>
      <c r="Q4174">
        <v>13</v>
      </c>
      <c r="R4174">
        <v>2</v>
      </c>
      <c r="S4174">
        <v>4</v>
      </c>
      <c r="T4174">
        <v>11</v>
      </c>
      <c r="U4174">
        <v>5</v>
      </c>
      <c r="V4174">
        <v>1</v>
      </c>
      <c r="W4174">
        <v>0</v>
      </c>
      <c r="X4174">
        <v>0</v>
      </c>
      <c r="Y4174">
        <v>0</v>
      </c>
      <c r="Z4174">
        <v>0</v>
      </c>
    </row>
    <row r="4175" spans="1:26" x14ac:dyDescent="0.2">
      <c r="A4175" t="s">
        <v>4293</v>
      </c>
      <c r="B4175" t="s">
        <v>76</v>
      </c>
      <c r="C4175">
        <v>2019</v>
      </c>
      <c r="D4175" t="s">
        <v>40</v>
      </c>
      <c r="E4175" t="s">
        <v>69</v>
      </c>
      <c r="F4175" t="s">
        <v>49</v>
      </c>
      <c r="G4175">
        <v>53400</v>
      </c>
      <c r="H4175">
        <v>0</v>
      </c>
      <c r="I4175" s="13">
        <v>1</v>
      </c>
      <c r="J4175" t="s">
        <v>6207</v>
      </c>
      <c r="K4175">
        <v>5</v>
      </c>
      <c r="L4175">
        <v>0</v>
      </c>
      <c r="M4175" t="s">
        <v>0</v>
      </c>
      <c r="N4175" s="2">
        <v>0.73</v>
      </c>
      <c r="O4175" s="2">
        <v>0.27</v>
      </c>
      <c r="P4175">
        <v>6</v>
      </c>
      <c r="Q4175">
        <v>7</v>
      </c>
      <c r="R4175">
        <v>9</v>
      </c>
      <c r="S4175">
        <v>0</v>
      </c>
      <c r="T4175">
        <v>7</v>
      </c>
      <c r="U4175">
        <v>4</v>
      </c>
      <c r="V4175">
        <v>1</v>
      </c>
      <c r="W4175">
        <v>1</v>
      </c>
      <c r="X4175">
        <v>0</v>
      </c>
      <c r="Y4175">
        <v>0</v>
      </c>
      <c r="Z4175">
        <v>0</v>
      </c>
    </row>
    <row r="4176" spans="1:26" x14ac:dyDescent="0.2">
      <c r="A4176" t="s">
        <v>4294</v>
      </c>
      <c r="B4176" t="s">
        <v>32</v>
      </c>
      <c r="C4176">
        <v>2019</v>
      </c>
      <c r="D4176" t="s">
        <v>80</v>
      </c>
      <c r="E4176" t="s">
        <v>48</v>
      </c>
      <c r="F4176" t="s">
        <v>80</v>
      </c>
      <c r="G4176">
        <v>32261</v>
      </c>
      <c r="H4176">
        <v>0</v>
      </c>
      <c r="I4176" s="13">
        <v>0.42857142857142855</v>
      </c>
      <c r="J4176" t="s">
        <v>6207</v>
      </c>
      <c r="K4176">
        <v>0</v>
      </c>
      <c r="L4176">
        <v>2</v>
      </c>
      <c r="M4176" t="s">
        <v>1</v>
      </c>
      <c r="N4176" s="2">
        <v>0.46</v>
      </c>
      <c r="O4176" s="2">
        <v>0.54</v>
      </c>
      <c r="P4176">
        <v>13</v>
      </c>
      <c r="Q4176">
        <v>13</v>
      </c>
      <c r="R4176">
        <v>3</v>
      </c>
      <c r="S4176">
        <v>3</v>
      </c>
      <c r="T4176">
        <v>12</v>
      </c>
      <c r="U4176">
        <v>11</v>
      </c>
      <c r="V4176">
        <v>1</v>
      </c>
      <c r="W4176">
        <v>5</v>
      </c>
      <c r="X4176">
        <v>1</v>
      </c>
      <c r="Y4176">
        <v>0</v>
      </c>
      <c r="Z4176">
        <v>1</v>
      </c>
    </row>
    <row r="4177" spans="1:26" x14ac:dyDescent="0.2">
      <c r="A4177" t="s">
        <v>4295</v>
      </c>
      <c r="B4177" t="s">
        <v>88</v>
      </c>
      <c r="C4177">
        <v>2019</v>
      </c>
      <c r="D4177" t="s">
        <v>45</v>
      </c>
      <c r="E4177" t="s">
        <v>86</v>
      </c>
      <c r="F4177" t="s">
        <v>26</v>
      </c>
      <c r="G4177">
        <v>39572</v>
      </c>
      <c r="H4177">
        <v>0</v>
      </c>
      <c r="I4177" s="13">
        <v>0</v>
      </c>
      <c r="J4177" t="s">
        <v>6207</v>
      </c>
      <c r="K4177">
        <v>1</v>
      </c>
      <c r="L4177">
        <v>3</v>
      </c>
      <c r="M4177" t="s">
        <v>1</v>
      </c>
      <c r="N4177" s="2">
        <v>0.7</v>
      </c>
      <c r="O4177" s="2">
        <v>0.3</v>
      </c>
      <c r="P4177">
        <v>9</v>
      </c>
      <c r="Q4177">
        <v>11</v>
      </c>
      <c r="R4177">
        <v>2</v>
      </c>
      <c r="S4177">
        <v>5</v>
      </c>
      <c r="T4177">
        <v>11</v>
      </c>
      <c r="U4177">
        <v>9</v>
      </c>
      <c r="V4177">
        <v>1</v>
      </c>
      <c r="W4177">
        <v>0</v>
      </c>
      <c r="X4177">
        <v>0</v>
      </c>
      <c r="Y4177">
        <v>0</v>
      </c>
      <c r="Z4177">
        <v>1</v>
      </c>
    </row>
    <row r="4178" spans="1:26" x14ac:dyDescent="0.2">
      <c r="A4178" t="s">
        <v>4296</v>
      </c>
      <c r="B4178" t="s">
        <v>37</v>
      </c>
      <c r="C4178">
        <v>2019</v>
      </c>
      <c r="D4178" t="s">
        <v>79</v>
      </c>
      <c r="E4178" t="s">
        <v>51</v>
      </c>
      <c r="F4178" t="s">
        <v>20</v>
      </c>
      <c r="G4178">
        <v>25486</v>
      </c>
      <c r="H4178">
        <v>0</v>
      </c>
      <c r="I4178" s="13">
        <v>0.6</v>
      </c>
      <c r="J4178" t="s">
        <v>6206</v>
      </c>
      <c r="K4178">
        <v>1</v>
      </c>
      <c r="L4178">
        <v>1</v>
      </c>
      <c r="M4178" t="s">
        <v>58</v>
      </c>
      <c r="N4178" s="2">
        <v>0.47</v>
      </c>
      <c r="O4178" s="2">
        <v>0.53</v>
      </c>
      <c r="P4178">
        <v>13</v>
      </c>
      <c r="Q4178">
        <v>12</v>
      </c>
      <c r="R4178">
        <v>7</v>
      </c>
      <c r="S4178">
        <v>2</v>
      </c>
      <c r="T4178">
        <v>11</v>
      </c>
      <c r="U4178">
        <v>13</v>
      </c>
      <c r="V4178">
        <v>3</v>
      </c>
      <c r="W4178">
        <v>2</v>
      </c>
      <c r="X4178">
        <v>0</v>
      </c>
      <c r="Y4178">
        <v>0</v>
      </c>
      <c r="Z4178">
        <v>0</v>
      </c>
    </row>
    <row r="4179" spans="1:26" x14ac:dyDescent="0.2">
      <c r="A4179" t="s">
        <v>4297</v>
      </c>
      <c r="B4179" t="s">
        <v>59</v>
      </c>
      <c r="C4179">
        <v>2019</v>
      </c>
      <c r="D4179" t="s">
        <v>18</v>
      </c>
      <c r="E4179" t="s">
        <v>22</v>
      </c>
      <c r="F4179" t="s">
        <v>20</v>
      </c>
      <c r="G4179">
        <v>40341</v>
      </c>
      <c r="H4179">
        <v>0</v>
      </c>
      <c r="I4179" s="13">
        <v>1</v>
      </c>
      <c r="J4179" t="s">
        <v>6206</v>
      </c>
      <c r="K4179">
        <v>2</v>
      </c>
      <c r="L4179">
        <v>0</v>
      </c>
      <c r="M4179" t="s">
        <v>0</v>
      </c>
      <c r="N4179" s="2">
        <v>0.63</v>
      </c>
      <c r="O4179" s="2">
        <v>0.37</v>
      </c>
      <c r="P4179">
        <v>17</v>
      </c>
      <c r="Q4179">
        <v>13</v>
      </c>
      <c r="R4179">
        <v>3</v>
      </c>
      <c r="S4179">
        <v>3</v>
      </c>
      <c r="T4179">
        <v>10</v>
      </c>
      <c r="U4179">
        <v>16</v>
      </c>
      <c r="V4179">
        <v>2</v>
      </c>
      <c r="W4179">
        <v>3</v>
      </c>
      <c r="X4179">
        <v>0</v>
      </c>
      <c r="Y4179">
        <v>0</v>
      </c>
      <c r="Z4179">
        <v>0</v>
      </c>
    </row>
    <row r="4180" spans="1:26" x14ac:dyDescent="0.2">
      <c r="A4180" t="s">
        <v>4298</v>
      </c>
      <c r="B4180" t="s">
        <v>68</v>
      </c>
      <c r="C4180">
        <v>2019</v>
      </c>
      <c r="D4180" t="s">
        <v>28</v>
      </c>
      <c r="E4180" t="s">
        <v>90</v>
      </c>
      <c r="F4180" t="s">
        <v>28</v>
      </c>
      <c r="G4180">
        <v>21944</v>
      </c>
      <c r="H4180">
        <v>0</v>
      </c>
      <c r="I4180" s="13">
        <v>0.33333333333333331</v>
      </c>
      <c r="J4180" t="s">
        <v>6207</v>
      </c>
      <c r="K4180">
        <v>1</v>
      </c>
      <c r="L4180">
        <v>2</v>
      </c>
      <c r="M4180" t="s">
        <v>1</v>
      </c>
      <c r="N4180" s="2">
        <v>0.54</v>
      </c>
      <c r="O4180" s="2">
        <v>0.46</v>
      </c>
      <c r="P4180">
        <v>13</v>
      </c>
      <c r="Q4180">
        <v>13</v>
      </c>
      <c r="R4180">
        <v>6</v>
      </c>
      <c r="S4180">
        <v>7</v>
      </c>
      <c r="T4180">
        <v>11</v>
      </c>
      <c r="U4180">
        <v>11</v>
      </c>
      <c r="V4180">
        <v>3</v>
      </c>
      <c r="W4180">
        <v>0</v>
      </c>
      <c r="X4180">
        <v>0</v>
      </c>
      <c r="Y4180">
        <v>0</v>
      </c>
      <c r="Z4180">
        <v>0</v>
      </c>
    </row>
    <row r="4181" spans="1:26" x14ac:dyDescent="0.2">
      <c r="A4181" t="s">
        <v>4299</v>
      </c>
      <c r="B4181" t="s">
        <v>41</v>
      </c>
      <c r="C4181">
        <v>2019</v>
      </c>
      <c r="D4181" t="s">
        <v>46</v>
      </c>
      <c r="E4181" t="s">
        <v>85</v>
      </c>
      <c r="F4181" t="s">
        <v>20</v>
      </c>
      <c r="G4181">
        <v>60704</v>
      </c>
      <c r="H4181">
        <v>0</v>
      </c>
      <c r="I4181" s="13">
        <v>0.5</v>
      </c>
      <c r="J4181" t="s">
        <v>6207</v>
      </c>
      <c r="K4181">
        <v>3</v>
      </c>
      <c r="L4181">
        <v>2</v>
      </c>
      <c r="M4181" t="s">
        <v>0</v>
      </c>
      <c r="N4181" s="2">
        <v>0.51</v>
      </c>
      <c r="O4181" s="2">
        <v>0.49</v>
      </c>
      <c r="P4181">
        <v>14</v>
      </c>
      <c r="Q4181">
        <v>10</v>
      </c>
      <c r="R4181">
        <v>4</v>
      </c>
      <c r="S4181">
        <v>8</v>
      </c>
      <c r="T4181">
        <v>9</v>
      </c>
      <c r="U4181">
        <v>12</v>
      </c>
      <c r="V4181">
        <v>3</v>
      </c>
      <c r="W4181">
        <v>3</v>
      </c>
      <c r="X4181">
        <v>0</v>
      </c>
      <c r="Y4181">
        <v>0</v>
      </c>
      <c r="Z4181">
        <v>2</v>
      </c>
    </row>
    <row r="4182" spans="1:26" x14ac:dyDescent="0.2">
      <c r="A4182" t="s">
        <v>4300</v>
      </c>
      <c r="B4182" t="s">
        <v>88</v>
      </c>
      <c r="C4182">
        <v>2020</v>
      </c>
      <c r="D4182" t="s">
        <v>31</v>
      </c>
      <c r="E4182" t="s">
        <v>46</v>
      </c>
      <c r="F4182" t="s">
        <v>20</v>
      </c>
      <c r="G4182">
        <v>28500</v>
      </c>
      <c r="H4182">
        <v>2000</v>
      </c>
      <c r="I4182" s="13">
        <v>0.75</v>
      </c>
      <c r="J4182" t="s">
        <v>6207</v>
      </c>
      <c r="K4182">
        <v>0</v>
      </c>
      <c r="L4182">
        <v>3</v>
      </c>
      <c r="M4182" t="s">
        <v>1</v>
      </c>
      <c r="N4182" s="2">
        <v>0.45</v>
      </c>
      <c r="O4182" s="2">
        <v>0.55000000000000004</v>
      </c>
      <c r="P4182">
        <v>14</v>
      </c>
      <c r="Q4182">
        <v>14</v>
      </c>
      <c r="R4182">
        <v>2</v>
      </c>
      <c r="S4182">
        <v>3</v>
      </c>
      <c r="T4182">
        <v>12</v>
      </c>
      <c r="U4182">
        <v>12</v>
      </c>
      <c r="V4182">
        <v>2</v>
      </c>
      <c r="W4182">
        <v>2</v>
      </c>
      <c r="X4182">
        <v>0</v>
      </c>
      <c r="Y4182">
        <v>0</v>
      </c>
      <c r="Z4182">
        <v>0</v>
      </c>
    </row>
    <row r="4183" spans="1:26" x14ac:dyDescent="0.2">
      <c r="A4183" t="s">
        <v>4301</v>
      </c>
      <c r="B4183" t="s">
        <v>68</v>
      </c>
      <c r="C4183">
        <v>2020</v>
      </c>
      <c r="D4183" t="s">
        <v>79</v>
      </c>
      <c r="E4183" t="s">
        <v>73</v>
      </c>
      <c r="F4183" t="s">
        <v>20</v>
      </c>
      <c r="G4183">
        <v>25486</v>
      </c>
      <c r="H4183">
        <v>2000</v>
      </c>
      <c r="I4183" s="13">
        <v>0.66666666666666663</v>
      </c>
      <c r="J4183" t="s">
        <v>6207</v>
      </c>
      <c r="K4183">
        <v>1</v>
      </c>
      <c r="L4183">
        <v>0</v>
      </c>
      <c r="M4183" t="s">
        <v>0</v>
      </c>
      <c r="N4183" s="2">
        <v>0.28999999999999998</v>
      </c>
      <c r="O4183" s="2">
        <v>0.71</v>
      </c>
      <c r="P4183">
        <v>11</v>
      </c>
      <c r="Q4183">
        <v>18</v>
      </c>
      <c r="R4183">
        <v>7</v>
      </c>
      <c r="S4183">
        <v>3</v>
      </c>
      <c r="T4183">
        <v>14</v>
      </c>
      <c r="U4183">
        <v>11</v>
      </c>
      <c r="V4183">
        <v>2</v>
      </c>
      <c r="W4183">
        <v>1</v>
      </c>
      <c r="X4183">
        <v>0</v>
      </c>
      <c r="Y4183">
        <v>0</v>
      </c>
      <c r="Z4183">
        <v>0</v>
      </c>
    </row>
    <row r="4184" spans="1:26" x14ac:dyDescent="0.2">
      <c r="A4184" t="s">
        <v>4302</v>
      </c>
      <c r="B4184" t="s">
        <v>66</v>
      </c>
      <c r="C4184">
        <v>2020</v>
      </c>
      <c r="D4184" t="s">
        <v>26</v>
      </c>
      <c r="E4184" t="s">
        <v>33</v>
      </c>
      <c r="F4184" t="s">
        <v>26</v>
      </c>
      <c r="G4184">
        <v>61276</v>
      </c>
      <c r="H4184">
        <v>2000</v>
      </c>
      <c r="I4184" s="13">
        <v>1</v>
      </c>
      <c r="J4184" t="s">
        <v>6207</v>
      </c>
      <c r="K4184">
        <v>4</v>
      </c>
      <c r="L4184">
        <v>3</v>
      </c>
      <c r="M4184" t="s">
        <v>0</v>
      </c>
      <c r="N4184" s="2">
        <v>0.48</v>
      </c>
      <c r="O4184" s="2">
        <v>0.52</v>
      </c>
      <c r="P4184">
        <v>9</v>
      </c>
      <c r="Q4184">
        <v>11</v>
      </c>
      <c r="R4184">
        <v>9</v>
      </c>
      <c r="S4184">
        <v>0</v>
      </c>
      <c r="T4184">
        <v>9</v>
      </c>
      <c r="U4184">
        <v>6</v>
      </c>
      <c r="V4184">
        <v>1</v>
      </c>
      <c r="W4184">
        <v>0</v>
      </c>
      <c r="X4184">
        <v>0</v>
      </c>
      <c r="Y4184">
        <v>0</v>
      </c>
      <c r="Z4184">
        <v>2</v>
      </c>
    </row>
    <row r="4185" spans="1:26" x14ac:dyDescent="0.2">
      <c r="A4185" t="s">
        <v>4303</v>
      </c>
      <c r="B4185" t="s">
        <v>59</v>
      </c>
      <c r="C4185">
        <v>2020</v>
      </c>
      <c r="D4185" t="s">
        <v>23</v>
      </c>
      <c r="E4185" t="s">
        <v>64</v>
      </c>
      <c r="F4185" t="s">
        <v>20</v>
      </c>
      <c r="G4185">
        <v>62500</v>
      </c>
      <c r="H4185">
        <v>2000</v>
      </c>
      <c r="I4185" s="13">
        <v>0.75</v>
      </c>
      <c r="J4185" t="s">
        <v>6206</v>
      </c>
      <c r="K4185">
        <v>0</v>
      </c>
      <c r="L4185">
        <v>2</v>
      </c>
      <c r="M4185" t="s">
        <v>1</v>
      </c>
      <c r="N4185" s="2">
        <v>0.57999999999999996</v>
      </c>
      <c r="O4185" s="2">
        <v>0.42</v>
      </c>
      <c r="P4185">
        <v>10</v>
      </c>
      <c r="Q4185">
        <v>14</v>
      </c>
      <c r="R4185">
        <v>8</v>
      </c>
      <c r="S4185">
        <v>7</v>
      </c>
      <c r="T4185">
        <v>13</v>
      </c>
      <c r="U4185">
        <v>7</v>
      </c>
      <c r="V4185">
        <v>2</v>
      </c>
      <c r="W4185">
        <v>2</v>
      </c>
      <c r="X4185">
        <v>0</v>
      </c>
      <c r="Y4185">
        <v>0</v>
      </c>
      <c r="Z4185">
        <v>0</v>
      </c>
    </row>
    <row r="4186" spans="1:26" x14ac:dyDescent="0.2">
      <c r="A4186" t="s">
        <v>4304</v>
      </c>
      <c r="B4186" t="s">
        <v>61</v>
      </c>
      <c r="C4186">
        <v>2020</v>
      </c>
      <c r="D4186" t="s">
        <v>63</v>
      </c>
      <c r="E4186" t="s">
        <v>80</v>
      </c>
      <c r="F4186" t="s">
        <v>65</v>
      </c>
      <c r="G4186">
        <v>26804</v>
      </c>
      <c r="H4186">
        <v>2000</v>
      </c>
      <c r="I4186" s="13">
        <v>0.5</v>
      </c>
      <c r="J4186" t="s">
        <v>6207</v>
      </c>
      <c r="K4186">
        <v>0</v>
      </c>
      <c r="L4186">
        <v>3</v>
      </c>
      <c r="M4186" t="s">
        <v>1</v>
      </c>
      <c r="N4186" s="2">
        <v>0.37</v>
      </c>
      <c r="O4186" s="2">
        <v>0.63</v>
      </c>
      <c r="P4186">
        <v>12</v>
      </c>
      <c r="Q4186">
        <v>14</v>
      </c>
      <c r="R4186">
        <v>2</v>
      </c>
      <c r="S4186">
        <v>5</v>
      </c>
      <c r="T4186">
        <v>12</v>
      </c>
      <c r="U4186">
        <v>9</v>
      </c>
      <c r="V4186">
        <v>1</v>
      </c>
      <c r="W4186">
        <v>1</v>
      </c>
      <c r="X4186">
        <v>0</v>
      </c>
      <c r="Y4186">
        <v>0</v>
      </c>
      <c r="Z4186">
        <v>2</v>
      </c>
    </row>
    <row r="4187" spans="1:26" x14ac:dyDescent="0.2">
      <c r="A4187" t="s">
        <v>4305</v>
      </c>
      <c r="B4187" t="s">
        <v>32</v>
      </c>
      <c r="C4187">
        <v>2020</v>
      </c>
      <c r="D4187" t="s">
        <v>51</v>
      </c>
      <c r="E4187" t="s">
        <v>45</v>
      </c>
      <c r="F4187" t="s">
        <v>20</v>
      </c>
      <c r="G4187">
        <v>36284</v>
      </c>
      <c r="H4187">
        <v>2000</v>
      </c>
      <c r="I4187" s="13">
        <v>1</v>
      </c>
      <c r="J4187" t="s">
        <v>6207</v>
      </c>
      <c r="K4187">
        <v>0</v>
      </c>
      <c r="L4187">
        <v>1</v>
      </c>
      <c r="M4187" t="s">
        <v>1</v>
      </c>
      <c r="N4187" s="2">
        <v>0.52</v>
      </c>
      <c r="O4187" s="2">
        <v>0.48</v>
      </c>
      <c r="P4187">
        <v>8</v>
      </c>
      <c r="Q4187">
        <v>15</v>
      </c>
      <c r="R4187">
        <v>5</v>
      </c>
      <c r="S4187">
        <v>3</v>
      </c>
      <c r="T4187">
        <v>15</v>
      </c>
      <c r="U4187">
        <v>7</v>
      </c>
      <c r="V4187">
        <v>1</v>
      </c>
      <c r="W4187">
        <v>0</v>
      </c>
      <c r="X4187">
        <v>0</v>
      </c>
      <c r="Y4187">
        <v>0</v>
      </c>
      <c r="Z4187">
        <v>0</v>
      </c>
    </row>
    <row r="4188" spans="1:26" x14ac:dyDescent="0.2">
      <c r="A4188" t="s">
        <v>4306</v>
      </c>
      <c r="B4188" t="s">
        <v>41</v>
      </c>
      <c r="C4188">
        <v>2020</v>
      </c>
      <c r="D4188" t="s">
        <v>95</v>
      </c>
      <c r="E4188" t="s">
        <v>22</v>
      </c>
      <c r="F4188" t="s">
        <v>57</v>
      </c>
      <c r="G4188">
        <v>32050</v>
      </c>
      <c r="H4188">
        <v>2000</v>
      </c>
      <c r="I4188" s="13">
        <v>0.66666666666666663</v>
      </c>
      <c r="J4188" t="s">
        <v>6207</v>
      </c>
      <c r="K4188">
        <v>0</v>
      </c>
      <c r="L4188">
        <v>2</v>
      </c>
      <c r="M4188" t="s">
        <v>1</v>
      </c>
      <c r="N4188" s="2">
        <v>0.55000000000000004</v>
      </c>
      <c r="O4188" s="2">
        <v>0.45</v>
      </c>
      <c r="P4188">
        <v>7</v>
      </c>
      <c r="Q4188">
        <v>17</v>
      </c>
      <c r="R4188">
        <v>12</v>
      </c>
      <c r="S4188">
        <v>5</v>
      </c>
      <c r="T4188">
        <v>13</v>
      </c>
      <c r="U4188">
        <v>7</v>
      </c>
      <c r="V4188">
        <v>2</v>
      </c>
      <c r="W4188">
        <v>1</v>
      </c>
      <c r="X4188">
        <v>0</v>
      </c>
      <c r="Y4188">
        <v>0</v>
      </c>
      <c r="Z4188">
        <v>0</v>
      </c>
    </row>
    <row r="4189" spans="1:26" x14ac:dyDescent="0.2">
      <c r="A4189" t="s">
        <v>4307</v>
      </c>
      <c r="B4189" t="s">
        <v>76</v>
      </c>
      <c r="C4189">
        <v>2020</v>
      </c>
      <c r="D4189" t="s">
        <v>90</v>
      </c>
      <c r="E4189" t="s">
        <v>18</v>
      </c>
      <c r="F4189" t="s">
        <v>91</v>
      </c>
      <c r="G4189">
        <v>31876</v>
      </c>
      <c r="H4189">
        <v>2000</v>
      </c>
      <c r="I4189" s="13">
        <v>1</v>
      </c>
      <c r="J4189" t="s">
        <v>6207</v>
      </c>
      <c r="K4189">
        <v>1</v>
      </c>
      <c r="L4189">
        <v>3</v>
      </c>
      <c r="M4189" t="s">
        <v>1</v>
      </c>
      <c r="N4189" s="2">
        <v>0.52</v>
      </c>
      <c r="O4189" s="2">
        <v>0.48</v>
      </c>
      <c r="P4189">
        <v>16</v>
      </c>
      <c r="Q4189">
        <v>7</v>
      </c>
      <c r="R4189">
        <v>4</v>
      </c>
      <c r="S4189">
        <v>3</v>
      </c>
      <c r="T4189">
        <v>8</v>
      </c>
      <c r="U4189">
        <v>13</v>
      </c>
      <c r="V4189">
        <v>1</v>
      </c>
      <c r="W4189">
        <v>0</v>
      </c>
      <c r="X4189">
        <v>0</v>
      </c>
      <c r="Y4189">
        <v>0</v>
      </c>
      <c r="Z4189">
        <v>1</v>
      </c>
    </row>
    <row r="4190" spans="1:26" x14ac:dyDescent="0.2">
      <c r="A4190" t="s">
        <v>4308</v>
      </c>
      <c r="B4190" t="s">
        <v>41</v>
      </c>
      <c r="C4190">
        <v>2020</v>
      </c>
      <c r="D4190" t="s">
        <v>45</v>
      </c>
      <c r="E4190" t="s">
        <v>63</v>
      </c>
      <c r="F4190" t="s">
        <v>26</v>
      </c>
      <c r="G4190">
        <v>39572</v>
      </c>
      <c r="H4190">
        <v>2000</v>
      </c>
      <c r="I4190" s="13">
        <v>0.66666666666666663</v>
      </c>
      <c r="J4190" t="s">
        <v>6207</v>
      </c>
      <c r="K4190">
        <v>5</v>
      </c>
      <c r="L4190">
        <v>2</v>
      </c>
      <c r="M4190" t="s">
        <v>0</v>
      </c>
      <c r="N4190" s="2">
        <v>0.71</v>
      </c>
      <c r="O4190" s="2">
        <v>0.28999999999999998</v>
      </c>
      <c r="P4190">
        <v>11</v>
      </c>
      <c r="Q4190">
        <v>10</v>
      </c>
      <c r="R4190">
        <v>11</v>
      </c>
      <c r="S4190">
        <v>1</v>
      </c>
      <c r="T4190">
        <v>9</v>
      </c>
      <c r="U4190">
        <v>11</v>
      </c>
      <c r="V4190">
        <v>1</v>
      </c>
      <c r="W4190">
        <v>0</v>
      </c>
      <c r="X4190">
        <v>0</v>
      </c>
      <c r="Y4190">
        <v>2</v>
      </c>
      <c r="Z4190">
        <v>0</v>
      </c>
    </row>
    <row r="4191" spans="1:26" x14ac:dyDescent="0.2">
      <c r="A4191" t="s">
        <v>4309</v>
      </c>
      <c r="B4191" t="s">
        <v>61</v>
      </c>
      <c r="C4191">
        <v>2020</v>
      </c>
      <c r="D4191" t="s">
        <v>33</v>
      </c>
      <c r="E4191" t="s">
        <v>31</v>
      </c>
      <c r="F4191" t="s">
        <v>33</v>
      </c>
      <c r="G4191">
        <v>37645</v>
      </c>
      <c r="H4191">
        <v>2000</v>
      </c>
      <c r="I4191" s="13">
        <v>1</v>
      </c>
      <c r="J4191" t="s">
        <v>6207</v>
      </c>
      <c r="K4191">
        <v>4</v>
      </c>
      <c r="L4191">
        <v>3</v>
      </c>
      <c r="M4191" t="s">
        <v>0</v>
      </c>
      <c r="N4191" s="2">
        <v>0.5</v>
      </c>
      <c r="O4191" s="2">
        <v>0.5</v>
      </c>
      <c r="P4191">
        <v>16</v>
      </c>
      <c r="Q4191">
        <v>15</v>
      </c>
      <c r="R4191">
        <v>5</v>
      </c>
      <c r="S4191">
        <v>3</v>
      </c>
      <c r="T4191">
        <v>13</v>
      </c>
      <c r="U4191">
        <v>18</v>
      </c>
      <c r="V4191">
        <v>1</v>
      </c>
      <c r="W4191">
        <v>2</v>
      </c>
      <c r="X4191">
        <v>0</v>
      </c>
      <c r="Y4191">
        <v>0</v>
      </c>
      <c r="Z4191">
        <v>2</v>
      </c>
    </row>
    <row r="4192" spans="1:26" x14ac:dyDescent="0.2">
      <c r="A4192" t="s">
        <v>4310</v>
      </c>
      <c r="B4192" t="s">
        <v>32</v>
      </c>
      <c r="C4192">
        <v>2020</v>
      </c>
      <c r="D4192" t="s">
        <v>48</v>
      </c>
      <c r="E4192" t="s">
        <v>79</v>
      </c>
      <c r="F4192" t="s">
        <v>49</v>
      </c>
      <c r="G4192">
        <v>74197</v>
      </c>
      <c r="H4192">
        <v>2000</v>
      </c>
      <c r="I4192" s="13">
        <v>0.33333333333333331</v>
      </c>
      <c r="J4192" t="s">
        <v>6207</v>
      </c>
      <c r="K4192">
        <v>1</v>
      </c>
      <c r="L4192">
        <v>3</v>
      </c>
      <c r="M4192" t="s">
        <v>1</v>
      </c>
      <c r="N4192" s="2">
        <v>0.76</v>
      </c>
      <c r="O4192" s="2">
        <v>0.24</v>
      </c>
      <c r="P4192">
        <v>12</v>
      </c>
      <c r="Q4192">
        <v>13</v>
      </c>
      <c r="R4192">
        <v>9</v>
      </c>
      <c r="S4192">
        <v>3</v>
      </c>
      <c r="T4192">
        <v>13</v>
      </c>
      <c r="U4192">
        <v>10</v>
      </c>
      <c r="V4192">
        <v>2</v>
      </c>
      <c r="W4192">
        <v>1</v>
      </c>
      <c r="X4192">
        <v>0</v>
      </c>
      <c r="Y4192">
        <v>0</v>
      </c>
      <c r="Z4192">
        <v>2</v>
      </c>
    </row>
    <row r="4193" spans="1:26" x14ac:dyDescent="0.2">
      <c r="A4193" t="s">
        <v>4311</v>
      </c>
      <c r="B4193" t="s">
        <v>66</v>
      </c>
      <c r="C4193">
        <v>2020</v>
      </c>
      <c r="D4193" t="s">
        <v>46</v>
      </c>
      <c r="E4193" t="s">
        <v>23</v>
      </c>
      <c r="F4193" t="s">
        <v>20</v>
      </c>
      <c r="G4193">
        <v>60704</v>
      </c>
      <c r="H4193">
        <v>2000</v>
      </c>
      <c r="I4193" s="13">
        <v>0</v>
      </c>
      <c r="J4193" t="s">
        <v>6207</v>
      </c>
      <c r="K4193">
        <v>2</v>
      </c>
      <c r="L4193">
        <v>1</v>
      </c>
      <c r="M4193" t="s">
        <v>0</v>
      </c>
      <c r="N4193" s="2">
        <v>0.63</v>
      </c>
      <c r="O4193" s="2">
        <v>0.37</v>
      </c>
      <c r="P4193">
        <v>15</v>
      </c>
      <c r="Q4193">
        <v>16</v>
      </c>
      <c r="R4193">
        <v>7</v>
      </c>
      <c r="S4193">
        <v>5</v>
      </c>
      <c r="T4193">
        <v>11</v>
      </c>
      <c r="U4193">
        <v>13</v>
      </c>
      <c r="V4193">
        <v>0</v>
      </c>
      <c r="W4193">
        <v>1</v>
      </c>
      <c r="X4193">
        <v>0</v>
      </c>
      <c r="Y4193">
        <v>0</v>
      </c>
      <c r="Z4193">
        <v>0</v>
      </c>
    </row>
    <row r="4194" spans="1:26" x14ac:dyDescent="0.2">
      <c r="A4194" t="s">
        <v>4312</v>
      </c>
      <c r="B4194" t="s">
        <v>93</v>
      </c>
      <c r="C4194">
        <v>2020</v>
      </c>
      <c r="D4194" t="s">
        <v>73</v>
      </c>
      <c r="E4194" t="s">
        <v>51</v>
      </c>
      <c r="F4194" t="s">
        <v>73</v>
      </c>
      <c r="G4194">
        <v>32384</v>
      </c>
      <c r="H4194">
        <v>2000</v>
      </c>
      <c r="I4194" s="13">
        <v>0.5714285714285714</v>
      </c>
      <c r="J4194" t="s">
        <v>6206</v>
      </c>
      <c r="K4194">
        <v>2</v>
      </c>
      <c r="L4194">
        <v>5</v>
      </c>
      <c r="M4194" t="s">
        <v>1</v>
      </c>
      <c r="N4194" s="2">
        <v>0.53</v>
      </c>
      <c r="O4194" s="2">
        <v>0.47</v>
      </c>
      <c r="P4194">
        <v>24</v>
      </c>
      <c r="Q4194">
        <v>18</v>
      </c>
      <c r="R4194">
        <v>3</v>
      </c>
      <c r="S4194">
        <v>2</v>
      </c>
      <c r="T4194">
        <v>17</v>
      </c>
      <c r="U4194">
        <v>18</v>
      </c>
      <c r="V4194">
        <v>4</v>
      </c>
      <c r="W4194">
        <v>3</v>
      </c>
      <c r="X4194">
        <v>0</v>
      </c>
      <c r="Y4194">
        <v>0</v>
      </c>
      <c r="Z4194">
        <v>1</v>
      </c>
    </row>
    <row r="4195" spans="1:26" x14ac:dyDescent="0.2">
      <c r="A4195" t="s">
        <v>4313</v>
      </c>
      <c r="B4195" t="s">
        <v>60</v>
      </c>
      <c r="C4195">
        <v>2020</v>
      </c>
      <c r="D4195" t="s">
        <v>64</v>
      </c>
      <c r="E4195" t="s">
        <v>90</v>
      </c>
      <c r="F4195" t="s">
        <v>64</v>
      </c>
      <c r="G4195">
        <v>52264</v>
      </c>
      <c r="H4195">
        <v>2000</v>
      </c>
      <c r="I4195" s="13">
        <v>0.25</v>
      </c>
      <c r="J4195" t="s">
        <v>6208</v>
      </c>
      <c r="K4195">
        <v>0</v>
      </c>
      <c r="L4195">
        <v>3</v>
      </c>
      <c r="M4195" t="s">
        <v>1</v>
      </c>
      <c r="N4195" s="2">
        <v>0.47</v>
      </c>
      <c r="O4195" s="2">
        <v>0.53</v>
      </c>
      <c r="P4195">
        <v>15</v>
      </c>
      <c r="Q4195">
        <v>19</v>
      </c>
      <c r="R4195">
        <v>7</v>
      </c>
      <c r="S4195">
        <v>1</v>
      </c>
      <c r="T4195">
        <v>16</v>
      </c>
      <c r="U4195">
        <v>15</v>
      </c>
      <c r="V4195">
        <v>3</v>
      </c>
      <c r="W4195">
        <v>0</v>
      </c>
      <c r="X4195">
        <v>0</v>
      </c>
      <c r="Y4195">
        <v>1</v>
      </c>
      <c r="Z4195">
        <v>1</v>
      </c>
    </row>
    <row r="4196" spans="1:26" x14ac:dyDescent="0.2">
      <c r="A4196" t="s">
        <v>4314</v>
      </c>
      <c r="B4196" t="s">
        <v>81</v>
      </c>
      <c r="C4196">
        <v>2020</v>
      </c>
      <c r="D4196" t="s">
        <v>18</v>
      </c>
      <c r="E4196" t="s">
        <v>26</v>
      </c>
      <c r="F4196" t="s">
        <v>20</v>
      </c>
      <c r="G4196">
        <v>40341</v>
      </c>
      <c r="H4196">
        <v>2000</v>
      </c>
      <c r="I4196" s="13">
        <v>1</v>
      </c>
      <c r="J4196" t="s">
        <v>6207</v>
      </c>
      <c r="K4196">
        <v>0</v>
      </c>
      <c r="L4196">
        <v>2</v>
      </c>
      <c r="M4196" t="s">
        <v>1</v>
      </c>
      <c r="N4196" s="2">
        <v>0.39</v>
      </c>
      <c r="O4196" s="2">
        <v>0.61</v>
      </c>
      <c r="P4196">
        <v>6</v>
      </c>
      <c r="Q4196">
        <v>11</v>
      </c>
      <c r="R4196">
        <v>1</v>
      </c>
      <c r="S4196">
        <v>11</v>
      </c>
      <c r="T4196">
        <v>10</v>
      </c>
      <c r="U4196">
        <v>6</v>
      </c>
      <c r="V4196">
        <v>0</v>
      </c>
      <c r="W4196">
        <v>0</v>
      </c>
      <c r="X4196">
        <v>1</v>
      </c>
      <c r="Y4196">
        <v>0</v>
      </c>
      <c r="Z4196">
        <v>1</v>
      </c>
    </row>
    <row r="4197" spans="1:26" x14ac:dyDescent="0.2">
      <c r="A4197" t="s">
        <v>4315</v>
      </c>
      <c r="B4197" t="s">
        <v>50</v>
      </c>
      <c r="C4197">
        <v>2020</v>
      </c>
      <c r="D4197" t="s">
        <v>80</v>
      </c>
      <c r="E4197" t="s">
        <v>28</v>
      </c>
      <c r="F4197" t="s">
        <v>80</v>
      </c>
      <c r="G4197">
        <v>32261</v>
      </c>
      <c r="H4197">
        <v>2000</v>
      </c>
      <c r="I4197" s="13">
        <v>0.66666666666666663</v>
      </c>
      <c r="J4197" t="s">
        <v>6207</v>
      </c>
      <c r="K4197">
        <v>4</v>
      </c>
      <c r="L4197">
        <v>2</v>
      </c>
      <c r="M4197" t="s">
        <v>0</v>
      </c>
      <c r="N4197" s="2">
        <v>0.68</v>
      </c>
      <c r="O4197" s="2">
        <v>0.32</v>
      </c>
      <c r="P4197">
        <v>14</v>
      </c>
      <c r="Q4197">
        <v>11</v>
      </c>
      <c r="R4197">
        <v>15</v>
      </c>
      <c r="S4197">
        <v>4</v>
      </c>
      <c r="T4197">
        <v>11</v>
      </c>
      <c r="U4197">
        <v>13</v>
      </c>
      <c r="V4197">
        <v>1</v>
      </c>
      <c r="W4197">
        <v>2</v>
      </c>
      <c r="X4197">
        <v>0</v>
      </c>
      <c r="Y4197">
        <v>0</v>
      </c>
      <c r="Z4197">
        <v>0</v>
      </c>
    </row>
    <row r="4198" spans="1:26" x14ac:dyDescent="0.2">
      <c r="A4198" t="s">
        <v>4316</v>
      </c>
      <c r="B4198" t="s">
        <v>83</v>
      </c>
      <c r="C4198">
        <v>2020</v>
      </c>
      <c r="D4198" t="s">
        <v>42</v>
      </c>
      <c r="E4198" t="s">
        <v>95</v>
      </c>
      <c r="F4198" t="s">
        <v>38</v>
      </c>
      <c r="G4198">
        <v>42918</v>
      </c>
      <c r="H4198">
        <v>2000</v>
      </c>
      <c r="I4198" s="13">
        <v>0.4</v>
      </c>
      <c r="J4198" t="s">
        <v>6208</v>
      </c>
      <c r="K4198">
        <v>1</v>
      </c>
      <c r="L4198">
        <v>0</v>
      </c>
      <c r="M4198" t="s">
        <v>0</v>
      </c>
      <c r="N4198" s="2">
        <v>0.72</v>
      </c>
      <c r="O4198" s="2">
        <v>0.28000000000000003</v>
      </c>
      <c r="P4198">
        <v>14</v>
      </c>
      <c r="Q4198">
        <v>11</v>
      </c>
      <c r="R4198">
        <v>10</v>
      </c>
      <c r="S4198">
        <v>4</v>
      </c>
      <c r="T4198">
        <v>12</v>
      </c>
      <c r="U4198">
        <v>13</v>
      </c>
      <c r="V4198">
        <v>3</v>
      </c>
      <c r="W4198">
        <v>1</v>
      </c>
      <c r="X4198">
        <v>0</v>
      </c>
      <c r="Y4198">
        <v>1</v>
      </c>
      <c r="Z4198">
        <v>1</v>
      </c>
    </row>
    <row r="4199" spans="1:26" x14ac:dyDescent="0.2">
      <c r="A4199" t="s">
        <v>4317</v>
      </c>
      <c r="B4199" t="s">
        <v>37</v>
      </c>
      <c r="C4199">
        <v>2020</v>
      </c>
      <c r="D4199" t="s">
        <v>22</v>
      </c>
      <c r="E4199" t="s">
        <v>40</v>
      </c>
      <c r="F4199" t="s">
        <v>24</v>
      </c>
      <c r="G4199">
        <v>31750</v>
      </c>
      <c r="H4199">
        <v>2000</v>
      </c>
      <c r="I4199" s="13">
        <v>1</v>
      </c>
      <c r="J4199" t="s">
        <v>6206</v>
      </c>
      <c r="K4199">
        <v>1</v>
      </c>
      <c r="L4199">
        <v>3</v>
      </c>
      <c r="M4199" t="s">
        <v>1</v>
      </c>
      <c r="N4199" s="2">
        <v>0.35</v>
      </c>
      <c r="O4199" s="2">
        <v>0.65</v>
      </c>
      <c r="P4199">
        <v>11</v>
      </c>
      <c r="Q4199">
        <v>8</v>
      </c>
      <c r="R4199">
        <v>4</v>
      </c>
      <c r="S4199">
        <v>6</v>
      </c>
      <c r="T4199">
        <v>7</v>
      </c>
      <c r="U4199">
        <v>8</v>
      </c>
      <c r="V4199">
        <v>0</v>
      </c>
      <c r="W4199">
        <v>3</v>
      </c>
      <c r="X4199">
        <v>0</v>
      </c>
      <c r="Y4199">
        <v>0</v>
      </c>
      <c r="Z4199">
        <v>1</v>
      </c>
    </row>
    <row r="4200" spans="1:26" x14ac:dyDescent="0.2">
      <c r="A4200" t="s">
        <v>4318</v>
      </c>
      <c r="B4200" t="s">
        <v>88</v>
      </c>
      <c r="C4200">
        <v>2020</v>
      </c>
      <c r="D4200" t="s">
        <v>90</v>
      </c>
      <c r="E4200" t="s">
        <v>48</v>
      </c>
      <c r="F4200" t="s">
        <v>91</v>
      </c>
      <c r="G4200">
        <v>31876</v>
      </c>
      <c r="H4200">
        <v>2000</v>
      </c>
      <c r="I4200" s="13">
        <v>0.66666666666666663</v>
      </c>
      <c r="J4200" t="s">
        <v>6207</v>
      </c>
      <c r="K4200">
        <v>2</v>
      </c>
      <c r="L4200">
        <v>3</v>
      </c>
      <c r="M4200" t="s">
        <v>1</v>
      </c>
      <c r="N4200" s="2">
        <v>0.53</v>
      </c>
      <c r="O4200" s="2">
        <v>0.47</v>
      </c>
      <c r="P4200">
        <v>19</v>
      </c>
      <c r="Q4200">
        <v>19</v>
      </c>
      <c r="R4200">
        <v>7</v>
      </c>
      <c r="S4200">
        <v>1</v>
      </c>
      <c r="T4200">
        <v>18</v>
      </c>
      <c r="U4200">
        <v>16</v>
      </c>
      <c r="V4200">
        <v>4</v>
      </c>
      <c r="W4200">
        <v>2</v>
      </c>
      <c r="X4200">
        <v>0</v>
      </c>
      <c r="Y4200">
        <v>0</v>
      </c>
      <c r="Z4200">
        <v>2</v>
      </c>
    </row>
    <row r="4201" spans="1:26" x14ac:dyDescent="0.2">
      <c r="A4201" t="s">
        <v>4319</v>
      </c>
      <c r="B4201" t="s">
        <v>60</v>
      </c>
      <c r="C4201">
        <v>2020</v>
      </c>
      <c r="D4201" t="s">
        <v>79</v>
      </c>
      <c r="E4201" t="s">
        <v>45</v>
      </c>
      <c r="F4201" t="s">
        <v>20</v>
      </c>
      <c r="G4201">
        <v>25486</v>
      </c>
      <c r="H4201">
        <v>2000</v>
      </c>
      <c r="I4201" s="13">
        <v>0.5</v>
      </c>
      <c r="J4201" t="s">
        <v>6208</v>
      </c>
      <c r="K4201">
        <v>1</v>
      </c>
      <c r="L4201">
        <v>2</v>
      </c>
      <c r="M4201" t="s">
        <v>1</v>
      </c>
      <c r="N4201" s="2">
        <v>0.42</v>
      </c>
      <c r="O4201" s="2">
        <v>0.57999999999999996</v>
      </c>
      <c r="P4201">
        <v>16</v>
      </c>
      <c r="Q4201">
        <v>16</v>
      </c>
      <c r="R4201">
        <v>7</v>
      </c>
      <c r="S4201">
        <v>6</v>
      </c>
      <c r="T4201">
        <v>16</v>
      </c>
      <c r="U4201">
        <v>15</v>
      </c>
      <c r="V4201">
        <v>3</v>
      </c>
      <c r="W4201">
        <v>1</v>
      </c>
      <c r="X4201">
        <v>0</v>
      </c>
      <c r="Y4201">
        <v>0</v>
      </c>
      <c r="Z4201">
        <v>1</v>
      </c>
    </row>
    <row r="4202" spans="1:26" x14ac:dyDescent="0.2">
      <c r="A4202" t="s">
        <v>4320</v>
      </c>
      <c r="B4202" t="s">
        <v>68</v>
      </c>
      <c r="C4202">
        <v>2020</v>
      </c>
      <c r="D4202" t="s">
        <v>63</v>
      </c>
      <c r="E4202" t="s">
        <v>18</v>
      </c>
      <c r="F4202" t="s">
        <v>65</v>
      </c>
      <c r="G4202">
        <v>26804</v>
      </c>
      <c r="H4202">
        <v>2000</v>
      </c>
      <c r="I4202" s="13">
        <v>0.5</v>
      </c>
      <c r="J4202" t="s">
        <v>6207</v>
      </c>
      <c r="K4202">
        <v>3</v>
      </c>
      <c r="L4202">
        <v>3</v>
      </c>
      <c r="M4202" t="s">
        <v>58</v>
      </c>
      <c r="N4202" s="2">
        <v>0.24</v>
      </c>
      <c r="O4202" s="2">
        <v>0.76</v>
      </c>
      <c r="P4202">
        <v>16</v>
      </c>
      <c r="Q4202">
        <v>9</v>
      </c>
      <c r="R4202">
        <v>3</v>
      </c>
      <c r="S4202">
        <v>9</v>
      </c>
      <c r="T4202">
        <v>8</v>
      </c>
      <c r="U4202">
        <v>16</v>
      </c>
      <c r="V4202">
        <v>1</v>
      </c>
      <c r="W4202">
        <v>3</v>
      </c>
      <c r="X4202">
        <v>0</v>
      </c>
      <c r="Y4202">
        <v>0</v>
      </c>
      <c r="Z4202">
        <v>0</v>
      </c>
    </row>
    <row r="4203" spans="1:26" x14ac:dyDescent="0.2">
      <c r="A4203" t="s">
        <v>4321</v>
      </c>
      <c r="B4203" t="s">
        <v>37</v>
      </c>
      <c r="C4203">
        <v>2020</v>
      </c>
      <c r="D4203" t="s">
        <v>28</v>
      </c>
      <c r="E4203" t="s">
        <v>73</v>
      </c>
      <c r="F4203" t="s">
        <v>28</v>
      </c>
      <c r="G4203">
        <v>21944</v>
      </c>
      <c r="H4203">
        <v>2000</v>
      </c>
      <c r="I4203" s="13">
        <v>0</v>
      </c>
      <c r="J4203" t="s">
        <v>6206</v>
      </c>
      <c r="K4203">
        <v>0</v>
      </c>
      <c r="L4203">
        <v>1</v>
      </c>
      <c r="M4203" t="s">
        <v>1</v>
      </c>
      <c r="N4203" s="2">
        <v>0.53</v>
      </c>
      <c r="O4203" s="2">
        <v>0.47</v>
      </c>
      <c r="P4203">
        <v>11</v>
      </c>
      <c r="Q4203">
        <v>10</v>
      </c>
      <c r="R4203">
        <v>8</v>
      </c>
      <c r="S4203">
        <v>2</v>
      </c>
      <c r="T4203">
        <v>8</v>
      </c>
      <c r="U4203">
        <v>10</v>
      </c>
      <c r="V4203">
        <v>1</v>
      </c>
      <c r="W4203">
        <v>0</v>
      </c>
      <c r="X4203">
        <v>0</v>
      </c>
      <c r="Y4203">
        <v>0</v>
      </c>
      <c r="Z4203">
        <v>0</v>
      </c>
    </row>
    <row r="4204" spans="1:26" x14ac:dyDescent="0.2">
      <c r="A4204" t="s">
        <v>4322</v>
      </c>
      <c r="B4204" t="s">
        <v>81</v>
      </c>
      <c r="C4204">
        <v>2020</v>
      </c>
      <c r="D4204" t="s">
        <v>95</v>
      </c>
      <c r="E4204" t="s">
        <v>33</v>
      </c>
      <c r="F4204" t="s">
        <v>57</v>
      </c>
      <c r="G4204">
        <v>32050</v>
      </c>
      <c r="H4204">
        <v>2000</v>
      </c>
      <c r="I4204" s="13">
        <v>0.33333333333333331</v>
      </c>
      <c r="J4204" t="s">
        <v>6207</v>
      </c>
      <c r="K4204">
        <v>0</v>
      </c>
      <c r="L4204">
        <v>1</v>
      </c>
      <c r="M4204" t="s">
        <v>1</v>
      </c>
      <c r="N4204" s="2">
        <v>0.36</v>
      </c>
      <c r="O4204" s="2">
        <v>0.64</v>
      </c>
      <c r="P4204">
        <v>6</v>
      </c>
      <c r="Q4204">
        <v>20</v>
      </c>
      <c r="R4204">
        <v>5</v>
      </c>
      <c r="S4204">
        <v>7</v>
      </c>
      <c r="T4204">
        <v>18</v>
      </c>
      <c r="U4204">
        <v>4</v>
      </c>
      <c r="V4204">
        <v>2</v>
      </c>
      <c r="W4204">
        <v>1</v>
      </c>
      <c r="X4204">
        <v>0</v>
      </c>
      <c r="Y4204">
        <v>0</v>
      </c>
      <c r="Z4204">
        <v>0</v>
      </c>
    </row>
    <row r="4205" spans="1:26" x14ac:dyDescent="0.2">
      <c r="A4205" t="s">
        <v>4323</v>
      </c>
      <c r="B4205" t="s">
        <v>97</v>
      </c>
      <c r="C4205">
        <v>2020</v>
      </c>
      <c r="D4205" t="s">
        <v>51</v>
      </c>
      <c r="E4205" t="s">
        <v>64</v>
      </c>
      <c r="F4205" t="s">
        <v>20</v>
      </c>
      <c r="G4205">
        <v>36284</v>
      </c>
      <c r="H4205">
        <v>2000</v>
      </c>
      <c r="I4205" s="13">
        <v>0.4</v>
      </c>
      <c r="J4205" t="s">
        <v>6207</v>
      </c>
      <c r="K4205">
        <v>1</v>
      </c>
      <c r="L4205">
        <v>1</v>
      </c>
      <c r="M4205" t="s">
        <v>58</v>
      </c>
      <c r="N4205" s="2">
        <v>0.66</v>
      </c>
      <c r="O4205" s="2">
        <v>0.34</v>
      </c>
      <c r="P4205">
        <v>10</v>
      </c>
      <c r="Q4205">
        <v>15</v>
      </c>
      <c r="R4205">
        <v>10</v>
      </c>
      <c r="S4205">
        <v>4</v>
      </c>
      <c r="T4205">
        <v>15</v>
      </c>
      <c r="U4205">
        <v>9</v>
      </c>
      <c r="V4205">
        <v>1</v>
      </c>
      <c r="W4205">
        <v>4</v>
      </c>
      <c r="X4205">
        <v>0</v>
      </c>
      <c r="Y4205">
        <v>0</v>
      </c>
      <c r="Z4205">
        <v>1</v>
      </c>
    </row>
    <row r="4206" spans="1:26" x14ac:dyDescent="0.2">
      <c r="A4206" t="s">
        <v>4324</v>
      </c>
      <c r="B4206" t="s">
        <v>66</v>
      </c>
      <c r="C4206">
        <v>2020</v>
      </c>
      <c r="D4206" t="s">
        <v>40</v>
      </c>
      <c r="E4206" t="s">
        <v>80</v>
      </c>
      <c r="F4206" t="s">
        <v>49</v>
      </c>
      <c r="G4206">
        <v>53400</v>
      </c>
      <c r="H4206">
        <v>2000</v>
      </c>
      <c r="I4206" s="13">
        <v>1</v>
      </c>
      <c r="J4206" t="s">
        <v>6207</v>
      </c>
      <c r="K4206">
        <v>2</v>
      </c>
      <c r="L4206">
        <v>5</v>
      </c>
      <c r="M4206" t="s">
        <v>1</v>
      </c>
      <c r="N4206" s="2">
        <v>0.72</v>
      </c>
      <c r="O4206" s="2">
        <v>0.28000000000000003</v>
      </c>
      <c r="P4206">
        <v>10</v>
      </c>
      <c r="Q4206">
        <v>12</v>
      </c>
      <c r="R4206">
        <v>3</v>
      </c>
      <c r="S4206">
        <v>3</v>
      </c>
      <c r="T4206">
        <v>13</v>
      </c>
      <c r="U4206">
        <v>8</v>
      </c>
      <c r="V4206">
        <v>1</v>
      </c>
      <c r="W4206">
        <v>3</v>
      </c>
      <c r="X4206">
        <v>0</v>
      </c>
      <c r="Y4206">
        <v>0</v>
      </c>
      <c r="Z4206">
        <v>3</v>
      </c>
    </row>
    <row r="4207" spans="1:26" x14ac:dyDescent="0.2">
      <c r="A4207" t="s">
        <v>4325</v>
      </c>
      <c r="B4207" t="s">
        <v>32</v>
      </c>
      <c r="C4207">
        <v>2020</v>
      </c>
      <c r="D4207" t="s">
        <v>23</v>
      </c>
      <c r="E4207" t="s">
        <v>22</v>
      </c>
      <c r="F4207" t="s">
        <v>20</v>
      </c>
      <c r="G4207">
        <v>62500</v>
      </c>
      <c r="H4207">
        <v>2000</v>
      </c>
      <c r="I4207" s="13">
        <v>0</v>
      </c>
      <c r="J4207" t="s">
        <v>6207</v>
      </c>
      <c r="K4207">
        <v>4</v>
      </c>
      <c r="L4207">
        <v>0</v>
      </c>
      <c r="M4207" t="s">
        <v>0</v>
      </c>
      <c r="N4207" s="2">
        <v>0.37</v>
      </c>
      <c r="O4207" s="2">
        <v>0.63</v>
      </c>
      <c r="P4207">
        <v>13</v>
      </c>
      <c r="Q4207">
        <v>10</v>
      </c>
      <c r="R4207">
        <v>1</v>
      </c>
      <c r="S4207">
        <v>3</v>
      </c>
      <c r="T4207">
        <v>7</v>
      </c>
      <c r="U4207">
        <v>11</v>
      </c>
      <c r="V4207">
        <v>0</v>
      </c>
      <c r="W4207">
        <v>1</v>
      </c>
      <c r="X4207">
        <v>0</v>
      </c>
      <c r="Y4207">
        <v>0</v>
      </c>
      <c r="Z4207">
        <v>0</v>
      </c>
    </row>
    <row r="4208" spans="1:26" x14ac:dyDescent="0.2">
      <c r="A4208" t="s">
        <v>4326</v>
      </c>
      <c r="B4208" t="s">
        <v>59</v>
      </c>
      <c r="C4208">
        <v>2020</v>
      </c>
      <c r="D4208" t="s">
        <v>31</v>
      </c>
      <c r="E4208" t="s">
        <v>42</v>
      </c>
      <c r="F4208" t="s">
        <v>20</v>
      </c>
      <c r="G4208">
        <v>28500</v>
      </c>
      <c r="H4208">
        <v>2000</v>
      </c>
      <c r="I4208" s="13">
        <v>0.44444444444444442</v>
      </c>
      <c r="J4208" t="s">
        <v>6206</v>
      </c>
      <c r="K4208">
        <v>0</v>
      </c>
      <c r="L4208">
        <v>3</v>
      </c>
      <c r="M4208" t="s">
        <v>1</v>
      </c>
      <c r="N4208" s="2">
        <v>0.65</v>
      </c>
      <c r="O4208" s="2">
        <v>0.35</v>
      </c>
      <c r="P4208">
        <v>16</v>
      </c>
      <c r="Q4208">
        <v>18</v>
      </c>
      <c r="R4208">
        <v>5</v>
      </c>
      <c r="S4208">
        <v>3</v>
      </c>
      <c r="T4208">
        <v>18</v>
      </c>
      <c r="U4208">
        <v>14</v>
      </c>
      <c r="V4208">
        <v>6</v>
      </c>
      <c r="W4208">
        <v>3</v>
      </c>
      <c r="X4208">
        <v>0</v>
      </c>
      <c r="Y4208">
        <v>0</v>
      </c>
      <c r="Z4208">
        <v>0</v>
      </c>
    </row>
    <row r="4209" spans="1:26" x14ac:dyDescent="0.2">
      <c r="A4209" t="s">
        <v>4327</v>
      </c>
      <c r="B4209" t="s">
        <v>76</v>
      </c>
      <c r="C4209">
        <v>2020</v>
      </c>
      <c r="D4209" t="s">
        <v>26</v>
      </c>
      <c r="E4209" t="s">
        <v>46</v>
      </c>
      <c r="F4209" t="s">
        <v>26</v>
      </c>
      <c r="G4209">
        <v>61276</v>
      </c>
      <c r="H4209">
        <v>2000</v>
      </c>
      <c r="I4209" s="13">
        <v>0.75</v>
      </c>
      <c r="J4209" t="s">
        <v>6207</v>
      </c>
      <c r="K4209">
        <v>3</v>
      </c>
      <c r="L4209">
        <v>1</v>
      </c>
      <c r="M4209" t="s">
        <v>0</v>
      </c>
      <c r="N4209" s="2">
        <v>0.66</v>
      </c>
      <c r="O4209" s="2">
        <v>0.34</v>
      </c>
      <c r="P4209">
        <v>12</v>
      </c>
      <c r="Q4209">
        <v>11</v>
      </c>
      <c r="R4209">
        <v>7</v>
      </c>
      <c r="S4209">
        <v>3</v>
      </c>
      <c r="T4209">
        <v>11</v>
      </c>
      <c r="U4209">
        <v>7</v>
      </c>
      <c r="V4209">
        <v>2</v>
      </c>
      <c r="W4209">
        <v>2</v>
      </c>
      <c r="X4209">
        <v>0</v>
      </c>
      <c r="Y4209">
        <v>0</v>
      </c>
      <c r="Z4209">
        <v>0</v>
      </c>
    </row>
    <row r="4210" spans="1:26" x14ac:dyDescent="0.2">
      <c r="A4210" t="s">
        <v>4328</v>
      </c>
      <c r="B4210" t="s">
        <v>66</v>
      </c>
      <c r="C4210">
        <v>2020</v>
      </c>
      <c r="D4210" t="s">
        <v>18</v>
      </c>
      <c r="E4210" t="s">
        <v>79</v>
      </c>
      <c r="F4210" t="s">
        <v>20</v>
      </c>
      <c r="G4210">
        <v>40341</v>
      </c>
      <c r="H4210">
        <v>2000</v>
      </c>
      <c r="I4210" s="13">
        <v>1</v>
      </c>
      <c r="J4210" t="s">
        <v>6207</v>
      </c>
      <c r="K4210">
        <v>4</v>
      </c>
      <c r="L4210">
        <v>0</v>
      </c>
      <c r="M4210" t="s">
        <v>0</v>
      </c>
      <c r="N4210" s="2">
        <v>0.71</v>
      </c>
      <c r="O4210" s="2">
        <v>0.28999999999999998</v>
      </c>
      <c r="P4210">
        <v>11</v>
      </c>
      <c r="Q4210">
        <v>18</v>
      </c>
      <c r="R4210">
        <v>8</v>
      </c>
      <c r="S4210">
        <v>5</v>
      </c>
      <c r="T4210">
        <v>17</v>
      </c>
      <c r="U4210">
        <v>13</v>
      </c>
      <c r="V4210">
        <v>2</v>
      </c>
      <c r="W4210">
        <v>0</v>
      </c>
      <c r="X4210">
        <v>0</v>
      </c>
      <c r="Y4210">
        <v>0</v>
      </c>
      <c r="Z4210">
        <v>2</v>
      </c>
    </row>
    <row r="4211" spans="1:26" x14ac:dyDescent="0.2">
      <c r="A4211" t="s">
        <v>4329</v>
      </c>
      <c r="B4211" t="s">
        <v>84</v>
      </c>
      <c r="C4211">
        <v>2020</v>
      </c>
      <c r="D4211" t="s">
        <v>45</v>
      </c>
      <c r="E4211" t="s">
        <v>90</v>
      </c>
      <c r="F4211" t="s">
        <v>26</v>
      </c>
      <c r="G4211">
        <v>39572</v>
      </c>
      <c r="H4211">
        <v>2000</v>
      </c>
      <c r="I4211" s="13">
        <v>1</v>
      </c>
      <c r="J4211" t="s">
        <v>6208</v>
      </c>
      <c r="K4211">
        <v>4</v>
      </c>
      <c r="L4211">
        <v>2</v>
      </c>
      <c r="M4211" t="s">
        <v>0</v>
      </c>
      <c r="N4211" s="2">
        <v>0.43</v>
      </c>
      <c r="O4211" s="2">
        <v>0.56999999999999995</v>
      </c>
      <c r="P4211">
        <v>15</v>
      </c>
      <c r="Q4211">
        <v>13</v>
      </c>
      <c r="R4211">
        <v>3</v>
      </c>
      <c r="S4211">
        <v>10</v>
      </c>
      <c r="T4211">
        <v>13</v>
      </c>
      <c r="U4211">
        <v>14</v>
      </c>
      <c r="V4211">
        <v>0</v>
      </c>
      <c r="W4211">
        <v>1</v>
      </c>
      <c r="X4211">
        <v>0</v>
      </c>
      <c r="Y4211">
        <v>0</v>
      </c>
      <c r="Z4211">
        <v>0</v>
      </c>
    </row>
    <row r="4212" spans="1:26" x14ac:dyDescent="0.2">
      <c r="A4212" t="s">
        <v>4330</v>
      </c>
      <c r="B4212" t="s">
        <v>41</v>
      </c>
      <c r="C4212">
        <v>2020</v>
      </c>
      <c r="D4212" t="s">
        <v>33</v>
      </c>
      <c r="E4212" t="s">
        <v>40</v>
      </c>
      <c r="F4212" t="s">
        <v>33</v>
      </c>
      <c r="G4212">
        <v>37645</v>
      </c>
      <c r="H4212">
        <v>2000</v>
      </c>
      <c r="I4212" s="13">
        <v>0.33333333333333331</v>
      </c>
      <c r="J4212" t="s">
        <v>6207</v>
      </c>
      <c r="K4212">
        <v>1</v>
      </c>
      <c r="L4212">
        <v>1</v>
      </c>
      <c r="M4212" t="s">
        <v>58</v>
      </c>
      <c r="N4212" s="2">
        <v>0.52</v>
      </c>
      <c r="O4212" s="2">
        <v>0.48</v>
      </c>
      <c r="P4212">
        <v>16</v>
      </c>
      <c r="Q4212">
        <v>14</v>
      </c>
      <c r="R4212">
        <v>7</v>
      </c>
      <c r="S4212">
        <v>10</v>
      </c>
      <c r="T4212">
        <v>11</v>
      </c>
      <c r="U4212">
        <v>12</v>
      </c>
      <c r="V4212">
        <v>2</v>
      </c>
      <c r="W4212">
        <v>1</v>
      </c>
      <c r="X4212">
        <v>0</v>
      </c>
      <c r="Y4212">
        <v>0</v>
      </c>
      <c r="Z4212">
        <v>0</v>
      </c>
    </row>
    <row r="4213" spans="1:26" x14ac:dyDescent="0.2">
      <c r="A4213" t="s">
        <v>4331</v>
      </c>
      <c r="B4213" t="s">
        <v>93</v>
      </c>
      <c r="C4213">
        <v>2020</v>
      </c>
      <c r="D4213" t="s">
        <v>64</v>
      </c>
      <c r="E4213" t="s">
        <v>28</v>
      </c>
      <c r="F4213" t="s">
        <v>64</v>
      </c>
      <c r="G4213">
        <v>52264</v>
      </c>
      <c r="H4213">
        <v>2000</v>
      </c>
      <c r="I4213" s="13">
        <v>0.2</v>
      </c>
      <c r="J4213" t="s">
        <v>6206</v>
      </c>
      <c r="K4213">
        <v>3</v>
      </c>
      <c r="L4213">
        <v>1</v>
      </c>
      <c r="M4213" t="s">
        <v>0</v>
      </c>
      <c r="N4213" s="2">
        <v>0.48</v>
      </c>
      <c r="O4213" s="2">
        <v>0.52</v>
      </c>
      <c r="P4213">
        <v>22</v>
      </c>
      <c r="Q4213">
        <v>15</v>
      </c>
      <c r="R4213">
        <v>3</v>
      </c>
      <c r="S4213">
        <v>4</v>
      </c>
      <c r="T4213">
        <v>13</v>
      </c>
      <c r="U4213">
        <v>17</v>
      </c>
      <c r="V4213">
        <v>2</v>
      </c>
      <c r="W4213">
        <v>3</v>
      </c>
      <c r="X4213">
        <v>0</v>
      </c>
      <c r="Y4213">
        <v>0</v>
      </c>
      <c r="Z4213">
        <v>1</v>
      </c>
    </row>
    <row r="4214" spans="1:26" x14ac:dyDescent="0.2">
      <c r="A4214" t="s">
        <v>4332</v>
      </c>
      <c r="B4214" t="s">
        <v>88</v>
      </c>
      <c r="C4214">
        <v>2020</v>
      </c>
      <c r="D4214" t="s">
        <v>73</v>
      </c>
      <c r="E4214" t="s">
        <v>63</v>
      </c>
      <c r="F4214" t="s">
        <v>73</v>
      </c>
      <c r="G4214">
        <v>32384</v>
      </c>
      <c r="H4214">
        <v>2000</v>
      </c>
      <c r="I4214" s="13">
        <v>0.33333333333333331</v>
      </c>
      <c r="J4214" t="s">
        <v>6207</v>
      </c>
      <c r="K4214">
        <v>2</v>
      </c>
      <c r="L4214">
        <v>0</v>
      </c>
      <c r="M4214" t="s">
        <v>0</v>
      </c>
      <c r="N4214" s="2">
        <v>0.62</v>
      </c>
      <c r="O4214" s="2">
        <v>0.38</v>
      </c>
      <c r="P4214">
        <v>11</v>
      </c>
      <c r="Q4214">
        <v>20</v>
      </c>
      <c r="R4214">
        <v>5</v>
      </c>
      <c r="S4214">
        <v>1</v>
      </c>
      <c r="T4214">
        <v>19</v>
      </c>
      <c r="U4214">
        <v>10</v>
      </c>
      <c r="V4214">
        <v>2</v>
      </c>
      <c r="W4214">
        <v>1</v>
      </c>
      <c r="X4214">
        <v>0</v>
      </c>
      <c r="Y4214">
        <v>0</v>
      </c>
      <c r="Z4214">
        <v>0</v>
      </c>
    </row>
    <row r="4215" spans="1:26" x14ac:dyDescent="0.2">
      <c r="A4215" t="s">
        <v>4333</v>
      </c>
      <c r="B4215" t="s">
        <v>92</v>
      </c>
      <c r="C4215">
        <v>2020</v>
      </c>
      <c r="D4215" t="s">
        <v>80</v>
      </c>
      <c r="E4215" t="s">
        <v>23</v>
      </c>
      <c r="F4215" t="s">
        <v>80</v>
      </c>
      <c r="G4215">
        <v>32261</v>
      </c>
      <c r="H4215">
        <v>2000</v>
      </c>
      <c r="I4215" s="13">
        <v>0.75</v>
      </c>
      <c r="J4215" t="s">
        <v>6207</v>
      </c>
      <c r="K4215">
        <v>0</v>
      </c>
      <c r="L4215">
        <v>3</v>
      </c>
      <c r="M4215" t="s">
        <v>1</v>
      </c>
      <c r="N4215" s="2">
        <v>0.69</v>
      </c>
      <c r="O4215" s="2">
        <v>0.31</v>
      </c>
      <c r="P4215">
        <v>12</v>
      </c>
      <c r="Q4215">
        <v>11</v>
      </c>
      <c r="R4215">
        <v>6</v>
      </c>
      <c r="S4215">
        <v>4</v>
      </c>
      <c r="T4215">
        <v>11</v>
      </c>
      <c r="U4215">
        <v>8</v>
      </c>
      <c r="V4215">
        <v>2</v>
      </c>
      <c r="W4215">
        <v>2</v>
      </c>
      <c r="X4215">
        <v>0</v>
      </c>
      <c r="Y4215">
        <v>0</v>
      </c>
      <c r="Z4215">
        <v>0</v>
      </c>
    </row>
    <row r="4216" spans="1:26" x14ac:dyDescent="0.2">
      <c r="A4216" t="s">
        <v>4334</v>
      </c>
      <c r="B4216" t="s">
        <v>100</v>
      </c>
      <c r="C4216">
        <v>2020</v>
      </c>
      <c r="D4216" t="s">
        <v>22</v>
      </c>
      <c r="E4216" t="s">
        <v>31</v>
      </c>
      <c r="F4216" t="s">
        <v>24</v>
      </c>
      <c r="G4216">
        <v>31750</v>
      </c>
      <c r="H4216">
        <v>2000</v>
      </c>
      <c r="I4216" s="13">
        <v>1</v>
      </c>
      <c r="J4216" t="s">
        <v>6207</v>
      </c>
      <c r="K4216">
        <v>1</v>
      </c>
      <c r="L4216">
        <v>0</v>
      </c>
      <c r="M4216" t="s">
        <v>0</v>
      </c>
      <c r="N4216" s="2">
        <v>0.47</v>
      </c>
      <c r="O4216" s="2">
        <v>0.53</v>
      </c>
      <c r="P4216">
        <v>8</v>
      </c>
      <c r="Q4216">
        <v>14</v>
      </c>
      <c r="R4216">
        <v>6</v>
      </c>
      <c r="S4216">
        <v>2</v>
      </c>
      <c r="T4216">
        <v>15</v>
      </c>
      <c r="U4216">
        <v>8</v>
      </c>
      <c r="V4216">
        <v>1</v>
      </c>
      <c r="W4216">
        <v>1</v>
      </c>
      <c r="X4216">
        <v>0</v>
      </c>
      <c r="Y4216">
        <v>0</v>
      </c>
      <c r="Z4216">
        <v>0</v>
      </c>
    </row>
    <row r="4217" spans="1:26" x14ac:dyDescent="0.2">
      <c r="A4217" t="s">
        <v>4335</v>
      </c>
      <c r="B4217" t="s">
        <v>50</v>
      </c>
      <c r="C4217">
        <v>2020</v>
      </c>
      <c r="D4217" t="s">
        <v>46</v>
      </c>
      <c r="E4217" t="s">
        <v>95</v>
      </c>
      <c r="F4217" t="s">
        <v>20</v>
      </c>
      <c r="G4217">
        <v>60704</v>
      </c>
      <c r="H4217">
        <v>2000</v>
      </c>
      <c r="I4217" s="13">
        <v>1</v>
      </c>
      <c r="J4217" t="s">
        <v>6207</v>
      </c>
      <c r="K4217">
        <v>2</v>
      </c>
      <c r="L4217">
        <v>1</v>
      </c>
      <c r="M4217" t="s">
        <v>0</v>
      </c>
      <c r="N4217" s="2">
        <v>0.65</v>
      </c>
      <c r="O4217" s="2">
        <v>0.35</v>
      </c>
      <c r="P4217">
        <v>12</v>
      </c>
      <c r="Q4217">
        <v>2</v>
      </c>
      <c r="R4217">
        <v>2</v>
      </c>
      <c r="S4217">
        <v>4</v>
      </c>
      <c r="T4217">
        <v>3</v>
      </c>
      <c r="U4217">
        <v>9</v>
      </c>
      <c r="V4217">
        <v>0</v>
      </c>
      <c r="W4217">
        <v>1</v>
      </c>
      <c r="X4217">
        <v>0</v>
      </c>
      <c r="Y4217">
        <v>0</v>
      </c>
      <c r="Z4217">
        <v>0</v>
      </c>
    </row>
    <row r="4218" spans="1:26" x14ac:dyDescent="0.2">
      <c r="A4218" t="s">
        <v>4336</v>
      </c>
      <c r="B4218" t="s">
        <v>61</v>
      </c>
      <c r="C4218">
        <v>2020</v>
      </c>
      <c r="D4218" t="s">
        <v>48</v>
      </c>
      <c r="E4218" t="s">
        <v>51</v>
      </c>
      <c r="F4218" t="s">
        <v>49</v>
      </c>
      <c r="G4218">
        <v>74197</v>
      </c>
      <c r="H4218">
        <v>2000</v>
      </c>
      <c r="I4218" s="13">
        <v>0.75</v>
      </c>
      <c r="J4218" t="s">
        <v>6207</v>
      </c>
      <c r="K4218">
        <v>1</v>
      </c>
      <c r="L4218">
        <v>6</v>
      </c>
      <c r="M4218" t="s">
        <v>1</v>
      </c>
      <c r="N4218" s="2">
        <v>0.38</v>
      </c>
      <c r="O4218" s="2">
        <v>0.62</v>
      </c>
      <c r="P4218">
        <v>10</v>
      </c>
      <c r="Q4218">
        <v>14</v>
      </c>
      <c r="R4218">
        <v>2</v>
      </c>
      <c r="S4218">
        <v>4</v>
      </c>
      <c r="T4218">
        <v>14</v>
      </c>
      <c r="U4218">
        <v>10</v>
      </c>
      <c r="V4218">
        <v>2</v>
      </c>
      <c r="W4218">
        <v>1</v>
      </c>
      <c r="X4218">
        <v>1</v>
      </c>
      <c r="Y4218">
        <v>0</v>
      </c>
      <c r="Z4218">
        <v>2</v>
      </c>
    </row>
    <row r="4219" spans="1:26" x14ac:dyDescent="0.2">
      <c r="A4219" t="s">
        <v>4337</v>
      </c>
      <c r="B4219" t="s">
        <v>32</v>
      </c>
      <c r="C4219">
        <v>2020</v>
      </c>
      <c r="D4219" t="s">
        <v>42</v>
      </c>
      <c r="E4219" t="s">
        <v>26</v>
      </c>
      <c r="F4219" t="s">
        <v>38</v>
      </c>
      <c r="G4219">
        <v>42918</v>
      </c>
      <c r="H4219">
        <v>2000</v>
      </c>
      <c r="I4219" s="13">
        <v>0.66666666666666663</v>
      </c>
      <c r="J4219" t="s">
        <v>6207</v>
      </c>
      <c r="K4219">
        <v>7</v>
      </c>
      <c r="L4219">
        <v>2</v>
      </c>
      <c r="M4219" t="s">
        <v>0</v>
      </c>
      <c r="N4219" s="2">
        <v>0.3</v>
      </c>
      <c r="O4219" s="2">
        <v>0.7</v>
      </c>
      <c r="P4219">
        <v>11</v>
      </c>
      <c r="Q4219">
        <v>9</v>
      </c>
      <c r="R4219">
        <v>2</v>
      </c>
      <c r="S4219">
        <v>7</v>
      </c>
      <c r="T4219">
        <v>7</v>
      </c>
      <c r="U4219">
        <v>10</v>
      </c>
      <c r="V4219">
        <v>2</v>
      </c>
      <c r="W4219">
        <v>1</v>
      </c>
      <c r="X4219">
        <v>0</v>
      </c>
      <c r="Y4219">
        <v>0</v>
      </c>
      <c r="Z4219">
        <v>0</v>
      </c>
    </row>
    <row r="4220" spans="1:26" x14ac:dyDescent="0.2">
      <c r="A4220" t="s">
        <v>4338</v>
      </c>
      <c r="B4220" t="s">
        <v>66</v>
      </c>
      <c r="C4220">
        <v>2020</v>
      </c>
      <c r="D4220" t="s">
        <v>45</v>
      </c>
      <c r="E4220" t="s">
        <v>26</v>
      </c>
      <c r="F4220" t="s">
        <v>26</v>
      </c>
      <c r="G4220">
        <v>39572</v>
      </c>
      <c r="H4220">
        <v>2000</v>
      </c>
      <c r="I4220" s="13">
        <v>1</v>
      </c>
      <c r="J4220" t="s">
        <v>6207</v>
      </c>
      <c r="K4220">
        <v>2</v>
      </c>
      <c r="L4220">
        <v>2</v>
      </c>
      <c r="M4220" t="s">
        <v>58</v>
      </c>
      <c r="N4220" s="2">
        <v>0.42</v>
      </c>
      <c r="O4220" s="2">
        <v>0.57999999999999996</v>
      </c>
      <c r="P4220">
        <v>10</v>
      </c>
      <c r="Q4220">
        <v>16</v>
      </c>
      <c r="R4220">
        <v>2</v>
      </c>
      <c r="S4220">
        <v>5</v>
      </c>
      <c r="T4220">
        <v>15</v>
      </c>
      <c r="U4220">
        <v>9</v>
      </c>
      <c r="V4220">
        <v>3</v>
      </c>
      <c r="W4220">
        <v>2</v>
      </c>
      <c r="X4220">
        <v>1</v>
      </c>
      <c r="Y4220">
        <v>0</v>
      </c>
      <c r="Z4220">
        <v>0</v>
      </c>
    </row>
    <row r="4221" spans="1:26" x14ac:dyDescent="0.2">
      <c r="A4221" t="s">
        <v>4339</v>
      </c>
      <c r="B4221" t="s">
        <v>97</v>
      </c>
      <c r="C4221">
        <v>2020</v>
      </c>
      <c r="D4221" t="s">
        <v>18</v>
      </c>
      <c r="E4221" t="s">
        <v>73</v>
      </c>
      <c r="F4221" t="s">
        <v>20</v>
      </c>
      <c r="G4221">
        <v>40341</v>
      </c>
      <c r="H4221">
        <v>2000</v>
      </c>
      <c r="I4221" s="13">
        <v>0.5</v>
      </c>
      <c r="J4221" t="s">
        <v>6207</v>
      </c>
      <c r="K4221">
        <v>3</v>
      </c>
      <c r="L4221">
        <v>3</v>
      </c>
      <c r="M4221" t="s">
        <v>58</v>
      </c>
      <c r="N4221" s="2">
        <v>0.53</v>
      </c>
      <c r="O4221" s="2">
        <v>0.47</v>
      </c>
      <c r="P4221">
        <v>10</v>
      </c>
      <c r="Q4221">
        <v>14</v>
      </c>
      <c r="R4221">
        <v>6</v>
      </c>
      <c r="S4221">
        <v>2</v>
      </c>
      <c r="T4221">
        <v>11</v>
      </c>
      <c r="U4221">
        <v>9</v>
      </c>
      <c r="V4221">
        <v>1</v>
      </c>
      <c r="W4221">
        <v>1</v>
      </c>
      <c r="X4221">
        <v>0</v>
      </c>
      <c r="Y4221">
        <v>0</v>
      </c>
      <c r="Z4221">
        <v>0</v>
      </c>
    </row>
    <row r="4222" spans="1:26" x14ac:dyDescent="0.2">
      <c r="A4222" t="s">
        <v>4340</v>
      </c>
      <c r="B4222" t="s">
        <v>88</v>
      </c>
      <c r="C4222">
        <v>2020</v>
      </c>
      <c r="D4222" t="s">
        <v>40</v>
      </c>
      <c r="E4222" t="s">
        <v>46</v>
      </c>
      <c r="F4222" t="s">
        <v>49</v>
      </c>
      <c r="G4222">
        <v>53400</v>
      </c>
      <c r="H4222">
        <v>2000</v>
      </c>
      <c r="I4222" s="13">
        <v>1</v>
      </c>
      <c r="J4222" t="s">
        <v>6207</v>
      </c>
      <c r="K4222">
        <v>1</v>
      </c>
      <c r="L4222">
        <v>0</v>
      </c>
      <c r="M4222" t="s">
        <v>0</v>
      </c>
      <c r="N4222" s="2">
        <v>0.59</v>
      </c>
      <c r="O4222" s="2">
        <v>0.41</v>
      </c>
      <c r="P4222">
        <v>12</v>
      </c>
      <c r="Q4222">
        <v>15</v>
      </c>
      <c r="R4222">
        <v>6</v>
      </c>
      <c r="S4222">
        <v>6</v>
      </c>
      <c r="T4222">
        <v>15</v>
      </c>
      <c r="U4222">
        <v>10</v>
      </c>
      <c r="V4222">
        <v>4</v>
      </c>
      <c r="W4222">
        <v>1</v>
      </c>
      <c r="X4222">
        <v>0</v>
      </c>
      <c r="Y4222">
        <v>0</v>
      </c>
      <c r="Z4222">
        <v>0</v>
      </c>
    </row>
    <row r="4223" spans="1:26" x14ac:dyDescent="0.2">
      <c r="A4223" t="s">
        <v>4341</v>
      </c>
      <c r="B4223" t="s">
        <v>76</v>
      </c>
      <c r="C4223">
        <v>2020</v>
      </c>
      <c r="D4223" t="s">
        <v>64</v>
      </c>
      <c r="E4223" t="s">
        <v>48</v>
      </c>
      <c r="F4223" t="s">
        <v>64</v>
      </c>
      <c r="G4223">
        <v>52264</v>
      </c>
      <c r="H4223">
        <v>2000</v>
      </c>
      <c r="I4223" s="13">
        <v>0.5</v>
      </c>
      <c r="J4223" t="s">
        <v>6207</v>
      </c>
      <c r="K4223">
        <v>1</v>
      </c>
      <c r="L4223">
        <v>4</v>
      </c>
      <c r="M4223" t="s">
        <v>1</v>
      </c>
      <c r="N4223" s="2">
        <v>0.36</v>
      </c>
      <c r="O4223" s="2">
        <v>0.64</v>
      </c>
      <c r="P4223">
        <v>13</v>
      </c>
      <c r="Q4223">
        <v>9</v>
      </c>
      <c r="R4223">
        <v>0</v>
      </c>
      <c r="S4223">
        <v>7</v>
      </c>
      <c r="T4223">
        <v>9</v>
      </c>
      <c r="U4223">
        <v>12</v>
      </c>
      <c r="V4223">
        <v>1</v>
      </c>
      <c r="W4223">
        <v>1</v>
      </c>
      <c r="X4223">
        <v>0</v>
      </c>
      <c r="Y4223">
        <v>0</v>
      </c>
      <c r="Z4223">
        <v>1</v>
      </c>
    </row>
    <row r="4224" spans="1:26" x14ac:dyDescent="0.2">
      <c r="A4224" t="s">
        <v>4342</v>
      </c>
      <c r="B4224" t="s">
        <v>37</v>
      </c>
      <c r="C4224">
        <v>2020</v>
      </c>
      <c r="D4224" t="s">
        <v>95</v>
      </c>
      <c r="E4224" t="s">
        <v>31</v>
      </c>
      <c r="F4224" t="s">
        <v>57</v>
      </c>
      <c r="G4224">
        <v>32050</v>
      </c>
      <c r="H4224">
        <v>2000</v>
      </c>
      <c r="I4224" s="13">
        <v>1</v>
      </c>
      <c r="J4224" t="s">
        <v>6206</v>
      </c>
      <c r="K4224">
        <v>1</v>
      </c>
      <c r="L4224">
        <v>1</v>
      </c>
      <c r="M4224" t="s">
        <v>58</v>
      </c>
      <c r="N4224" s="2">
        <v>0.41</v>
      </c>
      <c r="O4224" s="2">
        <v>0.59</v>
      </c>
      <c r="P4224">
        <v>8</v>
      </c>
      <c r="Q4224">
        <v>8</v>
      </c>
      <c r="R4224">
        <v>2</v>
      </c>
      <c r="S4224">
        <v>5</v>
      </c>
      <c r="T4224">
        <v>5</v>
      </c>
      <c r="U4224">
        <v>9</v>
      </c>
      <c r="V4224">
        <v>0</v>
      </c>
      <c r="W4224">
        <v>2</v>
      </c>
      <c r="X4224">
        <v>0</v>
      </c>
      <c r="Y4224">
        <v>0</v>
      </c>
      <c r="Z4224">
        <v>2</v>
      </c>
    </row>
    <row r="4225" spans="1:26" x14ac:dyDescent="0.2">
      <c r="A4225" t="s">
        <v>4343</v>
      </c>
      <c r="B4225" t="s">
        <v>59</v>
      </c>
      <c r="C4225">
        <v>2020</v>
      </c>
      <c r="D4225" t="s">
        <v>79</v>
      </c>
      <c r="E4225" t="s">
        <v>90</v>
      </c>
      <c r="F4225" t="s">
        <v>20</v>
      </c>
      <c r="G4225">
        <v>25486</v>
      </c>
      <c r="H4225">
        <v>2000</v>
      </c>
      <c r="I4225" s="13">
        <v>0.5</v>
      </c>
      <c r="J4225" t="s">
        <v>6206</v>
      </c>
      <c r="K4225">
        <v>1</v>
      </c>
      <c r="L4225">
        <v>1</v>
      </c>
      <c r="M4225" t="s">
        <v>58</v>
      </c>
      <c r="N4225" s="2">
        <v>0.34</v>
      </c>
      <c r="O4225" s="2">
        <v>0.66</v>
      </c>
      <c r="P4225">
        <v>14</v>
      </c>
      <c r="Q4225">
        <v>14</v>
      </c>
      <c r="R4225">
        <v>2</v>
      </c>
      <c r="S4225">
        <v>5</v>
      </c>
      <c r="T4225">
        <v>13</v>
      </c>
      <c r="U4225">
        <v>12</v>
      </c>
      <c r="V4225">
        <v>3</v>
      </c>
      <c r="W4225">
        <v>2</v>
      </c>
      <c r="X4225">
        <v>0</v>
      </c>
      <c r="Y4225">
        <v>1</v>
      </c>
      <c r="Z4225">
        <v>1</v>
      </c>
    </row>
    <row r="4226" spans="1:26" x14ac:dyDescent="0.2">
      <c r="A4226" t="s">
        <v>4344</v>
      </c>
      <c r="B4226" t="s">
        <v>81</v>
      </c>
      <c r="C4226">
        <v>2020</v>
      </c>
      <c r="D4226" t="s">
        <v>51</v>
      </c>
      <c r="E4226" t="s">
        <v>23</v>
      </c>
      <c r="F4226" t="s">
        <v>20</v>
      </c>
      <c r="G4226">
        <v>36284</v>
      </c>
      <c r="H4226">
        <v>2000</v>
      </c>
      <c r="I4226" s="13">
        <v>1</v>
      </c>
      <c r="J4226" t="s">
        <v>6207</v>
      </c>
      <c r="K4226">
        <v>3</v>
      </c>
      <c r="L4226">
        <v>3</v>
      </c>
      <c r="M4226" t="s">
        <v>58</v>
      </c>
      <c r="N4226" s="2">
        <v>0.51</v>
      </c>
      <c r="O4226" s="2">
        <v>0.49</v>
      </c>
      <c r="P4226">
        <v>15</v>
      </c>
      <c r="Q4226">
        <v>14</v>
      </c>
      <c r="R4226">
        <v>3</v>
      </c>
      <c r="S4226">
        <v>7</v>
      </c>
      <c r="T4226">
        <v>13</v>
      </c>
      <c r="U4226">
        <v>12</v>
      </c>
      <c r="V4226">
        <v>0</v>
      </c>
      <c r="W4226">
        <v>5</v>
      </c>
      <c r="X4226">
        <v>0</v>
      </c>
      <c r="Y4226">
        <v>0</v>
      </c>
      <c r="Z4226">
        <v>0</v>
      </c>
    </row>
    <row r="4227" spans="1:26" x14ac:dyDescent="0.2">
      <c r="A4227" t="s">
        <v>4345</v>
      </c>
      <c r="B4227" t="s">
        <v>68</v>
      </c>
      <c r="C4227">
        <v>2020</v>
      </c>
      <c r="D4227" t="s">
        <v>80</v>
      </c>
      <c r="E4227" t="s">
        <v>42</v>
      </c>
      <c r="F4227" t="s">
        <v>80</v>
      </c>
      <c r="G4227">
        <v>32261</v>
      </c>
      <c r="H4227">
        <v>2000</v>
      </c>
      <c r="I4227" s="13">
        <v>0.7142857142857143</v>
      </c>
      <c r="J4227" t="s">
        <v>6207</v>
      </c>
      <c r="K4227">
        <v>0</v>
      </c>
      <c r="L4227">
        <v>1</v>
      </c>
      <c r="M4227" t="s">
        <v>1</v>
      </c>
      <c r="N4227" s="2">
        <v>0.5</v>
      </c>
      <c r="O4227" s="2">
        <v>0.5</v>
      </c>
      <c r="P4227">
        <v>21</v>
      </c>
      <c r="Q4227">
        <v>20</v>
      </c>
      <c r="R4227">
        <v>2</v>
      </c>
      <c r="S4227">
        <v>7</v>
      </c>
      <c r="T4227">
        <v>18</v>
      </c>
      <c r="U4227">
        <v>18</v>
      </c>
      <c r="V4227">
        <v>4</v>
      </c>
      <c r="W4227">
        <v>3</v>
      </c>
      <c r="X4227">
        <v>0</v>
      </c>
      <c r="Y4227">
        <v>0</v>
      </c>
      <c r="Z4227">
        <v>0</v>
      </c>
    </row>
    <row r="4228" spans="1:26" x14ac:dyDescent="0.2">
      <c r="A4228" t="s">
        <v>4346</v>
      </c>
      <c r="B4228" t="s">
        <v>61</v>
      </c>
      <c r="C4228">
        <v>2020</v>
      </c>
      <c r="D4228" t="s">
        <v>63</v>
      </c>
      <c r="E4228" t="s">
        <v>28</v>
      </c>
      <c r="F4228" t="s">
        <v>65</v>
      </c>
      <c r="G4228">
        <v>26804</v>
      </c>
      <c r="H4228">
        <v>2000</v>
      </c>
      <c r="I4228" s="13">
        <v>0</v>
      </c>
      <c r="J4228" t="s">
        <v>6207</v>
      </c>
      <c r="K4228">
        <v>0</v>
      </c>
      <c r="L4228">
        <v>0</v>
      </c>
      <c r="M4228" t="s">
        <v>58</v>
      </c>
      <c r="N4228" s="2">
        <v>0.56999999999999995</v>
      </c>
      <c r="O4228" s="2">
        <v>0.43</v>
      </c>
      <c r="P4228">
        <v>17</v>
      </c>
      <c r="Q4228">
        <v>17</v>
      </c>
      <c r="R4228">
        <v>8</v>
      </c>
      <c r="S4228">
        <v>2</v>
      </c>
      <c r="T4228">
        <v>15</v>
      </c>
      <c r="U4228">
        <v>17</v>
      </c>
      <c r="V4228">
        <v>2</v>
      </c>
      <c r="W4228">
        <v>2</v>
      </c>
      <c r="X4228">
        <v>0</v>
      </c>
      <c r="Y4228">
        <v>0</v>
      </c>
      <c r="Z4228">
        <v>0</v>
      </c>
    </row>
    <row r="4229" spans="1:26" x14ac:dyDescent="0.2">
      <c r="A4229" t="s">
        <v>4347</v>
      </c>
      <c r="B4229" t="s">
        <v>93</v>
      </c>
      <c r="C4229">
        <v>2020</v>
      </c>
      <c r="D4229" t="s">
        <v>33</v>
      </c>
      <c r="E4229" t="s">
        <v>22</v>
      </c>
      <c r="F4229" t="s">
        <v>33</v>
      </c>
      <c r="G4229">
        <v>37645</v>
      </c>
      <c r="H4229">
        <v>2000</v>
      </c>
      <c r="I4229" s="13">
        <v>0.33333333333333331</v>
      </c>
      <c r="J4229" t="s">
        <v>6206</v>
      </c>
      <c r="K4229">
        <v>0</v>
      </c>
      <c r="L4229">
        <v>1</v>
      </c>
      <c r="M4229" t="s">
        <v>1</v>
      </c>
      <c r="N4229" s="2">
        <v>0.68</v>
      </c>
      <c r="O4229" s="2">
        <v>0.32</v>
      </c>
      <c r="P4229">
        <v>14</v>
      </c>
      <c r="Q4229">
        <v>14</v>
      </c>
      <c r="R4229">
        <v>8</v>
      </c>
      <c r="S4229">
        <v>3</v>
      </c>
      <c r="T4229">
        <v>13</v>
      </c>
      <c r="U4229">
        <v>12</v>
      </c>
      <c r="V4229">
        <v>2</v>
      </c>
      <c r="W4229">
        <v>1</v>
      </c>
      <c r="X4229">
        <v>0</v>
      </c>
      <c r="Y4229">
        <v>0</v>
      </c>
      <c r="Z4229">
        <v>0</v>
      </c>
    </row>
    <row r="4230" spans="1:26" x14ac:dyDescent="0.2">
      <c r="A4230" t="s">
        <v>4348</v>
      </c>
      <c r="B4230" t="s">
        <v>81</v>
      </c>
      <c r="C4230">
        <v>2020</v>
      </c>
      <c r="D4230" t="s">
        <v>42</v>
      </c>
      <c r="E4230" t="s">
        <v>33</v>
      </c>
      <c r="F4230" t="s">
        <v>38</v>
      </c>
      <c r="G4230">
        <v>42918</v>
      </c>
      <c r="H4230">
        <v>2000</v>
      </c>
      <c r="I4230" s="13">
        <v>0.5</v>
      </c>
      <c r="J4230" t="s">
        <v>6207</v>
      </c>
      <c r="K4230">
        <v>0</v>
      </c>
      <c r="L4230">
        <v>3</v>
      </c>
      <c r="M4230" t="s">
        <v>1</v>
      </c>
      <c r="N4230" s="2">
        <v>0.4</v>
      </c>
      <c r="O4230" s="2">
        <v>0.6</v>
      </c>
      <c r="P4230">
        <v>17</v>
      </c>
      <c r="Q4230">
        <v>14</v>
      </c>
      <c r="R4230">
        <v>6</v>
      </c>
      <c r="S4230">
        <v>5</v>
      </c>
      <c r="T4230">
        <v>14</v>
      </c>
      <c r="U4230">
        <v>17</v>
      </c>
      <c r="V4230">
        <v>2</v>
      </c>
      <c r="W4230">
        <v>2</v>
      </c>
      <c r="X4230">
        <v>0</v>
      </c>
      <c r="Y4230">
        <v>0</v>
      </c>
      <c r="Z4230">
        <v>0</v>
      </c>
    </row>
    <row r="4231" spans="1:26" x14ac:dyDescent="0.2">
      <c r="A4231" t="s">
        <v>4349</v>
      </c>
      <c r="B4231" t="s">
        <v>61</v>
      </c>
      <c r="C4231">
        <v>2020</v>
      </c>
      <c r="D4231" t="s">
        <v>23</v>
      </c>
      <c r="E4231" t="s">
        <v>40</v>
      </c>
      <c r="F4231" t="s">
        <v>20</v>
      </c>
      <c r="G4231">
        <v>62500</v>
      </c>
      <c r="H4231">
        <v>2000</v>
      </c>
      <c r="I4231" s="13">
        <v>1</v>
      </c>
      <c r="J4231" t="s">
        <v>6207</v>
      </c>
      <c r="K4231">
        <v>1</v>
      </c>
      <c r="L4231">
        <v>1</v>
      </c>
      <c r="M4231" t="s">
        <v>58</v>
      </c>
      <c r="N4231" s="2">
        <v>0.3</v>
      </c>
      <c r="O4231" s="2">
        <v>0.7</v>
      </c>
      <c r="P4231">
        <v>5</v>
      </c>
      <c r="Q4231">
        <v>13</v>
      </c>
      <c r="R4231">
        <v>2</v>
      </c>
      <c r="S4231">
        <v>10</v>
      </c>
      <c r="T4231">
        <v>14</v>
      </c>
      <c r="U4231">
        <v>6</v>
      </c>
      <c r="V4231">
        <v>2</v>
      </c>
      <c r="W4231">
        <v>0</v>
      </c>
      <c r="X4231">
        <v>0</v>
      </c>
      <c r="Y4231">
        <v>0</v>
      </c>
      <c r="Z4231">
        <v>0</v>
      </c>
    </row>
    <row r="4232" spans="1:26" x14ac:dyDescent="0.2">
      <c r="A4232" t="s">
        <v>4350</v>
      </c>
      <c r="B4232" t="s">
        <v>83</v>
      </c>
      <c r="C4232">
        <v>2020</v>
      </c>
      <c r="D4232" t="s">
        <v>31</v>
      </c>
      <c r="E4232" t="s">
        <v>79</v>
      </c>
      <c r="F4232" t="s">
        <v>20</v>
      </c>
      <c r="G4232">
        <v>28500</v>
      </c>
      <c r="H4232">
        <v>2000</v>
      </c>
      <c r="I4232" s="13">
        <v>1</v>
      </c>
      <c r="J4232" t="s">
        <v>6208</v>
      </c>
      <c r="K4232">
        <v>1</v>
      </c>
      <c r="L4232">
        <v>2</v>
      </c>
      <c r="M4232" t="s">
        <v>1</v>
      </c>
      <c r="N4232" s="2">
        <v>0.66</v>
      </c>
      <c r="O4232" s="2">
        <v>0.34</v>
      </c>
      <c r="P4232">
        <v>13</v>
      </c>
      <c r="Q4232">
        <v>12</v>
      </c>
      <c r="R4232">
        <v>4</v>
      </c>
      <c r="S4232">
        <v>4</v>
      </c>
      <c r="T4232">
        <v>11</v>
      </c>
      <c r="U4232">
        <v>11</v>
      </c>
      <c r="V4232">
        <v>0</v>
      </c>
      <c r="W4232">
        <v>1</v>
      </c>
      <c r="X4232">
        <v>1</v>
      </c>
      <c r="Y4232">
        <v>0</v>
      </c>
      <c r="Z4232">
        <v>0</v>
      </c>
    </row>
    <row r="4233" spans="1:26" x14ac:dyDescent="0.2">
      <c r="A4233" t="s">
        <v>4351</v>
      </c>
      <c r="B4233" t="s">
        <v>32</v>
      </c>
      <c r="C4233">
        <v>2020</v>
      </c>
      <c r="D4233" t="s">
        <v>48</v>
      </c>
      <c r="E4233" t="s">
        <v>18</v>
      </c>
      <c r="F4233" t="s">
        <v>49</v>
      </c>
      <c r="G4233">
        <v>74197</v>
      </c>
      <c r="H4233">
        <v>2000</v>
      </c>
      <c r="I4233" s="13">
        <v>0.5</v>
      </c>
      <c r="J4233" t="s">
        <v>6207</v>
      </c>
      <c r="K4233">
        <v>0</v>
      </c>
      <c r="L4233">
        <v>0</v>
      </c>
      <c r="M4233" t="s">
        <v>58</v>
      </c>
      <c r="N4233" s="2">
        <v>0.5</v>
      </c>
      <c r="O4233" s="2">
        <v>0.5</v>
      </c>
      <c r="P4233">
        <v>6</v>
      </c>
      <c r="Q4233">
        <v>10</v>
      </c>
      <c r="R4233">
        <v>9</v>
      </c>
      <c r="S4233">
        <v>6</v>
      </c>
      <c r="T4233">
        <v>8</v>
      </c>
      <c r="U4233">
        <v>6</v>
      </c>
      <c r="V4233">
        <v>3</v>
      </c>
      <c r="W4233">
        <v>1</v>
      </c>
      <c r="X4233">
        <v>0</v>
      </c>
      <c r="Y4233">
        <v>0</v>
      </c>
      <c r="Z4233">
        <v>0</v>
      </c>
    </row>
    <row r="4234" spans="1:26" x14ac:dyDescent="0.2">
      <c r="A4234" t="s">
        <v>4352</v>
      </c>
      <c r="B4234" t="s">
        <v>41</v>
      </c>
      <c r="C4234">
        <v>2020</v>
      </c>
      <c r="D4234" t="s">
        <v>26</v>
      </c>
      <c r="E4234" t="s">
        <v>95</v>
      </c>
      <c r="F4234" t="s">
        <v>26</v>
      </c>
      <c r="G4234">
        <v>61276</v>
      </c>
      <c r="H4234">
        <v>2000</v>
      </c>
      <c r="I4234" s="13">
        <v>0.66666666666666663</v>
      </c>
      <c r="J4234" t="s">
        <v>6207</v>
      </c>
      <c r="K4234">
        <v>2</v>
      </c>
      <c r="L4234">
        <v>1</v>
      </c>
      <c r="M4234" t="s">
        <v>0</v>
      </c>
      <c r="N4234" s="2">
        <v>0.62</v>
      </c>
      <c r="O4234" s="2">
        <v>0.38</v>
      </c>
      <c r="P4234">
        <v>15</v>
      </c>
      <c r="Q4234">
        <v>9</v>
      </c>
      <c r="R4234">
        <v>7</v>
      </c>
      <c r="S4234">
        <v>3</v>
      </c>
      <c r="T4234">
        <v>7</v>
      </c>
      <c r="U4234">
        <v>15</v>
      </c>
      <c r="V4234">
        <v>0</v>
      </c>
      <c r="W4234">
        <v>3</v>
      </c>
      <c r="X4234">
        <v>0</v>
      </c>
      <c r="Y4234">
        <v>0</v>
      </c>
      <c r="Z4234">
        <v>1</v>
      </c>
    </row>
    <row r="4235" spans="1:26" x14ac:dyDescent="0.2">
      <c r="A4235" t="s">
        <v>4353</v>
      </c>
      <c r="B4235" t="s">
        <v>60</v>
      </c>
      <c r="C4235">
        <v>2020</v>
      </c>
      <c r="D4235" t="s">
        <v>73</v>
      </c>
      <c r="E4235" t="s">
        <v>45</v>
      </c>
      <c r="F4235" t="s">
        <v>73</v>
      </c>
      <c r="G4235">
        <v>32384</v>
      </c>
      <c r="H4235">
        <v>2000</v>
      </c>
      <c r="I4235" s="13">
        <v>0.5</v>
      </c>
      <c r="J4235" t="s">
        <v>6208</v>
      </c>
      <c r="K4235">
        <v>2</v>
      </c>
      <c r="L4235">
        <v>0</v>
      </c>
      <c r="M4235" t="s">
        <v>0</v>
      </c>
      <c r="N4235" s="2">
        <v>0.54</v>
      </c>
      <c r="O4235" s="2">
        <v>0.46</v>
      </c>
      <c r="P4235">
        <v>11</v>
      </c>
      <c r="Q4235">
        <v>11</v>
      </c>
      <c r="R4235">
        <v>4</v>
      </c>
      <c r="S4235">
        <v>5</v>
      </c>
      <c r="T4235">
        <v>11</v>
      </c>
      <c r="U4235">
        <v>11</v>
      </c>
      <c r="V4235">
        <v>1</v>
      </c>
      <c r="W4235">
        <v>2</v>
      </c>
      <c r="X4235">
        <v>0</v>
      </c>
      <c r="Y4235">
        <v>1</v>
      </c>
      <c r="Z4235">
        <v>0</v>
      </c>
    </row>
    <row r="4236" spans="1:26" x14ac:dyDescent="0.2">
      <c r="A4236" t="s">
        <v>4354</v>
      </c>
      <c r="B4236" t="s">
        <v>50</v>
      </c>
      <c r="C4236">
        <v>2020</v>
      </c>
      <c r="D4236" t="s">
        <v>22</v>
      </c>
      <c r="E4236" t="s">
        <v>64</v>
      </c>
      <c r="F4236" t="s">
        <v>24</v>
      </c>
      <c r="G4236">
        <v>31750</v>
      </c>
      <c r="H4236">
        <v>2000</v>
      </c>
      <c r="I4236" s="13">
        <v>1</v>
      </c>
      <c r="J4236" t="s">
        <v>6207</v>
      </c>
      <c r="K4236">
        <v>1</v>
      </c>
      <c r="L4236">
        <v>1</v>
      </c>
      <c r="M4236" t="s">
        <v>58</v>
      </c>
      <c r="N4236" s="2">
        <v>0.63</v>
      </c>
      <c r="O4236" s="2">
        <v>0.37</v>
      </c>
      <c r="P4236">
        <v>10</v>
      </c>
      <c r="Q4236">
        <v>10</v>
      </c>
      <c r="R4236">
        <v>2</v>
      </c>
      <c r="S4236">
        <v>3</v>
      </c>
      <c r="T4236">
        <v>10</v>
      </c>
      <c r="U4236">
        <v>10</v>
      </c>
      <c r="V4236">
        <v>0</v>
      </c>
      <c r="W4236">
        <v>1</v>
      </c>
      <c r="X4236">
        <v>0</v>
      </c>
      <c r="Y4236">
        <v>0</v>
      </c>
      <c r="Z4236">
        <v>0</v>
      </c>
    </row>
    <row r="4237" spans="1:26" x14ac:dyDescent="0.2">
      <c r="A4237" t="s">
        <v>4355</v>
      </c>
      <c r="B4237" t="s">
        <v>76</v>
      </c>
      <c r="C4237">
        <v>2020</v>
      </c>
      <c r="D4237" t="s">
        <v>46</v>
      </c>
      <c r="E4237" t="s">
        <v>80</v>
      </c>
      <c r="F4237" t="s">
        <v>20</v>
      </c>
      <c r="G4237">
        <v>60704</v>
      </c>
      <c r="H4237">
        <v>2000</v>
      </c>
      <c r="I4237" s="13">
        <v>0.75</v>
      </c>
      <c r="J4237" t="s">
        <v>6207</v>
      </c>
      <c r="K4237">
        <v>0</v>
      </c>
      <c r="L4237">
        <v>1</v>
      </c>
      <c r="M4237" t="s">
        <v>1</v>
      </c>
      <c r="N4237" s="2">
        <v>0.56999999999999995</v>
      </c>
      <c r="O4237" s="2">
        <v>0.43</v>
      </c>
      <c r="P4237">
        <v>9</v>
      </c>
      <c r="Q4237">
        <v>14</v>
      </c>
      <c r="R4237">
        <v>9</v>
      </c>
      <c r="S4237">
        <v>3</v>
      </c>
      <c r="T4237">
        <v>13</v>
      </c>
      <c r="U4237">
        <v>9</v>
      </c>
      <c r="V4237">
        <v>3</v>
      </c>
      <c r="W4237">
        <v>5</v>
      </c>
      <c r="X4237">
        <v>0</v>
      </c>
      <c r="Y4237">
        <v>0</v>
      </c>
      <c r="Z4237">
        <v>0</v>
      </c>
    </row>
    <row r="4238" spans="1:26" x14ac:dyDescent="0.2">
      <c r="A4238" t="s">
        <v>4356</v>
      </c>
      <c r="B4238" t="s">
        <v>68</v>
      </c>
      <c r="C4238">
        <v>2020</v>
      </c>
      <c r="D4238" t="s">
        <v>90</v>
      </c>
      <c r="E4238" t="s">
        <v>63</v>
      </c>
      <c r="F4238" t="s">
        <v>91</v>
      </c>
      <c r="G4238">
        <v>31876</v>
      </c>
      <c r="H4238">
        <v>2000</v>
      </c>
      <c r="I4238" s="13">
        <v>0.5</v>
      </c>
      <c r="J4238" t="s">
        <v>6207</v>
      </c>
      <c r="K4238">
        <v>1</v>
      </c>
      <c r="L4238">
        <v>1</v>
      </c>
      <c r="M4238" t="s">
        <v>58</v>
      </c>
      <c r="N4238" s="2">
        <v>0.5</v>
      </c>
      <c r="O4238" s="2">
        <v>0.5</v>
      </c>
      <c r="P4238">
        <v>8</v>
      </c>
      <c r="Q4238">
        <v>16</v>
      </c>
      <c r="R4238">
        <v>6</v>
      </c>
      <c r="S4238">
        <v>2</v>
      </c>
      <c r="T4238">
        <v>14</v>
      </c>
      <c r="U4238">
        <v>7</v>
      </c>
      <c r="V4238">
        <v>2</v>
      </c>
      <c r="W4238">
        <v>0</v>
      </c>
      <c r="X4238">
        <v>0</v>
      </c>
      <c r="Y4238">
        <v>0</v>
      </c>
      <c r="Z4238">
        <v>0</v>
      </c>
    </row>
    <row r="4239" spans="1:26" x14ac:dyDescent="0.2">
      <c r="A4239" t="s">
        <v>4357</v>
      </c>
      <c r="B4239" t="s">
        <v>66</v>
      </c>
      <c r="C4239">
        <v>2020</v>
      </c>
      <c r="D4239" t="s">
        <v>28</v>
      </c>
      <c r="E4239" t="s">
        <v>51</v>
      </c>
      <c r="F4239" t="s">
        <v>28</v>
      </c>
      <c r="G4239">
        <v>21944</v>
      </c>
      <c r="H4239">
        <v>2000</v>
      </c>
      <c r="I4239" s="13">
        <v>0.5</v>
      </c>
      <c r="J4239" t="s">
        <v>6207</v>
      </c>
      <c r="K4239">
        <v>0</v>
      </c>
      <c r="L4239">
        <v>1</v>
      </c>
      <c r="M4239" t="s">
        <v>1</v>
      </c>
      <c r="N4239" s="2">
        <v>0.38</v>
      </c>
      <c r="O4239" s="2">
        <v>0.62</v>
      </c>
      <c r="P4239">
        <v>9</v>
      </c>
      <c r="Q4239">
        <v>13</v>
      </c>
      <c r="R4239">
        <v>4</v>
      </c>
      <c r="S4239">
        <v>5</v>
      </c>
      <c r="T4239">
        <v>9</v>
      </c>
      <c r="U4239">
        <v>7</v>
      </c>
      <c r="V4239">
        <v>2</v>
      </c>
      <c r="W4239">
        <v>0</v>
      </c>
      <c r="X4239">
        <v>0</v>
      </c>
      <c r="Y4239">
        <v>0</v>
      </c>
      <c r="Z4239">
        <v>0</v>
      </c>
    </row>
    <row r="4240" spans="1:26" x14ac:dyDescent="0.2">
      <c r="A4240" t="s">
        <v>4358</v>
      </c>
      <c r="B4240" t="s">
        <v>32</v>
      </c>
      <c r="C4240">
        <v>2020</v>
      </c>
      <c r="D4240" t="s">
        <v>22</v>
      </c>
      <c r="E4240" t="s">
        <v>79</v>
      </c>
      <c r="F4240" t="s">
        <v>24</v>
      </c>
      <c r="G4240">
        <v>31750</v>
      </c>
      <c r="H4240">
        <v>2000</v>
      </c>
      <c r="I4240" s="13">
        <v>0.66666666666666663</v>
      </c>
      <c r="J4240" t="s">
        <v>6207</v>
      </c>
      <c r="K4240">
        <v>2</v>
      </c>
      <c r="L4240">
        <v>0</v>
      </c>
      <c r="M4240" t="s">
        <v>0</v>
      </c>
      <c r="N4240" s="2">
        <v>0.45</v>
      </c>
      <c r="O4240" s="2">
        <v>0.55000000000000004</v>
      </c>
      <c r="P4240">
        <v>7</v>
      </c>
      <c r="Q4240">
        <v>13</v>
      </c>
      <c r="R4240">
        <v>7</v>
      </c>
      <c r="S4240">
        <v>6</v>
      </c>
      <c r="T4240">
        <v>13</v>
      </c>
      <c r="U4240">
        <v>4</v>
      </c>
      <c r="V4240">
        <v>0</v>
      </c>
      <c r="W4240">
        <v>2</v>
      </c>
      <c r="X4240">
        <v>0</v>
      </c>
      <c r="Y4240">
        <v>1</v>
      </c>
      <c r="Z4240">
        <v>0</v>
      </c>
    </row>
    <row r="4241" spans="1:26" x14ac:dyDescent="0.2">
      <c r="A4241" t="s">
        <v>4359</v>
      </c>
      <c r="B4241" t="s">
        <v>66</v>
      </c>
      <c r="C4241">
        <v>2020</v>
      </c>
      <c r="D4241" t="s">
        <v>95</v>
      </c>
      <c r="E4241" t="s">
        <v>40</v>
      </c>
      <c r="F4241" t="s">
        <v>57</v>
      </c>
      <c r="G4241">
        <v>32050</v>
      </c>
      <c r="H4241">
        <v>2000</v>
      </c>
      <c r="I4241" s="13">
        <v>0</v>
      </c>
      <c r="J4241" t="s">
        <v>6207</v>
      </c>
      <c r="K4241">
        <v>0</v>
      </c>
      <c r="L4241">
        <v>1</v>
      </c>
      <c r="M4241" t="s">
        <v>1</v>
      </c>
      <c r="N4241" s="2">
        <v>0.35</v>
      </c>
      <c r="O4241" s="2">
        <v>0.65</v>
      </c>
      <c r="P4241">
        <v>8</v>
      </c>
      <c r="Q4241">
        <v>14</v>
      </c>
      <c r="R4241">
        <v>2</v>
      </c>
      <c r="S4241">
        <v>5</v>
      </c>
      <c r="T4241">
        <v>14</v>
      </c>
      <c r="U4241">
        <v>6</v>
      </c>
      <c r="V4241">
        <v>0</v>
      </c>
      <c r="W4241">
        <v>0</v>
      </c>
      <c r="X4241">
        <v>0</v>
      </c>
      <c r="Y4241">
        <v>0</v>
      </c>
      <c r="Z4241">
        <v>0</v>
      </c>
    </row>
    <row r="4242" spans="1:26" x14ac:dyDescent="0.2">
      <c r="A4242" t="s">
        <v>4360</v>
      </c>
      <c r="B4242" t="s">
        <v>93</v>
      </c>
      <c r="C4242">
        <v>2020</v>
      </c>
      <c r="D4242" t="s">
        <v>28</v>
      </c>
      <c r="E4242" t="s">
        <v>18</v>
      </c>
      <c r="F4242" t="s">
        <v>28</v>
      </c>
      <c r="G4242">
        <v>21944</v>
      </c>
      <c r="H4242">
        <v>2000</v>
      </c>
      <c r="I4242" s="13">
        <v>1</v>
      </c>
      <c r="J4242" t="s">
        <v>6206</v>
      </c>
      <c r="K4242">
        <v>0</v>
      </c>
      <c r="L4242">
        <v>3</v>
      </c>
      <c r="M4242" t="s">
        <v>1</v>
      </c>
      <c r="N4242" s="2">
        <v>0.36</v>
      </c>
      <c r="O4242" s="2">
        <v>0.64</v>
      </c>
      <c r="P4242">
        <v>19</v>
      </c>
      <c r="Q4242">
        <v>11</v>
      </c>
      <c r="R4242">
        <v>3</v>
      </c>
      <c r="S4242">
        <v>4</v>
      </c>
      <c r="T4242">
        <v>10</v>
      </c>
      <c r="U4242">
        <v>15</v>
      </c>
      <c r="V4242">
        <v>1</v>
      </c>
      <c r="W4242">
        <v>0</v>
      </c>
      <c r="X4242">
        <v>0</v>
      </c>
      <c r="Y4242">
        <v>0</v>
      </c>
      <c r="Z4242">
        <v>0</v>
      </c>
    </row>
    <row r="4243" spans="1:26" x14ac:dyDescent="0.2">
      <c r="A4243" t="s">
        <v>4361</v>
      </c>
      <c r="B4243" t="s">
        <v>60</v>
      </c>
      <c r="C4243">
        <v>2020</v>
      </c>
      <c r="D4243" t="s">
        <v>26</v>
      </c>
      <c r="E4243" t="s">
        <v>23</v>
      </c>
      <c r="F4243" t="s">
        <v>26</v>
      </c>
      <c r="G4243">
        <v>61276</v>
      </c>
      <c r="H4243">
        <v>2000</v>
      </c>
      <c r="I4243" s="13">
        <v>0</v>
      </c>
      <c r="J4243" t="s">
        <v>6208</v>
      </c>
      <c r="K4243">
        <v>2</v>
      </c>
      <c r="L4243">
        <v>1</v>
      </c>
      <c r="M4243" t="s">
        <v>0</v>
      </c>
      <c r="N4243" s="2">
        <v>0.72</v>
      </c>
      <c r="O4243" s="2">
        <v>0.28000000000000003</v>
      </c>
      <c r="P4243">
        <v>13</v>
      </c>
      <c r="Q4243">
        <v>14</v>
      </c>
      <c r="R4243">
        <v>1</v>
      </c>
      <c r="S4243">
        <v>2</v>
      </c>
      <c r="T4243">
        <v>13</v>
      </c>
      <c r="U4243">
        <v>14</v>
      </c>
      <c r="V4243">
        <v>0</v>
      </c>
      <c r="W4243">
        <v>1</v>
      </c>
      <c r="X4243">
        <v>0</v>
      </c>
      <c r="Y4243">
        <v>0</v>
      </c>
      <c r="Z4243">
        <v>1</v>
      </c>
    </row>
    <row r="4244" spans="1:26" x14ac:dyDescent="0.2">
      <c r="A4244" t="s">
        <v>4362</v>
      </c>
      <c r="B4244" t="s">
        <v>100</v>
      </c>
      <c r="C4244">
        <v>2020</v>
      </c>
      <c r="D4244" t="s">
        <v>42</v>
      </c>
      <c r="E4244" t="s">
        <v>73</v>
      </c>
      <c r="F4244" t="s">
        <v>38</v>
      </c>
      <c r="G4244">
        <v>42918</v>
      </c>
      <c r="H4244">
        <v>2000</v>
      </c>
      <c r="I4244" s="13">
        <v>0.66666666666666663</v>
      </c>
      <c r="J4244" t="s">
        <v>6207</v>
      </c>
      <c r="K4244">
        <v>3</v>
      </c>
      <c r="L4244">
        <v>4</v>
      </c>
      <c r="M4244" t="s">
        <v>1</v>
      </c>
      <c r="N4244" s="2">
        <v>0.56000000000000005</v>
      </c>
      <c r="O4244" s="2">
        <v>0.44</v>
      </c>
      <c r="P4244">
        <v>18</v>
      </c>
      <c r="Q4244">
        <v>14</v>
      </c>
      <c r="R4244">
        <v>11</v>
      </c>
      <c r="S4244">
        <v>1</v>
      </c>
      <c r="T4244">
        <v>12</v>
      </c>
      <c r="U4244">
        <v>17</v>
      </c>
      <c r="V4244">
        <v>1</v>
      </c>
      <c r="W4244">
        <v>2</v>
      </c>
      <c r="X4244">
        <v>0</v>
      </c>
      <c r="Y4244">
        <v>0</v>
      </c>
      <c r="Z4244">
        <v>1</v>
      </c>
    </row>
    <row r="4245" spans="1:26" x14ac:dyDescent="0.2">
      <c r="A4245" t="s">
        <v>4363</v>
      </c>
      <c r="B4245" t="s">
        <v>59</v>
      </c>
      <c r="C4245">
        <v>2020</v>
      </c>
      <c r="D4245" t="s">
        <v>64</v>
      </c>
      <c r="E4245" t="s">
        <v>45</v>
      </c>
      <c r="F4245" t="s">
        <v>64</v>
      </c>
      <c r="G4245">
        <v>52264</v>
      </c>
      <c r="H4245">
        <v>2000</v>
      </c>
      <c r="I4245" s="13">
        <v>0.83333333333333337</v>
      </c>
      <c r="J4245" t="s">
        <v>6206</v>
      </c>
      <c r="K4245">
        <v>2</v>
      </c>
      <c r="L4245">
        <v>1</v>
      </c>
      <c r="M4245" t="s">
        <v>0</v>
      </c>
      <c r="N4245" s="2">
        <v>0.37</v>
      </c>
      <c r="O4245" s="2">
        <v>0.63</v>
      </c>
      <c r="P4245">
        <v>9</v>
      </c>
      <c r="Q4245">
        <v>10</v>
      </c>
      <c r="R4245">
        <v>5</v>
      </c>
      <c r="S4245">
        <v>4</v>
      </c>
      <c r="T4245">
        <v>9</v>
      </c>
      <c r="U4245">
        <v>10</v>
      </c>
      <c r="V4245">
        <v>2</v>
      </c>
      <c r="W4245">
        <v>4</v>
      </c>
      <c r="X4245">
        <v>0</v>
      </c>
      <c r="Y4245">
        <v>0</v>
      </c>
      <c r="Z4245">
        <v>1</v>
      </c>
    </row>
    <row r="4246" spans="1:26" x14ac:dyDescent="0.2">
      <c r="A4246" t="s">
        <v>4364</v>
      </c>
      <c r="B4246" t="s">
        <v>41</v>
      </c>
      <c r="C4246">
        <v>2020</v>
      </c>
      <c r="D4246" t="s">
        <v>48</v>
      </c>
      <c r="E4246" t="s">
        <v>46</v>
      </c>
      <c r="F4246" t="s">
        <v>49</v>
      </c>
      <c r="G4246">
        <v>74197</v>
      </c>
      <c r="H4246">
        <v>2000</v>
      </c>
      <c r="I4246" s="13">
        <v>0.5</v>
      </c>
      <c r="J4246" t="s">
        <v>6207</v>
      </c>
      <c r="K4246">
        <v>0</v>
      </c>
      <c r="L4246">
        <v>1</v>
      </c>
      <c r="M4246" t="s">
        <v>1</v>
      </c>
      <c r="N4246" s="2">
        <v>0.53</v>
      </c>
      <c r="O4246" s="2">
        <v>0.47</v>
      </c>
      <c r="P4246">
        <v>12</v>
      </c>
      <c r="Q4246">
        <v>15</v>
      </c>
      <c r="R4246">
        <v>6</v>
      </c>
      <c r="S4246">
        <v>3</v>
      </c>
      <c r="T4246">
        <v>12</v>
      </c>
      <c r="U4246">
        <v>12</v>
      </c>
      <c r="V4246">
        <v>3</v>
      </c>
      <c r="W4246">
        <v>3</v>
      </c>
      <c r="X4246">
        <v>0</v>
      </c>
      <c r="Y4246">
        <v>0</v>
      </c>
      <c r="Z4246">
        <v>1</v>
      </c>
    </row>
    <row r="4247" spans="1:26" x14ac:dyDescent="0.2">
      <c r="A4247" t="s">
        <v>4365</v>
      </c>
      <c r="B4247" t="s">
        <v>83</v>
      </c>
      <c r="C4247">
        <v>2020</v>
      </c>
      <c r="D4247" t="s">
        <v>51</v>
      </c>
      <c r="E4247" t="s">
        <v>90</v>
      </c>
      <c r="F4247" t="s">
        <v>20</v>
      </c>
      <c r="G4247">
        <v>36284</v>
      </c>
      <c r="H4247">
        <v>2000</v>
      </c>
      <c r="I4247" s="13">
        <v>0.66666666666666663</v>
      </c>
      <c r="J4247" t="s">
        <v>6208</v>
      </c>
      <c r="K4247">
        <v>2</v>
      </c>
      <c r="L4247">
        <v>1</v>
      </c>
      <c r="M4247" t="s">
        <v>0</v>
      </c>
      <c r="N4247" s="2">
        <v>0.44</v>
      </c>
      <c r="O4247" s="2">
        <v>0.56000000000000005</v>
      </c>
      <c r="P4247">
        <v>17</v>
      </c>
      <c r="Q4247">
        <v>14</v>
      </c>
      <c r="R4247">
        <v>4</v>
      </c>
      <c r="S4247">
        <v>5</v>
      </c>
      <c r="T4247">
        <v>14</v>
      </c>
      <c r="U4247">
        <v>13</v>
      </c>
      <c r="V4247">
        <v>2</v>
      </c>
      <c r="W4247">
        <v>1</v>
      </c>
      <c r="X4247">
        <v>0</v>
      </c>
      <c r="Y4247">
        <v>0</v>
      </c>
      <c r="Z4247">
        <v>1</v>
      </c>
    </row>
    <row r="4248" spans="1:26" x14ac:dyDescent="0.2">
      <c r="A4248" t="s">
        <v>4366</v>
      </c>
      <c r="B4248" t="s">
        <v>84</v>
      </c>
      <c r="C4248">
        <v>2020</v>
      </c>
      <c r="D4248" t="s">
        <v>31</v>
      </c>
      <c r="E4248" t="s">
        <v>63</v>
      </c>
      <c r="F4248" t="s">
        <v>20</v>
      </c>
      <c r="G4248">
        <v>28500</v>
      </c>
      <c r="H4248">
        <v>2000</v>
      </c>
      <c r="I4248" s="13">
        <v>0.6</v>
      </c>
      <c r="J4248" t="s">
        <v>6208</v>
      </c>
      <c r="K4248">
        <v>2</v>
      </c>
      <c r="L4248">
        <v>0</v>
      </c>
      <c r="M4248" t="s">
        <v>0</v>
      </c>
      <c r="N4248" s="2">
        <v>0.45</v>
      </c>
      <c r="O4248" s="2">
        <v>0.55000000000000004</v>
      </c>
      <c r="P4248">
        <v>16</v>
      </c>
      <c r="Q4248">
        <v>14</v>
      </c>
      <c r="R4248">
        <v>5</v>
      </c>
      <c r="S4248">
        <v>2</v>
      </c>
      <c r="T4248">
        <v>13</v>
      </c>
      <c r="U4248">
        <v>11</v>
      </c>
      <c r="V4248">
        <v>3</v>
      </c>
      <c r="W4248">
        <v>2</v>
      </c>
      <c r="X4248">
        <v>0</v>
      </c>
      <c r="Y4248">
        <v>0</v>
      </c>
      <c r="Z4248">
        <v>0</v>
      </c>
    </row>
    <row r="4249" spans="1:26" x14ac:dyDescent="0.2">
      <c r="A4249" t="s">
        <v>4367</v>
      </c>
      <c r="B4249" t="s">
        <v>37</v>
      </c>
      <c r="C4249">
        <v>2020</v>
      </c>
      <c r="D4249" t="s">
        <v>33</v>
      </c>
      <c r="E4249" t="s">
        <v>80</v>
      </c>
      <c r="F4249" t="s">
        <v>33</v>
      </c>
      <c r="G4249">
        <v>37645</v>
      </c>
      <c r="H4249">
        <v>2000</v>
      </c>
      <c r="I4249" s="13">
        <v>0</v>
      </c>
      <c r="J4249" t="s">
        <v>6206</v>
      </c>
      <c r="K4249">
        <v>1</v>
      </c>
      <c r="L4249">
        <v>4</v>
      </c>
      <c r="M4249" t="s">
        <v>1</v>
      </c>
      <c r="N4249" s="2">
        <v>0.67</v>
      </c>
      <c r="O4249" s="2">
        <v>0.33</v>
      </c>
      <c r="P4249">
        <v>6</v>
      </c>
      <c r="Q4249">
        <v>10</v>
      </c>
      <c r="R4249">
        <v>10</v>
      </c>
      <c r="S4249">
        <v>3</v>
      </c>
      <c r="T4249">
        <v>9</v>
      </c>
      <c r="U4249">
        <v>5</v>
      </c>
      <c r="V4249">
        <v>1</v>
      </c>
      <c r="W4249">
        <v>1</v>
      </c>
      <c r="X4249">
        <v>0</v>
      </c>
      <c r="Y4249">
        <v>0</v>
      </c>
      <c r="Z4249">
        <v>1</v>
      </c>
    </row>
    <row r="4250" spans="1:26" x14ac:dyDescent="0.2">
      <c r="A4250" t="s">
        <v>4368</v>
      </c>
      <c r="B4250" t="s">
        <v>41</v>
      </c>
      <c r="C4250">
        <v>2020</v>
      </c>
      <c r="D4250" t="s">
        <v>90</v>
      </c>
      <c r="E4250" t="s">
        <v>28</v>
      </c>
      <c r="F4250" t="s">
        <v>91</v>
      </c>
      <c r="G4250">
        <v>31876</v>
      </c>
      <c r="H4250">
        <v>2000</v>
      </c>
      <c r="I4250" s="13">
        <v>1</v>
      </c>
      <c r="J4250" t="s">
        <v>6207</v>
      </c>
      <c r="K4250">
        <v>0</v>
      </c>
      <c r="L4250">
        <v>0</v>
      </c>
      <c r="M4250" t="s">
        <v>58</v>
      </c>
      <c r="N4250" s="2">
        <v>0.59</v>
      </c>
      <c r="O4250" s="2">
        <v>0.41</v>
      </c>
      <c r="P4250">
        <v>6</v>
      </c>
      <c r="Q4250">
        <v>12</v>
      </c>
      <c r="R4250">
        <v>5</v>
      </c>
      <c r="S4250">
        <v>3</v>
      </c>
      <c r="T4250">
        <v>11</v>
      </c>
      <c r="U4250">
        <v>5</v>
      </c>
      <c r="V4250">
        <v>1</v>
      </c>
      <c r="W4250">
        <v>0</v>
      </c>
      <c r="X4250">
        <v>0</v>
      </c>
      <c r="Y4250">
        <v>0</v>
      </c>
      <c r="Z4250">
        <v>0</v>
      </c>
    </row>
    <row r="4251" spans="1:26" x14ac:dyDescent="0.2">
      <c r="A4251" t="s">
        <v>4369</v>
      </c>
      <c r="B4251" t="s">
        <v>97</v>
      </c>
      <c r="C4251">
        <v>2020</v>
      </c>
      <c r="D4251" t="s">
        <v>73</v>
      </c>
      <c r="E4251" t="s">
        <v>64</v>
      </c>
      <c r="F4251" t="s">
        <v>73</v>
      </c>
      <c r="G4251">
        <v>32384</v>
      </c>
      <c r="H4251">
        <v>2000</v>
      </c>
      <c r="I4251" s="13">
        <v>0.66666666666666663</v>
      </c>
      <c r="J4251" t="s">
        <v>6207</v>
      </c>
      <c r="K4251">
        <v>2</v>
      </c>
      <c r="L4251">
        <v>0</v>
      </c>
      <c r="M4251" t="s">
        <v>0</v>
      </c>
      <c r="N4251" s="2">
        <v>0.61</v>
      </c>
      <c r="O4251" s="2">
        <v>0.39</v>
      </c>
      <c r="P4251">
        <v>12</v>
      </c>
      <c r="Q4251">
        <v>16</v>
      </c>
      <c r="R4251">
        <v>7</v>
      </c>
      <c r="S4251">
        <v>3</v>
      </c>
      <c r="T4251">
        <v>12</v>
      </c>
      <c r="U4251">
        <v>11</v>
      </c>
      <c r="V4251">
        <v>1</v>
      </c>
      <c r="W4251">
        <v>2</v>
      </c>
      <c r="X4251">
        <v>0</v>
      </c>
      <c r="Y4251">
        <v>0</v>
      </c>
      <c r="Z4251">
        <v>0</v>
      </c>
    </row>
    <row r="4252" spans="1:26" x14ac:dyDescent="0.2">
      <c r="A4252" t="s">
        <v>4370</v>
      </c>
      <c r="B4252" t="s">
        <v>81</v>
      </c>
      <c r="C4252">
        <v>2020</v>
      </c>
      <c r="D4252" t="s">
        <v>45</v>
      </c>
      <c r="E4252" t="s">
        <v>48</v>
      </c>
      <c r="F4252" t="s">
        <v>26</v>
      </c>
      <c r="G4252">
        <v>39572</v>
      </c>
      <c r="H4252">
        <v>2000</v>
      </c>
      <c r="I4252" s="13">
        <v>1</v>
      </c>
      <c r="J4252" t="s">
        <v>6207</v>
      </c>
      <c r="K4252">
        <v>1</v>
      </c>
      <c r="L4252">
        <v>3</v>
      </c>
      <c r="M4252" t="s">
        <v>1</v>
      </c>
      <c r="N4252" s="2">
        <v>0.54</v>
      </c>
      <c r="O4252" s="2">
        <v>0.46</v>
      </c>
      <c r="P4252">
        <v>21</v>
      </c>
      <c r="Q4252">
        <v>15</v>
      </c>
      <c r="R4252">
        <v>5</v>
      </c>
      <c r="S4252">
        <v>2</v>
      </c>
      <c r="T4252">
        <v>12</v>
      </c>
      <c r="U4252">
        <v>19</v>
      </c>
      <c r="V4252">
        <v>4</v>
      </c>
      <c r="W4252">
        <v>2</v>
      </c>
      <c r="X4252">
        <v>0</v>
      </c>
      <c r="Y4252">
        <v>0</v>
      </c>
      <c r="Z4252">
        <v>0</v>
      </c>
    </row>
    <row r="4253" spans="1:26" x14ac:dyDescent="0.2">
      <c r="A4253" t="s">
        <v>4371</v>
      </c>
      <c r="B4253" t="s">
        <v>88</v>
      </c>
      <c r="C4253">
        <v>2020</v>
      </c>
      <c r="D4253" t="s">
        <v>79</v>
      </c>
      <c r="E4253" t="s">
        <v>33</v>
      </c>
      <c r="F4253" t="s">
        <v>20</v>
      </c>
      <c r="G4253">
        <v>25486</v>
      </c>
      <c r="H4253">
        <v>2000</v>
      </c>
      <c r="I4253" s="13">
        <v>0.5</v>
      </c>
      <c r="J4253" t="s">
        <v>6207</v>
      </c>
      <c r="K4253">
        <v>4</v>
      </c>
      <c r="L4253">
        <v>1</v>
      </c>
      <c r="M4253" t="s">
        <v>0</v>
      </c>
      <c r="N4253" s="2">
        <v>0.35</v>
      </c>
      <c r="O4253" s="2">
        <v>0.65</v>
      </c>
      <c r="P4253">
        <v>17</v>
      </c>
      <c r="Q4253">
        <v>10</v>
      </c>
      <c r="R4253">
        <v>3</v>
      </c>
      <c r="S4253">
        <v>6</v>
      </c>
      <c r="T4253">
        <v>9</v>
      </c>
      <c r="U4253">
        <v>16</v>
      </c>
      <c r="V4253">
        <v>0</v>
      </c>
      <c r="W4253">
        <v>2</v>
      </c>
      <c r="X4253">
        <v>0</v>
      </c>
      <c r="Y4253">
        <v>0</v>
      </c>
      <c r="Z4253">
        <v>0</v>
      </c>
    </row>
    <row r="4254" spans="1:26" x14ac:dyDescent="0.2">
      <c r="A4254" t="s">
        <v>4372</v>
      </c>
      <c r="B4254" t="s">
        <v>68</v>
      </c>
      <c r="C4254">
        <v>2020</v>
      </c>
      <c r="D4254" t="s">
        <v>18</v>
      </c>
      <c r="E4254" t="s">
        <v>95</v>
      </c>
      <c r="F4254" t="s">
        <v>20</v>
      </c>
      <c r="G4254">
        <v>40341</v>
      </c>
      <c r="H4254">
        <v>2000</v>
      </c>
      <c r="I4254" s="13">
        <v>1</v>
      </c>
      <c r="J4254" t="s">
        <v>6207</v>
      </c>
      <c r="K4254">
        <v>4</v>
      </c>
      <c r="L4254">
        <v>1</v>
      </c>
      <c r="M4254" t="s">
        <v>0</v>
      </c>
      <c r="N4254" s="2">
        <v>0.71</v>
      </c>
      <c r="O4254" s="2">
        <v>0.28999999999999998</v>
      </c>
      <c r="P4254">
        <v>14</v>
      </c>
      <c r="Q4254">
        <v>6</v>
      </c>
      <c r="R4254">
        <v>6</v>
      </c>
      <c r="S4254">
        <v>7</v>
      </c>
      <c r="T4254">
        <v>5</v>
      </c>
      <c r="U4254">
        <v>14</v>
      </c>
      <c r="V4254">
        <v>0</v>
      </c>
      <c r="W4254">
        <v>2</v>
      </c>
      <c r="X4254">
        <v>0</v>
      </c>
      <c r="Y4254">
        <v>0</v>
      </c>
      <c r="Z4254">
        <v>0</v>
      </c>
    </row>
    <row r="4255" spans="1:26" x14ac:dyDescent="0.2">
      <c r="A4255" t="s">
        <v>4373</v>
      </c>
      <c r="B4255" t="s">
        <v>99</v>
      </c>
      <c r="C4255">
        <v>2020</v>
      </c>
      <c r="D4255" t="s">
        <v>23</v>
      </c>
      <c r="E4255" t="s">
        <v>31</v>
      </c>
      <c r="F4255" t="s">
        <v>20</v>
      </c>
      <c r="G4255">
        <v>62500</v>
      </c>
      <c r="H4255">
        <v>2000</v>
      </c>
      <c r="I4255" s="13">
        <v>0.75</v>
      </c>
      <c r="J4255" t="s">
        <v>6207</v>
      </c>
      <c r="K4255">
        <v>1</v>
      </c>
      <c r="L4255">
        <v>0</v>
      </c>
      <c r="M4255" t="s">
        <v>0</v>
      </c>
      <c r="N4255" s="2">
        <v>0.52</v>
      </c>
      <c r="O4255" s="2">
        <v>0.48</v>
      </c>
      <c r="P4255">
        <v>11</v>
      </c>
      <c r="Q4255">
        <v>12</v>
      </c>
      <c r="R4255">
        <v>9</v>
      </c>
      <c r="S4255">
        <v>5</v>
      </c>
      <c r="T4255">
        <v>10</v>
      </c>
      <c r="U4255">
        <v>9</v>
      </c>
      <c r="V4255">
        <v>2</v>
      </c>
      <c r="W4255">
        <v>2</v>
      </c>
      <c r="X4255">
        <v>0</v>
      </c>
      <c r="Y4255">
        <v>0</v>
      </c>
      <c r="Z4255">
        <v>1</v>
      </c>
    </row>
    <row r="4256" spans="1:26" x14ac:dyDescent="0.2">
      <c r="A4256" t="s">
        <v>4374</v>
      </c>
      <c r="B4256" t="s">
        <v>92</v>
      </c>
      <c r="C4256">
        <v>2020</v>
      </c>
      <c r="D4256" t="s">
        <v>63</v>
      </c>
      <c r="E4256" t="s">
        <v>51</v>
      </c>
      <c r="F4256" t="s">
        <v>65</v>
      </c>
      <c r="G4256">
        <v>26804</v>
      </c>
      <c r="H4256">
        <v>2000</v>
      </c>
      <c r="I4256" s="13">
        <v>0</v>
      </c>
      <c r="J4256" t="s">
        <v>6207</v>
      </c>
      <c r="K4256">
        <v>0</v>
      </c>
      <c r="L4256">
        <v>1</v>
      </c>
      <c r="M4256" t="s">
        <v>1</v>
      </c>
      <c r="N4256" s="2">
        <v>0.41</v>
      </c>
      <c r="O4256" s="2">
        <v>0.59</v>
      </c>
      <c r="P4256">
        <v>13</v>
      </c>
      <c r="Q4256">
        <v>18</v>
      </c>
      <c r="R4256">
        <v>9</v>
      </c>
      <c r="S4256">
        <v>6</v>
      </c>
      <c r="T4256">
        <v>17</v>
      </c>
      <c r="U4256">
        <v>12</v>
      </c>
      <c r="V4256">
        <v>1</v>
      </c>
      <c r="W4256">
        <v>0</v>
      </c>
      <c r="X4256">
        <v>0</v>
      </c>
      <c r="Y4256">
        <v>0</v>
      </c>
      <c r="Z4256">
        <v>0</v>
      </c>
    </row>
    <row r="4257" spans="1:26" x14ac:dyDescent="0.2">
      <c r="A4257" t="s">
        <v>4375</v>
      </c>
      <c r="B4257" t="s">
        <v>61</v>
      </c>
      <c r="C4257">
        <v>2020</v>
      </c>
      <c r="D4257" t="s">
        <v>80</v>
      </c>
      <c r="E4257" t="s">
        <v>22</v>
      </c>
      <c r="F4257" t="s">
        <v>80</v>
      </c>
      <c r="G4257">
        <v>32261</v>
      </c>
      <c r="H4257">
        <v>2000</v>
      </c>
      <c r="I4257" s="13">
        <v>0.6</v>
      </c>
      <c r="J4257" t="s">
        <v>6207</v>
      </c>
      <c r="K4257">
        <v>1</v>
      </c>
      <c r="L4257">
        <v>0</v>
      </c>
      <c r="M4257" t="s">
        <v>0</v>
      </c>
      <c r="N4257" s="2">
        <v>0.5</v>
      </c>
      <c r="O4257" s="2">
        <v>0.5</v>
      </c>
      <c r="P4257">
        <v>6</v>
      </c>
      <c r="Q4257">
        <v>13</v>
      </c>
      <c r="R4257">
        <v>6</v>
      </c>
      <c r="S4257">
        <v>3</v>
      </c>
      <c r="T4257">
        <v>12</v>
      </c>
      <c r="U4257">
        <v>8</v>
      </c>
      <c r="V4257">
        <v>2</v>
      </c>
      <c r="W4257">
        <v>3</v>
      </c>
      <c r="X4257">
        <v>0</v>
      </c>
      <c r="Y4257">
        <v>0</v>
      </c>
      <c r="Z4257">
        <v>2</v>
      </c>
    </row>
    <row r="4258" spans="1:26" x14ac:dyDescent="0.2">
      <c r="A4258" t="s">
        <v>4376</v>
      </c>
      <c r="B4258" t="s">
        <v>76</v>
      </c>
      <c r="C4258">
        <v>2020</v>
      </c>
      <c r="D4258" t="s">
        <v>40</v>
      </c>
      <c r="E4258" t="s">
        <v>26</v>
      </c>
      <c r="F4258" t="s">
        <v>49</v>
      </c>
      <c r="G4258">
        <v>53400</v>
      </c>
      <c r="H4258">
        <v>2000</v>
      </c>
      <c r="I4258" s="13">
        <v>0.5</v>
      </c>
      <c r="J4258" t="s">
        <v>6207</v>
      </c>
      <c r="K4258">
        <v>1</v>
      </c>
      <c r="L4258">
        <v>1</v>
      </c>
      <c r="M4258" t="s">
        <v>58</v>
      </c>
      <c r="N4258" s="2">
        <v>0.55000000000000004</v>
      </c>
      <c r="O4258" s="2">
        <v>0.45</v>
      </c>
      <c r="P4258">
        <v>16</v>
      </c>
      <c r="Q4258">
        <v>20</v>
      </c>
      <c r="R4258">
        <v>1</v>
      </c>
      <c r="S4258">
        <v>2</v>
      </c>
      <c r="T4258">
        <v>19</v>
      </c>
      <c r="U4258">
        <v>11</v>
      </c>
      <c r="V4258">
        <v>3</v>
      </c>
      <c r="W4258">
        <v>1</v>
      </c>
      <c r="X4258">
        <v>0</v>
      </c>
      <c r="Y4258">
        <v>0</v>
      </c>
      <c r="Z4258">
        <v>2</v>
      </c>
    </row>
    <row r="4259" spans="1:26" x14ac:dyDescent="0.2">
      <c r="A4259" t="s">
        <v>4377</v>
      </c>
      <c r="B4259" t="s">
        <v>32</v>
      </c>
      <c r="C4259">
        <v>2020</v>
      </c>
      <c r="D4259" t="s">
        <v>46</v>
      </c>
      <c r="E4259" t="s">
        <v>42</v>
      </c>
      <c r="F4259" t="s">
        <v>20</v>
      </c>
      <c r="G4259">
        <v>60704</v>
      </c>
      <c r="H4259">
        <v>2000</v>
      </c>
      <c r="I4259" s="13">
        <v>0</v>
      </c>
      <c r="J4259" t="s">
        <v>6207</v>
      </c>
      <c r="K4259">
        <v>0</v>
      </c>
      <c r="L4259">
        <v>3</v>
      </c>
      <c r="M4259" t="s">
        <v>1</v>
      </c>
      <c r="N4259" s="2">
        <v>0.59</v>
      </c>
      <c r="O4259" s="2">
        <v>0.41</v>
      </c>
      <c r="P4259">
        <v>14</v>
      </c>
      <c r="Q4259">
        <v>12</v>
      </c>
      <c r="R4259">
        <v>3</v>
      </c>
      <c r="S4259">
        <v>8</v>
      </c>
      <c r="T4259">
        <v>11</v>
      </c>
      <c r="U4259">
        <v>13</v>
      </c>
      <c r="V4259">
        <v>0</v>
      </c>
      <c r="W4259">
        <v>0</v>
      </c>
      <c r="X4259">
        <v>0</v>
      </c>
      <c r="Y4259">
        <v>0</v>
      </c>
      <c r="Z4259">
        <v>0</v>
      </c>
    </row>
    <row r="4260" spans="1:26" x14ac:dyDescent="0.2">
      <c r="A4260" t="s">
        <v>4378</v>
      </c>
      <c r="B4260" t="s">
        <v>76</v>
      </c>
      <c r="C4260">
        <v>2020</v>
      </c>
      <c r="D4260" t="s">
        <v>64</v>
      </c>
      <c r="E4260" t="s">
        <v>18</v>
      </c>
      <c r="F4260" t="s">
        <v>64</v>
      </c>
      <c r="G4260">
        <v>52264</v>
      </c>
      <c r="H4260">
        <v>2000</v>
      </c>
      <c r="I4260" s="13">
        <v>1</v>
      </c>
      <c r="J4260" t="s">
        <v>6207</v>
      </c>
      <c r="K4260">
        <v>0</v>
      </c>
      <c r="L4260">
        <v>2</v>
      </c>
      <c r="M4260" t="s">
        <v>1</v>
      </c>
      <c r="N4260" s="2">
        <v>0.28999999999999998</v>
      </c>
      <c r="O4260" s="2">
        <v>0.71</v>
      </c>
      <c r="P4260">
        <v>14</v>
      </c>
      <c r="Q4260">
        <v>13</v>
      </c>
      <c r="R4260">
        <v>7</v>
      </c>
      <c r="S4260">
        <v>4</v>
      </c>
      <c r="T4260">
        <v>11</v>
      </c>
      <c r="U4260">
        <v>12</v>
      </c>
      <c r="V4260">
        <v>2</v>
      </c>
      <c r="W4260">
        <v>0</v>
      </c>
      <c r="X4260">
        <v>0</v>
      </c>
      <c r="Y4260">
        <v>0</v>
      </c>
      <c r="Z4260">
        <v>0</v>
      </c>
    </row>
    <row r="4261" spans="1:26" x14ac:dyDescent="0.2">
      <c r="A4261" t="s">
        <v>4379</v>
      </c>
      <c r="B4261" t="s">
        <v>66</v>
      </c>
      <c r="C4261">
        <v>2020</v>
      </c>
      <c r="D4261" t="s">
        <v>42</v>
      </c>
      <c r="E4261" t="s">
        <v>90</v>
      </c>
      <c r="F4261" t="s">
        <v>38</v>
      </c>
      <c r="G4261">
        <v>42918</v>
      </c>
      <c r="H4261">
        <v>2000</v>
      </c>
      <c r="I4261" s="13">
        <v>0.4</v>
      </c>
      <c r="J4261" t="s">
        <v>6207</v>
      </c>
      <c r="K4261">
        <v>1</v>
      </c>
      <c r="L4261">
        <v>2</v>
      </c>
      <c r="M4261" t="s">
        <v>1</v>
      </c>
      <c r="N4261" s="2">
        <v>0.55000000000000004</v>
      </c>
      <c r="O4261" s="2">
        <v>0.45</v>
      </c>
      <c r="P4261">
        <v>18</v>
      </c>
      <c r="Q4261">
        <v>8</v>
      </c>
      <c r="R4261">
        <v>12</v>
      </c>
      <c r="S4261">
        <v>3</v>
      </c>
      <c r="T4261">
        <v>5</v>
      </c>
      <c r="U4261">
        <v>18</v>
      </c>
      <c r="V4261">
        <v>2</v>
      </c>
      <c r="W4261">
        <v>2</v>
      </c>
      <c r="X4261">
        <v>0</v>
      </c>
      <c r="Y4261">
        <v>1</v>
      </c>
      <c r="Z4261">
        <v>0</v>
      </c>
    </row>
    <row r="4262" spans="1:26" x14ac:dyDescent="0.2">
      <c r="A4262" t="s">
        <v>4380</v>
      </c>
      <c r="B4262" t="s">
        <v>41</v>
      </c>
      <c r="C4262">
        <v>2020</v>
      </c>
      <c r="D4262" t="s">
        <v>51</v>
      </c>
      <c r="E4262" t="s">
        <v>40</v>
      </c>
      <c r="F4262" t="s">
        <v>20</v>
      </c>
      <c r="G4262">
        <v>36284</v>
      </c>
      <c r="H4262">
        <v>2000</v>
      </c>
      <c r="I4262" s="13">
        <v>0.75</v>
      </c>
      <c r="J4262" t="s">
        <v>6207</v>
      </c>
      <c r="K4262">
        <v>2</v>
      </c>
      <c r="L4262">
        <v>0</v>
      </c>
      <c r="M4262" t="s">
        <v>0</v>
      </c>
      <c r="N4262" s="2">
        <v>0.34</v>
      </c>
      <c r="O4262" s="2">
        <v>0.66</v>
      </c>
      <c r="P4262">
        <v>21</v>
      </c>
      <c r="Q4262">
        <v>13</v>
      </c>
      <c r="R4262">
        <v>0</v>
      </c>
      <c r="S4262">
        <v>10</v>
      </c>
      <c r="T4262">
        <v>13</v>
      </c>
      <c r="U4262">
        <v>19</v>
      </c>
      <c r="V4262">
        <v>2</v>
      </c>
      <c r="W4262">
        <v>2</v>
      </c>
      <c r="X4262">
        <v>0</v>
      </c>
      <c r="Y4262">
        <v>0</v>
      </c>
      <c r="Z4262">
        <v>0</v>
      </c>
    </row>
    <row r="4263" spans="1:26" x14ac:dyDescent="0.2">
      <c r="A4263" t="s">
        <v>4381</v>
      </c>
      <c r="B4263" t="s">
        <v>93</v>
      </c>
      <c r="C4263">
        <v>2020</v>
      </c>
      <c r="D4263" t="s">
        <v>48</v>
      </c>
      <c r="E4263" t="s">
        <v>63</v>
      </c>
      <c r="F4263" t="s">
        <v>49</v>
      </c>
      <c r="G4263">
        <v>74197</v>
      </c>
      <c r="H4263">
        <v>2000</v>
      </c>
      <c r="I4263" s="13">
        <v>0.5</v>
      </c>
      <c r="J4263" t="s">
        <v>6206</v>
      </c>
      <c r="K4263">
        <v>1</v>
      </c>
      <c r="L4263">
        <v>0</v>
      </c>
      <c r="M4263" t="s">
        <v>0</v>
      </c>
      <c r="N4263" s="2">
        <v>0.63</v>
      </c>
      <c r="O4263" s="2">
        <v>0.37</v>
      </c>
      <c r="P4263">
        <v>18</v>
      </c>
      <c r="Q4263">
        <v>12</v>
      </c>
      <c r="R4263">
        <v>8</v>
      </c>
      <c r="S4263">
        <v>2</v>
      </c>
      <c r="T4263">
        <v>12</v>
      </c>
      <c r="U4263">
        <v>17</v>
      </c>
      <c r="V4263">
        <v>1</v>
      </c>
      <c r="W4263">
        <v>1</v>
      </c>
      <c r="X4263">
        <v>0</v>
      </c>
      <c r="Y4263">
        <v>0</v>
      </c>
      <c r="Z4263">
        <v>1</v>
      </c>
    </row>
    <row r="4264" spans="1:26" x14ac:dyDescent="0.2">
      <c r="A4264" t="s">
        <v>4382</v>
      </c>
      <c r="B4264" t="s">
        <v>92</v>
      </c>
      <c r="C4264">
        <v>2020</v>
      </c>
      <c r="D4264" t="s">
        <v>31</v>
      </c>
      <c r="E4264" t="s">
        <v>45</v>
      </c>
      <c r="F4264" t="s">
        <v>20</v>
      </c>
      <c r="G4264">
        <v>28500</v>
      </c>
      <c r="H4264">
        <v>2000</v>
      </c>
      <c r="I4264" s="13">
        <v>1</v>
      </c>
      <c r="J4264" t="s">
        <v>6207</v>
      </c>
      <c r="K4264">
        <v>2</v>
      </c>
      <c r="L4264">
        <v>3</v>
      </c>
      <c r="M4264" t="s">
        <v>1</v>
      </c>
      <c r="N4264" s="2">
        <v>0.54</v>
      </c>
      <c r="O4264" s="2">
        <v>0.46</v>
      </c>
      <c r="P4264">
        <v>12</v>
      </c>
      <c r="Q4264">
        <v>16</v>
      </c>
      <c r="R4264">
        <v>2</v>
      </c>
      <c r="S4264">
        <v>5</v>
      </c>
      <c r="T4264">
        <v>14</v>
      </c>
      <c r="U4264">
        <v>10</v>
      </c>
      <c r="V4264">
        <v>2</v>
      </c>
      <c r="W4264">
        <v>0</v>
      </c>
      <c r="X4264">
        <v>0</v>
      </c>
      <c r="Y4264">
        <v>0</v>
      </c>
      <c r="Z4264">
        <v>1</v>
      </c>
    </row>
    <row r="4265" spans="1:26" x14ac:dyDescent="0.2">
      <c r="A4265" t="s">
        <v>4383</v>
      </c>
      <c r="B4265" t="s">
        <v>32</v>
      </c>
      <c r="C4265">
        <v>2020</v>
      </c>
      <c r="D4265" t="s">
        <v>95</v>
      </c>
      <c r="E4265" t="s">
        <v>23</v>
      </c>
      <c r="F4265" t="s">
        <v>57</v>
      </c>
      <c r="G4265">
        <v>32050</v>
      </c>
      <c r="H4265">
        <v>2000</v>
      </c>
      <c r="I4265" s="13">
        <v>0</v>
      </c>
      <c r="J4265" t="s">
        <v>6207</v>
      </c>
      <c r="K4265">
        <v>0</v>
      </c>
      <c r="L4265">
        <v>1</v>
      </c>
      <c r="M4265" t="s">
        <v>1</v>
      </c>
      <c r="N4265" s="2">
        <v>0.51</v>
      </c>
      <c r="O4265" s="2">
        <v>0.49</v>
      </c>
      <c r="P4265">
        <v>8</v>
      </c>
      <c r="Q4265">
        <v>11</v>
      </c>
      <c r="R4265">
        <v>2</v>
      </c>
      <c r="S4265">
        <v>6</v>
      </c>
      <c r="T4265">
        <v>7</v>
      </c>
      <c r="U4265">
        <v>6</v>
      </c>
      <c r="V4265">
        <v>0</v>
      </c>
      <c r="W4265">
        <v>0</v>
      </c>
      <c r="X4265">
        <v>0</v>
      </c>
      <c r="Y4265">
        <v>0</v>
      </c>
      <c r="Z4265">
        <v>0</v>
      </c>
    </row>
    <row r="4266" spans="1:26" x14ac:dyDescent="0.2">
      <c r="A4266" t="s">
        <v>4384</v>
      </c>
      <c r="B4266" t="s">
        <v>61</v>
      </c>
      <c r="C4266">
        <v>2020</v>
      </c>
      <c r="D4266" t="s">
        <v>33</v>
      </c>
      <c r="E4266" t="s">
        <v>46</v>
      </c>
      <c r="F4266" t="s">
        <v>33</v>
      </c>
      <c r="G4266">
        <v>37645</v>
      </c>
      <c r="H4266">
        <v>2000</v>
      </c>
      <c r="I4266" s="13">
        <v>0.25</v>
      </c>
      <c r="J4266" t="s">
        <v>6207</v>
      </c>
      <c r="K4266">
        <v>0</v>
      </c>
      <c r="L4266">
        <v>0</v>
      </c>
      <c r="M4266" t="s">
        <v>58</v>
      </c>
      <c r="N4266" s="2">
        <v>0.66</v>
      </c>
      <c r="O4266" s="2">
        <v>0.34</v>
      </c>
      <c r="P4266">
        <v>9</v>
      </c>
      <c r="Q4266">
        <v>9</v>
      </c>
      <c r="R4266">
        <v>5</v>
      </c>
      <c r="S4266">
        <v>3</v>
      </c>
      <c r="T4266">
        <v>9</v>
      </c>
      <c r="U4266">
        <v>8</v>
      </c>
      <c r="V4266">
        <v>3</v>
      </c>
      <c r="W4266">
        <v>0</v>
      </c>
      <c r="X4266">
        <v>0</v>
      </c>
      <c r="Y4266">
        <v>1</v>
      </c>
      <c r="Z4266">
        <v>0</v>
      </c>
    </row>
    <row r="4267" spans="1:26" x14ac:dyDescent="0.2">
      <c r="A4267" t="s">
        <v>4385</v>
      </c>
      <c r="B4267" t="s">
        <v>88</v>
      </c>
      <c r="C4267">
        <v>2020</v>
      </c>
      <c r="D4267" t="s">
        <v>26</v>
      </c>
      <c r="E4267" t="s">
        <v>80</v>
      </c>
      <c r="F4267" t="s">
        <v>26</v>
      </c>
      <c r="G4267">
        <v>61276</v>
      </c>
      <c r="H4267">
        <v>2000</v>
      </c>
      <c r="I4267" s="13">
        <v>0.5</v>
      </c>
      <c r="J4267" t="s">
        <v>6207</v>
      </c>
      <c r="K4267">
        <v>3</v>
      </c>
      <c r="L4267">
        <v>0</v>
      </c>
      <c r="M4267" t="s">
        <v>0</v>
      </c>
      <c r="N4267" s="2">
        <v>0.56000000000000005</v>
      </c>
      <c r="O4267" s="2">
        <v>0.44</v>
      </c>
      <c r="P4267">
        <v>7</v>
      </c>
      <c r="Q4267">
        <v>17</v>
      </c>
      <c r="R4267">
        <v>10</v>
      </c>
      <c r="S4267">
        <v>3</v>
      </c>
      <c r="T4267">
        <v>15</v>
      </c>
      <c r="U4267">
        <v>6</v>
      </c>
      <c r="V4267">
        <v>0</v>
      </c>
      <c r="W4267">
        <v>2</v>
      </c>
      <c r="X4267">
        <v>0</v>
      </c>
      <c r="Y4267">
        <v>0</v>
      </c>
      <c r="Z4267">
        <v>0</v>
      </c>
    </row>
    <row r="4268" spans="1:26" x14ac:dyDescent="0.2">
      <c r="A4268" t="s">
        <v>4386</v>
      </c>
      <c r="B4268" t="s">
        <v>60</v>
      </c>
      <c r="C4268">
        <v>2020</v>
      </c>
      <c r="D4268" t="s">
        <v>28</v>
      </c>
      <c r="E4268" t="s">
        <v>79</v>
      </c>
      <c r="F4268" t="s">
        <v>28</v>
      </c>
      <c r="G4268">
        <v>21944</v>
      </c>
      <c r="H4268">
        <v>2000</v>
      </c>
      <c r="I4268" s="13">
        <v>0.5</v>
      </c>
      <c r="J4268" t="s">
        <v>6208</v>
      </c>
      <c r="K4268">
        <v>1</v>
      </c>
      <c r="L4268">
        <v>0</v>
      </c>
      <c r="M4268" t="s">
        <v>0</v>
      </c>
      <c r="N4268" s="2">
        <v>0.46</v>
      </c>
      <c r="O4268" s="2">
        <v>0.54</v>
      </c>
      <c r="P4268">
        <v>11</v>
      </c>
      <c r="Q4268">
        <v>15</v>
      </c>
      <c r="R4268">
        <v>4</v>
      </c>
      <c r="S4268">
        <v>7</v>
      </c>
      <c r="T4268">
        <v>13</v>
      </c>
      <c r="U4268">
        <v>9</v>
      </c>
      <c r="V4268">
        <v>2</v>
      </c>
      <c r="W4268">
        <v>0</v>
      </c>
      <c r="X4268">
        <v>0</v>
      </c>
      <c r="Y4268">
        <v>0</v>
      </c>
      <c r="Z4268">
        <v>0</v>
      </c>
    </row>
    <row r="4269" spans="1:26" x14ac:dyDescent="0.2">
      <c r="A4269" t="s">
        <v>4387</v>
      </c>
      <c r="B4269" t="s">
        <v>37</v>
      </c>
      <c r="C4269">
        <v>2020</v>
      </c>
      <c r="D4269" t="s">
        <v>22</v>
      </c>
      <c r="E4269" t="s">
        <v>73</v>
      </c>
      <c r="F4269" t="s">
        <v>24</v>
      </c>
      <c r="G4269">
        <v>31750</v>
      </c>
      <c r="H4269">
        <v>2000</v>
      </c>
      <c r="I4269" s="13">
        <v>1</v>
      </c>
      <c r="J4269" t="s">
        <v>6206</v>
      </c>
      <c r="K4269">
        <v>1</v>
      </c>
      <c r="L4269">
        <v>1</v>
      </c>
      <c r="M4269" t="s">
        <v>58</v>
      </c>
      <c r="N4269" s="2">
        <v>0.45</v>
      </c>
      <c r="O4269" s="2">
        <v>0.55000000000000004</v>
      </c>
      <c r="P4269">
        <v>15</v>
      </c>
      <c r="Q4269">
        <v>16</v>
      </c>
      <c r="R4269">
        <v>7</v>
      </c>
      <c r="S4269">
        <v>4</v>
      </c>
      <c r="T4269">
        <v>14</v>
      </c>
      <c r="U4269">
        <v>14</v>
      </c>
      <c r="V4269">
        <v>2</v>
      </c>
      <c r="W4269">
        <v>0</v>
      </c>
      <c r="X4269">
        <v>0</v>
      </c>
      <c r="Y4269">
        <v>0</v>
      </c>
      <c r="Z4269">
        <v>0</v>
      </c>
    </row>
    <row r="4270" spans="1:26" x14ac:dyDescent="0.2">
      <c r="A4270" t="s">
        <v>4388</v>
      </c>
      <c r="B4270" t="s">
        <v>83</v>
      </c>
      <c r="C4270">
        <v>2020</v>
      </c>
      <c r="D4270" t="s">
        <v>79</v>
      </c>
      <c r="E4270" t="s">
        <v>64</v>
      </c>
      <c r="F4270" t="s">
        <v>20</v>
      </c>
      <c r="G4270">
        <v>25486</v>
      </c>
      <c r="H4270">
        <v>2000</v>
      </c>
      <c r="I4270" s="13">
        <v>0.5</v>
      </c>
      <c r="J4270" t="s">
        <v>6208</v>
      </c>
      <c r="K4270">
        <v>0</v>
      </c>
      <c r="L4270">
        <v>2</v>
      </c>
      <c r="M4270" t="s">
        <v>1</v>
      </c>
      <c r="N4270" s="2">
        <v>0.57999999999999996</v>
      </c>
      <c r="O4270" s="2">
        <v>0.42</v>
      </c>
      <c r="P4270">
        <v>10</v>
      </c>
      <c r="Q4270">
        <v>9</v>
      </c>
      <c r="R4270">
        <v>7</v>
      </c>
      <c r="S4270">
        <v>3</v>
      </c>
      <c r="T4270">
        <v>9</v>
      </c>
      <c r="U4270">
        <v>10</v>
      </c>
      <c r="V4270">
        <v>2</v>
      </c>
      <c r="W4270">
        <v>2</v>
      </c>
      <c r="X4270">
        <v>0</v>
      </c>
      <c r="Y4270">
        <v>0</v>
      </c>
      <c r="Z4270">
        <v>0</v>
      </c>
    </row>
    <row r="4271" spans="1:26" x14ac:dyDescent="0.2">
      <c r="A4271" t="s">
        <v>4389</v>
      </c>
      <c r="B4271" t="s">
        <v>59</v>
      </c>
      <c r="C4271">
        <v>2020</v>
      </c>
      <c r="D4271" t="s">
        <v>90</v>
      </c>
      <c r="E4271" t="s">
        <v>26</v>
      </c>
      <c r="F4271" t="s">
        <v>91</v>
      </c>
      <c r="G4271">
        <v>31876</v>
      </c>
      <c r="H4271">
        <v>2000</v>
      </c>
      <c r="I4271" s="13">
        <v>0.66666666666666663</v>
      </c>
      <c r="J4271" t="s">
        <v>6206</v>
      </c>
      <c r="K4271">
        <v>1</v>
      </c>
      <c r="L4271">
        <v>1</v>
      </c>
      <c r="M4271" t="s">
        <v>58</v>
      </c>
      <c r="N4271" s="2">
        <v>0.4</v>
      </c>
      <c r="O4271" s="2">
        <v>0.6</v>
      </c>
      <c r="P4271">
        <v>13</v>
      </c>
      <c r="Q4271">
        <v>12</v>
      </c>
      <c r="R4271">
        <v>4</v>
      </c>
      <c r="S4271">
        <v>3</v>
      </c>
      <c r="T4271">
        <v>9</v>
      </c>
      <c r="U4271">
        <v>13</v>
      </c>
      <c r="V4271">
        <v>2</v>
      </c>
      <c r="W4271">
        <v>1</v>
      </c>
      <c r="X4271">
        <v>0</v>
      </c>
      <c r="Y4271">
        <v>0</v>
      </c>
      <c r="Z4271">
        <v>2</v>
      </c>
    </row>
    <row r="4272" spans="1:26" x14ac:dyDescent="0.2">
      <c r="A4272" t="s">
        <v>4390</v>
      </c>
      <c r="B4272" t="s">
        <v>50</v>
      </c>
      <c r="C4272">
        <v>2020</v>
      </c>
      <c r="D4272" t="s">
        <v>40</v>
      </c>
      <c r="E4272" t="s">
        <v>28</v>
      </c>
      <c r="F4272" t="s">
        <v>49</v>
      </c>
      <c r="G4272">
        <v>53400</v>
      </c>
      <c r="H4272">
        <v>2000</v>
      </c>
      <c r="I4272" s="13">
        <v>0</v>
      </c>
      <c r="J4272" t="s">
        <v>6207</v>
      </c>
      <c r="K4272">
        <v>5</v>
      </c>
      <c r="L4272">
        <v>0</v>
      </c>
      <c r="M4272" t="s">
        <v>0</v>
      </c>
      <c r="N4272" s="2">
        <v>0.69</v>
      </c>
      <c r="O4272" s="2">
        <v>0.31</v>
      </c>
      <c r="P4272">
        <v>6</v>
      </c>
      <c r="Q4272">
        <v>14</v>
      </c>
      <c r="R4272">
        <v>6</v>
      </c>
      <c r="S4272">
        <v>4</v>
      </c>
      <c r="T4272">
        <v>12</v>
      </c>
      <c r="U4272">
        <v>4</v>
      </c>
      <c r="V4272">
        <v>0</v>
      </c>
      <c r="W4272">
        <v>0</v>
      </c>
      <c r="X4272">
        <v>0</v>
      </c>
      <c r="Y4272">
        <v>0</v>
      </c>
      <c r="Z4272">
        <v>0</v>
      </c>
    </row>
    <row r="4273" spans="1:26" x14ac:dyDescent="0.2">
      <c r="A4273" t="s">
        <v>4391</v>
      </c>
      <c r="B4273" t="s">
        <v>88</v>
      </c>
      <c r="C4273">
        <v>2020</v>
      </c>
      <c r="D4273" t="s">
        <v>45</v>
      </c>
      <c r="E4273" t="s">
        <v>33</v>
      </c>
      <c r="F4273" t="s">
        <v>26</v>
      </c>
      <c r="G4273">
        <v>39572</v>
      </c>
      <c r="H4273">
        <v>2000</v>
      </c>
      <c r="I4273" s="13">
        <v>0.33333333333333331</v>
      </c>
      <c r="J4273" t="s">
        <v>6207</v>
      </c>
      <c r="K4273">
        <v>0</v>
      </c>
      <c r="L4273">
        <v>1</v>
      </c>
      <c r="M4273" t="s">
        <v>1</v>
      </c>
      <c r="N4273" s="2">
        <v>0.42</v>
      </c>
      <c r="O4273" s="2">
        <v>0.57999999999999996</v>
      </c>
      <c r="P4273">
        <v>19</v>
      </c>
      <c r="Q4273">
        <v>8</v>
      </c>
      <c r="R4273">
        <v>4</v>
      </c>
      <c r="S4273">
        <v>2</v>
      </c>
      <c r="T4273">
        <v>8</v>
      </c>
      <c r="U4273">
        <v>14</v>
      </c>
      <c r="V4273">
        <v>1</v>
      </c>
      <c r="W4273">
        <v>2</v>
      </c>
      <c r="X4273">
        <v>0</v>
      </c>
      <c r="Y4273">
        <v>0</v>
      </c>
      <c r="Z4273">
        <v>0</v>
      </c>
    </row>
    <row r="4274" spans="1:26" x14ac:dyDescent="0.2">
      <c r="A4274" t="s">
        <v>4392</v>
      </c>
      <c r="B4274" t="s">
        <v>41</v>
      </c>
      <c r="C4274">
        <v>2020</v>
      </c>
      <c r="D4274" t="s">
        <v>63</v>
      </c>
      <c r="E4274" t="s">
        <v>95</v>
      </c>
      <c r="F4274" t="s">
        <v>65</v>
      </c>
      <c r="G4274">
        <v>26804</v>
      </c>
      <c r="H4274">
        <v>2000</v>
      </c>
      <c r="I4274" s="13">
        <v>0.8</v>
      </c>
      <c r="J4274" t="s">
        <v>6207</v>
      </c>
      <c r="K4274">
        <v>1</v>
      </c>
      <c r="L4274">
        <v>0</v>
      </c>
      <c r="M4274" t="s">
        <v>0</v>
      </c>
      <c r="N4274" s="2">
        <v>0.48</v>
      </c>
      <c r="O4274" s="2">
        <v>0.52</v>
      </c>
      <c r="P4274">
        <v>12</v>
      </c>
      <c r="Q4274">
        <v>12</v>
      </c>
      <c r="R4274">
        <v>14</v>
      </c>
      <c r="S4274">
        <v>9</v>
      </c>
      <c r="T4274">
        <v>10</v>
      </c>
      <c r="U4274">
        <v>9</v>
      </c>
      <c r="V4274">
        <v>2</v>
      </c>
      <c r="W4274">
        <v>3</v>
      </c>
      <c r="X4274">
        <v>0</v>
      </c>
      <c r="Y4274">
        <v>0</v>
      </c>
      <c r="Z4274">
        <v>0</v>
      </c>
    </row>
    <row r="4275" spans="1:26" x14ac:dyDescent="0.2">
      <c r="A4275" t="s">
        <v>4393</v>
      </c>
      <c r="B4275" t="s">
        <v>68</v>
      </c>
      <c r="C4275">
        <v>2020</v>
      </c>
      <c r="D4275" t="s">
        <v>73</v>
      </c>
      <c r="E4275" t="s">
        <v>48</v>
      </c>
      <c r="F4275" t="s">
        <v>73</v>
      </c>
      <c r="G4275">
        <v>32384</v>
      </c>
      <c r="H4275">
        <v>2000</v>
      </c>
      <c r="I4275" s="13">
        <v>0</v>
      </c>
      <c r="J4275" t="s">
        <v>6207</v>
      </c>
      <c r="K4275">
        <v>2</v>
      </c>
      <c r="L4275">
        <v>3</v>
      </c>
      <c r="M4275" t="s">
        <v>1</v>
      </c>
      <c r="N4275" s="2">
        <v>0.5</v>
      </c>
      <c r="O4275" s="2">
        <v>0.5</v>
      </c>
      <c r="P4275">
        <v>11</v>
      </c>
      <c r="Q4275">
        <v>12</v>
      </c>
      <c r="R4275">
        <v>5</v>
      </c>
      <c r="S4275">
        <v>9</v>
      </c>
      <c r="T4275">
        <v>12</v>
      </c>
      <c r="U4275">
        <v>12</v>
      </c>
      <c r="V4275">
        <v>1</v>
      </c>
      <c r="W4275">
        <v>0</v>
      </c>
      <c r="X4275">
        <v>0</v>
      </c>
      <c r="Y4275">
        <v>0</v>
      </c>
      <c r="Z4275">
        <v>0</v>
      </c>
    </row>
    <row r="4276" spans="1:26" x14ac:dyDescent="0.2">
      <c r="A4276" t="s">
        <v>4394</v>
      </c>
      <c r="B4276" t="s">
        <v>81</v>
      </c>
      <c r="C4276">
        <v>2020</v>
      </c>
      <c r="D4276" t="s">
        <v>18</v>
      </c>
      <c r="E4276" t="s">
        <v>51</v>
      </c>
      <c r="F4276" t="s">
        <v>20</v>
      </c>
      <c r="G4276">
        <v>40341</v>
      </c>
      <c r="H4276">
        <v>2000</v>
      </c>
      <c r="I4276" s="13">
        <v>0.66666666666666663</v>
      </c>
      <c r="J4276" t="s">
        <v>6207</v>
      </c>
      <c r="K4276">
        <v>0</v>
      </c>
      <c r="L4276">
        <v>0</v>
      </c>
      <c r="M4276" t="s">
        <v>58</v>
      </c>
      <c r="N4276" s="2">
        <v>0.6</v>
      </c>
      <c r="O4276" s="2">
        <v>0.4</v>
      </c>
      <c r="P4276">
        <v>10</v>
      </c>
      <c r="Q4276">
        <v>23</v>
      </c>
      <c r="R4276">
        <v>3</v>
      </c>
      <c r="S4276">
        <v>3</v>
      </c>
      <c r="T4276">
        <v>20</v>
      </c>
      <c r="U4276">
        <v>9</v>
      </c>
      <c r="V4276">
        <v>4</v>
      </c>
      <c r="W4276">
        <v>2</v>
      </c>
      <c r="X4276">
        <v>0</v>
      </c>
      <c r="Y4276">
        <v>0</v>
      </c>
      <c r="Z4276">
        <v>0</v>
      </c>
    </row>
    <row r="4277" spans="1:26" x14ac:dyDescent="0.2">
      <c r="A4277" t="s">
        <v>4395</v>
      </c>
      <c r="B4277" t="s">
        <v>66</v>
      </c>
      <c r="C4277">
        <v>2020</v>
      </c>
      <c r="D4277" t="s">
        <v>46</v>
      </c>
      <c r="E4277" t="s">
        <v>22</v>
      </c>
      <c r="F4277" t="s">
        <v>20</v>
      </c>
      <c r="G4277">
        <v>60704</v>
      </c>
      <c r="H4277">
        <v>2000</v>
      </c>
      <c r="I4277" s="13">
        <v>0.5714285714285714</v>
      </c>
      <c r="J4277" t="s">
        <v>6207</v>
      </c>
      <c r="K4277">
        <v>1</v>
      </c>
      <c r="L4277">
        <v>2</v>
      </c>
      <c r="M4277" t="s">
        <v>1</v>
      </c>
      <c r="N4277" s="2">
        <v>0.56000000000000005</v>
      </c>
      <c r="O4277" s="2">
        <v>0.44</v>
      </c>
      <c r="P4277">
        <v>13</v>
      </c>
      <c r="Q4277">
        <v>16</v>
      </c>
      <c r="R4277">
        <v>8</v>
      </c>
      <c r="S4277">
        <v>4</v>
      </c>
      <c r="T4277">
        <v>13</v>
      </c>
      <c r="U4277">
        <v>13</v>
      </c>
      <c r="V4277">
        <v>3</v>
      </c>
      <c r="W4277">
        <v>4</v>
      </c>
      <c r="X4277">
        <v>0</v>
      </c>
      <c r="Y4277">
        <v>0</v>
      </c>
      <c r="Z4277">
        <v>0</v>
      </c>
    </row>
    <row r="4278" spans="1:26" x14ac:dyDescent="0.2">
      <c r="A4278" t="s">
        <v>4396</v>
      </c>
      <c r="B4278" t="s">
        <v>84</v>
      </c>
      <c r="C4278">
        <v>2020</v>
      </c>
      <c r="D4278" t="s">
        <v>80</v>
      </c>
      <c r="E4278" t="s">
        <v>31</v>
      </c>
      <c r="F4278" t="s">
        <v>80</v>
      </c>
      <c r="G4278">
        <v>32261</v>
      </c>
      <c r="H4278">
        <v>2000</v>
      </c>
      <c r="I4278" s="13">
        <v>0</v>
      </c>
      <c r="J4278" t="s">
        <v>6208</v>
      </c>
      <c r="K4278">
        <v>1</v>
      </c>
      <c r="L4278">
        <v>2</v>
      </c>
      <c r="M4278" t="s">
        <v>1</v>
      </c>
      <c r="N4278" s="2">
        <v>0.68</v>
      </c>
      <c r="O4278" s="2">
        <v>0.32</v>
      </c>
      <c r="P4278">
        <v>21</v>
      </c>
      <c r="Q4278">
        <v>9</v>
      </c>
      <c r="R4278">
        <v>6</v>
      </c>
      <c r="S4278">
        <v>5</v>
      </c>
      <c r="T4278">
        <v>9</v>
      </c>
      <c r="U4278">
        <v>21</v>
      </c>
      <c r="V4278">
        <v>0</v>
      </c>
      <c r="W4278">
        <v>2</v>
      </c>
      <c r="X4278">
        <v>0</v>
      </c>
      <c r="Y4278">
        <v>0</v>
      </c>
      <c r="Z4278">
        <v>1</v>
      </c>
    </row>
    <row r="4279" spans="1:26" x14ac:dyDescent="0.2">
      <c r="A4279" t="s">
        <v>4397</v>
      </c>
      <c r="B4279" t="s">
        <v>97</v>
      </c>
      <c r="C4279">
        <v>2020</v>
      </c>
      <c r="D4279" t="s">
        <v>23</v>
      </c>
      <c r="E4279" t="s">
        <v>42</v>
      </c>
      <c r="F4279" t="s">
        <v>20</v>
      </c>
      <c r="G4279">
        <v>62500</v>
      </c>
      <c r="H4279">
        <v>2000</v>
      </c>
      <c r="I4279" s="13">
        <v>1</v>
      </c>
      <c r="J4279" t="s">
        <v>6207</v>
      </c>
      <c r="K4279">
        <v>2</v>
      </c>
      <c r="L4279">
        <v>1</v>
      </c>
      <c r="M4279" t="s">
        <v>0</v>
      </c>
      <c r="N4279" s="2">
        <v>0.34</v>
      </c>
      <c r="O4279" s="2">
        <v>0.66</v>
      </c>
      <c r="P4279">
        <v>10</v>
      </c>
      <c r="Q4279">
        <v>20</v>
      </c>
      <c r="R4279">
        <v>3</v>
      </c>
      <c r="S4279">
        <v>7</v>
      </c>
      <c r="T4279">
        <v>20</v>
      </c>
      <c r="U4279">
        <v>7</v>
      </c>
      <c r="V4279">
        <v>1</v>
      </c>
      <c r="W4279">
        <v>1</v>
      </c>
      <c r="X4279">
        <v>0</v>
      </c>
      <c r="Y4279">
        <v>0</v>
      </c>
      <c r="Z4279">
        <v>1</v>
      </c>
    </row>
    <row r="4280" spans="1:26" x14ac:dyDescent="0.2">
      <c r="A4280" t="s">
        <v>4398</v>
      </c>
      <c r="B4280" t="s">
        <v>61</v>
      </c>
      <c r="C4280">
        <v>2020</v>
      </c>
      <c r="D4280" t="s">
        <v>28</v>
      </c>
      <c r="E4280" t="s">
        <v>45</v>
      </c>
      <c r="F4280" t="s">
        <v>28</v>
      </c>
      <c r="G4280">
        <v>21944</v>
      </c>
      <c r="H4280">
        <v>2000</v>
      </c>
      <c r="I4280" s="13">
        <v>0</v>
      </c>
      <c r="J4280" t="s">
        <v>6207</v>
      </c>
      <c r="K4280">
        <v>1</v>
      </c>
      <c r="L4280">
        <v>1</v>
      </c>
      <c r="M4280" t="s">
        <v>58</v>
      </c>
      <c r="N4280" s="2">
        <v>0.41</v>
      </c>
      <c r="O4280" s="2">
        <v>0.59</v>
      </c>
      <c r="P4280">
        <v>13</v>
      </c>
      <c r="Q4280">
        <v>5</v>
      </c>
      <c r="R4280">
        <v>8</v>
      </c>
      <c r="S4280">
        <v>4</v>
      </c>
      <c r="T4280">
        <v>6</v>
      </c>
      <c r="U4280">
        <v>9</v>
      </c>
      <c r="V4280">
        <v>0</v>
      </c>
      <c r="W4280">
        <v>0</v>
      </c>
      <c r="X4280">
        <v>0</v>
      </c>
      <c r="Y4280">
        <v>0</v>
      </c>
      <c r="Z4280">
        <v>0</v>
      </c>
    </row>
    <row r="4281" spans="1:26" x14ac:dyDescent="0.2">
      <c r="A4281" t="s">
        <v>4399</v>
      </c>
      <c r="B4281" t="s">
        <v>68</v>
      </c>
      <c r="C4281">
        <v>2020</v>
      </c>
      <c r="D4281" t="s">
        <v>40</v>
      </c>
      <c r="E4281" t="s">
        <v>31</v>
      </c>
      <c r="F4281" t="s">
        <v>49</v>
      </c>
      <c r="G4281">
        <v>53400</v>
      </c>
      <c r="H4281">
        <v>2000</v>
      </c>
      <c r="I4281" s="13">
        <v>0</v>
      </c>
      <c r="J4281" t="s">
        <v>6207</v>
      </c>
      <c r="K4281">
        <v>2</v>
      </c>
      <c r="L4281">
        <v>0</v>
      </c>
      <c r="M4281" t="s">
        <v>0</v>
      </c>
      <c r="N4281" s="2">
        <v>0.69</v>
      </c>
      <c r="O4281" s="2">
        <v>0.31</v>
      </c>
      <c r="P4281">
        <v>6</v>
      </c>
      <c r="Q4281">
        <v>8</v>
      </c>
      <c r="R4281">
        <v>9</v>
      </c>
      <c r="S4281">
        <v>3</v>
      </c>
      <c r="T4281">
        <v>7</v>
      </c>
      <c r="U4281">
        <v>6</v>
      </c>
      <c r="V4281">
        <v>0</v>
      </c>
      <c r="W4281">
        <v>0</v>
      </c>
      <c r="X4281">
        <v>0</v>
      </c>
      <c r="Y4281">
        <v>0</v>
      </c>
      <c r="Z4281">
        <v>1</v>
      </c>
    </row>
    <row r="4282" spans="1:26" x14ac:dyDescent="0.2">
      <c r="A4282" t="s">
        <v>4400</v>
      </c>
      <c r="B4282" t="s">
        <v>37</v>
      </c>
      <c r="C4282">
        <v>2020</v>
      </c>
      <c r="D4282" t="s">
        <v>23</v>
      </c>
      <c r="E4282" t="s">
        <v>48</v>
      </c>
      <c r="F4282" t="s">
        <v>20</v>
      </c>
      <c r="G4282">
        <v>62500</v>
      </c>
      <c r="H4282">
        <v>2000</v>
      </c>
      <c r="I4282" s="13">
        <v>0</v>
      </c>
      <c r="J4282" t="s">
        <v>6206</v>
      </c>
      <c r="K4282">
        <v>1</v>
      </c>
      <c r="L4282">
        <v>3</v>
      </c>
      <c r="M4282" t="s">
        <v>1</v>
      </c>
      <c r="N4282" s="2">
        <v>0.39</v>
      </c>
      <c r="O4282" s="2">
        <v>0.61</v>
      </c>
      <c r="P4282">
        <v>13</v>
      </c>
      <c r="Q4282">
        <v>13</v>
      </c>
      <c r="R4282">
        <v>5</v>
      </c>
      <c r="S4282">
        <v>4</v>
      </c>
      <c r="T4282">
        <v>9</v>
      </c>
      <c r="U4282">
        <v>10</v>
      </c>
      <c r="V4282">
        <v>0</v>
      </c>
      <c r="W4282">
        <v>0</v>
      </c>
      <c r="X4282">
        <v>0</v>
      </c>
      <c r="Y4282">
        <v>0</v>
      </c>
      <c r="Z4282">
        <v>0</v>
      </c>
    </row>
    <row r="4283" spans="1:26" x14ac:dyDescent="0.2">
      <c r="A4283" t="s">
        <v>4401</v>
      </c>
      <c r="B4283" t="s">
        <v>60</v>
      </c>
      <c r="C4283">
        <v>2020</v>
      </c>
      <c r="D4283" t="s">
        <v>18</v>
      </c>
      <c r="E4283" t="s">
        <v>33</v>
      </c>
      <c r="F4283" t="s">
        <v>20</v>
      </c>
      <c r="G4283">
        <v>40341</v>
      </c>
      <c r="H4283">
        <v>2000</v>
      </c>
      <c r="I4283" s="13">
        <v>1</v>
      </c>
      <c r="J4283" t="s">
        <v>6208</v>
      </c>
      <c r="K4283">
        <v>3</v>
      </c>
      <c r="L4283">
        <v>1</v>
      </c>
      <c r="M4283" t="s">
        <v>0</v>
      </c>
      <c r="N4283" s="2">
        <v>0.46</v>
      </c>
      <c r="O4283" s="2">
        <v>0.54</v>
      </c>
      <c r="P4283">
        <v>13</v>
      </c>
      <c r="Q4283">
        <v>12</v>
      </c>
      <c r="R4283">
        <v>8</v>
      </c>
      <c r="S4283">
        <v>4</v>
      </c>
      <c r="T4283">
        <v>12</v>
      </c>
      <c r="U4283">
        <v>9</v>
      </c>
      <c r="V4283">
        <v>0</v>
      </c>
      <c r="W4283">
        <v>2</v>
      </c>
      <c r="X4283">
        <v>0</v>
      </c>
      <c r="Y4283">
        <v>0</v>
      </c>
      <c r="Z4283">
        <v>0</v>
      </c>
    </row>
    <row r="4284" spans="1:26" x14ac:dyDescent="0.2">
      <c r="A4284" t="s">
        <v>4402</v>
      </c>
      <c r="B4284" t="s">
        <v>81</v>
      </c>
      <c r="C4284">
        <v>2020</v>
      </c>
      <c r="D4284" t="s">
        <v>63</v>
      </c>
      <c r="E4284" t="s">
        <v>79</v>
      </c>
      <c r="F4284" t="s">
        <v>65</v>
      </c>
      <c r="G4284">
        <v>26804</v>
      </c>
      <c r="H4284">
        <v>2000</v>
      </c>
      <c r="I4284" s="13">
        <v>0.6</v>
      </c>
      <c r="J4284" t="s">
        <v>6207</v>
      </c>
      <c r="K4284">
        <v>1</v>
      </c>
      <c r="L4284">
        <v>5</v>
      </c>
      <c r="M4284" t="s">
        <v>1</v>
      </c>
      <c r="N4284" s="2">
        <v>0.5</v>
      </c>
      <c r="O4284" s="2">
        <v>0.5</v>
      </c>
      <c r="P4284">
        <v>20</v>
      </c>
      <c r="Q4284">
        <v>12</v>
      </c>
      <c r="R4284">
        <v>4</v>
      </c>
      <c r="S4284">
        <v>6</v>
      </c>
      <c r="T4284">
        <v>10</v>
      </c>
      <c r="U4284">
        <v>16</v>
      </c>
      <c r="V4284">
        <v>2</v>
      </c>
      <c r="W4284">
        <v>2</v>
      </c>
      <c r="X4284">
        <v>1</v>
      </c>
      <c r="Y4284">
        <v>0</v>
      </c>
      <c r="Z4284">
        <v>0</v>
      </c>
    </row>
    <row r="4285" spans="1:26" x14ac:dyDescent="0.2">
      <c r="A4285" t="s">
        <v>4403</v>
      </c>
      <c r="B4285" t="s">
        <v>59</v>
      </c>
      <c r="C4285">
        <v>2020</v>
      </c>
      <c r="D4285" t="s">
        <v>95</v>
      </c>
      <c r="E4285" t="s">
        <v>80</v>
      </c>
      <c r="F4285" t="s">
        <v>57</v>
      </c>
      <c r="G4285">
        <v>32050</v>
      </c>
      <c r="H4285">
        <v>2000</v>
      </c>
      <c r="I4285" s="13">
        <v>0.25</v>
      </c>
      <c r="J4285" t="s">
        <v>6206</v>
      </c>
      <c r="K4285">
        <v>1</v>
      </c>
      <c r="L4285">
        <v>2</v>
      </c>
      <c r="M4285" t="s">
        <v>1</v>
      </c>
      <c r="N4285" s="2">
        <v>0.3</v>
      </c>
      <c r="O4285" s="2">
        <v>0.7</v>
      </c>
      <c r="P4285">
        <v>10</v>
      </c>
      <c r="Q4285">
        <v>18</v>
      </c>
      <c r="R4285">
        <v>6</v>
      </c>
      <c r="S4285">
        <v>5</v>
      </c>
      <c r="T4285">
        <v>13</v>
      </c>
      <c r="U4285">
        <v>6</v>
      </c>
      <c r="V4285">
        <v>1</v>
      </c>
      <c r="W4285">
        <v>3</v>
      </c>
      <c r="X4285">
        <v>0</v>
      </c>
      <c r="Y4285">
        <v>0</v>
      </c>
      <c r="Z4285">
        <v>0</v>
      </c>
    </row>
    <row r="4286" spans="1:26" x14ac:dyDescent="0.2">
      <c r="A4286" t="s">
        <v>4404</v>
      </c>
      <c r="B4286" t="s">
        <v>32</v>
      </c>
      <c r="C4286">
        <v>2020</v>
      </c>
      <c r="D4286" t="s">
        <v>51</v>
      </c>
      <c r="E4286" t="s">
        <v>46</v>
      </c>
      <c r="F4286" t="s">
        <v>20</v>
      </c>
      <c r="G4286">
        <v>36284</v>
      </c>
      <c r="H4286">
        <v>2000</v>
      </c>
      <c r="I4286" s="13">
        <v>1</v>
      </c>
      <c r="J4286" t="s">
        <v>6207</v>
      </c>
      <c r="K4286">
        <v>2</v>
      </c>
      <c r="L4286">
        <v>0</v>
      </c>
      <c r="M4286" t="s">
        <v>0</v>
      </c>
      <c r="N4286" s="2">
        <v>0.31</v>
      </c>
      <c r="O4286" s="2">
        <v>0.69</v>
      </c>
      <c r="P4286">
        <v>12</v>
      </c>
      <c r="Q4286">
        <v>16</v>
      </c>
      <c r="R4286">
        <v>3</v>
      </c>
      <c r="S4286">
        <v>9</v>
      </c>
      <c r="T4286">
        <v>16</v>
      </c>
      <c r="U4286">
        <v>12</v>
      </c>
      <c r="V4286">
        <v>1</v>
      </c>
      <c r="W4286">
        <v>2</v>
      </c>
      <c r="X4286">
        <v>0</v>
      </c>
      <c r="Y4286">
        <v>0</v>
      </c>
      <c r="Z4286">
        <v>0</v>
      </c>
    </row>
    <row r="4287" spans="1:26" x14ac:dyDescent="0.2">
      <c r="A4287" t="s">
        <v>4405</v>
      </c>
      <c r="B4287" t="s">
        <v>76</v>
      </c>
      <c r="C4287">
        <v>2020</v>
      </c>
      <c r="D4287" t="s">
        <v>26</v>
      </c>
      <c r="E4287" t="s">
        <v>22</v>
      </c>
      <c r="F4287" t="s">
        <v>26</v>
      </c>
      <c r="G4287">
        <v>61276</v>
      </c>
      <c r="H4287">
        <v>2000</v>
      </c>
      <c r="I4287" s="13">
        <v>0.5</v>
      </c>
      <c r="J4287" t="s">
        <v>6207</v>
      </c>
      <c r="K4287">
        <v>4</v>
      </c>
      <c r="L4287">
        <v>0</v>
      </c>
      <c r="M4287" t="s">
        <v>0</v>
      </c>
      <c r="N4287" s="2">
        <v>0.61</v>
      </c>
      <c r="O4287" s="2">
        <v>0.39</v>
      </c>
      <c r="P4287">
        <v>18</v>
      </c>
      <c r="Q4287">
        <v>8</v>
      </c>
      <c r="R4287">
        <v>4</v>
      </c>
      <c r="S4287">
        <v>6</v>
      </c>
      <c r="T4287">
        <v>8</v>
      </c>
      <c r="U4287">
        <v>14</v>
      </c>
      <c r="V4287">
        <v>1</v>
      </c>
      <c r="W4287">
        <v>1</v>
      </c>
      <c r="X4287">
        <v>0</v>
      </c>
      <c r="Y4287">
        <v>0</v>
      </c>
      <c r="Z4287">
        <v>0</v>
      </c>
    </row>
    <row r="4288" spans="1:26" x14ac:dyDescent="0.2">
      <c r="A4288" t="s">
        <v>4406</v>
      </c>
      <c r="B4288" t="s">
        <v>93</v>
      </c>
      <c r="C4288">
        <v>2020</v>
      </c>
      <c r="D4288" t="s">
        <v>90</v>
      </c>
      <c r="E4288" t="s">
        <v>73</v>
      </c>
      <c r="F4288" t="s">
        <v>91</v>
      </c>
      <c r="G4288">
        <v>31876</v>
      </c>
      <c r="H4288">
        <v>2000</v>
      </c>
      <c r="I4288" s="13">
        <v>0.66666666666666663</v>
      </c>
      <c r="J4288" t="s">
        <v>6206</v>
      </c>
      <c r="K4288">
        <v>1</v>
      </c>
      <c r="L4288">
        <v>2</v>
      </c>
      <c r="M4288" t="s">
        <v>1</v>
      </c>
      <c r="N4288" s="2">
        <v>0.48</v>
      </c>
      <c r="O4288" s="2">
        <v>0.52</v>
      </c>
      <c r="P4288">
        <v>14</v>
      </c>
      <c r="Q4288">
        <v>15</v>
      </c>
      <c r="R4288">
        <v>4</v>
      </c>
      <c r="S4288">
        <v>3</v>
      </c>
      <c r="T4288">
        <v>12</v>
      </c>
      <c r="U4288">
        <v>12</v>
      </c>
      <c r="V4288">
        <v>3</v>
      </c>
      <c r="W4288">
        <v>3</v>
      </c>
      <c r="X4288">
        <v>0</v>
      </c>
      <c r="Y4288">
        <v>0</v>
      </c>
      <c r="Z4288">
        <v>2</v>
      </c>
    </row>
    <row r="4289" spans="1:26" x14ac:dyDescent="0.2">
      <c r="A4289" t="s">
        <v>4407</v>
      </c>
      <c r="B4289" t="s">
        <v>66</v>
      </c>
      <c r="C4289">
        <v>2020</v>
      </c>
      <c r="D4289" t="s">
        <v>33</v>
      </c>
      <c r="E4289" t="s">
        <v>23</v>
      </c>
      <c r="F4289" t="s">
        <v>33</v>
      </c>
      <c r="G4289">
        <v>37645</v>
      </c>
      <c r="H4289">
        <v>2000</v>
      </c>
      <c r="I4289" s="13">
        <v>0.66666666666666663</v>
      </c>
      <c r="J4289" t="s">
        <v>6207</v>
      </c>
      <c r="K4289">
        <v>1</v>
      </c>
      <c r="L4289">
        <v>2</v>
      </c>
      <c r="M4289" t="s">
        <v>1</v>
      </c>
      <c r="N4289" s="2">
        <v>0.64</v>
      </c>
      <c r="O4289" s="2">
        <v>0.36</v>
      </c>
      <c r="P4289">
        <v>9</v>
      </c>
      <c r="Q4289">
        <v>13</v>
      </c>
      <c r="R4289">
        <v>5</v>
      </c>
      <c r="S4289">
        <v>6</v>
      </c>
      <c r="T4289">
        <v>12</v>
      </c>
      <c r="U4289">
        <v>10</v>
      </c>
      <c r="V4289">
        <v>1</v>
      </c>
      <c r="W4289">
        <v>2</v>
      </c>
      <c r="X4289">
        <v>0</v>
      </c>
      <c r="Y4289">
        <v>0</v>
      </c>
      <c r="Z4289">
        <v>1</v>
      </c>
    </row>
    <row r="4290" spans="1:26" x14ac:dyDescent="0.2">
      <c r="A4290" t="s">
        <v>4408</v>
      </c>
      <c r="B4290" t="s">
        <v>41</v>
      </c>
      <c r="C4290">
        <v>2020</v>
      </c>
      <c r="D4290" t="s">
        <v>22</v>
      </c>
      <c r="E4290" t="s">
        <v>42</v>
      </c>
      <c r="F4290" t="s">
        <v>24</v>
      </c>
      <c r="G4290">
        <v>31750</v>
      </c>
      <c r="H4290">
        <v>2000</v>
      </c>
      <c r="I4290" s="13">
        <v>0.45454545454545453</v>
      </c>
      <c r="J4290" t="s">
        <v>6207</v>
      </c>
      <c r="K4290">
        <v>0</v>
      </c>
      <c r="L4290">
        <v>1</v>
      </c>
      <c r="M4290" t="s">
        <v>1</v>
      </c>
      <c r="N4290" s="2">
        <v>0.51</v>
      </c>
      <c r="O4290" s="2">
        <v>0.49</v>
      </c>
      <c r="P4290">
        <v>18</v>
      </c>
      <c r="Q4290">
        <v>22</v>
      </c>
      <c r="R4290">
        <v>5</v>
      </c>
      <c r="S4290">
        <v>8</v>
      </c>
      <c r="T4290">
        <v>23</v>
      </c>
      <c r="U4290">
        <v>15</v>
      </c>
      <c r="V4290">
        <v>3</v>
      </c>
      <c r="W4290">
        <v>6</v>
      </c>
      <c r="X4290">
        <v>1</v>
      </c>
      <c r="Y4290">
        <v>1</v>
      </c>
      <c r="Z4290">
        <v>1</v>
      </c>
    </row>
    <row r="4291" spans="1:26" x14ac:dyDescent="0.2">
      <c r="A4291" t="s">
        <v>4409</v>
      </c>
      <c r="B4291" t="s">
        <v>100</v>
      </c>
      <c r="C4291">
        <v>2020</v>
      </c>
      <c r="D4291" t="s">
        <v>64</v>
      </c>
      <c r="E4291" t="s">
        <v>63</v>
      </c>
      <c r="F4291" t="s">
        <v>64</v>
      </c>
      <c r="G4291">
        <v>52264</v>
      </c>
      <c r="H4291">
        <v>2000</v>
      </c>
      <c r="I4291" s="13">
        <v>0.4</v>
      </c>
      <c r="J4291" t="s">
        <v>6207</v>
      </c>
      <c r="K4291">
        <v>2</v>
      </c>
      <c r="L4291">
        <v>1</v>
      </c>
      <c r="M4291" t="s">
        <v>0</v>
      </c>
      <c r="N4291" s="2">
        <v>0.46</v>
      </c>
      <c r="O4291" s="2">
        <v>0.54</v>
      </c>
      <c r="P4291">
        <v>15</v>
      </c>
      <c r="Q4291">
        <v>11</v>
      </c>
      <c r="R4291">
        <v>4</v>
      </c>
      <c r="S4291">
        <v>3</v>
      </c>
      <c r="T4291">
        <v>9</v>
      </c>
      <c r="U4291">
        <v>12</v>
      </c>
      <c r="V4291">
        <v>2</v>
      </c>
      <c r="W4291">
        <v>3</v>
      </c>
      <c r="X4291">
        <v>0</v>
      </c>
      <c r="Y4291">
        <v>0</v>
      </c>
      <c r="Z4291">
        <v>0</v>
      </c>
    </row>
    <row r="4292" spans="1:26" x14ac:dyDescent="0.2">
      <c r="A4292" t="s">
        <v>4410</v>
      </c>
      <c r="B4292" t="s">
        <v>88</v>
      </c>
      <c r="C4292">
        <v>2020</v>
      </c>
      <c r="D4292" t="s">
        <v>48</v>
      </c>
      <c r="E4292" t="s">
        <v>40</v>
      </c>
      <c r="F4292" t="s">
        <v>49</v>
      </c>
      <c r="G4292">
        <v>74197</v>
      </c>
      <c r="H4292">
        <v>2000</v>
      </c>
      <c r="I4292" s="13">
        <v>0.5</v>
      </c>
      <c r="J4292" t="s">
        <v>6207</v>
      </c>
      <c r="K4292">
        <v>0</v>
      </c>
      <c r="L4292">
        <v>0</v>
      </c>
      <c r="M4292" t="s">
        <v>58</v>
      </c>
      <c r="N4292" s="2">
        <v>0.46</v>
      </c>
      <c r="O4292" s="2">
        <v>0.54</v>
      </c>
      <c r="P4292">
        <v>8</v>
      </c>
      <c r="Q4292">
        <v>15</v>
      </c>
      <c r="R4292">
        <v>4</v>
      </c>
      <c r="S4292">
        <v>3</v>
      </c>
      <c r="T4292">
        <v>13</v>
      </c>
      <c r="U4292">
        <v>6</v>
      </c>
      <c r="V4292">
        <v>1</v>
      </c>
      <c r="W4292">
        <v>1</v>
      </c>
      <c r="X4292">
        <v>0</v>
      </c>
      <c r="Y4292">
        <v>0</v>
      </c>
      <c r="Z4292">
        <v>0</v>
      </c>
    </row>
    <row r="4293" spans="1:26" x14ac:dyDescent="0.2">
      <c r="A4293" t="s">
        <v>4411</v>
      </c>
      <c r="B4293" t="s">
        <v>68</v>
      </c>
      <c r="C4293">
        <v>2020</v>
      </c>
      <c r="D4293" t="s">
        <v>45</v>
      </c>
      <c r="E4293" t="s">
        <v>18</v>
      </c>
      <c r="F4293" t="s">
        <v>26</v>
      </c>
      <c r="G4293">
        <v>39572</v>
      </c>
      <c r="H4293">
        <v>2000</v>
      </c>
      <c r="I4293" s="13">
        <v>0.8</v>
      </c>
      <c r="J4293" t="s">
        <v>6207</v>
      </c>
      <c r="K4293">
        <v>1</v>
      </c>
      <c r="L4293">
        <v>0</v>
      </c>
      <c r="M4293" t="s">
        <v>0</v>
      </c>
      <c r="N4293" s="2">
        <v>0.28000000000000003</v>
      </c>
      <c r="O4293" s="2">
        <v>0.72</v>
      </c>
      <c r="P4293">
        <v>11</v>
      </c>
      <c r="Q4293">
        <v>14</v>
      </c>
      <c r="R4293">
        <v>6</v>
      </c>
      <c r="S4293">
        <v>6</v>
      </c>
      <c r="T4293">
        <v>10</v>
      </c>
      <c r="U4293">
        <v>11</v>
      </c>
      <c r="V4293">
        <v>2</v>
      </c>
      <c r="W4293">
        <v>3</v>
      </c>
      <c r="X4293">
        <v>0</v>
      </c>
      <c r="Y4293">
        <v>0</v>
      </c>
      <c r="Z4293">
        <v>1</v>
      </c>
    </row>
    <row r="4294" spans="1:26" x14ac:dyDescent="0.2">
      <c r="A4294" t="s">
        <v>4412</v>
      </c>
      <c r="B4294" t="s">
        <v>92</v>
      </c>
      <c r="C4294">
        <v>2020</v>
      </c>
      <c r="D4294" t="s">
        <v>73</v>
      </c>
      <c r="E4294" t="s">
        <v>95</v>
      </c>
      <c r="F4294" t="s">
        <v>73</v>
      </c>
      <c r="G4294">
        <v>32384</v>
      </c>
      <c r="H4294">
        <v>2000</v>
      </c>
      <c r="I4294" s="13">
        <v>1</v>
      </c>
      <c r="J4294" t="s">
        <v>6207</v>
      </c>
      <c r="K4294">
        <v>3</v>
      </c>
      <c r="L4294">
        <v>0</v>
      </c>
      <c r="M4294" t="s">
        <v>0</v>
      </c>
      <c r="N4294" s="2">
        <v>0.68</v>
      </c>
      <c r="O4294" s="2">
        <v>0.32</v>
      </c>
      <c r="P4294">
        <v>14</v>
      </c>
      <c r="Q4294">
        <v>11</v>
      </c>
      <c r="R4294">
        <v>8</v>
      </c>
      <c r="S4294">
        <v>4</v>
      </c>
      <c r="T4294">
        <v>8</v>
      </c>
      <c r="U4294">
        <v>14</v>
      </c>
      <c r="V4294">
        <v>0</v>
      </c>
      <c r="W4294">
        <v>1</v>
      </c>
      <c r="X4294">
        <v>0</v>
      </c>
      <c r="Y4294">
        <v>0</v>
      </c>
      <c r="Z4294">
        <v>0</v>
      </c>
    </row>
    <row r="4295" spans="1:26" x14ac:dyDescent="0.2">
      <c r="A4295" t="s">
        <v>4413</v>
      </c>
      <c r="B4295" t="s">
        <v>60</v>
      </c>
      <c r="C4295">
        <v>2020</v>
      </c>
      <c r="D4295" t="s">
        <v>79</v>
      </c>
      <c r="E4295" t="s">
        <v>51</v>
      </c>
      <c r="F4295" t="s">
        <v>20</v>
      </c>
      <c r="G4295">
        <v>25486</v>
      </c>
      <c r="H4295">
        <v>2000</v>
      </c>
      <c r="I4295" s="13">
        <v>1</v>
      </c>
      <c r="J4295" t="s">
        <v>6208</v>
      </c>
      <c r="K4295">
        <v>1</v>
      </c>
      <c r="L4295">
        <v>1</v>
      </c>
      <c r="M4295" t="s">
        <v>58</v>
      </c>
      <c r="N4295" s="2">
        <v>0.43</v>
      </c>
      <c r="O4295" s="2">
        <v>0.56999999999999995</v>
      </c>
      <c r="P4295">
        <v>11</v>
      </c>
      <c r="Q4295">
        <v>19</v>
      </c>
      <c r="R4295">
        <v>4</v>
      </c>
      <c r="S4295">
        <v>7</v>
      </c>
      <c r="T4295">
        <v>15</v>
      </c>
      <c r="U4295">
        <v>11</v>
      </c>
      <c r="V4295">
        <v>1</v>
      </c>
      <c r="W4295">
        <v>1</v>
      </c>
      <c r="X4295">
        <v>0</v>
      </c>
      <c r="Y4295">
        <v>0</v>
      </c>
      <c r="Z4295">
        <v>0</v>
      </c>
    </row>
    <row r="4296" spans="1:26" x14ac:dyDescent="0.2">
      <c r="A4296" t="s">
        <v>4414</v>
      </c>
      <c r="B4296" t="s">
        <v>37</v>
      </c>
      <c r="C4296">
        <v>2020</v>
      </c>
      <c r="D4296" t="s">
        <v>31</v>
      </c>
      <c r="E4296" t="s">
        <v>26</v>
      </c>
      <c r="F4296" t="s">
        <v>20</v>
      </c>
      <c r="G4296">
        <v>28500</v>
      </c>
      <c r="H4296">
        <v>2000</v>
      </c>
      <c r="I4296" s="13">
        <v>1</v>
      </c>
      <c r="J4296" t="s">
        <v>6206</v>
      </c>
      <c r="K4296">
        <v>1</v>
      </c>
      <c r="L4296">
        <v>1</v>
      </c>
      <c r="M4296" t="s">
        <v>58</v>
      </c>
      <c r="N4296" s="2">
        <v>0.25</v>
      </c>
      <c r="O4296" s="2">
        <v>0.75</v>
      </c>
      <c r="P4296">
        <v>7</v>
      </c>
      <c r="Q4296">
        <v>10</v>
      </c>
      <c r="R4296">
        <v>6</v>
      </c>
      <c r="S4296">
        <v>8</v>
      </c>
      <c r="T4296">
        <v>9</v>
      </c>
      <c r="U4296">
        <v>5</v>
      </c>
      <c r="V4296">
        <v>3</v>
      </c>
      <c r="W4296">
        <v>1</v>
      </c>
      <c r="X4296">
        <v>0</v>
      </c>
      <c r="Y4296">
        <v>0</v>
      </c>
      <c r="Z4296">
        <v>1</v>
      </c>
    </row>
    <row r="4297" spans="1:26" x14ac:dyDescent="0.2">
      <c r="A4297" t="s">
        <v>4415</v>
      </c>
      <c r="B4297" t="s">
        <v>32</v>
      </c>
      <c r="C4297">
        <v>2020</v>
      </c>
      <c r="D4297" t="s">
        <v>80</v>
      </c>
      <c r="E4297" t="s">
        <v>90</v>
      </c>
      <c r="F4297" t="s">
        <v>80</v>
      </c>
      <c r="G4297">
        <v>32261</v>
      </c>
      <c r="H4297">
        <v>2000</v>
      </c>
      <c r="I4297" s="13">
        <v>0.33333333333333331</v>
      </c>
      <c r="J4297" t="s">
        <v>6207</v>
      </c>
      <c r="K4297">
        <v>3</v>
      </c>
      <c r="L4297">
        <v>0</v>
      </c>
      <c r="M4297" t="s">
        <v>0</v>
      </c>
      <c r="N4297" s="2">
        <v>0.55000000000000004</v>
      </c>
      <c r="O4297" s="2">
        <v>0.45</v>
      </c>
      <c r="P4297">
        <v>12</v>
      </c>
      <c r="Q4297">
        <v>13</v>
      </c>
      <c r="R4297">
        <v>9</v>
      </c>
      <c r="S4297">
        <v>5</v>
      </c>
      <c r="T4297">
        <v>9</v>
      </c>
      <c r="U4297">
        <v>11</v>
      </c>
      <c r="V4297">
        <v>2</v>
      </c>
      <c r="W4297">
        <v>1</v>
      </c>
      <c r="X4297">
        <v>0</v>
      </c>
      <c r="Y4297">
        <v>0</v>
      </c>
      <c r="Z4297">
        <v>0</v>
      </c>
    </row>
    <row r="4298" spans="1:26" x14ac:dyDescent="0.2">
      <c r="A4298" t="s">
        <v>4416</v>
      </c>
      <c r="B4298" t="s">
        <v>83</v>
      </c>
      <c r="C4298">
        <v>2020</v>
      </c>
      <c r="D4298" t="s">
        <v>46</v>
      </c>
      <c r="E4298" t="s">
        <v>28</v>
      </c>
      <c r="F4298" t="s">
        <v>20</v>
      </c>
      <c r="G4298">
        <v>60704</v>
      </c>
      <c r="H4298">
        <v>2000</v>
      </c>
      <c r="I4298" s="13">
        <v>1</v>
      </c>
      <c r="J4298" t="s">
        <v>6208</v>
      </c>
      <c r="K4298">
        <v>0</v>
      </c>
      <c r="L4298">
        <v>1</v>
      </c>
      <c r="M4298" t="s">
        <v>1</v>
      </c>
      <c r="N4298" s="2">
        <v>0.65</v>
      </c>
      <c r="O4298" s="2">
        <v>0.35</v>
      </c>
      <c r="P4298">
        <v>14</v>
      </c>
      <c r="Q4298">
        <v>7</v>
      </c>
      <c r="R4298">
        <v>13</v>
      </c>
      <c r="S4298">
        <v>4</v>
      </c>
      <c r="T4298">
        <v>5</v>
      </c>
      <c r="U4298">
        <v>11</v>
      </c>
      <c r="V4298">
        <v>2</v>
      </c>
      <c r="W4298">
        <v>1</v>
      </c>
      <c r="X4298">
        <v>1</v>
      </c>
      <c r="Y4298">
        <v>0</v>
      </c>
      <c r="Z4298">
        <v>0</v>
      </c>
    </row>
    <row r="4299" spans="1:26" x14ac:dyDescent="0.2">
      <c r="A4299" t="s">
        <v>4417</v>
      </c>
      <c r="B4299" t="s">
        <v>59</v>
      </c>
      <c r="C4299">
        <v>2020</v>
      </c>
      <c r="D4299" t="s">
        <v>22</v>
      </c>
      <c r="E4299" t="s">
        <v>18</v>
      </c>
      <c r="F4299" t="s">
        <v>24</v>
      </c>
      <c r="G4299">
        <v>31750</v>
      </c>
      <c r="H4299">
        <v>2000</v>
      </c>
      <c r="I4299" s="13">
        <v>0.75</v>
      </c>
      <c r="J4299" t="s">
        <v>6206</v>
      </c>
      <c r="K4299">
        <v>2</v>
      </c>
      <c r="L4299">
        <v>1</v>
      </c>
      <c r="M4299" t="s">
        <v>0</v>
      </c>
      <c r="N4299" s="2">
        <v>0.45</v>
      </c>
      <c r="O4299" s="2">
        <v>0.55000000000000004</v>
      </c>
      <c r="P4299">
        <v>12</v>
      </c>
      <c r="Q4299">
        <v>14</v>
      </c>
      <c r="R4299">
        <v>5</v>
      </c>
      <c r="S4299">
        <v>6</v>
      </c>
      <c r="T4299">
        <v>12</v>
      </c>
      <c r="U4299">
        <v>12</v>
      </c>
      <c r="V4299">
        <v>2</v>
      </c>
      <c r="W4299">
        <v>2</v>
      </c>
      <c r="X4299">
        <v>0</v>
      </c>
      <c r="Y4299">
        <v>0</v>
      </c>
      <c r="Z4299">
        <v>0</v>
      </c>
    </row>
    <row r="4300" spans="1:26" x14ac:dyDescent="0.2">
      <c r="A4300" t="s">
        <v>4418</v>
      </c>
      <c r="B4300" t="s">
        <v>97</v>
      </c>
      <c r="C4300">
        <v>2020</v>
      </c>
      <c r="D4300" t="s">
        <v>40</v>
      </c>
      <c r="E4300" t="s">
        <v>63</v>
      </c>
      <c r="F4300" t="s">
        <v>49</v>
      </c>
      <c r="G4300">
        <v>53400</v>
      </c>
      <c r="H4300">
        <v>2000</v>
      </c>
      <c r="I4300" s="13">
        <v>0.6</v>
      </c>
      <c r="J4300" t="s">
        <v>6207</v>
      </c>
      <c r="K4300">
        <v>1</v>
      </c>
      <c r="L4300">
        <v>1</v>
      </c>
      <c r="M4300" t="s">
        <v>58</v>
      </c>
      <c r="N4300" s="2">
        <v>0.77</v>
      </c>
      <c r="O4300" s="2">
        <v>0.23</v>
      </c>
      <c r="P4300">
        <v>10</v>
      </c>
      <c r="Q4300">
        <v>8</v>
      </c>
      <c r="R4300">
        <v>13</v>
      </c>
      <c r="S4300">
        <v>2</v>
      </c>
      <c r="T4300">
        <v>5</v>
      </c>
      <c r="U4300">
        <v>8</v>
      </c>
      <c r="V4300">
        <v>2</v>
      </c>
      <c r="W4300">
        <v>3</v>
      </c>
      <c r="X4300">
        <v>0</v>
      </c>
      <c r="Y4300">
        <v>0</v>
      </c>
      <c r="Z4300">
        <v>0</v>
      </c>
    </row>
    <row r="4301" spans="1:26" x14ac:dyDescent="0.2">
      <c r="A4301" t="s">
        <v>4419</v>
      </c>
      <c r="B4301" t="s">
        <v>50</v>
      </c>
      <c r="C4301">
        <v>2020</v>
      </c>
      <c r="D4301" t="s">
        <v>80</v>
      </c>
      <c r="E4301" t="s">
        <v>45</v>
      </c>
      <c r="F4301" t="s">
        <v>80</v>
      </c>
      <c r="G4301">
        <v>32261</v>
      </c>
      <c r="H4301">
        <v>2000</v>
      </c>
      <c r="I4301" s="13">
        <v>0.8</v>
      </c>
      <c r="J4301" t="s">
        <v>6207</v>
      </c>
      <c r="K4301">
        <v>0</v>
      </c>
      <c r="L4301">
        <v>2</v>
      </c>
      <c r="M4301" t="s">
        <v>1</v>
      </c>
      <c r="N4301" s="2">
        <v>0.61</v>
      </c>
      <c r="O4301" s="2">
        <v>0.39</v>
      </c>
      <c r="P4301">
        <v>11</v>
      </c>
      <c r="Q4301">
        <v>14</v>
      </c>
      <c r="R4301">
        <v>4</v>
      </c>
      <c r="S4301">
        <v>6</v>
      </c>
      <c r="T4301">
        <v>12</v>
      </c>
      <c r="U4301">
        <v>9</v>
      </c>
      <c r="V4301">
        <v>2</v>
      </c>
      <c r="W4301">
        <v>3</v>
      </c>
      <c r="X4301">
        <v>0</v>
      </c>
      <c r="Y4301">
        <v>0</v>
      </c>
      <c r="Z4301">
        <v>0</v>
      </c>
    </row>
    <row r="4302" spans="1:26" x14ac:dyDescent="0.2">
      <c r="A4302" t="s">
        <v>4420</v>
      </c>
      <c r="B4302" t="s">
        <v>84</v>
      </c>
      <c r="C4302">
        <v>2020</v>
      </c>
      <c r="D4302" t="s">
        <v>33</v>
      </c>
      <c r="E4302" t="s">
        <v>64</v>
      </c>
      <c r="F4302" t="s">
        <v>33</v>
      </c>
      <c r="G4302">
        <v>37645</v>
      </c>
      <c r="H4302">
        <v>2000</v>
      </c>
      <c r="I4302" s="13">
        <v>0.75</v>
      </c>
      <c r="J4302" t="s">
        <v>6208</v>
      </c>
      <c r="K4302">
        <v>5</v>
      </c>
      <c r="L4302">
        <v>2</v>
      </c>
      <c r="M4302" t="s">
        <v>0</v>
      </c>
      <c r="N4302" s="2">
        <v>0.69</v>
      </c>
      <c r="O4302" s="2">
        <v>0.31</v>
      </c>
      <c r="P4302">
        <v>15</v>
      </c>
      <c r="Q4302">
        <v>13</v>
      </c>
      <c r="R4302">
        <v>7</v>
      </c>
      <c r="S4302">
        <v>4</v>
      </c>
      <c r="T4302">
        <v>10</v>
      </c>
      <c r="U4302">
        <v>13</v>
      </c>
      <c r="V4302">
        <v>3</v>
      </c>
      <c r="W4302">
        <v>1</v>
      </c>
      <c r="X4302">
        <v>0</v>
      </c>
      <c r="Y4302">
        <v>0</v>
      </c>
      <c r="Z4302">
        <v>0</v>
      </c>
    </row>
    <row r="4303" spans="1:26" x14ac:dyDescent="0.2">
      <c r="A4303" t="s">
        <v>4421</v>
      </c>
      <c r="B4303" t="s">
        <v>81</v>
      </c>
      <c r="C4303">
        <v>2020</v>
      </c>
      <c r="D4303" t="s">
        <v>46</v>
      </c>
      <c r="E4303" t="s">
        <v>73</v>
      </c>
      <c r="F4303" t="s">
        <v>20</v>
      </c>
      <c r="G4303">
        <v>60704</v>
      </c>
      <c r="H4303">
        <v>2000</v>
      </c>
      <c r="I4303" s="13">
        <v>0.5</v>
      </c>
      <c r="J4303" t="s">
        <v>6207</v>
      </c>
      <c r="K4303">
        <v>1</v>
      </c>
      <c r="L4303">
        <v>1</v>
      </c>
      <c r="M4303" t="s">
        <v>58</v>
      </c>
      <c r="N4303" s="2">
        <v>0.35</v>
      </c>
      <c r="O4303" s="2">
        <v>0.65</v>
      </c>
      <c r="P4303">
        <v>14</v>
      </c>
      <c r="Q4303">
        <v>13</v>
      </c>
      <c r="R4303">
        <v>2</v>
      </c>
      <c r="S4303">
        <v>7</v>
      </c>
      <c r="T4303">
        <v>13</v>
      </c>
      <c r="U4303">
        <v>13</v>
      </c>
      <c r="V4303">
        <v>2</v>
      </c>
      <c r="W4303">
        <v>3</v>
      </c>
      <c r="X4303">
        <v>1</v>
      </c>
      <c r="Y4303">
        <v>0</v>
      </c>
      <c r="Z4303">
        <v>0</v>
      </c>
    </row>
    <row r="4304" spans="1:26" x14ac:dyDescent="0.2">
      <c r="A4304" t="s">
        <v>4422</v>
      </c>
      <c r="B4304" t="s">
        <v>93</v>
      </c>
      <c r="C4304">
        <v>2020</v>
      </c>
      <c r="D4304" t="s">
        <v>23</v>
      </c>
      <c r="E4304" t="s">
        <v>79</v>
      </c>
      <c r="F4304" t="s">
        <v>20</v>
      </c>
      <c r="G4304">
        <v>62500</v>
      </c>
      <c r="H4304">
        <v>2000</v>
      </c>
      <c r="I4304" s="13">
        <v>0.66666666666666663</v>
      </c>
      <c r="J4304" t="s">
        <v>6206</v>
      </c>
      <c r="K4304">
        <v>1</v>
      </c>
      <c r="L4304">
        <v>1</v>
      </c>
      <c r="M4304" t="s">
        <v>58</v>
      </c>
      <c r="N4304" s="2">
        <v>0.52</v>
      </c>
      <c r="O4304" s="2">
        <v>0.48</v>
      </c>
      <c r="P4304">
        <v>12</v>
      </c>
      <c r="Q4304">
        <v>8</v>
      </c>
      <c r="R4304">
        <v>5</v>
      </c>
      <c r="S4304">
        <v>3</v>
      </c>
      <c r="T4304">
        <v>8</v>
      </c>
      <c r="U4304">
        <v>12</v>
      </c>
      <c r="V4304">
        <v>0</v>
      </c>
      <c r="W4304">
        <v>2</v>
      </c>
      <c r="X4304">
        <v>0</v>
      </c>
      <c r="Y4304">
        <v>1</v>
      </c>
      <c r="Z4304">
        <v>0</v>
      </c>
    </row>
    <row r="4305" spans="1:26" x14ac:dyDescent="0.2">
      <c r="A4305" t="s">
        <v>4423</v>
      </c>
      <c r="B4305" t="s">
        <v>61</v>
      </c>
      <c r="C4305">
        <v>2020</v>
      </c>
      <c r="D4305" t="s">
        <v>26</v>
      </c>
      <c r="E4305" t="s">
        <v>51</v>
      </c>
      <c r="F4305" t="s">
        <v>26</v>
      </c>
      <c r="G4305">
        <v>61276</v>
      </c>
      <c r="H4305">
        <v>2000</v>
      </c>
      <c r="I4305" s="13">
        <v>1</v>
      </c>
      <c r="J4305" t="s">
        <v>6207</v>
      </c>
      <c r="K4305">
        <v>2</v>
      </c>
      <c r="L4305">
        <v>1</v>
      </c>
      <c r="M4305" t="s">
        <v>0</v>
      </c>
      <c r="N4305" s="2">
        <v>0.76</v>
      </c>
      <c r="O4305" s="2">
        <v>0.24</v>
      </c>
      <c r="P4305">
        <v>9</v>
      </c>
      <c r="Q4305">
        <v>10</v>
      </c>
      <c r="R4305">
        <v>7</v>
      </c>
      <c r="S4305">
        <v>4</v>
      </c>
      <c r="T4305">
        <v>8</v>
      </c>
      <c r="U4305">
        <v>9</v>
      </c>
      <c r="V4305">
        <v>0</v>
      </c>
      <c r="W4305">
        <v>2</v>
      </c>
      <c r="X4305">
        <v>0</v>
      </c>
      <c r="Y4305">
        <v>0</v>
      </c>
      <c r="Z4305">
        <v>0</v>
      </c>
    </row>
    <row r="4306" spans="1:26" x14ac:dyDescent="0.2">
      <c r="A4306" t="s">
        <v>4424</v>
      </c>
      <c r="B4306" t="s">
        <v>99</v>
      </c>
      <c r="C4306">
        <v>2020</v>
      </c>
      <c r="D4306" t="s">
        <v>31</v>
      </c>
      <c r="E4306" t="s">
        <v>90</v>
      </c>
      <c r="F4306" t="s">
        <v>20</v>
      </c>
      <c r="G4306">
        <v>28500</v>
      </c>
      <c r="H4306">
        <v>2000</v>
      </c>
      <c r="I4306" s="13">
        <v>1</v>
      </c>
      <c r="J4306" t="s">
        <v>6207</v>
      </c>
      <c r="K4306">
        <v>0</v>
      </c>
      <c r="L4306">
        <v>0</v>
      </c>
      <c r="M4306" t="s">
        <v>58</v>
      </c>
      <c r="N4306" s="2">
        <v>0.46</v>
      </c>
      <c r="O4306" s="2">
        <v>0.54</v>
      </c>
      <c r="P4306">
        <v>13</v>
      </c>
      <c r="Q4306">
        <v>16</v>
      </c>
      <c r="R4306">
        <v>1</v>
      </c>
      <c r="S4306">
        <v>8</v>
      </c>
      <c r="T4306">
        <v>15</v>
      </c>
      <c r="U4306">
        <v>11</v>
      </c>
      <c r="V4306">
        <v>1</v>
      </c>
      <c r="W4306">
        <v>0</v>
      </c>
      <c r="X4306">
        <v>0</v>
      </c>
      <c r="Y4306">
        <v>0</v>
      </c>
      <c r="Z4306">
        <v>0</v>
      </c>
    </row>
    <row r="4307" spans="1:26" x14ac:dyDescent="0.2">
      <c r="A4307" t="s">
        <v>4425</v>
      </c>
      <c r="B4307" t="s">
        <v>76</v>
      </c>
      <c r="C4307">
        <v>2020</v>
      </c>
      <c r="D4307" t="s">
        <v>42</v>
      </c>
      <c r="E4307" t="s">
        <v>28</v>
      </c>
      <c r="F4307" t="s">
        <v>38</v>
      </c>
      <c r="G4307">
        <v>42918</v>
      </c>
      <c r="H4307">
        <v>2000</v>
      </c>
      <c r="I4307" s="13">
        <v>0.5</v>
      </c>
      <c r="J4307" t="s">
        <v>6207</v>
      </c>
      <c r="K4307">
        <v>0</v>
      </c>
      <c r="L4307">
        <v>0</v>
      </c>
      <c r="M4307" t="s">
        <v>58</v>
      </c>
      <c r="N4307" s="2">
        <v>0.59</v>
      </c>
      <c r="O4307" s="2">
        <v>0.41</v>
      </c>
      <c r="P4307">
        <v>21</v>
      </c>
      <c r="Q4307">
        <v>18</v>
      </c>
      <c r="R4307">
        <v>10</v>
      </c>
      <c r="S4307">
        <v>1</v>
      </c>
      <c r="T4307">
        <v>17</v>
      </c>
      <c r="U4307">
        <v>19</v>
      </c>
      <c r="V4307">
        <v>1</v>
      </c>
      <c r="W4307">
        <v>1</v>
      </c>
      <c r="X4307">
        <v>0</v>
      </c>
      <c r="Y4307">
        <v>0</v>
      </c>
      <c r="Z4307">
        <v>0</v>
      </c>
    </row>
    <row r="4308" spans="1:26" x14ac:dyDescent="0.2">
      <c r="A4308" t="s">
        <v>4426</v>
      </c>
      <c r="B4308" t="s">
        <v>66</v>
      </c>
      <c r="C4308">
        <v>2020</v>
      </c>
      <c r="D4308" t="s">
        <v>95</v>
      </c>
      <c r="E4308" t="s">
        <v>48</v>
      </c>
      <c r="F4308" t="s">
        <v>57</v>
      </c>
      <c r="G4308">
        <v>32050</v>
      </c>
      <c r="H4308">
        <v>2000</v>
      </c>
      <c r="I4308" s="13">
        <v>0.4</v>
      </c>
      <c r="J4308" t="s">
        <v>6207</v>
      </c>
      <c r="K4308">
        <v>2</v>
      </c>
      <c r="L4308">
        <v>3</v>
      </c>
      <c r="M4308" t="s">
        <v>1</v>
      </c>
      <c r="N4308" s="2">
        <v>0.4</v>
      </c>
      <c r="O4308" s="2">
        <v>0.6</v>
      </c>
      <c r="P4308">
        <v>13</v>
      </c>
      <c r="Q4308">
        <v>19</v>
      </c>
      <c r="R4308">
        <v>6</v>
      </c>
      <c r="S4308">
        <v>3</v>
      </c>
      <c r="T4308">
        <v>17</v>
      </c>
      <c r="U4308">
        <v>8</v>
      </c>
      <c r="V4308">
        <v>3</v>
      </c>
      <c r="W4308">
        <v>2</v>
      </c>
      <c r="X4308">
        <v>0</v>
      </c>
      <c r="Y4308">
        <v>0</v>
      </c>
      <c r="Z4308">
        <v>0</v>
      </c>
    </row>
    <row r="4309" spans="1:26" x14ac:dyDescent="0.2">
      <c r="A4309" t="s">
        <v>4427</v>
      </c>
      <c r="B4309" t="s">
        <v>68</v>
      </c>
      <c r="C4309">
        <v>2020</v>
      </c>
      <c r="D4309" t="s">
        <v>79</v>
      </c>
      <c r="E4309" t="s">
        <v>26</v>
      </c>
      <c r="F4309" t="s">
        <v>20</v>
      </c>
      <c r="G4309">
        <v>25486</v>
      </c>
      <c r="H4309">
        <v>2000</v>
      </c>
      <c r="I4309" s="13">
        <v>0</v>
      </c>
      <c r="J4309" t="s">
        <v>6207</v>
      </c>
      <c r="K4309">
        <v>0</v>
      </c>
      <c r="L4309">
        <v>7</v>
      </c>
      <c r="M4309" t="s">
        <v>1</v>
      </c>
      <c r="N4309" s="2">
        <v>0.35</v>
      </c>
      <c r="O4309" s="2">
        <v>0.65</v>
      </c>
      <c r="P4309">
        <v>11</v>
      </c>
      <c r="Q4309">
        <v>12</v>
      </c>
      <c r="R4309">
        <v>5</v>
      </c>
      <c r="S4309">
        <v>4</v>
      </c>
      <c r="T4309">
        <v>5</v>
      </c>
      <c r="U4309">
        <v>11</v>
      </c>
      <c r="V4309">
        <v>1</v>
      </c>
      <c r="W4309">
        <v>0</v>
      </c>
      <c r="X4309">
        <v>0</v>
      </c>
      <c r="Y4309">
        <v>0</v>
      </c>
      <c r="Z4309">
        <v>0</v>
      </c>
    </row>
    <row r="4310" spans="1:26" x14ac:dyDescent="0.2">
      <c r="A4310" t="s">
        <v>4428</v>
      </c>
      <c r="B4310" t="s">
        <v>41</v>
      </c>
      <c r="C4310">
        <v>2020</v>
      </c>
      <c r="D4310" t="s">
        <v>73</v>
      </c>
      <c r="E4310" t="s">
        <v>40</v>
      </c>
      <c r="F4310" t="s">
        <v>73</v>
      </c>
      <c r="G4310">
        <v>32384</v>
      </c>
      <c r="H4310">
        <v>2000</v>
      </c>
      <c r="I4310" s="13">
        <v>0.75</v>
      </c>
      <c r="J4310" t="s">
        <v>6207</v>
      </c>
      <c r="K4310">
        <v>0</v>
      </c>
      <c r="L4310">
        <v>1</v>
      </c>
      <c r="M4310" t="s">
        <v>1</v>
      </c>
      <c r="N4310" s="2">
        <v>0.48</v>
      </c>
      <c r="O4310" s="2">
        <v>0.52</v>
      </c>
      <c r="P4310">
        <v>14</v>
      </c>
      <c r="Q4310">
        <v>14</v>
      </c>
      <c r="R4310">
        <v>6</v>
      </c>
      <c r="S4310">
        <v>6</v>
      </c>
      <c r="T4310">
        <v>9</v>
      </c>
      <c r="U4310">
        <v>11</v>
      </c>
      <c r="V4310">
        <v>2</v>
      </c>
      <c r="W4310">
        <v>2</v>
      </c>
      <c r="X4310">
        <v>0</v>
      </c>
      <c r="Y4310">
        <v>0</v>
      </c>
      <c r="Z4310">
        <v>0</v>
      </c>
    </row>
    <row r="4311" spans="1:26" x14ac:dyDescent="0.2">
      <c r="A4311" t="s">
        <v>4429</v>
      </c>
      <c r="B4311" t="s">
        <v>37</v>
      </c>
      <c r="C4311">
        <v>2020</v>
      </c>
      <c r="D4311" t="s">
        <v>45</v>
      </c>
      <c r="E4311" t="s">
        <v>46</v>
      </c>
      <c r="F4311" t="s">
        <v>26</v>
      </c>
      <c r="G4311">
        <v>39572</v>
      </c>
      <c r="H4311">
        <v>2000</v>
      </c>
      <c r="I4311" s="13">
        <v>0.25</v>
      </c>
      <c r="J4311" t="s">
        <v>6206</v>
      </c>
      <c r="K4311">
        <v>2</v>
      </c>
      <c r="L4311">
        <v>1</v>
      </c>
      <c r="M4311" t="s">
        <v>0</v>
      </c>
      <c r="N4311" s="2">
        <v>0.42</v>
      </c>
      <c r="O4311" s="2">
        <v>0.57999999999999996</v>
      </c>
      <c r="P4311">
        <v>8</v>
      </c>
      <c r="Q4311">
        <v>10</v>
      </c>
      <c r="R4311">
        <v>4</v>
      </c>
      <c r="S4311">
        <v>3</v>
      </c>
      <c r="T4311">
        <v>9</v>
      </c>
      <c r="U4311">
        <v>9</v>
      </c>
      <c r="V4311">
        <v>1</v>
      </c>
      <c r="W4311">
        <v>3</v>
      </c>
      <c r="X4311">
        <v>0</v>
      </c>
      <c r="Y4311">
        <v>0</v>
      </c>
      <c r="Z4311">
        <v>1</v>
      </c>
    </row>
    <row r="4312" spans="1:26" x14ac:dyDescent="0.2">
      <c r="A4312" t="s">
        <v>4430</v>
      </c>
      <c r="B4312" t="s">
        <v>83</v>
      </c>
      <c r="C4312">
        <v>2020</v>
      </c>
      <c r="D4312" t="s">
        <v>64</v>
      </c>
      <c r="E4312" t="s">
        <v>31</v>
      </c>
      <c r="F4312" t="s">
        <v>64</v>
      </c>
      <c r="G4312">
        <v>52264</v>
      </c>
      <c r="H4312">
        <v>2000</v>
      </c>
      <c r="I4312" s="13">
        <v>0.8</v>
      </c>
      <c r="J4312" t="s">
        <v>6208</v>
      </c>
      <c r="K4312">
        <v>1</v>
      </c>
      <c r="L4312">
        <v>1</v>
      </c>
      <c r="M4312" t="s">
        <v>58</v>
      </c>
      <c r="N4312" s="2">
        <v>0.49</v>
      </c>
      <c r="O4312" s="2">
        <v>0.51</v>
      </c>
      <c r="P4312">
        <v>16</v>
      </c>
      <c r="Q4312">
        <v>8</v>
      </c>
      <c r="R4312">
        <v>2</v>
      </c>
      <c r="S4312">
        <v>9</v>
      </c>
      <c r="T4312">
        <v>7</v>
      </c>
      <c r="U4312">
        <v>17</v>
      </c>
      <c r="V4312">
        <v>1</v>
      </c>
      <c r="W4312">
        <v>3</v>
      </c>
      <c r="X4312">
        <v>0</v>
      </c>
      <c r="Y4312">
        <v>1</v>
      </c>
      <c r="Z4312">
        <v>1</v>
      </c>
    </row>
    <row r="4313" spans="1:26" x14ac:dyDescent="0.2">
      <c r="A4313" t="s">
        <v>4431</v>
      </c>
      <c r="B4313" t="s">
        <v>97</v>
      </c>
      <c r="C4313">
        <v>2020</v>
      </c>
      <c r="D4313" t="s">
        <v>90</v>
      </c>
      <c r="E4313" t="s">
        <v>95</v>
      </c>
      <c r="F4313" t="s">
        <v>91</v>
      </c>
      <c r="G4313">
        <v>31876</v>
      </c>
      <c r="H4313">
        <v>2000</v>
      </c>
      <c r="I4313" s="13">
        <v>0.14285714285714285</v>
      </c>
      <c r="J4313" t="s">
        <v>6207</v>
      </c>
      <c r="K4313">
        <v>1</v>
      </c>
      <c r="L4313">
        <v>1</v>
      </c>
      <c r="M4313" t="s">
        <v>58</v>
      </c>
      <c r="N4313" s="2">
        <v>0.74</v>
      </c>
      <c r="O4313" s="2">
        <v>0.26</v>
      </c>
      <c r="P4313">
        <v>12</v>
      </c>
      <c r="Q4313">
        <v>10</v>
      </c>
      <c r="R4313">
        <v>14</v>
      </c>
      <c r="S4313">
        <v>2</v>
      </c>
      <c r="T4313">
        <v>9</v>
      </c>
      <c r="U4313">
        <v>11</v>
      </c>
      <c r="V4313">
        <v>1</v>
      </c>
      <c r="W4313">
        <v>5</v>
      </c>
      <c r="X4313">
        <v>0</v>
      </c>
      <c r="Y4313">
        <v>1</v>
      </c>
      <c r="Z4313">
        <v>0</v>
      </c>
    </row>
    <row r="4314" spans="1:26" x14ac:dyDescent="0.2">
      <c r="A4314" t="s">
        <v>4432</v>
      </c>
      <c r="B4314" t="s">
        <v>76</v>
      </c>
      <c r="C4314">
        <v>2020</v>
      </c>
      <c r="D4314" t="s">
        <v>51</v>
      </c>
      <c r="E4314" t="s">
        <v>80</v>
      </c>
      <c r="F4314" t="s">
        <v>20</v>
      </c>
      <c r="G4314">
        <v>36284</v>
      </c>
      <c r="H4314">
        <v>2000</v>
      </c>
      <c r="I4314" s="13">
        <v>0.25</v>
      </c>
      <c r="J4314" t="s">
        <v>6207</v>
      </c>
      <c r="K4314">
        <v>0</v>
      </c>
      <c r="L4314">
        <v>2</v>
      </c>
      <c r="M4314" t="s">
        <v>1</v>
      </c>
      <c r="N4314" s="2">
        <v>0.56000000000000005</v>
      </c>
      <c r="O4314" s="2">
        <v>0.44</v>
      </c>
      <c r="P4314">
        <v>18</v>
      </c>
      <c r="Q4314">
        <v>16</v>
      </c>
      <c r="R4314">
        <v>5</v>
      </c>
      <c r="S4314">
        <v>3</v>
      </c>
      <c r="T4314">
        <v>15</v>
      </c>
      <c r="U4314">
        <v>14</v>
      </c>
      <c r="V4314">
        <v>2</v>
      </c>
      <c r="W4314">
        <v>2</v>
      </c>
      <c r="X4314">
        <v>0</v>
      </c>
      <c r="Y4314">
        <v>0</v>
      </c>
      <c r="Z4314">
        <v>1</v>
      </c>
    </row>
    <row r="4315" spans="1:26" x14ac:dyDescent="0.2">
      <c r="A4315" t="s">
        <v>4433</v>
      </c>
      <c r="B4315" t="s">
        <v>61</v>
      </c>
      <c r="C4315">
        <v>2020</v>
      </c>
      <c r="D4315" t="s">
        <v>48</v>
      </c>
      <c r="E4315" t="s">
        <v>33</v>
      </c>
      <c r="F4315" t="s">
        <v>49</v>
      </c>
      <c r="G4315">
        <v>74197</v>
      </c>
      <c r="H4315">
        <v>2000</v>
      </c>
      <c r="I4315" s="13">
        <v>0</v>
      </c>
      <c r="J4315" t="s">
        <v>6207</v>
      </c>
      <c r="K4315">
        <v>6</v>
      </c>
      <c r="L4315">
        <v>2</v>
      </c>
      <c r="M4315" t="s">
        <v>0</v>
      </c>
      <c r="N4315" s="2">
        <v>0.41</v>
      </c>
      <c r="O4315" s="2">
        <v>0.59</v>
      </c>
      <c r="P4315">
        <v>9</v>
      </c>
      <c r="Q4315">
        <v>8</v>
      </c>
      <c r="R4315">
        <v>11</v>
      </c>
      <c r="S4315">
        <v>13</v>
      </c>
      <c r="T4315">
        <v>6</v>
      </c>
      <c r="U4315">
        <v>6</v>
      </c>
      <c r="V4315">
        <v>1</v>
      </c>
      <c r="W4315">
        <v>0</v>
      </c>
      <c r="X4315">
        <v>0</v>
      </c>
      <c r="Y4315">
        <v>0</v>
      </c>
      <c r="Z4315">
        <v>1</v>
      </c>
    </row>
    <row r="4316" spans="1:26" x14ac:dyDescent="0.2">
      <c r="A4316" t="s">
        <v>4434</v>
      </c>
      <c r="B4316" t="s">
        <v>32</v>
      </c>
      <c r="C4316">
        <v>2020</v>
      </c>
      <c r="D4316" t="s">
        <v>63</v>
      </c>
      <c r="E4316" t="s">
        <v>42</v>
      </c>
      <c r="F4316" t="s">
        <v>65</v>
      </c>
      <c r="G4316">
        <v>26804</v>
      </c>
      <c r="H4316">
        <v>2000</v>
      </c>
      <c r="I4316" s="13">
        <v>0</v>
      </c>
      <c r="J4316" t="s">
        <v>6207</v>
      </c>
      <c r="K4316">
        <v>0</v>
      </c>
      <c r="L4316">
        <v>3</v>
      </c>
      <c r="M4316" t="s">
        <v>1</v>
      </c>
      <c r="N4316" s="2">
        <v>0.33</v>
      </c>
      <c r="O4316" s="2">
        <v>0.67</v>
      </c>
      <c r="P4316">
        <v>12</v>
      </c>
      <c r="Q4316">
        <v>14</v>
      </c>
      <c r="R4316">
        <v>1</v>
      </c>
      <c r="S4316">
        <v>7</v>
      </c>
      <c r="T4316">
        <v>14</v>
      </c>
      <c r="U4316">
        <v>8</v>
      </c>
      <c r="V4316">
        <v>1</v>
      </c>
      <c r="W4316">
        <v>2</v>
      </c>
      <c r="X4316">
        <v>1</v>
      </c>
      <c r="Y4316">
        <v>0</v>
      </c>
      <c r="Z4316">
        <v>1</v>
      </c>
    </row>
    <row r="4317" spans="1:26" x14ac:dyDescent="0.2">
      <c r="A4317" t="s">
        <v>4435</v>
      </c>
      <c r="B4317" t="s">
        <v>50</v>
      </c>
      <c r="C4317">
        <v>2020</v>
      </c>
      <c r="D4317" t="s">
        <v>28</v>
      </c>
      <c r="E4317" t="s">
        <v>22</v>
      </c>
      <c r="F4317" t="s">
        <v>28</v>
      </c>
      <c r="G4317">
        <v>21944</v>
      </c>
      <c r="H4317">
        <v>2000</v>
      </c>
      <c r="I4317" s="13">
        <v>0.66666666666666663</v>
      </c>
      <c r="J4317" t="s">
        <v>6207</v>
      </c>
      <c r="K4317">
        <v>2</v>
      </c>
      <c r="L4317">
        <v>1</v>
      </c>
      <c r="M4317" t="s">
        <v>0</v>
      </c>
      <c r="N4317" s="2">
        <v>0.36</v>
      </c>
      <c r="O4317" s="2">
        <v>0.64</v>
      </c>
      <c r="P4317">
        <v>17</v>
      </c>
      <c r="Q4317">
        <v>10</v>
      </c>
      <c r="R4317">
        <v>1</v>
      </c>
      <c r="S4317">
        <v>7</v>
      </c>
      <c r="T4317">
        <v>11</v>
      </c>
      <c r="U4317">
        <v>15</v>
      </c>
      <c r="V4317">
        <v>2</v>
      </c>
      <c r="W4317">
        <v>1</v>
      </c>
      <c r="X4317">
        <v>0</v>
      </c>
      <c r="Y4317">
        <v>0</v>
      </c>
      <c r="Z4317">
        <v>1</v>
      </c>
    </row>
    <row r="4318" spans="1:26" x14ac:dyDescent="0.2">
      <c r="A4318" t="s">
        <v>4436</v>
      </c>
      <c r="B4318" t="s">
        <v>88</v>
      </c>
      <c r="C4318">
        <v>2020</v>
      </c>
      <c r="D4318" t="s">
        <v>18</v>
      </c>
      <c r="E4318" t="s">
        <v>23</v>
      </c>
      <c r="F4318" t="s">
        <v>20</v>
      </c>
      <c r="G4318">
        <v>40341</v>
      </c>
      <c r="H4318">
        <v>2000</v>
      </c>
      <c r="I4318" s="13">
        <v>0</v>
      </c>
      <c r="J4318" t="s">
        <v>6207</v>
      </c>
      <c r="K4318">
        <v>3</v>
      </c>
      <c r="L4318">
        <v>0</v>
      </c>
      <c r="M4318" t="s">
        <v>0</v>
      </c>
      <c r="N4318" s="2">
        <v>0.54</v>
      </c>
      <c r="O4318" s="2">
        <v>0.46</v>
      </c>
      <c r="P4318">
        <v>10</v>
      </c>
      <c r="Q4318">
        <v>10</v>
      </c>
      <c r="R4318">
        <v>5</v>
      </c>
      <c r="S4318">
        <v>4</v>
      </c>
      <c r="T4318">
        <v>11</v>
      </c>
      <c r="U4318">
        <v>6</v>
      </c>
      <c r="V4318">
        <v>0</v>
      </c>
      <c r="W4318">
        <v>0</v>
      </c>
      <c r="X4318">
        <v>0</v>
      </c>
      <c r="Y4318">
        <v>0</v>
      </c>
      <c r="Z4318">
        <v>0</v>
      </c>
    </row>
    <row r="4319" spans="1:26" x14ac:dyDescent="0.2">
      <c r="A4319" t="s">
        <v>4437</v>
      </c>
      <c r="B4319" t="s">
        <v>41</v>
      </c>
      <c r="C4319">
        <v>2020</v>
      </c>
      <c r="D4319" t="s">
        <v>80</v>
      </c>
      <c r="E4319" t="s">
        <v>48</v>
      </c>
      <c r="F4319" t="s">
        <v>80</v>
      </c>
      <c r="G4319">
        <v>32261</v>
      </c>
      <c r="H4319">
        <v>2000</v>
      </c>
      <c r="I4319" s="13">
        <v>0.66666666666666663</v>
      </c>
      <c r="J4319" t="s">
        <v>6207</v>
      </c>
      <c r="K4319">
        <v>2</v>
      </c>
      <c r="L4319">
        <v>2</v>
      </c>
      <c r="M4319" t="s">
        <v>58</v>
      </c>
      <c r="N4319" s="2">
        <v>0.54</v>
      </c>
      <c r="O4319" s="2">
        <v>0.46</v>
      </c>
      <c r="P4319">
        <v>21</v>
      </c>
      <c r="Q4319">
        <v>12</v>
      </c>
      <c r="R4319">
        <v>5</v>
      </c>
      <c r="S4319">
        <v>0</v>
      </c>
      <c r="T4319">
        <v>10</v>
      </c>
      <c r="U4319">
        <v>17</v>
      </c>
      <c r="V4319">
        <v>2</v>
      </c>
      <c r="W4319">
        <v>1</v>
      </c>
      <c r="X4319">
        <v>0</v>
      </c>
      <c r="Y4319">
        <v>0</v>
      </c>
      <c r="Z4319">
        <v>0</v>
      </c>
    </row>
    <row r="4320" spans="1:26" x14ac:dyDescent="0.2">
      <c r="A4320" t="s">
        <v>4438</v>
      </c>
      <c r="B4320" t="s">
        <v>100</v>
      </c>
      <c r="C4320">
        <v>2020</v>
      </c>
      <c r="D4320" t="s">
        <v>31</v>
      </c>
      <c r="E4320" t="s">
        <v>73</v>
      </c>
      <c r="F4320" t="s">
        <v>20</v>
      </c>
      <c r="G4320">
        <v>28500</v>
      </c>
      <c r="H4320">
        <v>2000</v>
      </c>
      <c r="I4320" s="13">
        <v>1</v>
      </c>
      <c r="J4320" t="s">
        <v>6207</v>
      </c>
      <c r="K4320">
        <v>0</v>
      </c>
      <c r="L4320">
        <v>0</v>
      </c>
      <c r="M4320" t="s">
        <v>58</v>
      </c>
      <c r="N4320" s="2">
        <v>0.47</v>
      </c>
      <c r="O4320" s="2">
        <v>0.53</v>
      </c>
      <c r="P4320">
        <v>15</v>
      </c>
      <c r="Q4320">
        <v>34</v>
      </c>
      <c r="R4320">
        <v>6</v>
      </c>
      <c r="S4320">
        <v>3</v>
      </c>
      <c r="T4320">
        <v>15</v>
      </c>
      <c r="U4320">
        <v>12</v>
      </c>
      <c r="V4320">
        <v>2</v>
      </c>
      <c r="W4320">
        <v>0</v>
      </c>
      <c r="X4320">
        <v>0</v>
      </c>
      <c r="Y4320">
        <v>0</v>
      </c>
      <c r="Z4320">
        <v>0</v>
      </c>
    </row>
    <row r="4321" spans="1:26" x14ac:dyDescent="0.2">
      <c r="A4321" t="s">
        <v>4439</v>
      </c>
      <c r="B4321" t="s">
        <v>61</v>
      </c>
      <c r="C4321">
        <v>2020</v>
      </c>
      <c r="D4321" t="s">
        <v>42</v>
      </c>
      <c r="E4321" t="s">
        <v>79</v>
      </c>
      <c r="F4321" t="s">
        <v>38</v>
      </c>
      <c r="G4321">
        <v>42918</v>
      </c>
      <c r="H4321">
        <v>2000</v>
      </c>
      <c r="I4321" s="13">
        <v>0.2857142857142857</v>
      </c>
      <c r="J4321" t="s">
        <v>6207</v>
      </c>
      <c r="K4321">
        <v>3</v>
      </c>
      <c r="L4321">
        <v>0</v>
      </c>
      <c r="M4321" t="s">
        <v>0</v>
      </c>
      <c r="N4321" s="2">
        <v>0.39</v>
      </c>
      <c r="O4321" s="2">
        <v>0.61</v>
      </c>
      <c r="P4321">
        <v>19</v>
      </c>
      <c r="Q4321">
        <v>19</v>
      </c>
      <c r="R4321">
        <v>4</v>
      </c>
      <c r="S4321">
        <v>4</v>
      </c>
      <c r="T4321">
        <v>18</v>
      </c>
      <c r="U4321">
        <v>17</v>
      </c>
      <c r="V4321">
        <v>2</v>
      </c>
      <c r="W4321">
        <v>4</v>
      </c>
      <c r="X4321">
        <v>1</v>
      </c>
      <c r="Y4321">
        <v>0</v>
      </c>
      <c r="Z4321">
        <v>0</v>
      </c>
    </row>
    <row r="4322" spans="1:26" x14ac:dyDescent="0.2">
      <c r="A4322" t="s">
        <v>4440</v>
      </c>
      <c r="B4322" t="s">
        <v>66</v>
      </c>
      <c r="C4322">
        <v>2020</v>
      </c>
      <c r="D4322" t="s">
        <v>46</v>
      </c>
      <c r="E4322" t="s">
        <v>18</v>
      </c>
      <c r="F4322" t="s">
        <v>20</v>
      </c>
      <c r="G4322">
        <v>60704</v>
      </c>
      <c r="H4322">
        <v>2000</v>
      </c>
      <c r="I4322" s="13">
        <v>0.66666666666666663</v>
      </c>
      <c r="J4322" t="s">
        <v>6207</v>
      </c>
      <c r="K4322">
        <v>3</v>
      </c>
      <c r="L4322">
        <v>1</v>
      </c>
      <c r="M4322" t="s">
        <v>0</v>
      </c>
      <c r="N4322" s="2">
        <v>0.4</v>
      </c>
      <c r="O4322" s="2">
        <v>0.6</v>
      </c>
      <c r="P4322">
        <v>9</v>
      </c>
      <c r="Q4322">
        <v>13</v>
      </c>
      <c r="R4322">
        <v>7</v>
      </c>
      <c r="S4322">
        <v>9</v>
      </c>
      <c r="T4322">
        <v>13</v>
      </c>
      <c r="U4322">
        <v>10</v>
      </c>
      <c r="V4322">
        <v>2</v>
      </c>
      <c r="W4322">
        <v>1</v>
      </c>
      <c r="X4322">
        <v>0</v>
      </c>
      <c r="Y4322">
        <v>0</v>
      </c>
      <c r="Z4322">
        <v>2</v>
      </c>
    </row>
    <row r="4323" spans="1:26" x14ac:dyDescent="0.2">
      <c r="A4323" t="s">
        <v>4441</v>
      </c>
      <c r="B4323" t="s">
        <v>93</v>
      </c>
      <c r="C4323">
        <v>2020</v>
      </c>
      <c r="D4323" t="s">
        <v>95</v>
      </c>
      <c r="E4323" t="s">
        <v>45</v>
      </c>
      <c r="F4323" t="s">
        <v>57</v>
      </c>
      <c r="G4323">
        <v>32050</v>
      </c>
      <c r="H4323">
        <v>2000</v>
      </c>
      <c r="I4323" s="13">
        <v>0.33333333333333331</v>
      </c>
      <c r="J4323" t="s">
        <v>6206</v>
      </c>
      <c r="K4323">
        <v>0</v>
      </c>
      <c r="L4323">
        <v>1</v>
      </c>
      <c r="M4323" t="s">
        <v>1</v>
      </c>
      <c r="N4323" s="2">
        <v>0.44</v>
      </c>
      <c r="O4323" s="2">
        <v>0.56000000000000005</v>
      </c>
      <c r="P4323">
        <v>12</v>
      </c>
      <c r="Q4323">
        <v>11</v>
      </c>
      <c r="R4323">
        <v>5</v>
      </c>
      <c r="S4323">
        <v>3</v>
      </c>
      <c r="T4323">
        <v>11</v>
      </c>
      <c r="U4323">
        <v>10</v>
      </c>
      <c r="V4323">
        <v>2</v>
      </c>
      <c r="W4323">
        <v>4</v>
      </c>
      <c r="X4323">
        <v>0</v>
      </c>
      <c r="Y4323">
        <v>0</v>
      </c>
      <c r="Z4323">
        <v>0</v>
      </c>
    </row>
    <row r="4324" spans="1:26" x14ac:dyDescent="0.2">
      <c r="A4324" t="s">
        <v>4442</v>
      </c>
      <c r="B4324" t="s">
        <v>37</v>
      </c>
      <c r="C4324">
        <v>2020</v>
      </c>
      <c r="D4324" t="s">
        <v>40</v>
      </c>
      <c r="E4324" t="s">
        <v>64</v>
      </c>
      <c r="F4324" t="s">
        <v>49</v>
      </c>
      <c r="G4324">
        <v>53400</v>
      </c>
      <c r="H4324">
        <v>2000</v>
      </c>
      <c r="I4324" s="13">
        <v>0.75</v>
      </c>
      <c r="J4324" t="s">
        <v>6206</v>
      </c>
      <c r="K4324">
        <v>2</v>
      </c>
      <c r="L4324">
        <v>0</v>
      </c>
      <c r="M4324" t="s">
        <v>0</v>
      </c>
      <c r="N4324" s="2">
        <v>0.75</v>
      </c>
      <c r="O4324" s="2">
        <v>0.25</v>
      </c>
      <c r="P4324">
        <v>15</v>
      </c>
      <c r="Q4324">
        <v>6</v>
      </c>
      <c r="R4324">
        <v>7</v>
      </c>
      <c r="S4324">
        <v>3</v>
      </c>
      <c r="T4324">
        <v>5</v>
      </c>
      <c r="U4324">
        <v>12</v>
      </c>
      <c r="V4324">
        <v>2</v>
      </c>
      <c r="W4324">
        <v>2</v>
      </c>
      <c r="X4324">
        <v>0</v>
      </c>
      <c r="Y4324">
        <v>0</v>
      </c>
      <c r="Z4324">
        <v>0</v>
      </c>
    </row>
    <row r="4325" spans="1:26" x14ac:dyDescent="0.2">
      <c r="A4325" t="s">
        <v>4443</v>
      </c>
      <c r="B4325" t="s">
        <v>99</v>
      </c>
      <c r="C4325">
        <v>2020</v>
      </c>
      <c r="D4325" t="s">
        <v>33</v>
      </c>
      <c r="E4325" t="s">
        <v>28</v>
      </c>
      <c r="F4325" t="s">
        <v>33</v>
      </c>
      <c r="G4325">
        <v>37645</v>
      </c>
      <c r="H4325">
        <v>2000</v>
      </c>
      <c r="I4325" s="13">
        <v>0</v>
      </c>
      <c r="J4325" t="s">
        <v>6207</v>
      </c>
      <c r="K4325">
        <v>1</v>
      </c>
      <c r="L4325">
        <v>0</v>
      </c>
      <c r="M4325" t="s">
        <v>0</v>
      </c>
      <c r="N4325" s="2">
        <v>0.52</v>
      </c>
      <c r="O4325" s="2">
        <v>0.48</v>
      </c>
      <c r="P4325">
        <v>14</v>
      </c>
      <c r="Q4325">
        <v>11</v>
      </c>
      <c r="R4325">
        <v>4</v>
      </c>
      <c r="S4325">
        <v>12</v>
      </c>
      <c r="T4325">
        <v>8</v>
      </c>
      <c r="U4325">
        <v>13</v>
      </c>
      <c r="V4325">
        <v>0</v>
      </c>
      <c r="W4325">
        <v>3</v>
      </c>
      <c r="X4325">
        <v>0</v>
      </c>
      <c r="Y4325">
        <v>0</v>
      </c>
      <c r="Z4325">
        <v>1</v>
      </c>
    </row>
    <row r="4326" spans="1:26" x14ac:dyDescent="0.2">
      <c r="A4326" t="s">
        <v>4444</v>
      </c>
      <c r="B4326" t="s">
        <v>84</v>
      </c>
      <c r="C4326">
        <v>2020</v>
      </c>
      <c r="D4326" t="s">
        <v>23</v>
      </c>
      <c r="E4326" t="s">
        <v>90</v>
      </c>
      <c r="F4326" t="s">
        <v>20</v>
      </c>
      <c r="G4326">
        <v>62500</v>
      </c>
      <c r="H4326">
        <v>2000</v>
      </c>
      <c r="I4326" s="13">
        <v>0</v>
      </c>
      <c r="J4326" t="s">
        <v>6208</v>
      </c>
      <c r="K4326">
        <v>2</v>
      </c>
      <c r="L4326">
        <v>2</v>
      </c>
      <c r="M4326" t="s">
        <v>58</v>
      </c>
      <c r="N4326" s="2">
        <v>0.43</v>
      </c>
      <c r="O4326" s="2">
        <v>0.56999999999999995</v>
      </c>
      <c r="P4326">
        <v>9</v>
      </c>
      <c r="Q4326">
        <v>8</v>
      </c>
      <c r="R4326">
        <v>5</v>
      </c>
      <c r="S4326">
        <v>4</v>
      </c>
      <c r="T4326">
        <v>6</v>
      </c>
      <c r="U4326">
        <v>8</v>
      </c>
      <c r="V4326">
        <v>0</v>
      </c>
      <c r="W4326">
        <v>0</v>
      </c>
      <c r="X4326">
        <v>0</v>
      </c>
      <c r="Y4326">
        <v>0</v>
      </c>
      <c r="Z4326">
        <v>0</v>
      </c>
    </row>
    <row r="4327" spans="1:26" x14ac:dyDescent="0.2">
      <c r="A4327" t="s">
        <v>4445</v>
      </c>
      <c r="B4327" t="s">
        <v>60</v>
      </c>
      <c r="C4327">
        <v>2020</v>
      </c>
      <c r="D4327" t="s">
        <v>26</v>
      </c>
      <c r="E4327" t="s">
        <v>63</v>
      </c>
      <c r="F4327" t="s">
        <v>26</v>
      </c>
      <c r="G4327">
        <v>61276</v>
      </c>
      <c r="H4327">
        <v>2000</v>
      </c>
      <c r="I4327" s="13">
        <v>0.5</v>
      </c>
      <c r="J4327" t="s">
        <v>6208</v>
      </c>
      <c r="K4327">
        <v>1</v>
      </c>
      <c r="L4327">
        <v>1</v>
      </c>
      <c r="M4327" t="s">
        <v>58</v>
      </c>
      <c r="N4327" s="2">
        <v>0.78</v>
      </c>
      <c r="O4327" s="2">
        <v>0.22</v>
      </c>
      <c r="P4327">
        <v>10</v>
      </c>
      <c r="Q4327">
        <v>9</v>
      </c>
      <c r="R4327">
        <v>7</v>
      </c>
      <c r="S4327">
        <v>3</v>
      </c>
      <c r="T4327">
        <v>8</v>
      </c>
      <c r="U4327">
        <v>5</v>
      </c>
      <c r="V4327">
        <v>1</v>
      </c>
      <c r="W4327">
        <v>1</v>
      </c>
      <c r="X4327">
        <v>0</v>
      </c>
      <c r="Y4327">
        <v>0</v>
      </c>
      <c r="Z4327">
        <v>0</v>
      </c>
    </row>
    <row r="4328" spans="1:26" x14ac:dyDescent="0.2">
      <c r="A4328" t="s">
        <v>4446</v>
      </c>
      <c r="B4328" t="s">
        <v>81</v>
      </c>
      <c r="C4328">
        <v>2020</v>
      </c>
      <c r="D4328" t="s">
        <v>22</v>
      </c>
      <c r="E4328" t="s">
        <v>51</v>
      </c>
      <c r="F4328" t="s">
        <v>24</v>
      </c>
      <c r="G4328">
        <v>31750</v>
      </c>
      <c r="H4328">
        <v>2000</v>
      </c>
      <c r="I4328" s="13">
        <v>0.6</v>
      </c>
      <c r="J4328" t="s">
        <v>6207</v>
      </c>
      <c r="K4328">
        <v>1</v>
      </c>
      <c r="L4328">
        <v>1</v>
      </c>
      <c r="M4328" t="s">
        <v>58</v>
      </c>
      <c r="N4328" s="2">
        <v>0.55000000000000004</v>
      </c>
      <c r="O4328" s="2">
        <v>0.45</v>
      </c>
      <c r="P4328">
        <v>12</v>
      </c>
      <c r="Q4328">
        <v>22</v>
      </c>
      <c r="R4328">
        <v>9</v>
      </c>
      <c r="S4328">
        <v>2</v>
      </c>
      <c r="T4328">
        <v>20</v>
      </c>
      <c r="U4328">
        <v>13</v>
      </c>
      <c r="V4328">
        <v>4</v>
      </c>
      <c r="W4328">
        <v>1</v>
      </c>
      <c r="X4328">
        <v>0</v>
      </c>
      <c r="Y4328">
        <v>0</v>
      </c>
      <c r="Z4328">
        <v>0</v>
      </c>
    </row>
    <row r="4329" spans="1:26" x14ac:dyDescent="0.2">
      <c r="A4329" t="s">
        <v>4447</v>
      </c>
      <c r="B4329" t="s">
        <v>83</v>
      </c>
      <c r="C4329">
        <v>2020</v>
      </c>
      <c r="D4329" t="s">
        <v>79</v>
      </c>
      <c r="E4329" t="s">
        <v>80</v>
      </c>
      <c r="F4329" t="s">
        <v>20</v>
      </c>
      <c r="G4329">
        <v>25486</v>
      </c>
      <c r="H4329">
        <v>2000</v>
      </c>
      <c r="I4329" s="13">
        <v>1</v>
      </c>
      <c r="J4329" t="s">
        <v>6208</v>
      </c>
      <c r="K4329">
        <v>1</v>
      </c>
      <c r="L4329">
        <v>1</v>
      </c>
      <c r="M4329" t="s">
        <v>58</v>
      </c>
      <c r="N4329" s="2">
        <v>0.33</v>
      </c>
      <c r="O4329" s="2">
        <v>0.67</v>
      </c>
      <c r="P4329">
        <v>9</v>
      </c>
      <c r="Q4329">
        <v>12</v>
      </c>
      <c r="R4329">
        <v>2</v>
      </c>
      <c r="S4329">
        <v>5</v>
      </c>
      <c r="T4329">
        <v>10</v>
      </c>
      <c r="U4329">
        <v>7</v>
      </c>
      <c r="V4329">
        <v>0</v>
      </c>
      <c r="W4329">
        <v>1</v>
      </c>
      <c r="X4329">
        <v>0</v>
      </c>
      <c r="Y4329">
        <v>0</v>
      </c>
      <c r="Z4329">
        <v>1</v>
      </c>
    </row>
    <row r="4330" spans="1:26" x14ac:dyDescent="0.2">
      <c r="A4330" t="s">
        <v>4448</v>
      </c>
      <c r="B4330" t="s">
        <v>59</v>
      </c>
      <c r="C4330">
        <v>2020</v>
      </c>
      <c r="D4330" t="s">
        <v>18</v>
      </c>
      <c r="E4330" t="s">
        <v>42</v>
      </c>
      <c r="F4330" t="s">
        <v>20</v>
      </c>
      <c r="G4330">
        <v>40341</v>
      </c>
      <c r="H4330">
        <v>2000</v>
      </c>
      <c r="I4330" s="13">
        <v>0.75</v>
      </c>
      <c r="J4330" t="s">
        <v>6206</v>
      </c>
      <c r="K4330">
        <v>1</v>
      </c>
      <c r="L4330">
        <v>1</v>
      </c>
      <c r="M4330" t="s">
        <v>58</v>
      </c>
      <c r="N4330" s="2">
        <v>0.63</v>
      </c>
      <c r="O4330" s="2">
        <v>0.37</v>
      </c>
      <c r="P4330">
        <v>5</v>
      </c>
      <c r="Q4330">
        <v>17</v>
      </c>
      <c r="R4330">
        <v>11</v>
      </c>
      <c r="S4330">
        <v>4</v>
      </c>
      <c r="T4330">
        <v>16</v>
      </c>
      <c r="U4330">
        <v>3</v>
      </c>
      <c r="V4330">
        <v>3</v>
      </c>
      <c r="W4330">
        <v>1</v>
      </c>
      <c r="X4330">
        <v>0</v>
      </c>
      <c r="Y4330">
        <v>0</v>
      </c>
      <c r="Z4330">
        <v>0</v>
      </c>
    </row>
    <row r="4331" spans="1:26" x14ac:dyDescent="0.2">
      <c r="A4331" t="s">
        <v>4449</v>
      </c>
      <c r="B4331" t="s">
        <v>50</v>
      </c>
      <c r="C4331">
        <v>2020</v>
      </c>
      <c r="D4331" t="s">
        <v>63</v>
      </c>
      <c r="E4331" t="s">
        <v>33</v>
      </c>
      <c r="F4331" t="s">
        <v>65</v>
      </c>
      <c r="G4331">
        <v>26804</v>
      </c>
      <c r="H4331">
        <v>2000</v>
      </c>
      <c r="I4331" s="13">
        <v>1</v>
      </c>
      <c r="J4331" t="s">
        <v>6207</v>
      </c>
      <c r="K4331">
        <v>0</v>
      </c>
      <c r="L4331">
        <v>5</v>
      </c>
      <c r="M4331" t="s">
        <v>1</v>
      </c>
      <c r="N4331" s="2">
        <v>0.25</v>
      </c>
      <c r="O4331" s="2">
        <v>0.75</v>
      </c>
      <c r="P4331">
        <v>11</v>
      </c>
      <c r="Q4331">
        <v>8</v>
      </c>
      <c r="R4331">
        <v>3</v>
      </c>
      <c r="S4331">
        <v>10</v>
      </c>
      <c r="T4331">
        <v>6</v>
      </c>
      <c r="U4331">
        <v>10</v>
      </c>
      <c r="V4331">
        <v>0</v>
      </c>
      <c r="W4331">
        <v>1</v>
      </c>
      <c r="X4331">
        <v>0</v>
      </c>
      <c r="Y4331">
        <v>0</v>
      </c>
      <c r="Z4331">
        <v>0</v>
      </c>
    </row>
    <row r="4332" spans="1:26" x14ac:dyDescent="0.2">
      <c r="A4332" t="s">
        <v>4450</v>
      </c>
      <c r="B4332" t="s">
        <v>92</v>
      </c>
      <c r="C4332">
        <v>2020</v>
      </c>
      <c r="D4332" t="s">
        <v>73</v>
      </c>
      <c r="E4332" t="s">
        <v>23</v>
      </c>
      <c r="F4332" t="s">
        <v>73</v>
      </c>
      <c r="G4332">
        <v>32384</v>
      </c>
      <c r="H4332">
        <v>2000</v>
      </c>
      <c r="I4332" s="13">
        <v>0.5</v>
      </c>
      <c r="J4332" t="s">
        <v>6207</v>
      </c>
      <c r="K4332">
        <v>0</v>
      </c>
      <c r="L4332">
        <v>0</v>
      </c>
      <c r="M4332" t="s">
        <v>58</v>
      </c>
      <c r="N4332" s="2">
        <v>0.63</v>
      </c>
      <c r="O4332" s="2">
        <v>0.37</v>
      </c>
      <c r="P4332">
        <v>16</v>
      </c>
      <c r="Q4332">
        <v>18</v>
      </c>
      <c r="R4332">
        <v>4</v>
      </c>
      <c r="S4332">
        <v>3</v>
      </c>
      <c r="T4332">
        <v>16</v>
      </c>
      <c r="U4332">
        <v>15</v>
      </c>
      <c r="V4332">
        <v>3</v>
      </c>
      <c r="W4332">
        <v>1</v>
      </c>
      <c r="X4332">
        <v>0</v>
      </c>
      <c r="Y4332">
        <v>0</v>
      </c>
      <c r="Z4332">
        <v>0</v>
      </c>
    </row>
    <row r="4333" spans="1:26" x14ac:dyDescent="0.2">
      <c r="A4333" t="s">
        <v>4451</v>
      </c>
      <c r="B4333" t="s">
        <v>88</v>
      </c>
      <c r="C4333">
        <v>2020</v>
      </c>
      <c r="D4333" t="s">
        <v>28</v>
      </c>
      <c r="E4333" t="s">
        <v>95</v>
      </c>
      <c r="F4333" t="s">
        <v>28</v>
      </c>
      <c r="G4333">
        <v>21944</v>
      </c>
      <c r="H4333">
        <v>2000</v>
      </c>
      <c r="I4333" s="13">
        <v>0.33333333333333331</v>
      </c>
      <c r="J4333" t="s">
        <v>6207</v>
      </c>
      <c r="K4333">
        <v>1</v>
      </c>
      <c r="L4333">
        <v>0</v>
      </c>
      <c r="M4333" t="s">
        <v>0</v>
      </c>
      <c r="N4333" s="2">
        <v>0.37</v>
      </c>
      <c r="O4333" s="2">
        <v>0.63</v>
      </c>
      <c r="P4333">
        <v>20</v>
      </c>
      <c r="Q4333">
        <v>14</v>
      </c>
      <c r="R4333">
        <v>3</v>
      </c>
      <c r="S4333">
        <v>5</v>
      </c>
      <c r="T4333">
        <v>13</v>
      </c>
      <c r="U4333">
        <v>17</v>
      </c>
      <c r="V4333">
        <v>1</v>
      </c>
      <c r="W4333">
        <v>2</v>
      </c>
      <c r="X4333">
        <v>0</v>
      </c>
      <c r="Y4333">
        <v>0</v>
      </c>
      <c r="Z4333">
        <v>0</v>
      </c>
    </row>
    <row r="4334" spans="1:26" x14ac:dyDescent="0.2">
      <c r="A4334" t="s">
        <v>4452</v>
      </c>
      <c r="B4334" t="s">
        <v>32</v>
      </c>
      <c r="C4334">
        <v>2020</v>
      </c>
      <c r="D4334" t="s">
        <v>90</v>
      </c>
      <c r="E4334" t="s">
        <v>46</v>
      </c>
      <c r="F4334" t="s">
        <v>91</v>
      </c>
      <c r="G4334">
        <v>31876</v>
      </c>
      <c r="H4334">
        <v>2000</v>
      </c>
      <c r="I4334" s="13">
        <v>0.5</v>
      </c>
      <c r="J4334" t="s">
        <v>6207</v>
      </c>
      <c r="K4334">
        <v>0</v>
      </c>
      <c r="L4334">
        <v>1</v>
      </c>
      <c r="M4334" t="s">
        <v>1</v>
      </c>
      <c r="N4334" s="2">
        <v>0.5</v>
      </c>
      <c r="O4334" s="2">
        <v>0.5</v>
      </c>
      <c r="P4334">
        <v>4</v>
      </c>
      <c r="Q4334">
        <v>11</v>
      </c>
      <c r="R4334">
        <v>5</v>
      </c>
      <c r="S4334">
        <v>4</v>
      </c>
      <c r="T4334">
        <v>11</v>
      </c>
      <c r="U4334">
        <v>4</v>
      </c>
      <c r="V4334">
        <v>2</v>
      </c>
      <c r="W4334">
        <v>0</v>
      </c>
      <c r="X4334">
        <v>0</v>
      </c>
      <c r="Y4334">
        <v>0</v>
      </c>
      <c r="Z4334">
        <v>0</v>
      </c>
    </row>
    <row r="4335" spans="1:26" x14ac:dyDescent="0.2">
      <c r="A4335" t="s">
        <v>4453</v>
      </c>
      <c r="B4335" t="s">
        <v>68</v>
      </c>
      <c r="C4335">
        <v>2020</v>
      </c>
      <c r="D4335" t="s">
        <v>48</v>
      </c>
      <c r="E4335" t="s">
        <v>22</v>
      </c>
      <c r="F4335" t="s">
        <v>49</v>
      </c>
      <c r="G4335">
        <v>74197</v>
      </c>
      <c r="H4335">
        <v>2000</v>
      </c>
      <c r="I4335" s="13">
        <v>0.5</v>
      </c>
      <c r="J4335" t="s">
        <v>6207</v>
      </c>
      <c r="K4335">
        <v>1</v>
      </c>
      <c r="L4335">
        <v>0</v>
      </c>
      <c r="M4335" t="s">
        <v>0</v>
      </c>
      <c r="N4335" s="2">
        <v>0.57999999999999996</v>
      </c>
      <c r="O4335" s="2">
        <v>0.42</v>
      </c>
      <c r="P4335">
        <v>9</v>
      </c>
      <c r="Q4335">
        <v>14</v>
      </c>
      <c r="R4335">
        <v>2</v>
      </c>
      <c r="S4335">
        <v>2</v>
      </c>
      <c r="T4335">
        <v>11</v>
      </c>
      <c r="U4335">
        <v>7</v>
      </c>
      <c r="V4335">
        <v>1</v>
      </c>
      <c r="W4335">
        <v>1</v>
      </c>
      <c r="X4335">
        <v>0</v>
      </c>
      <c r="Y4335">
        <v>0</v>
      </c>
      <c r="Z4335">
        <v>0</v>
      </c>
    </row>
    <row r="4336" spans="1:26" x14ac:dyDescent="0.2">
      <c r="A4336" t="s">
        <v>4454</v>
      </c>
      <c r="B4336" t="s">
        <v>81</v>
      </c>
      <c r="C4336">
        <v>2020</v>
      </c>
      <c r="D4336" t="s">
        <v>64</v>
      </c>
      <c r="E4336" t="s">
        <v>26</v>
      </c>
      <c r="F4336" t="s">
        <v>64</v>
      </c>
      <c r="G4336">
        <v>52264</v>
      </c>
      <c r="H4336">
        <v>2000</v>
      </c>
      <c r="I4336" s="13">
        <v>0.6</v>
      </c>
      <c r="J4336" t="s">
        <v>6207</v>
      </c>
      <c r="K4336">
        <v>0</v>
      </c>
      <c r="L4336">
        <v>0</v>
      </c>
      <c r="M4336" t="s">
        <v>58</v>
      </c>
      <c r="N4336" s="2">
        <v>0.27</v>
      </c>
      <c r="O4336" s="2">
        <v>0.73</v>
      </c>
      <c r="P4336">
        <v>17</v>
      </c>
      <c r="Q4336">
        <v>11</v>
      </c>
      <c r="R4336">
        <v>5</v>
      </c>
      <c r="S4336">
        <v>12</v>
      </c>
      <c r="T4336">
        <v>9</v>
      </c>
      <c r="U4336">
        <v>13</v>
      </c>
      <c r="V4336">
        <v>2</v>
      </c>
      <c r="W4336">
        <v>3</v>
      </c>
      <c r="X4336">
        <v>0</v>
      </c>
      <c r="Y4336">
        <v>0</v>
      </c>
      <c r="Z4336">
        <v>0</v>
      </c>
    </row>
    <row r="4337" spans="1:26" x14ac:dyDescent="0.2">
      <c r="A4337" t="s">
        <v>4455</v>
      </c>
      <c r="B4337" t="s">
        <v>60</v>
      </c>
      <c r="C4337">
        <v>2020</v>
      </c>
      <c r="D4337" t="s">
        <v>45</v>
      </c>
      <c r="E4337" t="s">
        <v>23</v>
      </c>
      <c r="F4337" t="s">
        <v>26</v>
      </c>
      <c r="G4337">
        <v>39572</v>
      </c>
      <c r="H4337">
        <v>2000</v>
      </c>
      <c r="I4337" s="13">
        <v>0</v>
      </c>
      <c r="J4337" t="s">
        <v>6208</v>
      </c>
      <c r="K4337">
        <v>0</v>
      </c>
      <c r="L4337">
        <v>1</v>
      </c>
      <c r="M4337" t="s">
        <v>1</v>
      </c>
      <c r="N4337" s="2">
        <v>0.6</v>
      </c>
      <c r="O4337" s="2">
        <v>0.4</v>
      </c>
      <c r="P4337">
        <v>7</v>
      </c>
      <c r="Q4337">
        <v>11</v>
      </c>
      <c r="R4337">
        <v>5</v>
      </c>
      <c r="S4337">
        <v>4</v>
      </c>
      <c r="T4337">
        <v>9</v>
      </c>
      <c r="U4337">
        <v>7</v>
      </c>
      <c r="V4337">
        <v>2</v>
      </c>
      <c r="W4337">
        <v>0</v>
      </c>
      <c r="X4337">
        <v>0</v>
      </c>
      <c r="Y4337">
        <v>0</v>
      </c>
      <c r="Z4337">
        <v>0</v>
      </c>
    </row>
    <row r="4338" spans="1:26" x14ac:dyDescent="0.2">
      <c r="A4338" t="s">
        <v>4456</v>
      </c>
      <c r="B4338" t="s">
        <v>66</v>
      </c>
      <c r="C4338">
        <v>2020</v>
      </c>
      <c r="D4338" t="s">
        <v>48</v>
      </c>
      <c r="E4338" t="s">
        <v>42</v>
      </c>
      <c r="F4338" t="s">
        <v>49</v>
      </c>
      <c r="G4338">
        <v>74197</v>
      </c>
      <c r="H4338">
        <v>2000</v>
      </c>
      <c r="I4338" s="13">
        <v>0.5</v>
      </c>
      <c r="J4338" t="s">
        <v>6207</v>
      </c>
      <c r="K4338">
        <v>2</v>
      </c>
      <c r="L4338">
        <v>1</v>
      </c>
      <c r="M4338" t="s">
        <v>0</v>
      </c>
      <c r="N4338" s="2">
        <v>0.49</v>
      </c>
      <c r="O4338" s="2">
        <v>0.51</v>
      </c>
      <c r="P4338">
        <v>10</v>
      </c>
      <c r="Q4338">
        <v>24</v>
      </c>
      <c r="R4338">
        <v>5</v>
      </c>
      <c r="S4338">
        <v>10</v>
      </c>
      <c r="T4338">
        <v>22</v>
      </c>
      <c r="U4338">
        <v>10</v>
      </c>
      <c r="V4338">
        <v>4</v>
      </c>
      <c r="W4338">
        <v>0</v>
      </c>
      <c r="X4338">
        <v>0</v>
      </c>
      <c r="Y4338">
        <v>0</v>
      </c>
      <c r="Z4338">
        <v>1</v>
      </c>
    </row>
    <row r="4339" spans="1:26" x14ac:dyDescent="0.2">
      <c r="A4339" t="s">
        <v>4457</v>
      </c>
      <c r="B4339" t="s">
        <v>93</v>
      </c>
      <c r="C4339">
        <v>2020</v>
      </c>
      <c r="D4339" t="s">
        <v>51</v>
      </c>
      <c r="E4339" t="s">
        <v>33</v>
      </c>
      <c r="F4339" t="s">
        <v>20</v>
      </c>
      <c r="G4339">
        <v>36284</v>
      </c>
      <c r="H4339">
        <v>2000</v>
      </c>
      <c r="I4339" s="13">
        <v>0.4</v>
      </c>
      <c r="J4339" t="s">
        <v>6206</v>
      </c>
      <c r="K4339">
        <v>3</v>
      </c>
      <c r="L4339">
        <v>0</v>
      </c>
      <c r="M4339" t="s">
        <v>0</v>
      </c>
      <c r="N4339" s="2">
        <v>0.37</v>
      </c>
      <c r="O4339" s="2">
        <v>0.63</v>
      </c>
      <c r="P4339">
        <v>13</v>
      </c>
      <c r="Q4339">
        <v>15</v>
      </c>
      <c r="R4339">
        <v>3</v>
      </c>
      <c r="S4339">
        <v>5</v>
      </c>
      <c r="T4339">
        <v>15</v>
      </c>
      <c r="U4339">
        <v>13</v>
      </c>
      <c r="V4339">
        <v>3</v>
      </c>
      <c r="W4339">
        <v>1</v>
      </c>
      <c r="X4339">
        <v>1</v>
      </c>
      <c r="Y4339">
        <v>0</v>
      </c>
      <c r="Z4339">
        <v>1</v>
      </c>
    </row>
    <row r="4340" spans="1:26" x14ac:dyDescent="0.2">
      <c r="A4340" t="s">
        <v>4458</v>
      </c>
      <c r="B4340" t="s">
        <v>59</v>
      </c>
      <c r="C4340">
        <v>2020</v>
      </c>
      <c r="D4340" t="s">
        <v>79</v>
      </c>
      <c r="E4340" t="s">
        <v>95</v>
      </c>
      <c r="F4340" t="s">
        <v>20</v>
      </c>
      <c r="G4340">
        <v>25486</v>
      </c>
      <c r="H4340">
        <v>2000</v>
      </c>
      <c r="I4340" s="13">
        <v>0</v>
      </c>
      <c r="J4340" t="s">
        <v>6206</v>
      </c>
      <c r="K4340">
        <v>2</v>
      </c>
      <c r="L4340">
        <v>0</v>
      </c>
      <c r="M4340" t="s">
        <v>0</v>
      </c>
      <c r="N4340" s="2">
        <v>0.44</v>
      </c>
      <c r="O4340" s="2">
        <v>0.56000000000000005</v>
      </c>
      <c r="P4340">
        <v>21</v>
      </c>
      <c r="Q4340">
        <v>8</v>
      </c>
      <c r="R4340">
        <v>3</v>
      </c>
      <c r="S4340">
        <v>6</v>
      </c>
      <c r="T4340">
        <v>8</v>
      </c>
      <c r="U4340">
        <v>18</v>
      </c>
      <c r="V4340">
        <v>1</v>
      </c>
      <c r="W4340">
        <v>3</v>
      </c>
      <c r="X4340">
        <v>0</v>
      </c>
      <c r="Y4340">
        <v>0</v>
      </c>
      <c r="Z4340">
        <v>0</v>
      </c>
    </row>
    <row r="4341" spans="1:26" x14ac:dyDescent="0.2">
      <c r="A4341" t="s">
        <v>4459</v>
      </c>
      <c r="B4341" t="s">
        <v>92</v>
      </c>
      <c r="C4341">
        <v>2020</v>
      </c>
      <c r="D4341" t="s">
        <v>90</v>
      </c>
      <c r="E4341" t="s">
        <v>22</v>
      </c>
      <c r="F4341" t="s">
        <v>91</v>
      </c>
      <c r="G4341">
        <v>31876</v>
      </c>
      <c r="H4341">
        <v>2000</v>
      </c>
      <c r="I4341" s="13">
        <v>0.66666666666666663</v>
      </c>
      <c r="J4341" t="s">
        <v>6207</v>
      </c>
      <c r="K4341">
        <v>3</v>
      </c>
      <c r="L4341">
        <v>3</v>
      </c>
      <c r="M4341" t="s">
        <v>58</v>
      </c>
      <c r="N4341" s="2">
        <v>0.54</v>
      </c>
      <c r="O4341" s="2">
        <v>0.46</v>
      </c>
      <c r="P4341">
        <v>7</v>
      </c>
      <c r="Q4341">
        <v>13</v>
      </c>
      <c r="R4341">
        <v>5</v>
      </c>
      <c r="S4341">
        <v>7</v>
      </c>
      <c r="T4341">
        <v>13</v>
      </c>
      <c r="U4341">
        <v>8</v>
      </c>
      <c r="V4341">
        <v>2</v>
      </c>
      <c r="W4341">
        <v>1</v>
      </c>
      <c r="X4341">
        <v>0</v>
      </c>
      <c r="Y4341">
        <v>0</v>
      </c>
      <c r="Z4341">
        <v>2</v>
      </c>
    </row>
    <row r="4342" spans="1:26" x14ac:dyDescent="0.2">
      <c r="A4342" t="s">
        <v>4460</v>
      </c>
      <c r="B4342" t="s">
        <v>32</v>
      </c>
      <c r="C4342">
        <v>2020</v>
      </c>
      <c r="D4342" t="s">
        <v>63</v>
      </c>
      <c r="E4342" t="s">
        <v>46</v>
      </c>
      <c r="F4342" t="s">
        <v>65</v>
      </c>
      <c r="G4342">
        <v>26804</v>
      </c>
      <c r="H4342">
        <v>2000</v>
      </c>
      <c r="I4342" s="13">
        <v>0.66666666666666663</v>
      </c>
      <c r="J4342" t="s">
        <v>6207</v>
      </c>
      <c r="K4342">
        <v>0</v>
      </c>
      <c r="L4342">
        <v>4</v>
      </c>
      <c r="M4342" t="s">
        <v>1</v>
      </c>
      <c r="N4342" s="2">
        <v>0.38</v>
      </c>
      <c r="O4342" s="2">
        <v>0.62</v>
      </c>
      <c r="P4342">
        <v>6</v>
      </c>
      <c r="Q4342">
        <v>10</v>
      </c>
      <c r="R4342">
        <v>3</v>
      </c>
      <c r="S4342">
        <v>5</v>
      </c>
      <c r="T4342">
        <v>7</v>
      </c>
      <c r="U4342">
        <v>4</v>
      </c>
      <c r="V4342">
        <v>1</v>
      </c>
      <c r="W4342">
        <v>2</v>
      </c>
      <c r="X4342">
        <v>0</v>
      </c>
      <c r="Y4342">
        <v>0</v>
      </c>
      <c r="Z4342">
        <v>0</v>
      </c>
    </row>
    <row r="4343" spans="1:26" x14ac:dyDescent="0.2">
      <c r="A4343" t="s">
        <v>4461</v>
      </c>
      <c r="B4343" t="s">
        <v>99</v>
      </c>
      <c r="C4343">
        <v>2020</v>
      </c>
      <c r="D4343" t="s">
        <v>64</v>
      </c>
      <c r="E4343" t="s">
        <v>80</v>
      </c>
      <c r="F4343" t="s">
        <v>64</v>
      </c>
      <c r="G4343">
        <v>52264</v>
      </c>
      <c r="H4343">
        <v>2000</v>
      </c>
      <c r="I4343" s="13">
        <v>0.5</v>
      </c>
      <c r="J4343" t="s">
        <v>6207</v>
      </c>
      <c r="K4343">
        <v>1</v>
      </c>
      <c r="L4343">
        <v>2</v>
      </c>
      <c r="M4343" t="s">
        <v>1</v>
      </c>
      <c r="N4343" s="2">
        <v>0.43</v>
      </c>
      <c r="O4343" s="2">
        <v>0.56999999999999995</v>
      </c>
      <c r="P4343">
        <v>13</v>
      </c>
      <c r="Q4343">
        <v>13</v>
      </c>
      <c r="R4343">
        <v>3</v>
      </c>
      <c r="S4343">
        <v>6</v>
      </c>
      <c r="T4343">
        <v>10</v>
      </c>
      <c r="U4343">
        <v>11</v>
      </c>
      <c r="V4343">
        <v>0</v>
      </c>
      <c r="W4343">
        <v>2</v>
      </c>
      <c r="X4343">
        <v>0</v>
      </c>
      <c r="Y4343">
        <v>0</v>
      </c>
      <c r="Z4343">
        <v>0</v>
      </c>
    </row>
    <row r="4344" spans="1:26" x14ac:dyDescent="0.2">
      <c r="A4344" t="s">
        <v>4462</v>
      </c>
      <c r="B4344" t="s">
        <v>61</v>
      </c>
      <c r="C4344">
        <v>2020</v>
      </c>
      <c r="D4344" t="s">
        <v>18</v>
      </c>
      <c r="E4344" t="s">
        <v>40</v>
      </c>
      <c r="F4344" t="s">
        <v>20</v>
      </c>
      <c r="G4344">
        <v>40341</v>
      </c>
      <c r="H4344">
        <v>2000</v>
      </c>
      <c r="I4344" s="13">
        <v>1</v>
      </c>
      <c r="J4344" t="s">
        <v>6207</v>
      </c>
      <c r="K4344">
        <v>1</v>
      </c>
      <c r="L4344">
        <v>3</v>
      </c>
      <c r="M4344" t="s">
        <v>1</v>
      </c>
      <c r="N4344" s="2">
        <v>0.55000000000000004</v>
      </c>
      <c r="O4344" s="2">
        <v>0.45</v>
      </c>
      <c r="P4344">
        <v>10</v>
      </c>
      <c r="Q4344">
        <v>14</v>
      </c>
      <c r="R4344">
        <v>5</v>
      </c>
      <c r="S4344">
        <v>3</v>
      </c>
      <c r="T4344">
        <v>11</v>
      </c>
      <c r="U4344">
        <v>10</v>
      </c>
      <c r="V4344">
        <v>3</v>
      </c>
      <c r="W4344">
        <v>1</v>
      </c>
      <c r="X4344">
        <v>0</v>
      </c>
      <c r="Y4344">
        <v>0</v>
      </c>
      <c r="Z4344">
        <v>0</v>
      </c>
    </row>
    <row r="4345" spans="1:26" x14ac:dyDescent="0.2">
      <c r="A4345" t="s">
        <v>4463</v>
      </c>
      <c r="B4345" t="s">
        <v>37</v>
      </c>
      <c r="C4345">
        <v>2020</v>
      </c>
      <c r="D4345" t="s">
        <v>73</v>
      </c>
      <c r="E4345" t="s">
        <v>26</v>
      </c>
      <c r="F4345" t="s">
        <v>73</v>
      </c>
      <c r="G4345">
        <v>32384</v>
      </c>
      <c r="H4345">
        <v>2000</v>
      </c>
      <c r="I4345" s="13">
        <v>0.5</v>
      </c>
      <c r="J4345" t="s">
        <v>6206</v>
      </c>
      <c r="K4345">
        <v>1</v>
      </c>
      <c r="L4345">
        <v>0</v>
      </c>
      <c r="M4345" t="s">
        <v>0</v>
      </c>
      <c r="N4345" s="2">
        <v>0.33</v>
      </c>
      <c r="O4345" s="2">
        <v>0.67</v>
      </c>
      <c r="P4345">
        <v>15</v>
      </c>
      <c r="Q4345">
        <v>11</v>
      </c>
      <c r="R4345">
        <v>1</v>
      </c>
      <c r="S4345">
        <v>10</v>
      </c>
      <c r="T4345">
        <v>5</v>
      </c>
      <c r="U4345">
        <v>12</v>
      </c>
      <c r="V4345">
        <v>1</v>
      </c>
      <c r="W4345">
        <v>3</v>
      </c>
      <c r="X4345">
        <v>0</v>
      </c>
      <c r="Y4345">
        <v>0</v>
      </c>
      <c r="Z4345">
        <v>0</v>
      </c>
    </row>
    <row r="4346" spans="1:26" x14ac:dyDescent="0.2">
      <c r="A4346" t="s">
        <v>4464</v>
      </c>
      <c r="B4346" t="s">
        <v>92</v>
      </c>
      <c r="C4346">
        <v>2020</v>
      </c>
      <c r="D4346" t="s">
        <v>95</v>
      </c>
      <c r="E4346" t="s">
        <v>64</v>
      </c>
      <c r="F4346" t="s">
        <v>57</v>
      </c>
      <c r="G4346">
        <v>32050</v>
      </c>
      <c r="H4346">
        <v>2000</v>
      </c>
      <c r="I4346" s="13">
        <v>0.42857142857142855</v>
      </c>
      <c r="J4346" t="s">
        <v>6207</v>
      </c>
      <c r="K4346">
        <v>1</v>
      </c>
      <c r="L4346">
        <v>0</v>
      </c>
      <c r="M4346" t="s">
        <v>0</v>
      </c>
      <c r="N4346" s="2">
        <v>0.66</v>
      </c>
      <c r="O4346" s="2">
        <v>0.34</v>
      </c>
      <c r="P4346">
        <v>13</v>
      </c>
      <c r="Q4346">
        <v>15</v>
      </c>
      <c r="R4346">
        <v>5</v>
      </c>
      <c r="S4346">
        <v>2</v>
      </c>
      <c r="T4346">
        <v>13</v>
      </c>
      <c r="U4346">
        <v>12</v>
      </c>
      <c r="V4346">
        <v>2</v>
      </c>
      <c r="W4346">
        <v>4</v>
      </c>
      <c r="X4346">
        <v>0</v>
      </c>
      <c r="Y4346">
        <v>1</v>
      </c>
      <c r="Z4346">
        <v>1</v>
      </c>
    </row>
    <row r="4347" spans="1:26" x14ac:dyDescent="0.2">
      <c r="A4347" t="s">
        <v>4465</v>
      </c>
      <c r="B4347" t="s">
        <v>32</v>
      </c>
      <c r="C4347">
        <v>2020</v>
      </c>
      <c r="D4347" t="s">
        <v>22</v>
      </c>
      <c r="E4347" t="s">
        <v>45</v>
      </c>
      <c r="F4347" t="s">
        <v>24</v>
      </c>
      <c r="G4347">
        <v>31750</v>
      </c>
      <c r="H4347">
        <v>2000</v>
      </c>
      <c r="I4347" s="13">
        <v>1</v>
      </c>
      <c r="J4347" t="s">
        <v>6207</v>
      </c>
      <c r="K4347">
        <v>1</v>
      </c>
      <c r="L4347">
        <v>2</v>
      </c>
      <c r="M4347" t="s">
        <v>1</v>
      </c>
      <c r="N4347" s="2">
        <v>0.52</v>
      </c>
      <c r="O4347" s="2">
        <v>0.48</v>
      </c>
      <c r="P4347">
        <v>13</v>
      </c>
      <c r="Q4347">
        <v>6</v>
      </c>
      <c r="R4347">
        <v>6</v>
      </c>
      <c r="S4347">
        <v>5</v>
      </c>
      <c r="T4347">
        <v>6</v>
      </c>
      <c r="U4347">
        <v>11</v>
      </c>
      <c r="V4347">
        <v>2</v>
      </c>
      <c r="W4347">
        <v>2</v>
      </c>
      <c r="X4347">
        <v>0</v>
      </c>
      <c r="Y4347">
        <v>0</v>
      </c>
      <c r="Z4347">
        <v>0</v>
      </c>
    </row>
    <row r="4348" spans="1:26" x14ac:dyDescent="0.2">
      <c r="A4348" t="s">
        <v>4466</v>
      </c>
      <c r="B4348" t="s">
        <v>60</v>
      </c>
      <c r="C4348">
        <v>2020</v>
      </c>
      <c r="D4348" t="s">
        <v>28</v>
      </c>
      <c r="E4348" t="s">
        <v>48</v>
      </c>
      <c r="F4348" t="s">
        <v>28</v>
      </c>
      <c r="G4348">
        <v>21944</v>
      </c>
      <c r="H4348">
        <v>2000</v>
      </c>
      <c r="I4348" s="13">
        <v>0.33333333333333331</v>
      </c>
      <c r="J4348" t="s">
        <v>6208</v>
      </c>
      <c r="K4348">
        <v>0</v>
      </c>
      <c r="L4348">
        <v>1</v>
      </c>
      <c r="M4348" t="s">
        <v>1</v>
      </c>
      <c r="N4348" s="2">
        <v>0.37</v>
      </c>
      <c r="O4348" s="2">
        <v>0.63</v>
      </c>
      <c r="P4348">
        <v>15</v>
      </c>
      <c r="Q4348">
        <v>19</v>
      </c>
      <c r="R4348">
        <v>3</v>
      </c>
      <c r="S4348">
        <v>4</v>
      </c>
      <c r="T4348">
        <v>15</v>
      </c>
      <c r="U4348">
        <v>13</v>
      </c>
      <c r="V4348">
        <v>1</v>
      </c>
      <c r="W4348">
        <v>2</v>
      </c>
      <c r="X4348">
        <v>0</v>
      </c>
      <c r="Y4348">
        <v>0</v>
      </c>
      <c r="Z4348">
        <v>0</v>
      </c>
    </row>
    <row r="4349" spans="1:26" x14ac:dyDescent="0.2">
      <c r="A4349" t="s">
        <v>4467</v>
      </c>
      <c r="B4349" t="s">
        <v>100</v>
      </c>
      <c r="C4349">
        <v>2020</v>
      </c>
      <c r="D4349" t="s">
        <v>40</v>
      </c>
      <c r="E4349" t="s">
        <v>90</v>
      </c>
      <c r="F4349" t="s">
        <v>49</v>
      </c>
      <c r="G4349">
        <v>53400</v>
      </c>
      <c r="H4349">
        <v>2000</v>
      </c>
      <c r="I4349" s="13">
        <v>0.5</v>
      </c>
      <c r="J4349" t="s">
        <v>6207</v>
      </c>
      <c r="K4349">
        <v>1</v>
      </c>
      <c r="L4349">
        <v>0</v>
      </c>
      <c r="M4349" t="s">
        <v>0</v>
      </c>
      <c r="N4349" s="2">
        <v>0.65</v>
      </c>
      <c r="O4349" s="2">
        <v>0.35</v>
      </c>
      <c r="P4349">
        <v>12</v>
      </c>
      <c r="Q4349">
        <v>6</v>
      </c>
      <c r="R4349">
        <v>8</v>
      </c>
      <c r="S4349">
        <v>4</v>
      </c>
      <c r="T4349">
        <v>4</v>
      </c>
      <c r="U4349">
        <v>12</v>
      </c>
      <c r="V4349">
        <v>0</v>
      </c>
      <c r="W4349">
        <v>2</v>
      </c>
      <c r="X4349">
        <v>0</v>
      </c>
      <c r="Y4349">
        <v>0</v>
      </c>
      <c r="Z4349">
        <v>1</v>
      </c>
    </row>
    <row r="4350" spans="1:26" x14ac:dyDescent="0.2">
      <c r="A4350" t="s">
        <v>4468</v>
      </c>
      <c r="B4350" t="s">
        <v>81</v>
      </c>
      <c r="C4350">
        <v>2020</v>
      </c>
      <c r="D4350" t="s">
        <v>51</v>
      </c>
      <c r="E4350" t="s">
        <v>31</v>
      </c>
      <c r="F4350" t="s">
        <v>20</v>
      </c>
      <c r="G4350">
        <v>36284</v>
      </c>
      <c r="H4350">
        <v>2000</v>
      </c>
      <c r="I4350" s="13">
        <v>1</v>
      </c>
      <c r="J4350" t="s">
        <v>6207</v>
      </c>
      <c r="K4350">
        <v>1</v>
      </c>
      <c r="L4350">
        <v>1</v>
      </c>
      <c r="M4350" t="s">
        <v>58</v>
      </c>
      <c r="N4350" s="2">
        <v>0.52</v>
      </c>
      <c r="O4350" s="2">
        <v>0.48</v>
      </c>
      <c r="P4350">
        <v>17</v>
      </c>
      <c r="Q4350">
        <v>15</v>
      </c>
      <c r="R4350">
        <v>6</v>
      </c>
      <c r="S4350">
        <v>5</v>
      </c>
      <c r="T4350">
        <v>13</v>
      </c>
      <c r="U4350">
        <v>15</v>
      </c>
      <c r="V4350">
        <v>1</v>
      </c>
      <c r="W4350">
        <v>2</v>
      </c>
      <c r="X4350">
        <v>0</v>
      </c>
      <c r="Y4350">
        <v>0</v>
      </c>
      <c r="Z4350">
        <v>0</v>
      </c>
    </row>
    <row r="4351" spans="1:26" x14ac:dyDescent="0.2">
      <c r="A4351" t="s">
        <v>4469</v>
      </c>
      <c r="B4351" t="s">
        <v>37</v>
      </c>
      <c r="C4351">
        <v>2020</v>
      </c>
      <c r="D4351" t="s">
        <v>46</v>
      </c>
      <c r="E4351" t="s">
        <v>79</v>
      </c>
      <c r="F4351" t="s">
        <v>20</v>
      </c>
      <c r="G4351">
        <v>60704</v>
      </c>
      <c r="H4351">
        <v>2000</v>
      </c>
      <c r="I4351" s="13">
        <v>0.5</v>
      </c>
      <c r="J4351" t="s">
        <v>6206</v>
      </c>
      <c r="K4351">
        <v>0</v>
      </c>
      <c r="L4351">
        <v>0</v>
      </c>
      <c r="M4351" t="s">
        <v>58</v>
      </c>
      <c r="N4351" s="2">
        <v>0.67</v>
      </c>
      <c r="O4351" s="2">
        <v>0.33</v>
      </c>
      <c r="P4351">
        <v>12</v>
      </c>
      <c r="Q4351">
        <v>12</v>
      </c>
      <c r="R4351">
        <v>7</v>
      </c>
      <c r="S4351">
        <v>3</v>
      </c>
      <c r="T4351">
        <v>10</v>
      </c>
      <c r="U4351">
        <v>11</v>
      </c>
      <c r="V4351">
        <v>1</v>
      </c>
      <c r="W4351">
        <v>1</v>
      </c>
      <c r="X4351">
        <v>0</v>
      </c>
      <c r="Y4351">
        <v>0</v>
      </c>
      <c r="Z4351">
        <v>0</v>
      </c>
    </row>
    <row r="4352" spans="1:26" x14ac:dyDescent="0.2">
      <c r="A4352" t="s">
        <v>4470</v>
      </c>
      <c r="B4352" t="s">
        <v>66</v>
      </c>
      <c r="C4352">
        <v>2020</v>
      </c>
      <c r="D4352" t="s">
        <v>22</v>
      </c>
      <c r="E4352" t="s">
        <v>63</v>
      </c>
      <c r="F4352" t="s">
        <v>24</v>
      </c>
      <c r="G4352">
        <v>31750</v>
      </c>
      <c r="H4352">
        <v>2000</v>
      </c>
      <c r="I4352" s="13">
        <v>1</v>
      </c>
      <c r="J4352" t="s">
        <v>6207</v>
      </c>
      <c r="K4352">
        <v>2</v>
      </c>
      <c r="L4352">
        <v>3</v>
      </c>
      <c r="M4352" t="s">
        <v>1</v>
      </c>
      <c r="N4352" s="2">
        <v>0.68</v>
      </c>
      <c r="O4352" s="2">
        <v>0.32</v>
      </c>
      <c r="P4352">
        <v>16</v>
      </c>
      <c r="Q4352">
        <v>9</v>
      </c>
      <c r="R4352">
        <v>11</v>
      </c>
      <c r="S4352">
        <v>0</v>
      </c>
      <c r="T4352">
        <v>10</v>
      </c>
      <c r="U4352">
        <v>14</v>
      </c>
      <c r="V4352">
        <v>2</v>
      </c>
      <c r="W4352">
        <v>1</v>
      </c>
      <c r="X4352">
        <v>0</v>
      </c>
      <c r="Y4352">
        <v>0</v>
      </c>
      <c r="Z4352">
        <v>2</v>
      </c>
    </row>
    <row r="4353" spans="1:26" x14ac:dyDescent="0.2">
      <c r="A4353" t="s">
        <v>4471</v>
      </c>
      <c r="B4353" t="s">
        <v>88</v>
      </c>
      <c r="C4353">
        <v>2020</v>
      </c>
      <c r="D4353" t="s">
        <v>23</v>
      </c>
      <c r="E4353" t="s">
        <v>28</v>
      </c>
      <c r="F4353" t="s">
        <v>20</v>
      </c>
      <c r="G4353">
        <v>62500</v>
      </c>
      <c r="H4353">
        <v>2000</v>
      </c>
      <c r="I4353" s="13">
        <v>0.66666666666666663</v>
      </c>
      <c r="J4353" t="s">
        <v>6207</v>
      </c>
      <c r="K4353">
        <v>1</v>
      </c>
      <c r="L4353">
        <v>1</v>
      </c>
      <c r="M4353" t="s">
        <v>58</v>
      </c>
      <c r="N4353" s="2">
        <v>0.45</v>
      </c>
      <c r="O4353" s="2">
        <v>0.55000000000000004</v>
      </c>
      <c r="P4353">
        <v>10</v>
      </c>
      <c r="Q4353">
        <v>17</v>
      </c>
      <c r="R4353">
        <v>7</v>
      </c>
      <c r="S4353">
        <v>4</v>
      </c>
      <c r="T4353">
        <v>12</v>
      </c>
      <c r="U4353">
        <v>9</v>
      </c>
      <c r="V4353">
        <v>2</v>
      </c>
      <c r="W4353">
        <v>1</v>
      </c>
      <c r="X4353">
        <v>0</v>
      </c>
      <c r="Y4353">
        <v>0</v>
      </c>
      <c r="Z4353">
        <v>0</v>
      </c>
    </row>
    <row r="4354" spans="1:26" x14ac:dyDescent="0.2">
      <c r="A4354" t="s">
        <v>4472</v>
      </c>
      <c r="B4354" t="s">
        <v>60</v>
      </c>
      <c r="C4354">
        <v>2020</v>
      </c>
      <c r="D4354" t="s">
        <v>33</v>
      </c>
      <c r="E4354" t="s">
        <v>90</v>
      </c>
      <c r="F4354" t="s">
        <v>33</v>
      </c>
      <c r="G4354">
        <v>37645</v>
      </c>
      <c r="H4354">
        <v>2000</v>
      </c>
      <c r="I4354" s="13">
        <v>0</v>
      </c>
      <c r="J4354" t="s">
        <v>6208</v>
      </c>
      <c r="K4354">
        <v>0</v>
      </c>
      <c r="L4354">
        <v>1</v>
      </c>
      <c r="M4354" t="s">
        <v>1</v>
      </c>
      <c r="N4354" s="2">
        <v>0.66</v>
      </c>
      <c r="O4354" s="2">
        <v>0.34</v>
      </c>
      <c r="P4354">
        <v>9</v>
      </c>
      <c r="Q4354">
        <v>11</v>
      </c>
      <c r="R4354">
        <v>5</v>
      </c>
      <c r="S4354">
        <v>2</v>
      </c>
      <c r="T4354">
        <v>8</v>
      </c>
      <c r="U4354">
        <v>9</v>
      </c>
      <c r="V4354">
        <v>1</v>
      </c>
      <c r="W4354">
        <v>1</v>
      </c>
      <c r="X4354">
        <v>0</v>
      </c>
      <c r="Y4354">
        <v>0</v>
      </c>
      <c r="Z4354">
        <v>0</v>
      </c>
    </row>
    <row r="4355" spans="1:26" x14ac:dyDescent="0.2">
      <c r="A4355" t="s">
        <v>4473</v>
      </c>
      <c r="B4355" t="s">
        <v>97</v>
      </c>
      <c r="C4355">
        <v>2020</v>
      </c>
      <c r="D4355" t="s">
        <v>31</v>
      </c>
      <c r="E4355" t="s">
        <v>18</v>
      </c>
      <c r="F4355" t="s">
        <v>20</v>
      </c>
      <c r="G4355">
        <v>28500</v>
      </c>
      <c r="H4355">
        <v>2000</v>
      </c>
      <c r="I4355" s="13">
        <v>1</v>
      </c>
      <c r="J4355" t="s">
        <v>6207</v>
      </c>
      <c r="K4355">
        <v>0</v>
      </c>
      <c r="L4355">
        <v>1</v>
      </c>
      <c r="M4355" t="s">
        <v>1</v>
      </c>
      <c r="N4355" s="2">
        <v>0.3</v>
      </c>
      <c r="O4355" s="2">
        <v>0.7</v>
      </c>
      <c r="P4355">
        <v>13</v>
      </c>
      <c r="Q4355">
        <v>12</v>
      </c>
      <c r="R4355">
        <v>1</v>
      </c>
      <c r="S4355">
        <v>12</v>
      </c>
      <c r="T4355">
        <v>11</v>
      </c>
      <c r="U4355">
        <v>10</v>
      </c>
      <c r="V4355">
        <v>2</v>
      </c>
      <c r="W4355">
        <v>3</v>
      </c>
      <c r="X4355">
        <v>1</v>
      </c>
      <c r="Y4355">
        <v>0</v>
      </c>
      <c r="Z4355">
        <v>0</v>
      </c>
    </row>
    <row r="4356" spans="1:26" x14ac:dyDescent="0.2">
      <c r="A4356" t="s">
        <v>4474</v>
      </c>
      <c r="B4356" t="s">
        <v>59</v>
      </c>
      <c r="C4356">
        <v>2020</v>
      </c>
      <c r="D4356" t="s">
        <v>80</v>
      </c>
      <c r="E4356" t="s">
        <v>73</v>
      </c>
      <c r="F4356" t="s">
        <v>80</v>
      </c>
      <c r="G4356">
        <v>32261</v>
      </c>
      <c r="H4356">
        <v>2000</v>
      </c>
      <c r="I4356" s="13">
        <v>0.5</v>
      </c>
      <c r="J4356" t="s">
        <v>6206</v>
      </c>
      <c r="K4356">
        <v>2</v>
      </c>
      <c r="L4356">
        <v>0</v>
      </c>
      <c r="M4356" t="s">
        <v>0</v>
      </c>
      <c r="N4356" s="2">
        <v>0.47</v>
      </c>
      <c r="O4356" s="2">
        <v>0.53</v>
      </c>
      <c r="P4356">
        <v>12</v>
      </c>
      <c r="Q4356">
        <v>15</v>
      </c>
      <c r="R4356">
        <v>2</v>
      </c>
      <c r="S4356">
        <v>5</v>
      </c>
      <c r="T4356">
        <v>10</v>
      </c>
      <c r="U4356">
        <v>11</v>
      </c>
      <c r="V4356">
        <v>2</v>
      </c>
      <c r="W4356">
        <v>2</v>
      </c>
      <c r="X4356">
        <v>0</v>
      </c>
      <c r="Y4356">
        <v>0</v>
      </c>
      <c r="Z4356">
        <v>0</v>
      </c>
    </row>
    <row r="4357" spans="1:26" x14ac:dyDescent="0.2">
      <c r="A4357" t="s">
        <v>4475</v>
      </c>
      <c r="B4357" t="s">
        <v>37</v>
      </c>
      <c r="C4357">
        <v>2020</v>
      </c>
      <c r="D4357" t="s">
        <v>95</v>
      </c>
      <c r="E4357" t="s">
        <v>51</v>
      </c>
      <c r="F4357" t="s">
        <v>57</v>
      </c>
      <c r="G4357">
        <v>32050</v>
      </c>
      <c r="H4357">
        <v>2000</v>
      </c>
      <c r="I4357" s="13">
        <v>0.25</v>
      </c>
      <c r="J4357" t="s">
        <v>6206</v>
      </c>
      <c r="K4357">
        <v>1</v>
      </c>
      <c r="L4357">
        <v>3</v>
      </c>
      <c r="M4357" t="s">
        <v>1</v>
      </c>
      <c r="N4357" s="2">
        <v>0.42</v>
      </c>
      <c r="O4357" s="2">
        <v>0.57999999999999996</v>
      </c>
      <c r="P4357">
        <v>6</v>
      </c>
      <c r="Q4357">
        <v>17</v>
      </c>
      <c r="R4357">
        <v>5</v>
      </c>
      <c r="S4357">
        <v>7</v>
      </c>
      <c r="T4357">
        <v>13</v>
      </c>
      <c r="U4357">
        <v>4</v>
      </c>
      <c r="V4357">
        <v>4</v>
      </c>
      <c r="W4357">
        <v>0</v>
      </c>
      <c r="X4357">
        <v>0</v>
      </c>
      <c r="Y4357">
        <v>0</v>
      </c>
      <c r="Z4357">
        <v>0</v>
      </c>
    </row>
    <row r="4358" spans="1:26" x14ac:dyDescent="0.2">
      <c r="A4358" t="s">
        <v>4476</v>
      </c>
      <c r="B4358" t="s">
        <v>81</v>
      </c>
      <c r="C4358">
        <v>2020</v>
      </c>
      <c r="D4358" t="s">
        <v>26</v>
      </c>
      <c r="E4358" t="s">
        <v>48</v>
      </c>
      <c r="F4358" t="s">
        <v>26</v>
      </c>
      <c r="G4358">
        <v>61276</v>
      </c>
      <c r="H4358">
        <v>2000</v>
      </c>
      <c r="I4358" s="13">
        <v>0.66666666666666663</v>
      </c>
      <c r="J4358" t="s">
        <v>6207</v>
      </c>
      <c r="K4358">
        <v>0</v>
      </c>
      <c r="L4358">
        <v>0</v>
      </c>
      <c r="M4358" t="s">
        <v>58</v>
      </c>
      <c r="N4358" s="2">
        <v>0.66</v>
      </c>
      <c r="O4358" s="2">
        <v>0.34</v>
      </c>
      <c r="P4358">
        <v>14</v>
      </c>
      <c r="Q4358">
        <v>16</v>
      </c>
      <c r="R4358">
        <v>7</v>
      </c>
      <c r="S4358">
        <v>3</v>
      </c>
      <c r="T4358">
        <v>15</v>
      </c>
      <c r="U4358">
        <v>6</v>
      </c>
      <c r="V4358">
        <v>2</v>
      </c>
      <c r="W4358">
        <v>1</v>
      </c>
      <c r="X4358">
        <v>0</v>
      </c>
      <c r="Y4358">
        <v>0</v>
      </c>
      <c r="Z4358">
        <v>0</v>
      </c>
    </row>
    <row r="4359" spans="1:26" x14ac:dyDescent="0.2">
      <c r="A4359" t="s">
        <v>4477</v>
      </c>
      <c r="B4359" t="s">
        <v>50</v>
      </c>
      <c r="C4359">
        <v>2020</v>
      </c>
      <c r="D4359" t="s">
        <v>40</v>
      </c>
      <c r="E4359" t="s">
        <v>79</v>
      </c>
      <c r="F4359" t="s">
        <v>49</v>
      </c>
      <c r="G4359">
        <v>53400</v>
      </c>
      <c r="H4359">
        <v>2000</v>
      </c>
      <c r="I4359" s="13">
        <v>0</v>
      </c>
      <c r="J4359" t="s">
        <v>6207</v>
      </c>
      <c r="K4359">
        <v>4</v>
      </c>
      <c r="L4359">
        <v>0</v>
      </c>
      <c r="M4359" t="s">
        <v>0</v>
      </c>
      <c r="N4359" s="2">
        <v>0.73</v>
      </c>
      <c r="O4359" s="2">
        <v>0.27</v>
      </c>
      <c r="P4359">
        <v>8</v>
      </c>
      <c r="Q4359">
        <v>9</v>
      </c>
      <c r="R4359">
        <v>11</v>
      </c>
      <c r="S4359">
        <v>1</v>
      </c>
      <c r="T4359">
        <v>9</v>
      </c>
      <c r="U4359">
        <v>8</v>
      </c>
      <c r="V4359">
        <v>0</v>
      </c>
      <c r="W4359">
        <v>0</v>
      </c>
      <c r="X4359">
        <v>0</v>
      </c>
      <c r="Y4359">
        <v>0</v>
      </c>
      <c r="Z4359">
        <v>0</v>
      </c>
    </row>
    <row r="4360" spans="1:26" x14ac:dyDescent="0.2">
      <c r="A4360" t="s">
        <v>4478</v>
      </c>
      <c r="B4360" t="s">
        <v>93</v>
      </c>
      <c r="C4360">
        <v>2020</v>
      </c>
      <c r="D4360" t="s">
        <v>46</v>
      </c>
      <c r="E4360" t="s">
        <v>64</v>
      </c>
      <c r="F4360" t="s">
        <v>20</v>
      </c>
      <c r="G4360">
        <v>60704</v>
      </c>
      <c r="H4360">
        <v>2000</v>
      </c>
      <c r="I4360" s="13">
        <v>0</v>
      </c>
      <c r="J4360" t="s">
        <v>6206</v>
      </c>
      <c r="K4360">
        <v>3</v>
      </c>
      <c r="L4360">
        <v>0</v>
      </c>
      <c r="M4360" t="s">
        <v>0</v>
      </c>
      <c r="N4360" s="2">
        <v>0.66</v>
      </c>
      <c r="O4360" s="2">
        <v>0.34</v>
      </c>
      <c r="P4360">
        <v>9</v>
      </c>
      <c r="Q4360">
        <v>13</v>
      </c>
      <c r="R4360">
        <v>7</v>
      </c>
      <c r="S4360">
        <v>2</v>
      </c>
      <c r="T4360">
        <v>9</v>
      </c>
      <c r="U4360">
        <v>8</v>
      </c>
      <c r="V4360">
        <v>0</v>
      </c>
      <c r="W4360">
        <v>0</v>
      </c>
      <c r="X4360">
        <v>0</v>
      </c>
      <c r="Y4360">
        <v>0</v>
      </c>
      <c r="Z4360">
        <v>0</v>
      </c>
    </row>
    <row r="4361" spans="1:26" x14ac:dyDescent="0.2">
      <c r="A4361" t="s">
        <v>4479</v>
      </c>
      <c r="B4361" t="s">
        <v>83</v>
      </c>
      <c r="C4361">
        <v>2020</v>
      </c>
      <c r="D4361" t="s">
        <v>23</v>
      </c>
      <c r="E4361" t="s">
        <v>63</v>
      </c>
      <c r="F4361" t="s">
        <v>20</v>
      </c>
      <c r="G4361">
        <v>62500</v>
      </c>
      <c r="H4361">
        <v>2000</v>
      </c>
      <c r="I4361" s="13">
        <v>0</v>
      </c>
      <c r="J4361" t="s">
        <v>6208</v>
      </c>
      <c r="K4361">
        <v>2</v>
      </c>
      <c r="L4361">
        <v>1</v>
      </c>
      <c r="M4361" t="s">
        <v>0</v>
      </c>
      <c r="N4361" s="2">
        <v>0.59</v>
      </c>
      <c r="O4361" s="2">
        <v>0.41</v>
      </c>
      <c r="P4361">
        <v>10</v>
      </c>
      <c r="Q4361">
        <v>12</v>
      </c>
      <c r="R4361">
        <v>3</v>
      </c>
      <c r="S4361">
        <v>1</v>
      </c>
      <c r="T4361">
        <v>10</v>
      </c>
      <c r="U4361">
        <v>10</v>
      </c>
      <c r="V4361">
        <v>0</v>
      </c>
      <c r="W4361">
        <v>1</v>
      </c>
      <c r="X4361">
        <v>0</v>
      </c>
      <c r="Y4361">
        <v>0</v>
      </c>
      <c r="Z4361">
        <v>0</v>
      </c>
    </row>
    <row r="4362" spans="1:26" x14ac:dyDescent="0.2">
      <c r="A4362" t="s">
        <v>4480</v>
      </c>
      <c r="B4362" t="s">
        <v>76</v>
      </c>
      <c r="C4362">
        <v>2020</v>
      </c>
      <c r="D4362" t="s">
        <v>80</v>
      </c>
      <c r="E4362" t="s">
        <v>18</v>
      </c>
      <c r="F4362" t="s">
        <v>80</v>
      </c>
      <c r="G4362">
        <v>32261</v>
      </c>
      <c r="H4362">
        <v>2000</v>
      </c>
      <c r="I4362" s="13">
        <v>1</v>
      </c>
      <c r="J4362" t="s">
        <v>6207</v>
      </c>
      <c r="K4362">
        <v>2</v>
      </c>
      <c r="L4362">
        <v>0</v>
      </c>
      <c r="M4362" t="s">
        <v>0</v>
      </c>
      <c r="N4362" s="2">
        <v>0.36</v>
      </c>
      <c r="O4362" s="2">
        <v>0.64</v>
      </c>
      <c r="P4362">
        <v>19</v>
      </c>
      <c r="Q4362">
        <v>8</v>
      </c>
      <c r="R4362">
        <v>6</v>
      </c>
      <c r="S4362">
        <v>3</v>
      </c>
      <c r="T4362">
        <v>7</v>
      </c>
      <c r="U4362">
        <v>16</v>
      </c>
      <c r="V4362">
        <v>1</v>
      </c>
      <c r="W4362">
        <v>3</v>
      </c>
      <c r="X4362">
        <v>0</v>
      </c>
      <c r="Y4362">
        <v>0</v>
      </c>
      <c r="Z4362">
        <v>0</v>
      </c>
    </row>
    <row r="4363" spans="1:26" x14ac:dyDescent="0.2">
      <c r="A4363" t="s">
        <v>4481</v>
      </c>
      <c r="B4363" t="s">
        <v>68</v>
      </c>
      <c r="C4363">
        <v>2020</v>
      </c>
      <c r="D4363" t="s">
        <v>40</v>
      </c>
      <c r="E4363" t="s">
        <v>42</v>
      </c>
      <c r="F4363" t="s">
        <v>49</v>
      </c>
      <c r="G4363">
        <v>53400</v>
      </c>
      <c r="H4363">
        <v>2000</v>
      </c>
      <c r="I4363" s="13">
        <v>0</v>
      </c>
      <c r="J4363" t="s">
        <v>6207</v>
      </c>
      <c r="K4363">
        <v>2</v>
      </c>
      <c r="L4363">
        <v>0</v>
      </c>
      <c r="M4363" t="s">
        <v>0</v>
      </c>
      <c r="N4363" s="2">
        <v>0.69</v>
      </c>
      <c r="O4363" s="2">
        <v>0.31</v>
      </c>
      <c r="P4363">
        <v>9</v>
      </c>
      <c r="Q4363">
        <v>13</v>
      </c>
      <c r="R4363">
        <v>16</v>
      </c>
      <c r="S4363">
        <v>2</v>
      </c>
      <c r="T4363">
        <v>10</v>
      </c>
      <c r="U4363">
        <v>9</v>
      </c>
      <c r="V4363">
        <v>0</v>
      </c>
      <c r="W4363">
        <v>3</v>
      </c>
      <c r="X4363">
        <v>0</v>
      </c>
      <c r="Y4363">
        <v>1</v>
      </c>
      <c r="Z4363">
        <v>1</v>
      </c>
    </row>
    <row r="4364" spans="1:26" x14ac:dyDescent="0.2">
      <c r="A4364" t="s">
        <v>4482</v>
      </c>
      <c r="B4364" t="s">
        <v>32</v>
      </c>
      <c r="C4364">
        <v>2020</v>
      </c>
      <c r="D4364" t="s">
        <v>31</v>
      </c>
      <c r="E4364" t="s">
        <v>48</v>
      </c>
      <c r="F4364" t="s">
        <v>20</v>
      </c>
      <c r="G4364">
        <v>28500</v>
      </c>
      <c r="H4364">
        <v>2000</v>
      </c>
      <c r="I4364" s="13">
        <v>0.75</v>
      </c>
      <c r="J4364" t="s">
        <v>6207</v>
      </c>
      <c r="K4364">
        <v>1</v>
      </c>
      <c r="L4364">
        <v>2</v>
      </c>
      <c r="M4364" t="s">
        <v>1</v>
      </c>
      <c r="N4364" s="2">
        <v>0.38</v>
      </c>
      <c r="O4364" s="2">
        <v>0.62</v>
      </c>
      <c r="P4364">
        <v>12</v>
      </c>
      <c r="Q4364">
        <v>7</v>
      </c>
      <c r="R4364">
        <v>2</v>
      </c>
      <c r="S4364">
        <v>8</v>
      </c>
      <c r="T4364">
        <v>6</v>
      </c>
      <c r="U4364">
        <v>10</v>
      </c>
      <c r="V4364">
        <v>3</v>
      </c>
      <c r="W4364">
        <v>1</v>
      </c>
      <c r="X4364">
        <v>0</v>
      </c>
      <c r="Y4364">
        <v>0</v>
      </c>
      <c r="Z4364">
        <v>0</v>
      </c>
    </row>
    <row r="4365" spans="1:26" x14ac:dyDescent="0.2">
      <c r="A4365" t="s">
        <v>4483</v>
      </c>
      <c r="B4365" t="s">
        <v>41</v>
      </c>
      <c r="C4365">
        <v>2020</v>
      </c>
      <c r="D4365" t="s">
        <v>26</v>
      </c>
      <c r="E4365" t="s">
        <v>28</v>
      </c>
      <c r="F4365" t="s">
        <v>26</v>
      </c>
      <c r="G4365">
        <v>61276</v>
      </c>
      <c r="H4365">
        <v>2000</v>
      </c>
      <c r="I4365" s="13">
        <v>0.66666666666666663</v>
      </c>
      <c r="J4365" t="s">
        <v>6207</v>
      </c>
      <c r="K4365">
        <v>0</v>
      </c>
      <c r="L4365">
        <v>1</v>
      </c>
      <c r="M4365" t="s">
        <v>1</v>
      </c>
      <c r="N4365" s="2">
        <v>0.72</v>
      </c>
      <c r="O4365" s="2">
        <v>0.28000000000000003</v>
      </c>
      <c r="P4365">
        <v>14</v>
      </c>
      <c r="Q4365">
        <v>11</v>
      </c>
      <c r="R4365">
        <v>12</v>
      </c>
      <c r="S4365">
        <v>0</v>
      </c>
      <c r="T4365">
        <v>11</v>
      </c>
      <c r="U4365">
        <v>8</v>
      </c>
      <c r="V4365">
        <v>2</v>
      </c>
      <c r="W4365">
        <v>1</v>
      </c>
      <c r="X4365">
        <v>0</v>
      </c>
      <c r="Y4365">
        <v>0</v>
      </c>
      <c r="Z4365">
        <v>1</v>
      </c>
    </row>
    <row r="4366" spans="1:26" x14ac:dyDescent="0.2">
      <c r="A4366" t="s">
        <v>4484</v>
      </c>
      <c r="B4366" t="s">
        <v>84</v>
      </c>
      <c r="C4366">
        <v>2020</v>
      </c>
      <c r="D4366" t="s">
        <v>42</v>
      </c>
      <c r="E4366" t="s">
        <v>64</v>
      </c>
      <c r="F4366" t="s">
        <v>38</v>
      </c>
      <c r="G4366">
        <v>42918</v>
      </c>
      <c r="H4366">
        <v>2000</v>
      </c>
      <c r="I4366" s="13">
        <v>0.33333333333333331</v>
      </c>
      <c r="J4366" t="s">
        <v>6208</v>
      </c>
      <c r="K4366">
        <v>2</v>
      </c>
      <c r="L4366">
        <v>0</v>
      </c>
      <c r="M4366" t="s">
        <v>0</v>
      </c>
      <c r="N4366" s="2">
        <v>0.59</v>
      </c>
      <c r="O4366" s="2">
        <v>0.41</v>
      </c>
      <c r="P4366">
        <v>19</v>
      </c>
      <c r="Q4366">
        <v>10</v>
      </c>
      <c r="R4366">
        <v>4</v>
      </c>
      <c r="S4366">
        <v>4</v>
      </c>
      <c r="T4366">
        <v>9</v>
      </c>
      <c r="U4366">
        <v>18</v>
      </c>
      <c r="V4366">
        <v>0</v>
      </c>
      <c r="W4366">
        <v>3</v>
      </c>
      <c r="X4366">
        <v>0</v>
      </c>
      <c r="Y4366">
        <v>0</v>
      </c>
      <c r="Z4366">
        <v>0</v>
      </c>
    </row>
    <row r="4367" spans="1:26" x14ac:dyDescent="0.2">
      <c r="A4367" t="s">
        <v>4485</v>
      </c>
      <c r="B4367" t="s">
        <v>61</v>
      </c>
      <c r="C4367">
        <v>2020</v>
      </c>
      <c r="D4367" t="s">
        <v>64</v>
      </c>
      <c r="E4367" t="s">
        <v>33</v>
      </c>
      <c r="F4367" t="s">
        <v>64</v>
      </c>
      <c r="G4367">
        <v>52264</v>
      </c>
      <c r="H4367">
        <v>2000</v>
      </c>
      <c r="I4367" s="13">
        <v>0.75</v>
      </c>
      <c r="J4367" t="s">
        <v>6207</v>
      </c>
      <c r="K4367">
        <v>1</v>
      </c>
      <c r="L4367">
        <v>2</v>
      </c>
      <c r="M4367" t="s">
        <v>1</v>
      </c>
      <c r="N4367" s="2">
        <v>0.42</v>
      </c>
      <c r="O4367" s="2">
        <v>0.57999999999999996</v>
      </c>
      <c r="P4367">
        <v>15</v>
      </c>
      <c r="Q4367">
        <v>9</v>
      </c>
      <c r="R4367">
        <v>9</v>
      </c>
      <c r="S4367">
        <v>4</v>
      </c>
      <c r="T4367">
        <v>10</v>
      </c>
      <c r="U4367">
        <v>15</v>
      </c>
      <c r="V4367">
        <v>1</v>
      </c>
      <c r="W4367">
        <v>3</v>
      </c>
      <c r="X4367">
        <v>0</v>
      </c>
      <c r="Y4367">
        <v>0</v>
      </c>
      <c r="Z4367">
        <v>0</v>
      </c>
    </row>
    <row r="4368" spans="1:26" x14ac:dyDescent="0.2">
      <c r="A4368" t="s">
        <v>4486</v>
      </c>
      <c r="B4368" t="s">
        <v>59</v>
      </c>
      <c r="C4368">
        <v>2020</v>
      </c>
      <c r="D4368" t="s">
        <v>79</v>
      </c>
      <c r="E4368" t="s">
        <v>23</v>
      </c>
      <c r="F4368" t="s">
        <v>20</v>
      </c>
      <c r="G4368">
        <v>25486</v>
      </c>
      <c r="H4368">
        <v>2000</v>
      </c>
      <c r="I4368" s="13">
        <v>0</v>
      </c>
      <c r="J4368" t="s">
        <v>6206</v>
      </c>
      <c r="K4368">
        <v>2</v>
      </c>
      <c r="L4368">
        <v>3</v>
      </c>
      <c r="M4368" t="s">
        <v>1</v>
      </c>
      <c r="N4368" s="2">
        <v>0.54</v>
      </c>
      <c r="O4368" s="2">
        <v>0.46</v>
      </c>
      <c r="P4368">
        <v>10</v>
      </c>
      <c r="Q4368">
        <v>9</v>
      </c>
      <c r="R4368">
        <v>3</v>
      </c>
      <c r="S4368">
        <v>4</v>
      </c>
      <c r="T4368">
        <v>9</v>
      </c>
      <c r="U4368">
        <v>8</v>
      </c>
      <c r="V4368">
        <v>0</v>
      </c>
      <c r="W4368">
        <v>0</v>
      </c>
      <c r="X4368">
        <v>0</v>
      </c>
      <c r="Y4368">
        <v>0</v>
      </c>
      <c r="Z4368">
        <v>0</v>
      </c>
    </row>
    <row r="4369" spans="1:26" x14ac:dyDescent="0.2">
      <c r="A4369" t="s">
        <v>4487</v>
      </c>
      <c r="B4369" t="s">
        <v>88</v>
      </c>
      <c r="C4369">
        <v>2020</v>
      </c>
      <c r="D4369" t="s">
        <v>63</v>
      </c>
      <c r="E4369" t="s">
        <v>40</v>
      </c>
      <c r="F4369" t="s">
        <v>65</v>
      </c>
      <c r="G4369">
        <v>26804</v>
      </c>
      <c r="H4369">
        <v>2000</v>
      </c>
      <c r="I4369" s="13">
        <v>0.5</v>
      </c>
      <c r="J4369" t="s">
        <v>6207</v>
      </c>
      <c r="K4369">
        <v>0</v>
      </c>
      <c r="L4369">
        <v>5</v>
      </c>
      <c r="M4369" t="s">
        <v>1</v>
      </c>
      <c r="N4369" s="2">
        <v>0.22</v>
      </c>
      <c r="O4369" s="2">
        <v>0.78</v>
      </c>
      <c r="P4369">
        <v>9</v>
      </c>
      <c r="Q4369">
        <v>8</v>
      </c>
      <c r="R4369">
        <v>3</v>
      </c>
      <c r="S4369">
        <v>8</v>
      </c>
      <c r="T4369">
        <v>8</v>
      </c>
      <c r="U4369">
        <v>8</v>
      </c>
      <c r="V4369">
        <v>2</v>
      </c>
      <c r="W4369">
        <v>0</v>
      </c>
      <c r="X4369">
        <v>0</v>
      </c>
      <c r="Y4369">
        <v>0</v>
      </c>
      <c r="Z4369">
        <v>0</v>
      </c>
    </row>
    <row r="4370" spans="1:26" x14ac:dyDescent="0.2">
      <c r="A4370" t="s">
        <v>4488</v>
      </c>
      <c r="B4370" t="s">
        <v>60</v>
      </c>
      <c r="C4370">
        <v>2020</v>
      </c>
      <c r="D4370" t="s">
        <v>73</v>
      </c>
      <c r="E4370" t="s">
        <v>46</v>
      </c>
      <c r="F4370" t="s">
        <v>73</v>
      </c>
      <c r="G4370">
        <v>32384</v>
      </c>
      <c r="H4370">
        <v>2000</v>
      </c>
      <c r="I4370" s="13">
        <v>1</v>
      </c>
      <c r="J4370" t="s">
        <v>6208</v>
      </c>
      <c r="K4370">
        <v>1</v>
      </c>
      <c r="L4370">
        <v>3</v>
      </c>
      <c r="M4370" t="s">
        <v>1</v>
      </c>
      <c r="N4370" s="2">
        <v>0.57999999999999996</v>
      </c>
      <c r="O4370" s="2">
        <v>0.42</v>
      </c>
      <c r="P4370">
        <v>9</v>
      </c>
      <c r="Q4370">
        <v>14</v>
      </c>
      <c r="R4370">
        <v>4</v>
      </c>
      <c r="S4370">
        <v>5</v>
      </c>
      <c r="T4370">
        <v>11</v>
      </c>
      <c r="U4370">
        <v>6</v>
      </c>
      <c r="V4370">
        <v>1</v>
      </c>
      <c r="W4370">
        <v>2</v>
      </c>
      <c r="X4370">
        <v>0</v>
      </c>
      <c r="Y4370">
        <v>0</v>
      </c>
      <c r="Z4370">
        <v>0</v>
      </c>
    </row>
    <row r="4371" spans="1:26" x14ac:dyDescent="0.2">
      <c r="A4371" t="s">
        <v>4489</v>
      </c>
      <c r="B4371" t="s">
        <v>92</v>
      </c>
      <c r="C4371">
        <v>2020</v>
      </c>
      <c r="D4371" t="s">
        <v>18</v>
      </c>
      <c r="E4371" t="s">
        <v>22</v>
      </c>
      <c r="F4371" t="s">
        <v>20</v>
      </c>
      <c r="G4371">
        <v>40341</v>
      </c>
      <c r="H4371">
        <v>2000</v>
      </c>
      <c r="I4371" s="13">
        <v>0.5</v>
      </c>
      <c r="J4371" t="s">
        <v>6207</v>
      </c>
      <c r="K4371">
        <v>0</v>
      </c>
      <c r="L4371">
        <v>0</v>
      </c>
      <c r="M4371" t="s">
        <v>58</v>
      </c>
      <c r="N4371" s="2">
        <v>0.79</v>
      </c>
      <c r="O4371" s="2">
        <v>0.21</v>
      </c>
      <c r="P4371">
        <v>7</v>
      </c>
      <c r="Q4371">
        <v>16</v>
      </c>
      <c r="R4371">
        <v>12</v>
      </c>
      <c r="S4371">
        <v>1</v>
      </c>
      <c r="T4371">
        <v>14</v>
      </c>
      <c r="U4371">
        <v>7</v>
      </c>
      <c r="V4371">
        <v>1</v>
      </c>
      <c r="W4371">
        <v>1</v>
      </c>
      <c r="X4371">
        <v>0</v>
      </c>
      <c r="Y4371">
        <v>0</v>
      </c>
      <c r="Z4371">
        <v>0</v>
      </c>
    </row>
    <row r="4372" spans="1:26" x14ac:dyDescent="0.2">
      <c r="A4372" t="s">
        <v>4490</v>
      </c>
      <c r="B4372" t="s">
        <v>81</v>
      </c>
      <c r="C4372">
        <v>2020</v>
      </c>
      <c r="D4372" t="s">
        <v>28</v>
      </c>
      <c r="E4372" t="s">
        <v>42</v>
      </c>
      <c r="F4372" t="s">
        <v>28</v>
      </c>
      <c r="G4372">
        <v>21944</v>
      </c>
      <c r="H4372">
        <v>2000</v>
      </c>
      <c r="I4372" s="13">
        <v>0</v>
      </c>
      <c r="J4372" t="s">
        <v>6207</v>
      </c>
      <c r="K4372">
        <v>3</v>
      </c>
      <c r="L4372">
        <v>2</v>
      </c>
      <c r="M4372" t="s">
        <v>0</v>
      </c>
      <c r="N4372" s="2">
        <v>0.38</v>
      </c>
      <c r="O4372" s="2">
        <v>0.62</v>
      </c>
      <c r="P4372">
        <v>10</v>
      </c>
      <c r="Q4372">
        <v>20</v>
      </c>
      <c r="R4372">
        <v>2</v>
      </c>
      <c r="S4372">
        <v>4</v>
      </c>
      <c r="T4372">
        <v>16</v>
      </c>
      <c r="U4372">
        <v>7</v>
      </c>
      <c r="V4372">
        <v>1</v>
      </c>
      <c r="W4372">
        <v>0</v>
      </c>
      <c r="X4372">
        <v>0</v>
      </c>
      <c r="Y4372">
        <v>0</v>
      </c>
      <c r="Z4372">
        <v>0</v>
      </c>
    </row>
    <row r="4373" spans="1:26" x14ac:dyDescent="0.2">
      <c r="A4373" t="s">
        <v>4491</v>
      </c>
      <c r="B4373" t="s">
        <v>76</v>
      </c>
      <c r="C4373">
        <v>2020</v>
      </c>
      <c r="D4373" t="s">
        <v>90</v>
      </c>
      <c r="E4373" t="s">
        <v>31</v>
      </c>
      <c r="F4373" t="s">
        <v>91</v>
      </c>
      <c r="G4373">
        <v>31876</v>
      </c>
      <c r="H4373">
        <v>2000</v>
      </c>
      <c r="I4373" s="13">
        <v>0.66666666666666663</v>
      </c>
      <c r="J4373" t="s">
        <v>6207</v>
      </c>
      <c r="K4373">
        <v>0</v>
      </c>
      <c r="L4373">
        <v>0</v>
      </c>
      <c r="M4373" t="s">
        <v>58</v>
      </c>
      <c r="N4373" s="2">
        <v>0.5</v>
      </c>
      <c r="O4373" s="2">
        <v>0.5</v>
      </c>
      <c r="P4373">
        <v>13</v>
      </c>
      <c r="Q4373">
        <v>13</v>
      </c>
      <c r="R4373">
        <v>10</v>
      </c>
      <c r="S4373">
        <v>0</v>
      </c>
      <c r="T4373">
        <v>10</v>
      </c>
      <c r="U4373">
        <v>14</v>
      </c>
      <c r="V4373">
        <v>2</v>
      </c>
      <c r="W4373">
        <v>1</v>
      </c>
      <c r="X4373">
        <v>0</v>
      </c>
      <c r="Y4373">
        <v>0</v>
      </c>
      <c r="Z4373">
        <v>0</v>
      </c>
    </row>
    <row r="4374" spans="1:26" x14ac:dyDescent="0.2">
      <c r="A4374" t="s">
        <v>4492</v>
      </c>
      <c r="B4374" t="s">
        <v>97</v>
      </c>
      <c r="C4374">
        <v>2020</v>
      </c>
      <c r="D4374" t="s">
        <v>48</v>
      </c>
      <c r="E4374" t="s">
        <v>95</v>
      </c>
      <c r="F4374" t="s">
        <v>49</v>
      </c>
      <c r="G4374">
        <v>74197</v>
      </c>
      <c r="H4374">
        <v>2000</v>
      </c>
      <c r="I4374" s="13">
        <v>0.5</v>
      </c>
      <c r="J4374" t="s">
        <v>6207</v>
      </c>
      <c r="K4374">
        <v>1</v>
      </c>
      <c r="L4374">
        <v>2</v>
      </c>
      <c r="M4374" t="s">
        <v>1</v>
      </c>
      <c r="N4374" s="2">
        <v>0.76</v>
      </c>
      <c r="O4374" s="2">
        <v>0.24</v>
      </c>
      <c r="P4374">
        <v>17</v>
      </c>
      <c r="Q4374">
        <v>10</v>
      </c>
      <c r="R4374">
        <v>7</v>
      </c>
      <c r="S4374">
        <v>2</v>
      </c>
      <c r="T4374">
        <v>10</v>
      </c>
      <c r="U4374">
        <v>12</v>
      </c>
      <c r="V4374">
        <v>1</v>
      </c>
      <c r="W4374">
        <v>1</v>
      </c>
      <c r="X4374">
        <v>0</v>
      </c>
      <c r="Y4374">
        <v>0</v>
      </c>
      <c r="Z4374">
        <v>0</v>
      </c>
    </row>
    <row r="4375" spans="1:26" x14ac:dyDescent="0.2">
      <c r="A4375" t="s">
        <v>4493</v>
      </c>
      <c r="B4375" t="s">
        <v>41</v>
      </c>
      <c r="C4375">
        <v>2020</v>
      </c>
      <c r="D4375" t="s">
        <v>45</v>
      </c>
      <c r="E4375" t="s">
        <v>80</v>
      </c>
      <c r="F4375" t="s">
        <v>26</v>
      </c>
      <c r="G4375">
        <v>39572</v>
      </c>
      <c r="H4375">
        <v>2000</v>
      </c>
      <c r="I4375" s="13">
        <v>0.5</v>
      </c>
      <c r="J4375" t="s">
        <v>6207</v>
      </c>
      <c r="K4375">
        <v>1</v>
      </c>
      <c r="L4375">
        <v>1</v>
      </c>
      <c r="M4375" t="s">
        <v>58</v>
      </c>
      <c r="N4375" s="2">
        <v>0.35</v>
      </c>
      <c r="O4375" s="2">
        <v>0.65</v>
      </c>
      <c r="P4375">
        <v>12</v>
      </c>
      <c r="Q4375">
        <v>15</v>
      </c>
      <c r="R4375">
        <v>5</v>
      </c>
      <c r="S4375">
        <v>11</v>
      </c>
      <c r="T4375">
        <v>12</v>
      </c>
      <c r="U4375">
        <v>10</v>
      </c>
      <c r="V4375">
        <v>1</v>
      </c>
      <c r="W4375">
        <v>1</v>
      </c>
      <c r="X4375">
        <v>0</v>
      </c>
      <c r="Y4375">
        <v>0</v>
      </c>
      <c r="Z4375">
        <v>0</v>
      </c>
    </row>
    <row r="4376" spans="1:26" x14ac:dyDescent="0.2">
      <c r="A4376" t="s">
        <v>4494</v>
      </c>
      <c r="B4376" t="s">
        <v>32</v>
      </c>
      <c r="C4376">
        <v>2020</v>
      </c>
      <c r="D4376" t="s">
        <v>51</v>
      </c>
      <c r="E4376" t="s">
        <v>26</v>
      </c>
      <c r="F4376" t="s">
        <v>20</v>
      </c>
      <c r="G4376">
        <v>36284</v>
      </c>
      <c r="H4376">
        <v>2000</v>
      </c>
      <c r="I4376" s="13">
        <v>0.66666666666666663</v>
      </c>
      <c r="J4376" t="s">
        <v>6207</v>
      </c>
      <c r="K4376">
        <v>1</v>
      </c>
      <c r="L4376">
        <v>3</v>
      </c>
      <c r="M4376" t="s">
        <v>1</v>
      </c>
      <c r="N4376" s="2">
        <v>0.49</v>
      </c>
      <c r="O4376" s="2">
        <v>0.51</v>
      </c>
      <c r="P4376">
        <v>13</v>
      </c>
      <c r="Q4376">
        <v>11</v>
      </c>
      <c r="R4376">
        <v>1</v>
      </c>
      <c r="S4376">
        <v>2</v>
      </c>
      <c r="T4376">
        <v>9</v>
      </c>
      <c r="U4376">
        <v>11</v>
      </c>
      <c r="V4376">
        <v>1</v>
      </c>
      <c r="W4376">
        <v>2</v>
      </c>
      <c r="X4376">
        <v>0</v>
      </c>
      <c r="Y4376">
        <v>0</v>
      </c>
      <c r="Z4376">
        <v>0</v>
      </c>
    </row>
    <row r="4377" spans="1:26" x14ac:dyDescent="0.2">
      <c r="A4377" t="s">
        <v>4495</v>
      </c>
      <c r="B4377" t="s">
        <v>59</v>
      </c>
      <c r="C4377">
        <v>2020</v>
      </c>
      <c r="D4377" t="s">
        <v>45</v>
      </c>
      <c r="E4377" t="s">
        <v>64</v>
      </c>
      <c r="F4377" t="s">
        <v>26</v>
      </c>
      <c r="G4377">
        <v>39572</v>
      </c>
      <c r="H4377">
        <v>2000</v>
      </c>
      <c r="I4377" s="13">
        <v>0.42857142857142855</v>
      </c>
      <c r="J4377" t="s">
        <v>6206</v>
      </c>
      <c r="K4377">
        <v>0</v>
      </c>
      <c r="L4377">
        <v>2</v>
      </c>
      <c r="M4377" t="s">
        <v>1</v>
      </c>
      <c r="N4377" s="2">
        <v>0.61</v>
      </c>
      <c r="O4377" s="2">
        <v>0.39</v>
      </c>
      <c r="P4377">
        <v>6</v>
      </c>
      <c r="Q4377">
        <v>17</v>
      </c>
      <c r="R4377">
        <v>7</v>
      </c>
      <c r="S4377">
        <v>12</v>
      </c>
      <c r="T4377">
        <v>13</v>
      </c>
      <c r="U4377">
        <v>6</v>
      </c>
      <c r="V4377">
        <v>3</v>
      </c>
      <c r="W4377">
        <v>4</v>
      </c>
      <c r="X4377">
        <v>0</v>
      </c>
      <c r="Y4377">
        <v>0</v>
      </c>
      <c r="Z4377">
        <v>0</v>
      </c>
    </row>
    <row r="4378" spans="1:26" x14ac:dyDescent="0.2">
      <c r="A4378" t="s">
        <v>4496</v>
      </c>
      <c r="B4378" t="s">
        <v>61</v>
      </c>
      <c r="C4378">
        <v>2020</v>
      </c>
      <c r="D4378" t="s">
        <v>63</v>
      </c>
      <c r="E4378" t="s">
        <v>31</v>
      </c>
      <c r="F4378" t="s">
        <v>65</v>
      </c>
      <c r="G4378">
        <v>26804</v>
      </c>
      <c r="H4378">
        <v>2000</v>
      </c>
      <c r="I4378" s="13">
        <v>0</v>
      </c>
      <c r="J4378" t="s">
        <v>6207</v>
      </c>
      <c r="K4378">
        <v>2</v>
      </c>
      <c r="L4378">
        <v>2</v>
      </c>
      <c r="M4378" t="s">
        <v>58</v>
      </c>
      <c r="N4378" s="2">
        <v>0.37</v>
      </c>
      <c r="O4378" s="2">
        <v>0.63</v>
      </c>
      <c r="P4378">
        <v>10</v>
      </c>
      <c r="Q4378">
        <v>10</v>
      </c>
      <c r="R4378">
        <v>2</v>
      </c>
      <c r="S4378">
        <v>3</v>
      </c>
      <c r="T4378">
        <v>9</v>
      </c>
      <c r="U4378">
        <v>10</v>
      </c>
      <c r="V4378">
        <v>1</v>
      </c>
      <c r="W4378">
        <v>0</v>
      </c>
      <c r="X4378">
        <v>0</v>
      </c>
      <c r="Y4378">
        <v>0</v>
      </c>
      <c r="Z4378">
        <v>0</v>
      </c>
    </row>
    <row r="4379" spans="1:26" x14ac:dyDescent="0.2">
      <c r="A4379" t="s">
        <v>4497</v>
      </c>
      <c r="B4379" t="s">
        <v>93</v>
      </c>
      <c r="C4379">
        <v>2020</v>
      </c>
      <c r="D4379" t="s">
        <v>40</v>
      </c>
      <c r="E4379" t="s">
        <v>95</v>
      </c>
      <c r="F4379" t="s">
        <v>49</v>
      </c>
      <c r="G4379">
        <v>53400</v>
      </c>
      <c r="H4379">
        <v>2000</v>
      </c>
      <c r="I4379" s="13">
        <v>0.66666666666666663</v>
      </c>
      <c r="J4379" t="s">
        <v>6206</v>
      </c>
      <c r="K4379">
        <v>1</v>
      </c>
      <c r="L4379">
        <v>0</v>
      </c>
      <c r="M4379" t="s">
        <v>0</v>
      </c>
      <c r="N4379" s="2">
        <v>0.75</v>
      </c>
      <c r="O4379" s="2">
        <v>0.25</v>
      </c>
      <c r="P4379">
        <v>9</v>
      </c>
      <c r="Q4379">
        <v>7</v>
      </c>
      <c r="R4379">
        <v>10</v>
      </c>
      <c r="S4379">
        <v>0</v>
      </c>
      <c r="T4379">
        <v>7</v>
      </c>
      <c r="U4379">
        <v>10</v>
      </c>
      <c r="V4379">
        <v>0</v>
      </c>
      <c r="W4379">
        <v>3</v>
      </c>
      <c r="X4379">
        <v>0</v>
      </c>
      <c r="Y4379">
        <v>0</v>
      </c>
      <c r="Z4379">
        <v>0</v>
      </c>
    </row>
    <row r="4380" spans="1:26" x14ac:dyDescent="0.2">
      <c r="A4380" t="s">
        <v>4498</v>
      </c>
      <c r="B4380" t="s">
        <v>84</v>
      </c>
      <c r="C4380">
        <v>2020</v>
      </c>
      <c r="D4380" t="s">
        <v>79</v>
      </c>
      <c r="E4380" t="s">
        <v>22</v>
      </c>
      <c r="F4380" t="s">
        <v>20</v>
      </c>
      <c r="G4380">
        <v>25486</v>
      </c>
      <c r="H4380">
        <v>2000</v>
      </c>
      <c r="I4380" s="13">
        <v>0.33333333333333331</v>
      </c>
      <c r="J4380" t="s">
        <v>6208</v>
      </c>
      <c r="K4380">
        <v>1</v>
      </c>
      <c r="L4380">
        <v>0</v>
      </c>
      <c r="M4380" t="s">
        <v>0</v>
      </c>
      <c r="N4380" s="2">
        <v>0.48</v>
      </c>
      <c r="O4380" s="2">
        <v>0.52</v>
      </c>
      <c r="P4380">
        <v>11</v>
      </c>
      <c r="Q4380">
        <v>8</v>
      </c>
      <c r="R4380">
        <v>1</v>
      </c>
      <c r="S4380">
        <v>6</v>
      </c>
      <c r="T4380">
        <v>7</v>
      </c>
      <c r="U4380">
        <v>10</v>
      </c>
      <c r="V4380">
        <v>1</v>
      </c>
      <c r="W4380">
        <v>2</v>
      </c>
      <c r="X4380">
        <v>0</v>
      </c>
      <c r="Y4380">
        <v>0</v>
      </c>
      <c r="Z4380">
        <v>0</v>
      </c>
    </row>
    <row r="4381" spans="1:26" x14ac:dyDescent="0.2">
      <c r="A4381" t="s">
        <v>4499</v>
      </c>
      <c r="B4381" t="s">
        <v>66</v>
      </c>
      <c r="C4381">
        <v>2020</v>
      </c>
      <c r="D4381" t="s">
        <v>46</v>
      </c>
      <c r="E4381" t="s">
        <v>48</v>
      </c>
      <c r="F4381" t="s">
        <v>20</v>
      </c>
      <c r="G4381">
        <v>60704</v>
      </c>
      <c r="H4381">
        <v>2000</v>
      </c>
      <c r="I4381" s="13">
        <v>0.5</v>
      </c>
      <c r="J4381" t="s">
        <v>6207</v>
      </c>
      <c r="K4381">
        <v>0</v>
      </c>
      <c r="L4381">
        <v>0</v>
      </c>
      <c r="M4381" t="s">
        <v>58</v>
      </c>
      <c r="N4381" s="2">
        <v>0.43</v>
      </c>
      <c r="O4381" s="2">
        <v>0.56999999999999995</v>
      </c>
      <c r="P4381">
        <v>18</v>
      </c>
      <c r="Q4381">
        <v>9</v>
      </c>
      <c r="R4381">
        <v>4</v>
      </c>
      <c r="S4381">
        <v>7</v>
      </c>
      <c r="T4381">
        <v>9</v>
      </c>
      <c r="U4381">
        <v>16</v>
      </c>
      <c r="V4381">
        <v>1</v>
      </c>
      <c r="W4381">
        <v>3</v>
      </c>
      <c r="X4381">
        <v>0</v>
      </c>
      <c r="Y4381">
        <v>0</v>
      </c>
      <c r="Z4381">
        <v>0</v>
      </c>
    </row>
    <row r="4382" spans="1:26" x14ac:dyDescent="0.2">
      <c r="A4382" t="s">
        <v>4500</v>
      </c>
      <c r="B4382" t="s">
        <v>50</v>
      </c>
      <c r="C4382">
        <v>2020</v>
      </c>
      <c r="D4382" t="s">
        <v>73</v>
      </c>
      <c r="E4382" t="s">
        <v>42</v>
      </c>
      <c r="F4382" t="s">
        <v>73</v>
      </c>
      <c r="G4382">
        <v>32384</v>
      </c>
      <c r="H4382">
        <v>2000</v>
      </c>
      <c r="I4382" s="13">
        <v>0</v>
      </c>
      <c r="J4382" t="s">
        <v>6207</v>
      </c>
      <c r="K4382">
        <v>0</v>
      </c>
      <c r="L4382">
        <v>1</v>
      </c>
      <c r="M4382" t="s">
        <v>1</v>
      </c>
      <c r="N4382" s="2">
        <v>0.6</v>
      </c>
      <c r="O4382" s="2">
        <v>0.4</v>
      </c>
      <c r="P4382">
        <v>16</v>
      </c>
      <c r="Q4382">
        <v>16</v>
      </c>
      <c r="R4382">
        <v>7</v>
      </c>
      <c r="S4382">
        <v>1</v>
      </c>
      <c r="T4382">
        <v>12</v>
      </c>
      <c r="U4382">
        <v>11</v>
      </c>
      <c r="V4382">
        <v>1</v>
      </c>
      <c r="W4382">
        <v>0</v>
      </c>
      <c r="X4382">
        <v>0</v>
      </c>
      <c r="Y4382">
        <v>0</v>
      </c>
      <c r="Z4382">
        <v>0</v>
      </c>
    </row>
    <row r="4383" spans="1:26" x14ac:dyDescent="0.2">
      <c r="A4383" t="s">
        <v>4501</v>
      </c>
      <c r="B4383" t="s">
        <v>83</v>
      </c>
      <c r="C4383">
        <v>2020</v>
      </c>
      <c r="D4383" t="s">
        <v>18</v>
      </c>
      <c r="E4383" t="s">
        <v>28</v>
      </c>
      <c r="F4383" t="s">
        <v>20</v>
      </c>
      <c r="G4383">
        <v>40341</v>
      </c>
      <c r="H4383">
        <v>2000</v>
      </c>
      <c r="I4383" s="13">
        <v>0</v>
      </c>
      <c r="J4383" t="s">
        <v>6208</v>
      </c>
      <c r="K4383">
        <v>2</v>
      </c>
      <c r="L4383">
        <v>0</v>
      </c>
      <c r="M4383" t="s">
        <v>0</v>
      </c>
      <c r="N4383" s="2">
        <v>0.71</v>
      </c>
      <c r="O4383" s="2">
        <v>0.28999999999999998</v>
      </c>
      <c r="P4383">
        <v>11</v>
      </c>
      <c r="Q4383">
        <v>9</v>
      </c>
      <c r="R4383">
        <v>4</v>
      </c>
      <c r="S4383">
        <v>2</v>
      </c>
      <c r="T4383">
        <v>7</v>
      </c>
      <c r="U4383">
        <v>9</v>
      </c>
      <c r="V4383">
        <v>0</v>
      </c>
      <c r="W4383">
        <v>1</v>
      </c>
      <c r="X4383">
        <v>0</v>
      </c>
      <c r="Y4383">
        <v>0</v>
      </c>
      <c r="Z4383">
        <v>0</v>
      </c>
    </row>
    <row r="4384" spans="1:26" x14ac:dyDescent="0.2">
      <c r="A4384" t="s">
        <v>4502</v>
      </c>
      <c r="B4384" t="s">
        <v>88</v>
      </c>
      <c r="C4384">
        <v>2020</v>
      </c>
      <c r="D4384" t="s">
        <v>80</v>
      </c>
      <c r="E4384" t="s">
        <v>33</v>
      </c>
      <c r="F4384" t="s">
        <v>80</v>
      </c>
      <c r="G4384">
        <v>32261</v>
      </c>
      <c r="H4384">
        <v>2000</v>
      </c>
      <c r="I4384" s="13">
        <v>0.33333333333333331</v>
      </c>
      <c r="J4384" t="s">
        <v>6207</v>
      </c>
      <c r="K4384">
        <v>1</v>
      </c>
      <c r="L4384">
        <v>3</v>
      </c>
      <c r="M4384" t="s">
        <v>1</v>
      </c>
      <c r="N4384" s="2">
        <v>0.51</v>
      </c>
      <c r="O4384" s="2">
        <v>0.49</v>
      </c>
      <c r="P4384">
        <v>18</v>
      </c>
      <c r="Q4384">
        <v>19</v>
      </c>
      <c r="R4384">
        <v>5</v>
      </c>
      <c r="S4384">
        <v>4</v>
      </c>
      <c r="T4384">
        <v>17</v>
      </c>
      <c r="U4384">
        <v>16</v>
      </c>
      <c r="V4384">
        <v>0</v>
      </c>
      <c r="W4384">
        <v>3</v>
      </c>
      <c r="X4384">
        <v>0</v>
      </c>
      <c r="Y4384">
        <v>0</v>
      </c>
      <c r="Z4384">
        <v>0</v>
      </c>
    </row>
    <row r="4385" spans="1:26" x14ac:dyDescent="0.2">
      <c r="A4385" t="s">
        <v>4503</v>
      </c>
      <c r="B4385" t="s">
        <v>68</v>
      </c>
      <c r="C4385">
        <v>2020</v>
      </c>
      <c r="D4385" t="s">
        <v>23</v>
      </c>
      <c r="E4385" t="s">
        <v>26</v>
      </c>
      <c r="F4385" t="s">
        <v>20</v>
      </c>
      <c r="G4385">
        <v>62500</v>
      </c>
      <c r="H4385">
        <v>2000</v>
      </c>
      <c r="I4385" s="13">
        <v>0.5</v>
      </c>
      <c r="J4385" t="s">
        <v>6207</v>
      </c>
      <c r="K4385">
        <v>1</v>
      </c>
      <c r="L4385">
        <v>3</v>
      </c>
      <c r="M4385" t="s">
        <v>1</v>
      </c>
      <c r="N4385" s="2">
        <v>0.33</v>
      </c>
      <c r="O4385" s="2">
        <v>0.67</v>
      </c>
      <c r="P4385">
        <v>9</v>
      </c>
      <c r="Q4385">
        <v>9</v>
      </c>
      <c r="R4385">
        <v>6</v>
      </c>
      <c r="S4385">
        <v>4</v>
      </c>
      <c r="T4385">
        <v>7</v>
      </c>
      <c r="U4385">
        <v>8</v>
      </c>
      <c r="V4385">
        <v>2</v>
      </c>
      <c r="W4385">
        <v>0</v>
      </c>
      <c r="X4385">
        <v>0</v>
      </c>
      <c r="Y4385">
        <v>0</v>
      </c>
      <c r="Z4385">
        <v>0</v>
      </c>
    </row>
    <row r="4386" spans="1:26" x14ac:dyDescent="0.2">
      <c r="A4386" t="s">
        <v>4504</v>
      </c>
      <c r="B4386" t="s">
        <v>97</v>
      </c>
      <c r="C4386">
        <v>2020</v>
      </c>
      <c r="D4386" t="s">
        <v>90</v>
      </c>
      <c r="E4386" t="s">
        <v>51</v>
      </c>
      <c r="F4386" t="s">
        <v>91</v>
      </c>
      <c r="G4386">
        <v>31876</v>
      </c>
      <c r="H4386">
        <v>2000</v>
      </c>
      <c r="I4386" s="13">
        <v>0.66666666666666663</v>
      </c>
      <c r="J4386" t="s">
        <v>6207</v>
      </c>
      <c r="K4386">
        <v>1</v>
      </c>
      <c r="L4386">
        <v>0</v>
      </c>
      <c r="M4386" t="s">
        <v>0</v>
      </c>
      <c r="N4386" s="2">
        <v>0.43</v>
      </c>
      <c r="O4386" s="2">
        <v>0.56999999999999995</v>
      </c>
      <c r="P4386">
        <v>13</v>
      </c>
      <c r="Q4386">
        <v>12</v>
      </c>
      <c r="R4386">
        <v>9</v>
      </c>
      <c r="S4386">
        <v>2</v>
      </c>
      <c r="T4386">
        <v>11</v>
      </c>
      <c r="U4386">
        <v>11</v>
      </c>
      <c r="V4386">
        <v>2</v>
      </c>
      <c r="W4386">
        <v>1</v>
      </c>
      <c r="X4386">
        <v>0</v>
      </c>
      <c r="Y4386">
        <v>0</v>
      </c>
      <c r="Z4386">
        <v>0</v>
      </c>
    </row>
    <row r="4387" spans="1:26" x14ac:dyDescent="0.2">
      <c r="A4387" t="s">
        <v>4505</v>
      </c>
      <c r="B4387" t="s">
        <v>76</v>
      </c>
      <c r="C4387">
        <v>2020</v>
      </c>
      <c r="D4387" t="s">
        <v>22</v>
      </c>
      <c r="E4387" t="s">
        <v>46</v>
      </c>
      <c r="F4387" t="s">
        <v>24</v>
      </c>
      <c r="G4387">
        <v>31750</v>
      </c>
      <c r="H4387">
        <v>2000</v>
      </c>
      <c r="I4387" s="13">
        <v>0.8571428571428571</v>
      </c>
      <c r="J4387" t="s">
        <v>6207</v>
      </c>
      <c r="K4387">
        <v>2</v>
      </c>
      <c r="L4387">
        <v>1</v>
      </c>
      <c r="M4387" t="s">
        <v>0</v>
      </c>
      <c r="N4387" s="2">
        <v>0.55000000000000004</v>
      </c>
      <c r="O4387" s="2">
        <v>0.45</v>
      </c>
      <c r="P4387">
        <v>10</v>
      </c>
      <c r="Q4387">
        <v>12</v>
      </c>
      <c r="R4387">
        <v>9</v>
      </c>
      <c r="S4387">
        <v>6</v>
      </c>
      <c r="T4387">
        <v>11</v>
      </c>
      <c r="U4387">
        <v>8</v>
      </c>
      <c r="V4387">
        <v>3</v>
      </c>
      <c r="W4387">
        <v>2</v>
      </c>
      <c r="X4387">
        <v>0</v>
      </c>
      <c r="Y4387">
        <v>2</v>
      </c>
      <c r="Z4387">
        <v>1</v>
      </c>
    </row>
    <row r="4388" spans="1:26" x14ac:dyDescent="0.2">
      <c r="A4388" t="s">
        <v>4506</v>
      </c>
      <c r="B4388" t="s">
        <v>81</v>
      </c>
      <c r="C4388">
        <v>2020</v>
      </c>
      <c r="D4388" t="s">
        <v>95</v>
      </c>
      <c r="E4388" t="s">
        <v>63</v>
      </c>
      <c r="F4388" t="s">
        <v>57</v>
      </c>
      <c r="G4388">
        <v>32050</v>
      </c>
      <c r="H4388">
        <v>2000</v>
      </c>
      <c r="I4388" s="13">
        <v>0.66666666666666663</v>
      </c>
      <c r="J4388" t="s">
        <v>6207</v>
      </c>
      <c r="K4388">
        <v>2</v>
      </c>
      <c r="L4388">
        <v>1</v>
      </c>
      <c r="M4388" t="s">
        <v>0</v>
      </c>
      <c r="N4388" s="2">
        <v>0.68</v>
      </c>
      <c r="O4388" s="2">
        <v>0.32</v>
      </c>
      <c r="P4388">
        <v>13</v>
      </c>
      <c r="Q4388">
        <v>11</v>
      </c>
      <c r="R4388">
        <v>9</v>
      </c>
      <c r="S4388">
        <v>2</v>
      </c>
      <c r="T4388">
        <v>11</v>
      </c>
      <c r="U4388">
        <v>9</v>
      </c>
      <c r="V4388">
        <v>2</v>
      </c>
      <c r="W4388">
        <v>1</v>
      </c>
      <c r="X4388">
        <v>0</v>
      </c>
      <c r="Y4388">
        <v>0</v>
      </c>
      <c r="Z4388">
        <v>0</v>
      </c>
    </row>
    <row r="4389" spans="1:26" x14ac:dyDescent="0.2">
      <c r="A4389" t="s">
        <v>4507</v>
      </c>
      <c r="B4389" t="s">
        <v>100</v>
      </c>
      <c r="C4389">
        <v>2020</v>
      </c>
      <c r="D4389" t="s">
        <v>64</v>
      </c>
      <c r="E4389" t="s">
        <v>79</v>
      </c>
      <c r="F4389" t="s">
        <v>64</v>
      </c>
      <c r="G4389">
        <v>52264</v>
      </c>
      <c r="H4389">
        <v>2000</v>
      </c>
      <c r="I4389" s="13">
        <v>0.5</v>
      </c>
      <c r="J4389" t="s">
        <v>6207</v>
      </c>
      <c r="K4389">
        <v>1</v>
      </c>
      <c r="L4389">
        <v>2</v>
      </c>
      <c r="M4389" t="s">
        <v>1</v>
      </c>
      <c r="N4389" s="2">
        <v>0.61</v>
      </c>
      <c r="O4389" s="2">
        <v>0.39</v>
      </c>
      <c r="P4389">
        <v>13</v>
      </c>
      <c r="Q4389">
        <v>15</v>
      </c>
      <c r="R4389">
        <v>9</v>
      </c>
      <c r="S4389">
        <v>1</v>
      </c>
      <c r="T4389">
        <v>14</v>
      </c>
      <c r="U4389">
        <v>11</v>
      </c>
      <c r="V4389">
        <v>1</v>
      </c>
      <c r="W4389">
        <v>3</v>
      </c>
      <c r="X4389">
        <v>0</v>
      </c>
      <c r="Y4389">
        <v>0</v>
      </c>
      <c r="Z4389">
        <v>0</v>
      </c>
    </row>
    <row r="4390" spans="1:26" x14ac:dyDescent="0.2">
      <c r="A4390" t="s">
        <v>4508</v>
      </c>
      <c r="B4390" t="s">
        <v>41</v>
      </c>
      <c r="C4390">
        <v>2020</v>
      </c>
      <c r="D4390" t="s">
        <v>48</v>
      </c>
      <c r="E4390" t="s">
        <v>73</v>
      </c>
      <c r="F4390" t="s">
        <v>49</v>
      </c>
      <c r="G4390">
        <v>74197</v>
      </c>
      <c r="H4390">
        <v>2000</v>
      </c>
      <c r="I4390" s="13">
        <v>0.42857142857142855</v>
      </c>
      <c r="J4390" t="s">
        <v>6207</v>
      </c>
      <c r="K4390">
        <v>9</v>
      </c>
      <c r="L4390">
        <v>0</v>
      </c>
      <c r="M4390" t="s">
        <v>0</v>
      </c>
      <c r="N4390" s="2">
        <v>0.75</v>
      </c>
      <c r="O4390" s="2">
        <v>0.25</v>
      </c>
      <c r="P4390">
        <v>8</v>
      </c>
      <c r="Q4390">
        <v>14</v>
      </c>
      <c r="R4390">
        <v>5</v>
      </c>
      <c r="S4390">
        <v>3</v>
      </c>
      <c r="T4390">
        <v>11</v>
      </c>
      <c r="U4390">
        <v>6</v>
      </c>
      <c r="V4390">
        <v>2</v>
      </c>
      <c r="W4390">
        <v>3</v>
      </c>
      <c r="X4390">
        <v>0</v>
      </c>
      <c r="Y4390">
        <v>2</v>
      </c>
      <c r="Z4390">
        <v>1</v>
      </c>
    </row>
    <row r="4391" spans="1:26" x14ac:dyDescent="0.2">
      <c r="A4391" t="s">
        <v>4509</v>
      </c>
      <c r="B4391" t="s">
        <v>99</v>
      </c>
      <c r="C4391">
        <v>2020</v>
      </c>
      <c r="D4391" t="s">
        <v>31</v>
      </c>
      <c r="E4391" t="s">
        <v>80</v>
      </c>
      <c r="F4391" t="s">
        <v>20</v>
      </c>
      <c r="G4391">
        <v>28500</v>
      </c>
      <c r="H4391">
        <v>2000</v>
      </c>
      <c r="I4391" s="13">
        <v>0.75</v>
      </c>
      <c r="J4391" t="s">
        <v>6207</v>
      </c>
      <c r="K4391">
        <v>0</v>
      </c>
      <c r="L4391">
        <v>2</v>
      </c>
      <c r="M4391" t="s">
        <v>1</v>
      </c>
      <c r="N4391" s="2">
        <v>0.56999999999999995</v>
      </c>
      <c r="O4391" s="2">
        <v>0.43</v>
      </c>
      <c r="P4391">
        <v>12</v>
      </c>
      <c r="Q4391">
        <v>18</v>
      </c>
      <c r="R4391">
        <v>5</v>
      </c>
      <c r="S4391">
        <v>2</v>
      </c>
      <c r="T4391">
        <v>17</v>
      </c>
      <c r="U4391">
        <v>10</v>
      </c>
      <c r="V4391">
        <v>3</v>
      </c>
      <c r="W4391">
        <v>1</v>
      </c>
      <c r="X4391">
        <v>0</v>
      </c>
      <c r="Y4391">
        <v>0</v>
      </c>
      <c r="Z4391">
        <v>0</v>
      </c>
    </row>
    <row r="4392" spans="1:26" x14ac:dyDescent="0.2">
      <c r="A4392" t="s">
        <v>4510</v>
      </c>
      <c r="B4392" t="s">
        <v>32</v>
      </c>
      <c r="C4392">
        <v>2020</v>
      </c>
      <c r="D4392" t="s">
        <v>28</v>
      </c>
      <c r="E4392" t="s">
        <v>40</v>
      </c>
      <c r="F4392" t="s">
        <v>28</v>
      </c>
      <c r="G4392">
        <v>21944</v>
      </c>
      <c r="H4392">
        <v>2000</v>
      </c>
      <c r="I4392" s="13">
        <v>0.66666666666666663</v>
      </c>
      <c r="J4392" t="s">
        <v>6207</v>
      </c>
      <c r="K4392">
        <v>0</v>
      </c>
      <c r="L4392">
        <v>2</v>
      </c>
      <c r="M4392" t="s">
        <v>1</v>
      </c>
      <c r="N4392" s="2">
        <v>0.25</v>
      </c>
      <c r="O4392" s="2">
        <v>0.75</v>
      </c>
      <c r="P4392">
        <v>7</v>
      </c>
      <c r="Q4392">
        <v>11</v>
      </c>
      <c r="R4392">
        <v>1</v>
      </c>
      <c r="S4392">
        <v>3</v>
      </c>
      <c r="T4392">
        <v>8</v>
      </c>
      <c r="U4392">
        <v>5</v>
      </c>
      <c r="V4392">
        <v>2</v>
      </c>
      <c r="W4392">
        <v>1</v>
      </c>
      <c r="X4392">
        <v>0</v>
      </c>
      <c r="Y4392">
        <v>0</v>
      </c>
      <c r="Z4392">
        <v>0</v>
      </c>
    </row>
    <row r="4393" spans="1:26" x14ac:dyDescent="0.2">
      <c r="A4393" t="s">
        <v>4511</v>
      </c>
      <c r="B4393" t="s">
        <v>66</v>
      </c>
      <c r="C4393">
        <v>2020</v>
      </c>
      <c r="D4393" t="s">
        <v>33</v>
      </c>
      <c r="E4393" t="s">
        <v>45</v>
      </c>
      <c r="F4393" t="s">
        <v>33</v>
      </c>
      <c r="G4393">
        <v>37645</v>
      </c>
      <c r="H4393">
        <v>2000</v>
      </c>
      <c r="I4393" s="13">
        <v>0.4</v>
      </c>
      <c r="J4393" t="s">
        <v>6207</v>
      </c>
      <c r="K4393">
        <v>1</v>
      </c>
      <c r="L4393">
        <v>2</v>
      </c>
      <c r="M4393" t="s">
        <v>1</v>
      </c>
      <c r="N4393" s="2">
        <v>0.63</v>
      </c>
      <c r="O4393" s="2">
        <v>0.37</v>
      </c>
      <c r="P4393">
        <v>13</v>
      </c>
      <c r="Q4393">
        <v>12</v>
      </c>
      <c r="R4393">
        <v>7</v>
      </c>
      <c r="S4393">
        <v>1</v>
      </c>
      <c r="T4393">
        <v>12</v>
      </c>
      <c r="U4393">
        <v>12</v>
      </c>
      <c r="V4393">
        <v>2</v>
      </c>
      <c r="W4393">
        <v>3</v>
      </c>
      <c r="X4393">
        <v>0</v>
      </c>
      <c r="Y4393">
        <v>0</v>
      </c>
      <c r="Z4393">
        <v>0</v>
      </c>
    </row>
    <row r="4394" spans="1:26" x14ac:dyDescent="0.2">
      <c r="A4394" t="s">
        <v>4512</v>
      </c>
      <c r="B4394" t="s">
        <v>60</v>
      </c>
      <c r="C4394">
        <v>2020</v>
      </c>
      <c r="D4394" t="s">
        <v>26</v>
      </c>
      <c r="E4394" t="s">
        <v>90</v>
      </c>
      <c r="F4394" t="s">
        <v>26</v>
      </c>
      <c r="G4394">
        <v>61276</v>
      </c>
      <c r="H4394">
        <v>2000</v>
      </c>
      <c r="I4394" s="13">
        <v>1</v>
      </c>
      <c r="J4394" t="s">
        <v>6208</v>
      </c>
      <c r="K4394">
        <v>0</v>
      </c>
      <c r="L4394">
        <v>1</v>
      </c>
      <c r="M4394" t="s">
        <v>1</v>
      </c>
      <c r="N4394" s="2">
        <v>0.63</v>
      </c>
      <c r="O4394" s="2">
        <v>0.37</v>
      </c>
      <c r="P4394">
        <v>9</v>
      </c>
      <c r="Q4394">
        <v>11</v>
      </c>
      <c r="R4394">
        <v>5</v>
      </c>
      <c r="S4394">
        <v>3</v>
      </c>
      <c r="T4394">
        <v>12</v>
      </c>
      <c r="U4394">
        <v>6</v>
      </c>
      <c r="V4394">
        <v>1</v>
      </c>
      <c r="W4394">
        <v>0</v>
      </c>
      <c r="X4394">
        <v>0</v>
      </c>
      <c r="Y4394">
        <v>0</v>
      </c>
      <c r="Z4394">
        <v>0</v>
      </c>
    </row>
    <row r="4395" spans="1:26" x14ac:dyDescent="0.2">
      <c r="A4395" t="s">
        <v>4513</v>
      </c>
      <c r="B4395" t="s">
        <v>92</v>
      </c>
      <c r="C4395">
        <v>2020</v>
      </c>
      <c r="D4395" t="s">
        <v>42</v>
      </c>
      <c r="E4395" t="s">
        <v>23</v>
      </c>
      <c r="F4395" t="s">
        <v>38</v>
      </c>
      <c r="G4395">
        <v>42918</v>
      </c>
      <c r="H4395">
        <v>2000</v>
      </c>
      <c r="I4395" s="13">
        <v>0.5</v>
      </c>
      <c r="J4395" t="s">
        <v>6207</v>
      </c>
      <c r="K4395">
        <v>1</v>
      </c>
      <c r="L4395">
        <v>3</v>
      </c>
      <c r="M4395" t="s">
        <v>1</v>
      </c>
      <c r="N4395" s="2">
        <v>0.56000000000000005</v>
      </c>
      <c r="O4395" s="2">
        <v>0.44</v>
      </c>
      <c r="P4395">
        <v>17</v>
      </c>
      <c r="Q4395">
        <v>12</v>
      </c>
      <c r="R4395">
        <v>7</v>
      </c>
      <c r="S4395">
        <v>3</v>
      </c>
      <c r="T4395">
        <v>11</v>
      </c>
      <c r="U4395">
        <v>16</v>
      </c>
      <c r="V4395">
        <v>1</v>
      </c>
      <c r="W4395">
        <v>1</v>
      </c>
      <c r="X4395">
        <v>0</v>
      </c>
      <c r="Y4395">
        <v>0</v>
      </c>
      <c r="Z4395">
        <v>0</v>
      </c>
    </row>
    <row r="4396" spans="1:26" x14ac:dyDescent="0.2">
      <c r="A4396" t="s">
        <v>4514</v>
      </c>
      <c r="B4396" t="s">
        <v>37</v>
      </c>
      <c r="C4396">
        <v>2020</v>
      </c>
      <c r="D4396" t="s">
        <v>51</v>
      </c>
      <c r="E4396" t="s">
        <v>18</v>
      </c>
      <c r="F4396" t="s">
        <v>20</v>
      </c>
      <c r="G4396">
        <v>36284</v>
      </c>
      <c r="H4396">
        <v>2000</v>
      </c>
      <c r="I4396" s="13">
        <v>1</v>
      </c>
      <c r="J4396" t="s">
        <v>6206</v>
      </c>
      <c r="K4396">
        <v>0</v>
      </c>
      <c r="L4396">
        <v>1</v>
      </c>
      <c r="M4396" t="s">
        <v>1</v>
      </c>
      <c r="N4396" s="2">
        <v>0.42</v>
      </c>
      <c r="O4396" s="2">
        <v>0.57999999999999996</v>
      </c>
      <c r="P4396">
        <v>17</v>
      </c>
      <c r="Q4396">
        <v>18</v>
      </c>
      <c r="R4396">
        <v>2</v>
      </c>
      <c r="S4396">
        <v>7</v>
      </c>
      <c r="T4396">
        <v>20</v>
      </c>
      <c r="U4396">
        <v>14</v>
      </c>
      <c r="V4396">
        <v>2</v>
      </c>
      <c r="W4396">
        <v>3</v>
      </c>
      <c r="X4396">
        <v>0</v>
      </c>
      <c r="Y4396">
        <v>0</v>
      </c>
      <c r="Z4396">
        <v>1</v>
      </c>
    </row>
    <row r="4397" spans="1:26" x14ac:dyDescent="0.2">
      <c r="A4397" t="s">
        <v>4515</v>
      </c>
      <c r="B4397" t="s">
        <v>88</v>
      </c>
      <c r="C4397">
        <v>2020</v>
      </c>
      <c r="D4397" t="s">
        <v>42</v>
      </c>
      <c r="E4397" t="s">
        <v>46</v>
      </c>
      <c r="F4397" t="s">
        <v>38</v>
      </c>
      <c r="G4397">
        <v>42918</v>
      </c>
      <c r="H4397">
        <v>2000</v>
      </c>
      <c r="I4397" s="13">
        <v>0.6</v>
      </c>
      <c r="J4397" t="s">
        <v>6207</v>
      </c>
      <c r="K4397">
        <v>1</v>
      </c>
      <c r="L4397">
        <v>0</v>
      </c>
      <c r="M4397" t="s">
        <v>0</v>
      </c>
      <c r="N4397" s="2">
        <v>0.34</v>
      </c>
      <c r="O4397" s="2">
        <v>0.66</v>
      </c>
      <c r="P4397">
        <v>12</v>
      </c>
      <c r="Q4397">
        <v>13</v>
      </c>
      <c r="R4397">
        <v>3</v>
      </c>
      <c r="S4397">
        <v>7</v>
      </c>
      <c r="T4397">
        <v>12</v>
      </c>
      <c r="U4397">
        <v>12</v>
      </c>
      <c r="V4397">
        <v>3</v>
      </c>
      <c r="W4397">
        <v>2</v>
      </c>
      <c r="X4397">
        <v>0</v>
      </c>
      <c r="Y4397">
        <v>0</v>
      </c>
      <c r="Z4397">
        <v>0</v>
      </c>
    </row>
    <row r="4398" spans="1:26" x14ac:dyDescent="0.2">
      <c r="A4398" t="s">
        <v>4516</v>
      </c>
      <c r="B4398" t="s">
        <v>76</v>
      </c>
      <c r="C4398">
        <v>2020</v>
      </c>
      <c r="D4398" t="s">
        <v>64</v>
      </c>
      <c r="E4398" t="s">
        <v>73</v>
      </c>
      <c r="F4398" t="s">
        <v>64</v>
      </c>
      <c r="G4398">
        <v>52264</v>
      </c>
      <c r="H4398">
        <v>2000</v>
      </c>
      <c r="I4398" s="13">
        <v>0.6</v>
      </c>
      <c r="J4398" t="s">
        <v>6207</v>
      </c>
      <c r="K4398">
        <v>3</v>
      </c>
      <c r="L4398">
        <v>2</v>
      </c>
      <c r="M4398" t="s">
        <v>0</v>
      </c>
      <c r="N4398" s="2">
        <v>0.26</v>
      </c>
      <c r="O4398" s="2">
        <v>0.74</v>
      </c>
      <c r="P4398">
        <v>20</v>
      </c>
      <c r="Q4398">
        <v>11</v>
      </c>
      <c r="R4398">
        <v>0</v>
      </c>
      <c r="S4398">
        <v>7</v>
      </c>
      <c r="T4398">
        <v>11</v>
      </c>
      <c r="U4398">
        <v>14</v>
      </c>
      <c r="V4398">
        <v>3</v>
      </c>
      <c r="W4398">
        <v>1</v>
      </c>
      <c r="X4398">
        <v>1</v>
      </c>
      <c r="Y4398">
        <v>0</v>
      </c>
      <c r="Z4398">
        <v>0</v>
      </c>
    </row>
    <row r="4399" spans="1:26" x14ac:dyDescent="0.2">
      <c r="A4399" t="s">
        <v>4517</v>
      </c>
      <c r="B4399" t="s">
        <v>61</v>
      </c>
      <c r="C4399">
        <v>2020</v>
      </c>
      <c r="D4399" t="s">
        <v>28</v>
      </c>
      <c r="E4399" t="s">
        <v>90</v>
      </c>
      <c r="F4399" t="s">
        <v>28</v>
      </c>
      <c r="G4399">
        <v>21944</v>
      </c>
      <c r="H4399">
        <v>2000</v>
      </c>
      <c r="I4399" s="13">
        <v>0.5</v>
      </c>
      <c r="J4399" t="s">
        <v>6207</v>
      </c>
      <c r="K4399">
        <v>1</v>
      </c>
      <c r="L4399">
        <v>1</v>
      </c>
      <c r="M4399" t="s">
        <v>58</v>
      </c>
      <c r="N4399" s="2">
        <v>0.54</v>
      </c>
      <c r="O4399" s="2">
        <v>0.46</v>
      </c>
      <c r="P4399">
        <v>11</v>
      </c>
      <c r="Q4399">
        <v>11</v>
      </c>
      <c r="R4399">
        <v>8</v>
      </c>
      <c r="S4399">
        <v>7</v>
      </c>
      <c r="T4399">
        <v>8</v>
      </c>
      <c r="U4399">
        <v>10</v>
      </c>
      <c r="V4399">
        <v>2</v>
      </c>
      <c r="W4399">
        <v>0</v>
      </c>
      <c r="X4399">
        <v>0</v>
      </c>
      <c r="Y4399">
        <v>0</v>
      </c>
      <c r="Z4399">
        <v>0</v>
      </c>
    </row>
    <row r="4400" spans="1:26" x14ac:dyDescent="0.2">
      <c r="A4400" t="s">
        <v>4518</v>
      </c>
      <c r="B4400" t="s">
        <v>41</v>
      </c>
      <c r="C4400">
        <v>2020</v>
      </c>
      <c r="D4400" t="s">
        <v>31</v>
      </c>
      <c r="E4400" t="s">
        <v>23</v>
      </c>
      <c r="F4400" t="s">
        <v>20</v>
      </c>
      <c r="G4400">
        <v>28500</v>
      </c>
      <c r="H4400">
        <v>2000</v>
      </c>
      <c r="I4400" s="13">
        <v>1</v>
      </c>
      <c r="J4400" t="s">
        <v>6207</v>
      </c>
      <c r="K4400">
        <v>0</v>
      </c>
      <c r="L4400">
        <v>0</v>
      </c>
      <c r="M4400" t="s">
        <v>58</v>
      </c>
      <c r="N4400" s="2">
        <v>0.61</v>
      </c>
      <c r="O4400" s="2">
        <v>0.39</v>
      </c>
      <c r="P4400">
        <v>14</v>
      </c>
      <c r="Q4400">
        <v>12</v>
      </c>
      <c r="R4400">
        <v>7</v>
      </c>
      <c r="S4400">
        <v>3</v>
      </c>
      <c r="T4400">
        <v>11</v>
      </c>
      <c r="U4400">
        <v>10</v>
      </c>
      <c r="V4400">
        <v>1</v>
      </c>
      <c r="W4400">
        <v>3</v>
      </c>
      <c r="X4400">
        <v>0</v>
      </c>
      <c r="Y4400">
        <v>1</v>
      </c>
      <c r="Z4400">
        <v>0</v>
      </c>
    </row>
    <row r="4401" spans="1:26" x14ac:dyDescent="0.2">
      <c r="A4401" t="s">
        <v>4519</v>
      </c>
      <c r="B4401" t="s">
        <v>68</v>
      </c>
      <c r="C4401">
        <v>2020</v>
      </c>
      <c r="D4401" t="s">
        <v>48</v>
      </c>
      <c r="E4401" t="s">
        <v>45</v>
      </c>
      <c r="F4401" t="s">
        <v>49</v>
      </c>
      <c r="G4401">
        <v>74197</v>
      </c>
      <c r="H4401">
        <v>2000</v>
      </c>
      <c r="I4401" s="13">
        <v>0.33333333333333331</v>
      </c>
      <c r="J4401" t="s">
        <v>6207</v>
      </c>
      <c r="K4401">
        <v>3</v>
      </c>
      <c r="L4401">
        <v>3</v>
      </c>
      <c r="M4401" t="s">
        <v>58</v>
      </c>
      <c r="N4401" s="2">
        <v>0.62</v>
      </c>
      <c r="O4401" s="2">
        <v>0.38</v>
      </c>
      <c r="P4401">
        <v>16</v>
      </c>
      <c r="Q4401">
        <v>13</v>
      </c>
      <c r="R4401">
        <v>5</v>
      </c>
      <c r="S4401">
        <v>1</v>
      </c>
      <c r="T4401">
        <v>14</v>
      </c>
      <c r="U4401">
        <v>10</v>
      </c>
      <c r="V4401">
        <v>2</v>
      </c>
      <c r="W4401">
        <v>1</v>
      </c>
      <c r="X4401">
        <v>0</v>
      </c>
      <c r="Y4401">
        <v>0</v>
      </c>
      <c r="Z4401">
        <v>0</v>
      </c>
    </row>
    <row r="4402" spans="1:26" x14ac:dyDescent="0.2">
      <c r="A4402" t="s">
        <v>4520</v>
      </c>
      <c r="B4402" t="s">
        <v>59</v>
      </c>
      <c r="C4402">
        <v>2020</v>
      </c>
      <c r="D4402" t="s">
        <v>51</v>
      </c>
      <c r="E4402" t="s">
        <v>63</v>
      </c>
      <c r="F4402" t="s">
        <v>20</v>
      </c>
      <c r="G4402">
        <v>36284</v>
      </c>
      <c r="H4402">
        <v>2000</v>
      </c>
      <c r="I4402" s="13">
        <v>0.33333333333333331</v>
      </c>
      <c r="J4402" t="s">
        <v>6206</v>
      </c>
      <c r="K4402">
        <v>2</v>
      </c>
      <c r="L4402">
        <v>0</v>
      </c>
      <c r="M4402" t="s">
        <v>0</v>
      </c>
      <c r="N4402" s="2">
        <v>0.66</v>
      </c>
      <c r="O4402" s="2">
        <v>0.34</v>
      </c>
      <c r="P4402">
        <v>16</v>
      </c>
      <c r="Q4402">
        <v>18</v>
      </c>
      <c r="R4402">
        <v>8</v>
      </c>
      <c r="S4402">
        <v>0</v>
      </c>
      <c r="T4402">
        <v>16</v>
      </c>
      <c r="U4402">
        <v>12</v>
      </c>
      <c r="V4402">
        <v>1</v>
      </c>
      <c r="W4402">
        <v>2</v>
      </c>
      <c r="X4402">
        <v>0</v>
      </c>
      <c r="Y4402">
        <v>0</v>
      </c>
      <c r="Z4402">
        <v>0</v>
      </c>
    </row>
    <row r="4403" spans="1:26" x14ac:dyDescent="0.2">
      <c r="A4403" t="s">
        <v>4521</v>
      </c>
      <c r="B4403" t="s">
        <v>32</v>
      </c>
      <c r="C4403">
        <v>2020</v>
      </c>
      <c r="D4403" t="s">
        <v>22</v>
      </c>
      <c r="E4403" t="s">
        <v>80</v>
      </c>
      <c r="F4403" t="s">
        <v>24</v>
      </c>
      <c r="G4403">
        <v>31750</v>
      </c>
      <c r="H4403">
        <v>2000</v>
      </c>
      <c r="I4403" s="13">
        <v>0.5</v>
      </c>
      <c r="J4403" t="s">
        <v>6207</v>
      </c>
      <c r="K4403">
        <v>0</v>
      </c>
      <c r="L4403">
        <v>0</v>
      </c>
      <c r="M4403" t="s">
        <v>58</v>
      </c>
      <c r="N4403" s="2">
        <v>0.44</v>
      </c>
      <c r="O4403" s="2">
        <v>0.56000000000000005</v>
      </c>
      <c r="P4403">
        <v>16</v>
      </c>
      <c r="Q4403">
        <v>11</v>
      </c>
      <c r="R4403">
        <v>8</v>
      </c>
      <c r="S4403">
        <v>2</v>
      </c>
      <c r="T4403">
        <v>11</v>
      </c>
      <c r="U4403">
        <v>15</v>
      </c>
      <c r="V4403">
        <v>1</v>
      </c>
      <c r="W4403">
        <v>3</v>
      </c>
      <c r="X4403">
        <v>0</v>
      </c>
      <c r="Y4403">
        <v>0</v>
      </c>
      <c r="Z4403">
        <v>0</v>
      </c>
    </row>
    <row r="4404" spans="1:26" x14ac:dyDescent="0.2">
      <c r="A4404" t="s">
        <v>4522</v>
      </c>
      <c r="B4404" t="s">
        <v>66</v>
      </c>
      <c r="C4404">
        <v>2020</v>
      </c>
      <c r="D4404" t="s">
        <v>26</v>
      </c>
      <c r="E4404" t="s">
        <v>40</v>
      </c>
      <c r="F4404" t="s">
        <v>26</v>
      </c>
      <c r="G4404">
        <v>61276</v>
      </c>
      <c r="H4404">
        <v>2000</v>
      </c>
      <c r="I4404" s="13">
        <v>1</v>
      </c>
      <c r="J4404" t="s">
        <v>6207</v>
      </c>
      <c r="K4404">
        <v>1</v>
      </c>
      <c r="L4404">
        <v>4</v>
      </c>
      <c r="M4404" t="s">
        <v>1</v>
      </c>
      <c r="N4404" s="2">
        <v>0.56000000000000005</v>
      </c>
      <c r="O4404" s="2">
        <v>0.44</v>
      </c>
      <c r="P4404">
        <v>9</v>
      </c>
      <c r="Q4404">
        <v>13</v>
      </c>
      <c r="R4404">
        <v>6</v>
      </c>
      <c r="S4404">
        <v>1</v>
      </c>
      <c r="T4404">
        <v>13</v>
      </c>
      <c r="U4404">
        <v>8</v>
      </c>
      <c r="V4404">
        <v>2</v>
      </c>
      <c r="W4404">
        <v>1</v>
      </c>
      <c r="X4404">
        <v>0</v>
      </c>
      <c r="Y4404">
        <v>0</v>
      </c>
      <c r="Z4404">
        <v>2</v>
      </c>
    </row>
    <row r="4405" spans="1:26" x14ac:dyDescent="0.2">
      <c r="A4405" t="s">
        <v>4523</v>
      </c>
      <c r="B4405" t="s">
        <v>60</v>
      </c>
      <c r="C4405">
        <v>2020</v>
      </c>
      <c r="D4405" t="s">
        <v>95</v>
      </c>
      <c r="E4405" t="s">
        <v>18</v>
      </c>
      <c r="F4405" t="s">
        <v>57</v>
      </c>
      <c r="G4405">
        <v>32050</v>
      </c>
      <c r="H4405">
        <v>2000</v>
      </c>
      <c r="I4405" s="13">
        <v>0</v>
      </c>
      <c r="J4405" t="s">
        <v>6208</v>
      </c>
      <c r="K4405">
        <v>1</v>
      </c>
      <c r="L4405">
        <v>2</v>
      </c>
      <c r="M4405" t="s">
        <v>1</v>
      </c>
      <c r="N4405" s="2">
        <v>0.31</v>
      </c>
      <c r="O4405" s="2">
        <v>0.69</v>
      </c>
      <c r="P4405">
        <v>10</v>
      </c>
      <c r="Q4405">
        <v>10</v>
      </c>
      <c r="R4405">
        <v>1</v>
      </c>
      <c r="S4405">
        <v>8</v>
      </c>
      <c r="T4405">
        <v>8</v>
      </c>
      <c r="U4405">
        <v>8</v>
      </c>
      <c r="V4405">
        <v>1</v>
      </c>
      <c r="W4405">
        <v>0</v>
      </c>
      <c r="X4405">
        <v>0</v>
      </c>
      <c r="Y4405">
        <v>0</v>
      </c>
      <c r="Z4405">
        <v>1</v>
      </c>
    </row>
    <row r="4406" spans="1:26" x14ac:dyDescent="0.2">
      <c r="A4406" t="s">
        <v>4524</v>
      </c>
      <c r="B4406" t="s">
        <v>37</v>
      </c>
      <c r="C4406">
        <v>2020</v>
      </c>
      <c r="D4406" t="s">
        <v>33</v>
      </c>
      <c r="E4406" t="s">
        <v>79</v>
      </c>
      <c r="F4406" t="s">
        <v>33</v>
      </c>
      <c r="G4406">
        <v>37645</v>
      </c>
      <c r="H4406">
        <v>2000</v>
      </c>
      <c r="I4406" s="13">
        <v>0.5</v>
      </c>
      <c r="J4406" t="s">
        <v>6206</v>
      </c>
      <c r="K4406">
        <v>2</v>
      </c>
      <c r="L4406">
        <v>0</v>
      </c>
      <c r="M4406" t="s">
        <v>0</v>
      </c>
      <c r="N4406" s="2">
        <v>0.68</v>
      </c>
      <c r="O4406" s="2">
        <v>0.32</v>
      </c>
      <c r="P4406">
        <v>9</v>
      </c>
      <c r="Q4406">
        <v>8</v>
      </c>
      <c r="R4406">
        <v>5</v>
      </c>
      <c r="S4406">
        <v>3</v>
      </c>
      <c r="T4406">
        <v>7</v>
      </c>
      <c r="U4406">
        <v>8</v>
      </c>
      <c r="V4406">
        <v>0</v>
      </c>
      <c r="W4406">
        <v>2</v>
      </c>
      <c r="X4406">
        <v>0</v>
      </c>
      <c r="Y4406">
        <v>0</v>
      </c>
      <c r="Z4406">
        <v>0</v>
      </c>
    </row>
    <row r="4407" spans="1:26" x14ac:dyDescent="0.2">
      <c r="A4407" t="s">
        <v>4525</v>
      </c>
      <c r="B4407" t="s">
        <v>61</v>
      </c>
      <c r="C4407">
        <v>2020</v>
      </c>
      <c r="D4407" t="s">
        <v>80</v>
      </c>
      <c r="E4407" t="s">
        <v>26</v>
      </c>
      <c r="F4407" t="s">
        <v>80</v>
      </c>
      <c r="G4407">
        <v>32261</v>
      </c>
      <c r="H4407">
        <v>8065.25</v>
      </c>
      <c r="I4407" s="13">
        <v>0.66666666666666663</v>
      </c>
      <c r="J4407" t="s">
        <v>6207</v>
      </c>
      <c r="K4407">
        <v>3</v>
      </c>
      <c r="L4407">
        <v>1</v>
      </c>
      <c r="M4407" t="s">
        <v>0</v>
      </c>
      <c r="N4407" s="2">
        <v>0.38</v>
      </c>
      <c r="O4407" s="2">
        <v>0.62</v>
      </c>
      <c r="P4407">
        <v>8</v>
      </c>
      <c r="Q4407">
        <v>9</v>
      </c>
      <c r="R4407">
        <v>2</v>
      </c>
      <c r="S4407">
        <v>12</v>
      </c>
      <c r="T4407">
        <v>7</v>
      </c>
      <c r="U4407">
        <v>6</v>
      </c>
      <c r="V4407">
        <v>1</v>
      </c>
      <c r="W4407">
        <v>2</v>
      </c>
      <c r="X4407">
        <v>0</v>
      </c>
      <c r="Y4407">
        <v>0</v>
      </c>
      <c r="Z4407">
        <v>0</v>
      </c>
    </row>
    <row r="4408" spans="1:26" x14ac:dyDescent="0.2">
      <c r="A4408" t="s">
        <v>4526</v>
      </c>
      <c r="B4408" t="s">
        <v>66</v>
      </c>
      <c r="C4408">
        <v>2020</v>
      </c>
      <c r="D4408" t="s">
        <v>79</v>
      </c>
      <c r="E4408" t="s">
        <v>28</v>
      </c>
      <c r="F4408" t="s">
        <v>20</v>
      </c>
      <c r="G4408">
        <v>25486</v>
      </c>
      <c r="H4408">
        <v>6371.5</v>
      </c>
      <c r="I4408" s="13">
        <v>0</v>
      </c>
      <c r="J4408" t="s">
        <v>6207</v>
      </c>
      <c r="K4408">
        <v>0</v>
      </c>
      <c r="L4408">
        <v>3</v>
      </c>
      <c r="M4408" t="s">
        <v>1</v>
      </c>
      <c r="N4408" s="2">
        <v>0.53</v>
      </c>
      <c r="O4408" s="2">
        <v>0.47</v>
      </c>
      <c r="P4408">
        <v>15</v>
      </c>
      <c r="Q4408">
        <v>19</v>
      </c>
      <c r="R4408">
        <v>7</v>
      </c>
      <c r="S4408">
        <v>4</v>
      </c>
      <c r="T4408">
        <v>15</v>
      </c>
      <c r="U4408">
        <v>14</v>
      </c>
      <c r="V4408">
        <v>0</v>
      </c>
      <c r="W4408">
        <v>0</v>
      </c>
      <c r="X4408">
        <v>0</v>
      </c>
      <c r="Y4408">
        <v>0</v>
      </c>
      <c r="Z4408">
        <v>0</v>
      </c>
    </row>
    <row r="4409" spans="1:26" x14ac:dyDescent="0.2">
      <c r="A4409" t="s">
        <v>4527</v>
      </c>
      <c r="B4409" t="s">
        <v>81</v>
      </c>
      <c r="C4409">
        <v>2020</v>
      </c>
      <c r="D4409" t="s">
        <v>40</v>
      </c>
      <c r="E4409" t="s">
        <v>51</v>
      </c>
      <c r="F4409" t="s">
        <v>49</v>
      </c>
      <c r="G4409">
        <v>53400</v>
      </c>
      <c r="H4409">
        <v>10000</v>
      </c>
      <c r="I4409" s="13">
        <v>0.5</v>
      </c>
      <c r="J4409" t="s">
        <v>6207</v>
      </c>
      <c r="K4409">
        <v>3</v>
      </c>
      <c r="L4409">
        <v>0</v>
      </c>
      <c r="M4409" t="s">
        <v>0</v>
      </c>
      <c r="N4409" s="2">
        <v>0.61</v>
      </c>
      <c r="O4409" s="2">
        <v>0.39</v>
      </c>
      <c r="P4409">
        <v>11</v>
      </c>
      <c r="Q4409">
        <v>13</v>
      </c>
      <c r="R4409">
        <v>4</v>
      </c>
      <c r="S4409">
        <v>2</v>
      </c>
      <c r="T4409">
        <v>12</v>
      </c>
      <c r="U4409">
        <v>13</v>
      </c>
      <c r="V4409">
        <v>1</v>
      </c>
      <c r="W4409">
        <v>3</v>
      </c>
      <c r="X4409">
        <v>0</v>
      </c>
      <c r="Y4409">
        <v>0</v>
      </c>
      <c r="Z4409">
        <v>1</v>
      </c>
    </row>
    <row r="4410" spans="1:26" x14ac:dyDescent="0.2">
      <c r="A4410" t="s">
        <v>4528</v>
      </c>
      <c r="B4410" t="s">
        <v>100</v>
      </c>
      <c r="C4410">
        <v>2020</v>
      </c>
      <c r="D4410" t="s">
        <v>90</v>
      </c>
      <c r="E4410" t="s">
        <v>42</v>
      </c>
      <c r="F4410" t="s">
        <v>91</v>
      </c>
      <c r="G4410">
        <v>31876</v>
      </c>
      <c r="H4410">
        <v>7969</v>
      </c>
      <c r="I4410" s="13">
        <v>0.8</v>
      </c>
      <c r="J4410" t="s">
        <v>6207</v>
      </c>
      <c r="K4410">
        <v>0</v>
      </c>
      <c r="L4410">
        <v>0</v>
      </c>
      <c r="M4410" t="s">
        <v>58</v>
      </c>
      <c r="N4410" s="2">
        <v>0.57999999999999996</v>
      </c>
      <c r="O4410" s="2">
        <v>0.42</v>
      </c>
      <c r="P4410">
        <v>15</v>
      </c>
      <c r="Q4410">
        <v>16</v>
      </c>
      <c r="R4410">
        <v>9</v>
      </c>
      <c r="S4410">
        <v>2</v>
      </c>
      <c r="T4410">
        <v>16</v>
      </c>
      <c r="U4410">
        <v>12</v>
      </c>
      <c r="V4410">
        <v>2</v>
      </c>
      <c r="W4410">
        <v>3</v>
      </c>
      <c r="X4410">
        <v>0</v>
      </c>
      <c r="Y4410">
        <v>0</v>
      </c>
      <c r="Z4410">
        <v>0</v>
      </c>
    </row>
    <row r="4411" spans="1:26" x14ac:dyDescent="0.2">
      <c r="A4411" t="s">
        <v>4529</v>
      </c>
      <c r="B4411" t="s">
        <v>83</v>
      </c>
      <c r="C4411">
        <v>2020</v>
      </c>
      <c r="D4411" t="s">
        <v>73</v>
      </c>
      <c r="E4411" t="s">
        <v>22</v>
      </c>
      <c r="F4411" t="s">
        <v>73</v>
      </c>
      <c r="G4411">
        <v>32384</v>
      </c>
      <c r="H4411">
        <v>8096</v>
      </c>
      <c r="I4411" s="13">
        <v>1</v>
      </c>
      <c r="J4411" t="s">
        <v>6208</v>
      </c>
      <c r="K4411">
        <v>1</v>
      </c>
      <c r="L4411">
        <v>2</v>
      </c>
      <c r="M4411" t="s">
        <v>1</v>
      </c>
      <c r="N4411" s="2">
        <v>0.51</v>
      </c>
      <c r="O4411" s="2">
        <v>0.49</v>
      </c>
      <c r="P4411">
        <v>10</v>
      </c>
      <c r="Q4411">
        <v>15</v>
      </c>
      <c r="R4411">
        <v>4</v>
      </c>
      <c r="S4411">
        <v>6</v>
      </c>
      <c r="T4411">
        <v>10</v>
      </c>
      <c r="U4411">
        <v>9</v>
      </c>
      <c r="V4411">
        <v>2</v>
      </c>
      <c r="W4411">
        <v>2</v>
      </c>
      <c r="X4411">
        <v>0</v>
      </c>
      <c r="Y4411">
        <v>0</v>
      </c>
      <c r="Z4411">
        <v>1</v>
      </c>
    </row>
    <row r="4412" spans="1:26" x14ac:dyDescent="0.2">
      <c r="A4412" t="s">
        <v>4530</v>
      </c>
      <c r="B4412" t="s">
        <v>76</v>
      </c>
      <c r="C4412">
        <v>2020</v>
      </c>
      <c r="D4412" t="s">
        <v>63</v>
      </c>
      <c r="E4412" t="s">
        <v>48</v>
      </c>
      <c r="F4412" t="s">
        <v>65</v>
      </c>
      <c r="G4412">
        <v>26804</v>
      </c>
      <c r="H4412">
        <v>6701</v>
      </c>
      <c r="I4412" s="13">
        <v>0.2</v>
      </c>
      <c r="J4412" t="s">
        <v>6207</v>
      </c>
      <c r="K4412">
        <v>1</v>
      </c>
      <c r="L4412">
        <v>1</v>
      </c>
      <c r="M4412" t="s">
        <v>58</v>
      </c>
      <c r="N4412" s="2">
        <v>0.27</v>
      </c>
      <c r="O4412" s="2">
        <v>0.73</v>
      </c>
      <c r="P4412">
        <v>14</v>
      </c>
      <c r="Q4412">
        <v>16</v>
      </c>
      <c r="R4412">
        <v>4</v>
      </c>
      <c r="S4412">
        <v>5</v>
      </c>
      <c r="T4412">
        <v>13</v>
      </c>
      <c r="U4412">
        <v>10</v>
      </c>
      <c r="V4412">
        <v>5</v>
      </c>
      <c r="W4412">
        <v>0</v>
      </c>
      <c r="X4412">
        <v>0</v>
      </c>
      <c r="Y4412">
        <v>0</v>
      </c>
      <c r="Z4412">
        <v>0</v>
      </c>
    </row>
    <row r="4413" spans="1:26" x14ac:dyDescent="0.2">
      <c r="A4413" t="s">
        <v>4531</v>
      </c>
      <c r="B4413" t="s">
        <v>59</v>
      </c>
      <c r="C4413">
        <v>2020</v>
      </c>
      <c r="D4413" t="s">
        <v>46</v>
      </c>
      <c r="E4413" t="s">
        <v>33</v>
      </c>
      <c r="F4413" t="s">
        <v>20</v>
      </c>
      <c r="G4413">
        <v>60704</v>
      </c>
      <c r="H4413">
        <v>10000</v>
      </c>
      <c r="I4413" s="13">
        <v>0.5</v>
      </c>
      <c r="J4413" t="s">
        <v>6206</v>
      </c>
      <c r="K4413">
        <v>4</v>
      </c>
      <c r="L4413">
        <v>2</v>
      </c>
      <c r="M4413" t="s">
        <v>0</v>
      </c>
      <c r="N4413" s="2">
        <v>0.46</v>
      </c>
      <c r="O4413" s="2">
        <v>0.54</v>
      </c>
      <c r="P4413">
        <v>16</v>
      </c>
      <c r="Q4413">
        <v>11</v>
      </c>
      <c r="R4413">
        <v>4</v>
      </c>
      <c r="S4413">
        <v>5</v>
      </c>
      <c r="T4413">
        <v>8</v>
      </c>
      <c r="U4413">
        <v>17</v>
      </c>
      <c r="V4413">
        <v>0</v>
      </c>
      <c r="W4413">
        <v>2</v>
      </c>
      <c r="X4413">
        <v>0</v>
      </c>
      <c r="Y4413">
        <v>0</v>
      </c>
      <c r="Z4413">
        <v>1</v>
      </c>
    </row>
    <row r="4414" spans="1:26" x14ac:dyDescent="0.2">
      <c r="A4414" t="s">
        <v>4532</v>
      </c>
      <c r="B4414" t="s">
        <v>92</v>
      </c>
      <c r="C4414">
        <v>2020</v>
      </c>
      <c r="D4414" t="s">
        <v>45</v>
      </c>
      <c r="E4414" t="s">
        <v>31</v>
      </c>
      <c r="F4414" t="s">
        <v>26</v>
      </c>
      <c r="G4414">
        <v>39572</v>
      </c>
      <c r="H4414">
        <v>9893</v>
      </c>
      <c r="I4414" s="13">
        <v>0</v>
      </c>
      <c r="J4414" t="s">
        <v>6207</v>
      </c>
      <c r="K4414">
        <v>0</v>
      </c>
      <c r="L4414">
        <v>2</v>
      </c>
      <c r="M4414" t="s">
        <v>1</v>
      </c>
      <c r="N4414" s="2">
        <v>0.5</v>
      </c>
      <c r="O4414" s="2">
        <v>0.5</v>
      </c>
      <c r="P4414">
        <v>18</v>
      </c>
      <c r="Q4414">
        <v>9</v>
      </c>
      <c r="R4414">
        <v>5</v>
      </c>
      <c r="S4414">
        <v>4</v>
      </c>
      <c r="T4414">
        <v>7</v>
      </c>
      <c r="U4414">
        <v>16</v>
      </c>
      <c r="V4414">
        <v>1</v>
      </c>
      <c r="W4414">
        <v>1</v>
      </c>
      <c r="X4414">
        <v>0</v>
      </c>
      <c r="Y4414">
        <v>0</v>
      </c>
      <c r="Z4414">
        <v>0</v>
      </c>
    </row>
    <row r="4415" spans="1:26" x14ac:dyDescent="0.2">
      <c r="A4415" t="s">
        <v>4533</v>
      </c>
      <c r="B4415" t="s">
        <v>84</v>
      </c>
      <c r="C4415">
        <v>2020</v>
      </c>
      <c r="D4415" t="s">
        <v>23</v>
      </c>
      <c r="E4415" t="s">
        <v>95</v>
      </c>
      <c r="F4415" t="s">
        <v>20</v>
      </c>
      <c r="G4415">
        <v>62500</v>
      </c>
      <c r="H4415">
        <v>10000</v>
      </c>
      <c r="I4415" s="13">
        <v>0</v>
      </c>
      <c r="J4415" t="s">
        <v>6208</v>
      </c>
      <c r="K4415">
        <v>3</v>
      </c>
      <c r="L4415">
        <v>0</v>
      </c>
      <c r="M4415" t="s">
        <v>0</v>
      </c>
      <c r="N4415" s="2">
        <v>0.46</v>
      </c>
      <c r="O4415" s="2">
        <v>0.54</v>
      </c>
      <c r="P4415">
        <v>13</v>
      </c>
      <c r="Q4415">
        <v>12</v>
      </c>
      <c r="R4415">
        <v>7</v>
      </c>
      <c r="S4415">
        <v>7</v>
      </c>
      <c r="T4415">
        <v>11</v>
      </c>
      <c r="U4415">
        <v>12</v>
      </c>
      <c r="V4415">
        <v>0</v>
      </c>
      <c r="W4415">
        <v>2</v>
      </c>
      <c r="X4415">
        <v>0</v>
      </c>
      <c r="Y4415">
        <v>0</v>
      </c>
      <c r="Z4415">
        <v>1</v>
      </c>
    </row>
    <row r="4416" spans="1:26" x14ac:dyDescent="0.2">
      <c r="A4416" t="s">
        <v>4534</v>
      </c>
      <c r="B4416" t="s">
        <v>97</v>
      </c>
      <c r="C4416">
        <v>2020</v>
      </c>
      <c r="D4416" t="s">
        <v>18</v>
      </c>
      <c r="E4416" t="s">
        <v>64</v>
      </c>
      <c r="F4416" t="s">
        <v>20</v>
      </c>
      <c r="G4416">
        <v>40341</v>
      </c>
      <c r="H4416">
        <v>10000</v>
      </c>
      <c r="I4416" s="13">
        <v>0</v>
      </c>
      <c r="J4416" t="s">
        <v>6207</v>
      </c>
      <c r="K4416">
        <v>2</v>
      </c>
      <c r="L4416">
        <v>0</v>
      </c>
      <c r="M4416" t="s">
        <v>0</v>
      </c>
      <c r="N4416" s="2">
        <v>0.66</v>
      </c>
      <c r="O4416" s="2">
        <v>0.34</v>
      </c>
      <c r="P4416">
        <v>15</v>
      </c>
      <c r="Q4416">
        <v>9</v>
      </c>
      <c r="R4416">
        <v>10</v>
      </c>
      <c r="S4416">
        <v>5</v>
      </c>
      <c r="T4416">
        <v>9</v>
      </c>
      <c r="U4416">
        <v>13</v>
      </c>
      <c r="V4416">
        <v>0</v>
      </c>
      <c r="W4416">
        <v>0</v>
      </c>
      <c r="X4416">
        <v>0</v>
      </c>
      <c r="Y4416">
        <v>0</v>
      </c>
      <c r="Z4416">
        <v>0</v>
      </c>
    </row>
    <row r="4417" spans="1:26" x14ac:dyDescent="0.2">
      <c r="A4417" t="s">
        <v>4535</v>
      </c>
      <c r="B4417" t="s">
        <v>68</v>
      </c>
      <c r="C4417">
        <v>2020</v>
      </c>
      <c r="D4417" t="s">
        <v>28</v>
      </c>
      <c r="E4417" t="s">
        <v>31</v>
      </c>
      <c r="F4417" t="s">
        <v>28</v>
      </c>
      <c r="G4417">
        <v>21944</v>
      </c>
      <c r="H4417">
        <v>5486</v>
      </c>
      <c r="I4417" s="13">
        <v>0.5</v>
      </c>
      <c r="J4417" t="s">
        <v>6207</v>
      </c>
      <c r="K4417">
        <v>1</v>
      </c>
      <c r="L4417">
        <v>1</v>
      </c>
      <c r="M4417" t="s">
        <v>58</v>
      </c>
      <c r="N4417" s="2">
        <v>0.46</v>
      </c>
      <c r="O4417" s="2">
        <v>0.54</v>
      </c>
      <c r="P4417">
        <v>15</v>
      </c>
      <c r="Q4417">
        <v>13</v>
      </c>
      <c r="R4417">
        <v>5</v>
      </c>
      <c r="S4417">
        <v>5</v>
      </c>
      <c r="T4417">
        <v>7</v>
      </c>
      <c r="U4417">
        <v>13</v>
      </c>
      <c r="V4417">
        <v>1</v>
      </c>
      <c r="W4417">
        <v>1</v>
      </c>
      <c r="X4417">
        <v>0</v>
      </c>
      <c r="Y4417">
        <v>0</v>
      </c>
      <c r="Z4417">
        <v>0</v>
      </c>
    </row>
    <row r="4418" spans="1:26" x14ac:dyDescent="0.2">
      <c r="A4418" t="s">
        <v>4536</v>
      </c>
      <c r="B4418" t="s">
        <v>37</v>
      </c>
      <c r="C4418">
        <v>2020</v>
      </c>
      <c r="D4418" t="s">
        <v>45</v>
      </c>
      <c r="E4418" t="s">
        <v>40</v>
      </c>
      <c r="F4418" t="s">
        <v>26</v>
      </c>
      <c r="G4418">
        <v>39572</v>
      </c>
      <c r="H4418">
        <v>9893</v>
      </c>
      <c r="I4418" s="13">
        <v>0.66666666666666663</v>
      </c>
      <c r="J4418" t="s">
        <v>6206</v>
      </c>
      <c r="K4418">
        <v>1</v>
      </c>
      <c r="L4418">
        <v>3</v>
      </c>
      <c r="M4418" t="s">
        <v>1</v>
      </c>
      <c r="N4418" s="2">
        <v>0.3</v>
      </c>
      <c r="O4418" s="2">
        <v>0.7</v>
      </c>
      <c r="P4418">
        <v>8</v>
      </c>
      <c r="Q4418">
        <v>8</v>
      </c>
      <c r="R4418">
        <v>0</v>
      </c>
      <c r="S4418">
        <v>10</v>
      </c>
      <c r="T4418">
        <v>8</v>
      </c>
      <c r="U4418">
        <v>8</v>
      </c>
      <c r="V4418">
        <v>2</v>
      </c>
      <c r="W4418">
        <v>1</v>
      </c>
      <c r="X4418">
        <v>0</v>
      </c>
      <c r="Y4418">
        <v>0</v>
      </c>
      <c r="Z4418">
        <v>0</v>
      </c>
    </row>
    <row r="4419" spans="1:26" x14ac:dyDescent="0.2">
      <c r="A4419" t="s">
        <v>4537</v>
      </c>
      <c r="B4419" t="s">
        <v>93</v>
      </c>
      <c r="C4419">
        <v>2020</v>
      </c>
      <c r="D4419" t="s">
        <v>22</v>
      </c>
      <c r="E4419" t="s">
        <v>33</v>
      </c>
      <c r="F4419" t="s">
        <v>24</v>
      </c>
      <c r="G4419">
        <v>31750</v>
      </c>
      <c r="H4419">
        <v>7937.5</v>
      </c>
      <c r="I4419" s="13">
        <v>1</v>
      </c>
      <c r="J4419" t="s">
        <v>6206</v>
      </c>
      <c r="K4419">
        <v>1</v>
      </c>
      <c r="L4419">
        <v>0</v>
      </c>
      <c r="M4419" t="s">
        <v>0</v>
      </c>
      <c r="N4419" s="2">
        <v>0.41</v>
      </c>
      <c r="O4419" s="2">
        <v>0.59</v>
      </c>
      <c r="P4419">
        <v>9</v>
      </c>
      <c r="Q4419">
        <v>14</v>
      </c>
      <c r="R4419">
        <v>7</v>
      </c>
      <c r="S4419">
        <v>9</v>
      </c>
      <c r="T4419">
        <v>13</v>
      </c>
      <c r="U4419">
        <v>8</v>
      </c>
      <c r="V4419">
        <v>1</v>
      </c>
      <c r="W4419">
        <v>0</v>
      </c>
      <c r="X4419">
        <v>0</v>
      </c>
      <c r="Y4419">
        <v>0</v>
      </c>
      <c r="Z4419">
        <v>0</v>
      </c>
    </row>
    <row r="4420" spans="1:26" x14ac:dyDescent="0.2">
      <c r="A4420" t="s">
        <v>4538</v>
      </c>
      <c r="B4420" t="s">
        <v>61</v>
      </c>
      <c r="C4420">
        <v>2020</v>
      </c>
      <c r="D4420" t="s">
        <v>73</v>
      </c>
      <c r="E4420" t="s">
        <v>18</v>
      </c>
      <c r="F4420" t="s">
        <v>73</v>
      </c>
      <c r="G4420">
        <v>32384</v>
      </c>
      <c r="H4420">
        <v>8096</v>
      </c>
      <c r="I4420" s="13">
        <v>0.5</v>
      </c>
      <c r="J4420" t="s">
        <v>6207</v>
      </c>
      <c r="K4420">
        <v>1</v>
      </c>
      <c r="L4420">
        <v>1</v>
      </c>
      <c r="M4420" t="s">
        <v>58</v>
      </c>
      <c r="N4420" s="2">
        <v>0.28999999999999998</v>
      </c>
      <c r="O4420" s="2">
        <v>0.71</v>
      </c>
      <c r="P4420">
        <v>14</v>
      </c>
      <c r="Q4420">
        <v>10</v>
      </c>
      <c r="R4420">
        <v>3</v>
      </c>
      <c r="S4420">
        <v>6</v>
      </c>
      <c r="T4420">
        <v>10</v>
      </c>
      <c r="U4420">
        <v>10</v>
      </c>
      <c r="V4420">
        <v>1</v>
      </c>
      <c r="W4420">
        <v>1</v>
      </c>
      <c r="X4420">
        <v>0</v>
      </c>
      <c r="Y4420">
        <v>0</v>
      </c>
      <c r="Z4420">
        <v>1</v>
      </c>
    </row>
    <row r="4421" spans="1:26" x14ac:dyDescent="0.2">
      <c r="A4421" t="s">
        <v>4539</v>
      </c>
      <c r="B4421" t="s">
        <v>41</v>
      </c>
      <c r="C4421">
        <v>2020</v>
      </c>
      <c r="D4421" t="s">
        <v>28</v>
      </c>
      <c r="E4421" t="s">
        <v>63</v>
      </c>
      <c r="F4421" t="s">
        <v>28</v>
      </c>
      <c r="G4421">
        <v>21944</v>
      </c>
      <c r="H4421">
        <v>5486</v>
      </c>
      <c r="I4421" s="13">
        <v>0.25</v>
      </c>
      <c r="J4421" t="s">
        <v>6207</v>
      </c>
      <c r="K4421">
        <v>0</v>
      </c>
      <c r="L4421">
        <v>0</v>
      </c>
      <c r="M4421" t="s">
        <v>58</v>
      </c>
      <c r="N4421" s="2">
        <v>0.62</v>
      </c>
      <c r="O4421" s="2">
        <v>0.38</v>
      </c>
      <c r="P4421">
        <v>13</v>
      </c>
      <c r="Q4421">
        <v>21</v>
      </c>
      <c r="R4421">
        <v>5</v>
      </c>
      <c r="S4421">
        <v>5</v>
      </c>
      <c r="T4421">
        <v>16</v>
      </c>
      <c r="U4421">
        <v>10</v>
      </c>
      <c r="V4421">
        <v>3</v>
      </c>
      <c r="W4421">
        <v>0</v>
      </c>
      <c r="X4421">
        <v>0</v>
      </c>
      <c r="Y4421">
        <v>1</v>
      </c>
      <c r="Z4421">
        <v>0</v>
      </c>
    </row>
    <row r="4422" spans="1:26" x14ac:dyDescent="0.2">
      <c r="A4422" t="s">
        <v>4540</v>
      </c>
      <c r="B4422" t="s">
        <v>88</v>
      </c>
      <c r="C4422">
        <v>2020</v>
      </c>
      <c r="D4422" t="s">
        <v>26</v>
      </c>
      <c r="E4422" t="s">
        <v>45</v>
      </c>
      <c r="F4422" t="s">
        <v>26</v>
      </c>
      <c r="G4422">
        <v>61276</v>
      </c>
      <c r="H4422">
        <v>10000</v>
      </c>
      <c r="I4422" s="13">
        <v>1</v>
      </c>
      <c r="J4422" t="s">
        <v>6207</v>
      </c>
      <c r="K4422">
        <v>0</v>
      </c>
      <c r="L4422">
        <v>2</v>
      </c>
      <c r="M4422" t="s">
        <v>1</v>
      </c>
      <c r="N4422" s="2">
        <v>0.72</v>
      </c>
      <c r="O4422" s="2">
        <v>0.28000000000000003</v>
      </c>
      <c r="P4422">
        <v>12</v>
      </c>
      <c r="Q4422">
        <v>11</v>
      </c>
      <c r="R4422">
        <v>7</v>
      </c>
      <c r="S4422">
        <v>2</v>
      </c>
      <c r="T4422">
        <v>10</v>
      </c>
      <c r="U4422">
        <v>10</v>
      </c>
      <c r="V4422">
        <v>2</v>
      </c>
      <c r="W4422">
        <v>1</v>
      </c>
      <c r="X4422">
        <v>0</v>
      </c>
      <c r="Y4422">
        <v>0</v>
      </c>
      <c r="Z4422">
        <v>1</v>
      </c>
    </row>
    <row r="4423" spans="1:26" x14ac:dyDescent="0.2">
      <c r="A4423" t="s">
        <v>4541</v>
      </c>
      <c r="B4423" t="s">
        <v>32</v>
      </c>
      <c r="C4423">
        <v>2020</v>
      </c>
      <c r="D4423" t="s">
        <v>31</v>
      </c>
      <c r="E4423" t="s">
        <v>95</v>
      </c>
      <c r="F4423" t="s">
        <v>20</v>
      </c>
      <c r="G4423">
        <v>28500</v>
      </c>
      <c r="H4423">
        <v>7125</v>
      </c>
      <c r="I4423" s="13">
        <v>1</v>
      </c>
      <c r="J4423" t="s">
        <v>6207</v>
      </c>
      <c r="K4423">
        <v>1</v>
      </c>
      <c r="L4423">
        <v>0</v>
      </c>
      <c r="M4423" t="s">
        <v>0</v>
      </c>
      <c r="N4423" s="2">
        <v>0.65</v>
      </c>
      <c r="O4423" s="2">
        <v>0.35</v>
      </c>
      <c r="P4423">
        <v>17</v>
      </c>
      <c r="Q4423">
        <v>11</v>
      </c>
      <c r="R4423">
        <v>6</v>
      </c>
      <c r="S4423">
        <v>4</v>
      </c>
      <c r="T4423">
        <v>11</v>
      </c>
      <c r="U4423">
        <v>14</v>
      </c>
      <c r="V4423">
        <v>1</v>
      </c>
      <c r="W4423">
        <v>2</v>
      </c>
      <c r="X4423">
        <v>0</v>
      </c>
      <c r="Y4423">
        <v>0</v>
      </c>
      <c r="Z4423">
        <v>0</v>
      </c>
    </row>
    <row r="4424" spans="1:26" x14ac:dyDescent="0.2">
      <c r="A4424" t="s">
        <v>4542</v>
      </c>
      <c r="B4424" t="s">
        <v>76</v>
      </c>
      <c r="C4424">
        <v>2020</v>
      </c>
      <c r="D4424" t="s">
        <v>23</v>
      </c>
      <c r="E4424" t="s">
        <v>51</v>
      </c>
      <c r="F4424" t="s">
        <v>20</v>
      </c>
      <c r="G4424">
        <v>62500</v>
      </c>
      <c r="H4424">
        <v>10000</v>
      </c>
      <c r="I4424" s="13">
        <v>1</v>
      </c>
      <c r="J4424" t="s">
        <v>6207</v>
      </c>
      <c r="K4424">
        <v>2</v>
      </c>
      <c r="L4424">
        <v>1</v>
      </c>
      <c r="M4424" t="s">
        <v>0</v>
      </c>
      <c r="N4424" s="2">
        <v>0.31</v>
      </c>
      <c r="O4424" s="2">
        <v>0.69</v>
      </c>
      <c r="P4424">
        <v>7</v>
      </c>
      <c r="Q4424">
        <v>15</v>
      </c>
      <c r="R4424">
        <v>5</v>
      </c>
      <c r="S4424">
        <v>7</v>
      </c>
      <c r="T4424">
        <v>14</v>
      </c>
      <c r="U4424">
        <v>7</v>
      </c>
      <c r="V4424">
        <v>4</v>
      </c>
      <c r="W4424">
        <v>3</v>
      </c>
      <c r="X4424">
        <v>0</v>
      </c>
      <c r="Y4424">
        <v>0</v>
      </c>
      <c r="Z4424">
        <v>0</v>
      </c>
    </row>
    <row r="4425" spans="1:26" x14ac:dyDescent="0.2">
      <c r="A4425" t="s">
        <v>4543</v>
      </c>
      <c r="B4425" t="s">
        <v>66</v>
      </c>
      <c r="C4425">
        <v>2020</v>
      </c>
      <c r="D4425" t="s">
        <v>42</v>
      </c>
      <c r="E4425" t="s">
        <v>80</v>
      </c>
      <c r="F4425" t="s">
        <v>38</v>
      </c>
      <c r="G4425">
        <v>42918</v>
      </c>
      <c r="H4425">
        <v>10000</v>
      </c>
      <c r="I4425" s="13">
        <v>1</v>
      </c>
      <c r="J4425" t="s">
        <v>6207</v>
      </c>
      <c r="K4425">
        <v>1</v>
      </c>
      <c r="L4425">
        <v>2</v>
      </c>
      <c r="M4425" t="s">
        <v>1</v>
      </c>
      <c r="N4425" s="2">
        <v>0.5</v>
      </c>
      <c r="O4425" s="2">
        <v>0.5</v>
      </c>
      <c r="P4425">
        <v>13</v>
      </c>
      <c r="Q4425">
        <v>15</v>
      </c>
      <c r="R4425">
        <v>7</v>
      </c>
      <c r="S4425">
        <v>8</v>
      </c>
      <c r="T4425">
        <v>11</v>
      </c>
      <c r="U4425">
        <v>12</v>
      </c>
      <c r="V4425">
        <v>2</v>
      </c>
      <c r="W4425">
        <v>1</v>
      </c>
      <c r="X4425">
        <v>0</v>
      </c>
      <c r="Y4425">
        <v>0</v>
      </c>
      <c r="Z4425">
        <v>0</v>
      </c>
    </row>
    <row r="4426" spans="1:26" x14ac:dyDescent="0.2">
      <c r="A4426" t="s">
        <v>4544</v>
      </c>
      <c r="B4426" t="s">
        <v>68</v>
      </c>
      <c r="C4426">
        <v>2020</v>
      </c>
      <c r="D4426" t="s">
        <v>46</v>
      </c>
      <c r="E4426" t="s">
        <v>40</v>
      </c>
      <c r="F4426" t="s">
        <v>20</v>
      </c>
      <c r="G4426">
        <v>60704</v>
      </c>
      <c r="H4426">
        <v>10000</v>
      </c>
      <c r="I4426" s="13">
        <v>1</v>
      </c>
      <c r="J4426" t="s">
        <v>6207</v>
      </c>
      <c r="K4426">
        <v>0</v>
      </c>
      <c r="L4426">
        <v>1</v>
      </c>
      <c r="M4426" t="s">
        <v>1</v>
      </c>
      <c r="N4426" s="2">
        <v>0.45</v>
      </c>
      <c r="O4426" s="2">
        <v>0.55000000000000004</v>
      </c>
      <c r="P4426">
        <v>13</v>
      </c>
      <c r="Q4426">
        <v>12</v>
      </c>
      <c r="R4426">
        <v>1</v>
      </c>
      <c r="S4426">
        <v>3</v>
      </c>
      <c r="T4426">
        <v>11</v>
      </c>
      <c r="U4426">
        <v>9</v>
      </c>
      <c r="V4426">
        <v>2</v>
      </c>
      <c r="W4426">
        <v>2</v>
      </c>
      <c r="X4426">
        <v>0</v>
      </c>
      <c r="Y4426">
        <v>0</v>
      </c>
      <c r="Z4426">
        <v>0</v>
      </c>
    </row>
    <row r="4427" spans="1:26" x14ac:dyDescent="0.2">
      <c r="A4427" t="s">
        <v>4545</v>
      </c>
      <c r="B4427" t="s">
        <v>81</v>
      </c>
      <c r="C4427">
        <v>2020</v>
      </c>
      <c r="D4427" t="s">
        <v>48</v>
      </c>
      <c r="E4427" t="s">
        <v>64</v>
      </c>
      <c r="F4427" t="s">
        <v>49</v>
      </c>
      <c r="G4427">
        <v>74197</v>
      </c>
      <c r="H4427">
        <v>10000</v>
      </c>
      <c r="I4427" s="13">
        <v>1</v>
      </c>
      <c r="J4427" t="s">
        <v>6207</v>
      </c>
      <c r="K4427">
        <v>3</v>
      </c>
      <c r="L4427">
        <v>1</v>
      </c>
      <c r="M4427" t="s">
        <v>0</v>
      </c>
      <c r="N4427" s="2">
        <v>0.72</v>
      </c>
      <c r="O4427" s="2">
        <v>0.28000000000000003</v>
      </c>
      <c r="P4427">
        <v>11</v>
      </c>
      <c r="Q4427">
        <v>11</v>
      </c>
      <c r="R4427">
        <v>6</v>
      </c>
      <c r="S4427">
        <v>4</v>
      </c>
      <c r="T4427">
        <v>9</v>
      </c>
      <c r="U4427">
        <v>11</v>
      </c>
      <c r="V4427">
        <v>1</v>
      </c>
      <c r="W4427">
        <v>2</v>
      </c>
      <c r="X4427">
        <v>0</v>
      </c>
      <c r="Y4427">
        <v>0</v>
      </c>
      <c r="Z4427">
        <v>1</v>
      </c>
    </row>
    <row r="4428" spans="1:26" x14ac:dyDescent="0.2">
      <c r="A4428" t="s">
        <v>4546</v>
      </c>
      <c r="B4428" t="s">
        <v>60</v>
      </c>
      <c r="C4428">
        <v>2020</v>
      </c>
      <c r="D4428" t="s">
        <v>90</v>
      </c>
      <c r="E4428" t="s">
        <v>79</v>
      </c>
      <c r="F4428" t="s">
        <v>91</v>
      </c>
      <c r="G4428">
        <v>31876</v>
      </c>
      <c r="H4428">
        <v>7969</v>
      </c>
      <c r="I4428" s="13">
        <v>0.5</v>
      </c>
      <c r="J4428" t="s">
        <v>6208</v>
      </c>
      <c r="K4428">
        <v>1</v>
      </c>
      <c r="L4428">
        <v>2</v>
      </c>
      <c r="M4428" t="s">
        <v>1</v>
      </c>
      <c r="N4428" s="2">
        <v>0.75</v>
      </c>
      <c r="O4428" s="2">
        <v>0.25</v>
      </c>
      <c r="P4428">
        <v>7</v>
      </c>
      <c r="Q4428">
        <v>14</v>
      </c>
      <c r="R4428">
        <v>13</v>
      </c>
      <c r="S4428">
        <v>0</v>
      </c>
      <c r="T4428">
        <v>11</v>
      </c>
      <c r="U4428">
        <v>6</v>
      </c>
      <c r="V4428">
        <v>2</v>
      </c>
      <c r="W4428">
        <v>0</v>
      </c>
      <c r="X4428">
        <v>0</v>
      </c>
      <c r="Y4428">
        <v>0</v>
      </c>
      <c r="Z4428">
        <v>0</v>
      </c>
    </row>
    <row r="4429" spans="1:26" x14ac:dyDescent="0.2">
      <c r="A4429" t="s">
        <v>4547</v>
      </c>
      <c r="B4429" t="s">
        <v>37</v>
      </c>
      <c r="C4429">
        <v>2020</v>
      </c>
      <c r="D4429" t="s">
        <v>33</v>
      </c>
      <c r="E4429" t="s">
        <v>73</v>
      </c>
      <c r="F4429" t="s">
        <v>33</v>
      </c>
      <c r="G4429">
        <v>37645</v>
      </c>
      <c r="H4429">
        <v>9411.25</v>
      </c>
      <c r="I4429" s="13">
        <v>1</v>
      </c>
      <c r="J4429" t="s">
        <v>6206</v>
      </c>
      <c r="K4429">
        <v>3</v>
      </c>
      <c r="L4429">
        <v>0</v>
      </c>
      <c r="M4429" t="s">
        <v>0</v>
      </c>
      <c r="N4429" s="2">
        <v>0.47</v>
      </c>
      <c r="O4429" s="2">
        <v>0.53</v>
      </c>
      <c r="P4429">
        <v>16</v>
      </c>
      <c r="Q4429">
        <v>12</v>
      </c>
      <c r="R4429">
        <v>2</v>
      </c>
      <c r="S4429">
        <v>4</v>
      </c>
      <c r="T4429">
        <v>11</v>
      </c>
      <c r="U4429">
        <v>13</v>
      </c>
      <c r="V4429">
        <v>1</v>
      </c>
      <c r="W4429">
        <v>2</v>
      </c>
      <c r="X4429">
        <v>0</v>
      </c>
      <c r="Y4429">
        <v>0</v>
      </c>
      <c r="Z4429">
        <v>0</v>
      </c>
    </row>
    <row r="4430" spans="1:26" x14ac:dyDescent="0.2">
      <c r="A4430" t="s">
        <v>4548</v>
      </c>
      <c r="B4430" t="s">
        <v>66</v>
      </c>
      <c r="C4430">
        <v>2020</v>
      </c>
      <c r="D4430" t="s">
        <v>40</v>
      </c>
      <c r="E4430" t="s">
        <v>23</v>
      </c>
      <c r="F4430" t="s">
        <v>49</v>
      </c>
      <c r="G4430">
        <v>53400</v>
      </c>
      <c r="H4430">
        <v>10000</v>
      </c>
      <c r="I4430" s="13">
        <v>0.5</v>
      </c>
      <c r="J4430" t="s">
        <v>6207</v>
      </c>
      <c r="K4430">
        <v>2</v>
      </c>
      <c r="L4430">
        <v>1</v>
      </c>
      <c r="M4430" t="s">
        <v>0</v>
      </c>
      <c r="N4430" s="2">
        <v>0.63</v>
      </c>
      <c r="O4430" s="2">
        <v>0.37</v>
      </c>
      <c r="P4430">
        <v>11</v>
      </c>
      <c r="Q4430">
        <v>10</v>
      </c>
      <c r="R4430">
        <v>4</v>
      </c>
      <c r="S4430">
        <v>2</v>
      </c>
      <c r="T4430">
        <v>8</v>
      </c>
      <c r="U4430">
        <v>11</v>
      </c>
      <c r="V4430">
        <v>1</v>
      </c>
      <c r="W4430">
        <v>1</v>
      </c>
      <c r="X4430">
        <v>0</v>
      </c>
      <c r="Y4430">
        <v>0</v>
      </c>
      <c r="Z4430">
        <v>0</v>
      </c>
    </row>
    <row r="4431" spans="1:26" x14ac:dyDescent="0.2">
      <c r="A4431" t="s">
        <v>4549</v>
      </c>
      <c r="B4431" t="s">
        <v>50</v>
      </c>
      <c r="C4431">
        <v>2020</v>
      </c>
      <c r="D4431" t="s">
        <v>63</v>
      </c>
      <c r="E4431" t="s">
        <v>90</v>
      </c>
      <c r="F4431" t="s">
        <v>65</v>
      </c>
      <c r="G4431">
        <v>26804</v>
      </c>
      <c r="H4431">
        <v>6701</v>
      </c>
      <c r="I4431" s="13">
        <v>0</v>
      </c>
      <c r="J4431" t="s">
        <v>6207</v>
      </c>
      <c r="K4431">
        <v>1</v>
      </c>
      <c r="L4431">
        <v>0</v>
      </c>
      <c r="M4431" t="s">
        <v>0</v>
      </c>
      <c r="N4431" s="2">
        <v>0.3</v>
      </c>
      <c r="O4431" s="2">
        <v>0.7</v>
      </c>
      <c r="P4431">
        <v>15</v>
      </c>
      <c r="Q4431">
        <v>10</v>
      </c>
      <c r="R4431">
        <v>7</v>
      </c>
      <c r="S4431">
        <v>4</v>
      </c>
      <c r="T4431">
        <v>11</v>
      </c>
      <c r="U4431">
        <v>13</v>
      </c>
      <c r="V4431">
        <v>0</v>
      </c>
      <c r="W4431">
        <v>0</v>
      </c>
      <c r="X4431">
        <v>0</v>
      </c>
      <c r="Y4431">
        <v>0</v>
      </c>
      <c r="Z4431">
        <v>2</v>
      </c>
    </row>
    <row r="4432" spans="1:26" x14ac:dyDescent="0.2">
      <c r="A4432" t="s">
        <v>4550</v>
      </c>
      <c r="B4432" t="s">
        <v>97</v>
      </c>
      <c r="C4432">
        <v>2020</v>
      </c>
      <c r="D4432" t="s">
        <v>33</v>
      </c>
      <c r="E4432" t="s">
        <v>42</v>
      </c>
      <c r="F4432" t="s">
        <v>33</v>
      </c>
      <c r="G4432">
        <v>37645</v>
      </c>
      <c r="H4432">
        <v>9411.25</v>
      </c>
      <c r="I4432" s="13">
        <v>0.6</v>
      </c>
      <c r="J4432" t="s">
        <v>6207</v>
      </c>
      <c r="K4432">
        <v>0</v>
      </c>
      <c r="L4432">
        <v>1</v>
      </c>
      <c r="M4432" t="s">
        <v>1</v>
      </c>
      <c r="N4432" s="2">
        <v>0.69</v>
      </c>
      <c r="O4432" s="2">
        <v>0.31</v>
      </c>
      <c r="P4432">
        <v>14</v>
      </c>
      <c r="Q4432">
        <v>14</v>
      </c>
      <c r="R4432">
        <v>7</v>
      </c>
      <c r="S4432">
        <v>5</v>
      </c>
      <c r="T4432">
        <v>14</v>
      </c>
      <c r="U4432">
        <v>14</v>
      </c>
      <c r="V4432">
        <v>3</v>
      </c>
      <c r="W4432">
        <v>2</v>
      </c>
      <c r="X4432">
        <v>0</v>
      </c>
      <c r="Y4432">
        <v>0</v>
      </c>
      <c r="Z4432">
        <v>0</v>
      </c>
    </row>
    <row r="4433" spans="1:26" x14ac:dyDescent="0.2">
      <c r="A4433" t="s">
        <v>4551</v>
      </c>
      <c r="B4433" t="s">
        <v>41</v>
      </c>
      <c r="C4433">
        <v>2020</v>
      </c>
      <c r="D4433" t="s">
        <v>64</v>
      </c>
      <c r="E4433" t="s">
        <v>22</v>
      </c>
      <c r="F4433" t="s">
        <v>64</v>
      </c>
      <c r="G4433">
        <v>52264</v>
      </c>
      <c r="H4433">
        <v>10000</v>
      </c>
      <c r="I4433" s="13">
        <v>1</v>
      </c>
      <c r="J4433" t="s">
        <v>6207</v>
      </c>
      <c r="K4433">
        <v>1</v>
      </c>
      <c r="L4433">
        <v>1</v>
      </c>
      <c r="M4433" t="s">
        <v>58</v>
      </c>
      <c r="N4433" s="2">
        <v>0.48</v>
      </c>
      <c r="O4433" s="2">
        <v>0.52</v>
      </c>
      <c r="P4433">
        <v>14</v>
      </c>
      <c r="Q4433">
        <v>13</v>
      </c>
      <c r="R4433">
        <v>3</v>
      </c>
      <c r="S4433">
        <v>5</v>
      </c>
      <c r="T4433">
        <v>11</v>
      </c>
      <c r="U4433">
        <v>13</v>
      </c>
      <c r="V4433">
        <v>2</v>
      </c>
      <c r="W4433">
        <v>0</v>
      </c>
      <c r="X4433">
        <v>0</v>
      </c>
      <c r="Y4433">
        <v>0</v>
      </c>
      <c r="Z4433">
        <v>0</v>
      </c>
    </row>
    <row r="4434" spans="1:26" x14ac:dyDescent="0.2">
      <c r="A4434" t="s">
        <v>4552</v>
      </c>
      <c r="B4434" t="s">
        <v>81</v>
      </c>
      <c r="C4434">
        <v>2020</v>
      </c>
      <c r="D4434" t="s">
        <v>80</v>
      </c>
      <c r="E4434" t="s">
        <v>46</v>
      </c>
      <c r="F4434" t="s">
        <v>80</v>
      </c>
      <c r="G4434">
        <v>32261</v>
      </c>
      <c r="H4434">
        <v>8065.25</v>
      </c>
      <c r="I4434" s="13">
        <v>0.33333333333333331</v>
      </c>
      <c r="J4434" t="s">
        <v>6207</v>
      </c>
      <c r="K4434">
        <v>1</v>
      </c>
      <c r="L4434">
        <v>3</v>
      </c>
      <c r="M4434" t="s">
        <v>1</v>
      </c>
      <c r="N4434" s="2">
        <v>0.44</v>
      </c>
      <c r="O4434" s="2">
        <v>0.56000000000000005</v>
      </c>
      <c r="P4434">
        <v>4</v>
      </c>
      <c r="Q4434">
        <v>14</v>
      </c>
      <c r="R4434">
        <v>2</v>
      </c>
      <c r="S4434">
        <v>7</v>
      </c>
      <c r="T4434">
        <v>15</v>
      </c>
      <c r="U4434">
        <v>3</v>
      </c>
      <c r="V4434">
        <v>2</v>
      </c>
      <c r="W4434">
        <v>1</v>
      </c>
      <c r="X4434">
        <v>0</v>
      </c>
      <c r="Y4434">
        <v>0</v>
      </c>
      <c r="Z4434">
        <v>1</v>
      </c>
    </row>
    <row r="4435" spans="1:26" x14ac:dyDescent="0.2">
      <c r="A4435" t="s">
        <v>4553</v>
      </c>
      <c r="B4435" t="s">
        <v>61</v>
      </c>
      <c r="C4435">
        <v>2020</v>
      </c>
      <c r="D4435" t="s">
        <v>79</v>
      </c>
      <c r="E4435" t="s">
        <v>31</v>
      </c>
      <c r="F4435" t="s">
        <v>20</v>
      </c>
      <c r="G4435">
        <v>25486</v>
      </c>
      <c r="H4435">
        <v>6371.5</v>
      </c>
      <c r="I4435" s="13">
        <v>1</v>
      </c>
      <c r="J4435" t="s">
        <v>6207</v>
      </c>
      <c r="K4435">
        <v>0</v>
      </c>
      <c r="L4435">
        <v>0</v>
      </c>
      <c r="M4435" t="s">
        <v>58</v>
      </c>
      <c r="N4435" s="2">
        <v>0.41</v>
      </c>
      <c r="O4435" s="2">
        <v>0.59</v>
      </c>
      <c r="P4435">
        <v>14</v>
      </c>
      <c r="Q4435">
        <v>11</v>
      </c>
      <c r="R4435">
        <v>1</v>
      </c>
      <c r="S4435">
        <v>3</v>
      </c>
      <c r="T4435">
        <v>10</v>
      </c>
      <c r="U4435">
        <v>14</v>
      </c>
      <c r="V4435">
        <v>1</v>
      </c>
      <c r="W4435">
        <v>1</v>
      </c>
      <c r="X4435">
        <v>0</v>
      </c>
      <c r="Y4435">
        <v>0</v>
      </c>
      <c r="Z4435">
        <v>0</v>
      </c>
    </row>
    <row r="4436" spans="1:26" x14ac:dyDescent="0.2">
      <c r="A4436" t="s">
        <v>4554</v>
      </c>
      <c r="B4436" t="s">
        <v>60</v>
      </c>
      <c r="C4436">
        <v>2020</v>
      </c>
      <c r="D4436" t="s">
        <v>51</v>
      </c>
      <c r="E4436" t="s">
        <v>28</v>
      </c>
      <c r="F4436" t="s">
        <v>20</v>
      </c>
      <c r="G4436">
        <v>36284</v>
      </c>
      <c r="H4436">
        <v>9071</v>
      </c>
      <c r="I4436" s="13">
        <v>0</v>
      </c>
      <c r="J4436" t="s">
        <v>6208</v>
      </c>
      <c r="K4436">
        <v>4</v>
      </c>
      <c r="L4436">
        <v>0</v>
      </c>
      <c r="M4436" t="s">
        <v>0</v>
      </c>
      <c r="N4436" s="2">
        <v>0.57999999999999996</v>
      </c>
      <c r="O4436" s="2">
        <v>0.42</v>
      </c>
      <c r="P4436">
        <v>10</v>
      </c>
      <c r="Q4436">
        <v>6</v>
      </c>
      <c r="R4436">
        <v>3</v>
      </c>
      <c r="S4436">
        <v>4</v>
      </c>
      <c r="T4436">
        <v>6</v>
      </c>
      <c r="U4436">
        <v>10</v>
      </c>
      <c r="V4436">
        <v>0</v>
      </c>
      <c r="W4436">
        <v>0</v>
      </c>
      <c r="X4436">
        <v>0</v>
      </c>
      <c r="Y4436">
        <v>0</v>
      </c>
      <c r="Z4436">
        <v>0</v>
      </c>
    </row>
    <row r="4437" spans="1:26" x14ac:dyDescent="0.2">
      <c r="A4437" t="s">
        <v>4555</v>
      </c>
      <c r="B4437" t="s">
        <v>59</v>
      </c>
      <c r="C4437">
        <v>2020</v>
      </c>
      <c r="D4437" t="s">
        <v>18</v>
      </c>
      <c r="E4437" t="s">
        <v>48</v>
      </c>
      <c r="F4437" t="s">
        <v>20</v>
      </c>
      <c r="G4437">
        <v>40341</v>
      </c>
      <c r="H4437">
        <v>10000</v>
      </c>
      <c r="I4437" s="13">
        <v>0.33333333333333331</v>
      </c>
      <c r="J4437" t="s">
        <v>6206</v>
      </c>
      <c r="K4437">
        <v>0</v>
      </c>
      <c r="L4437">
        <v>0</v>
      </c>
      <c r="M4437" t="s">
        <v>58</v>
      </c>
      <c r="N4437" s="2">
        <v>0.56999999999999995</v>
      </c>
      <c r="O4437" s="2">
        <v>0.43</v>
      </c>
      <c r="P4437">
        <v>15</v>
      </c>
      <c r="Q4437">
        <v>12</v>
      </c>
      <c r="R4437">
        <v>3</v>
      </c>
      <c r="S4437">
        <v>4</v>
      </c>
      <c r="T4437">
        <v>11</v>
      </c>
      <c r="U4437">
        <v>12</v>
      </c>
      <c r="V4437">
        <v>1</v>
      </c>
      <c r="W4437">
        <v>2</v>
      </c>
      <c r="X4437">
        <v>0</v>
      </c>
      <c r="Y4437">
        <v>0</v>
      </c>
      <c r="Z4437">
        <v>0</v>
      </c>
    </row>
    <row r="4438" spans="1:26" x14ac:dyDescent="0.2">
      <c r="A4438" t="s">
        <v>4556</v>
      </c>
      <c r="B4438" t="s">
        <v>68</v>
      </c>
      <c r="C4438">
        <v>2020</v>
      </c>
      <c r="D4438" t="s">
        <v>95</v>
      </c>
      <c r="E4438" t="s">
        <v>26</v>
      </c>
      <c r="F4438" t="s">
        <v>57</v>
      </c>
      <c r="G4438">
        <v>32050</v>
      </c>
      <c r="H4438">
        <v>8012.5</v>
      </c>
      <c r="I4438" s="13">
        <v>0</v>
      </c>
      <c r="J4438" t="s">
        <v>6207</v>
      </c>
      <c r="K4438">
        <v>0</v>
      </c>
      <c r="L4438">
        <v>2</v>
      </c>
      <c r="M4438" t="s">
        <v>1</v>
      </c>
      <c r="N4438" s="2">
        <v>0.4</v>
      </c>
      <c r="O4438" s="2">
        <v>0.6</v>
      </c>
      <c r="P4438">
        <v>11</v>
      </c>
      <c r="Q4438">
        <v>13</v>
      </c>
      <c r="R4438">
        <v>4</v>
      </c>
      <c r="S4438">
        <v>3</v>
      </c>
      <c r="T4438">
        <v>9</v>
      </c>
      <c r="U4438">
        <v>9</v>
      </c>
      <c r="V4438">
        <v>0</v>
      </c>
      <c r="W4438">
        <v>0</v>
      </c>
      <c r="X4438">
        <v>0</v>
      </c>
      <c r="Y4438">
        <v>0</v>
      </c>
      <c r="Z4438">
        <v>0</v>
      </c>
    </row>
    <row r="4439" spans="1:26" x14ac:dyDescent="0.2">
      <c r="A4439" t="s">
        <v>4557</v>
      </c>
      <c r="B4439" t="s">
        <v>32</v>
      </c>
      <c r="C4439">
        <v>2020</v>
      </c>
      <c r="D4439" t="s">
        <v>45</v>
      </c>
      <c r="E4439" t="s">
        <v>73</v>
      </c>
      <c r="F4439" t="s">
        <v>26</v>
      </c>
      <c r="G4439">
        <v>39572</v>
      </c>
      <c r="H4439">
        <v>9893</v>
      </c>
      <c r="I4439" s="13">
        <v>0.5</v>
      </c>
      <c r="J4439" t="s">
        <v>6207</v>
      </c>
      <c r="K4439">
        <v>1</v>
      </c>
      <c r="L4439">
        <v>0</v>
      </c>
      <c r="M4439" t="s">
        <v>0</v>
      </c>
      <c r="N4439" s="2">
        <v>0.47</v>
      </c>
      <c r="O4439" s="2">
        <v>0.53</v>
      </c>
      <c r="P4439">
        <v>9</v>
      </c>
      <c r="Q4439">
        <v>17</v>
      </c>
      <c r="R4439">
        <v>4</v>
      </c>
      <c r="S4439">
        <v>10</v>
      </c>
      <c r="T4439">
        <v>13</v>
      </c>
      <c r="U4439">
        <v>9</v>
      </c>
      <c r="V4439">
        <v>0</v>
      </c>
      <c r="W4439">
        <v>2</v>
      </c>
      <c r="X4439">
        <v>0</v>
      </c>
      <c r="Y4439">
        <v>0</v>
      </c>
      <c r="Z4439">
        <v>0</v>
      </c>
    </row>
    <row r="4440" spans="1:26" x14ac:dyDescent="0.2">
      <c r="A4440" t="s">
        <v>4558</v>
      </c>
      <c r="B4440" t="s">
        <v>88</v>
      </c>
      <c r="C4440">
        <v>2020</v>
      </c>
      <c r="D4440" t="s">
        <v>40</v>
      </c>
      <c r="E4440" t="s">
        <v>22</v>
      </c>
      <c r="F4440" t="s">
        <v>49</v>
      </c>
      <c r="G4440">
        <v>53400</v>
      </c>
      <c r="H4440">
        <v>10000</v>
      </c>
      <c r="I4440" s="13">
        <v>1</v>
      </c>
      <c r="J4440" t="s">
        <v>6207</v>
      </c>
      <c r="K4440">
        <v>4</v>
      </c>
      <c r="L4440">
        <v>1</v>
      </c>
      <c r="M4440" t="s">
        <v>0</v>
      </c>
      <c r="N4440" s="2">
        <v>0.72</v>
      </c>
      <c r="O4440" s="2">
        <v>0.28000000000000003</v>
      </c>
      <c r="P4440">
        <v>5</v>
      </c>
      <c r="Q4440">
        <v>13</v>
      </c>
      <c r="R4440">
        <v>10</v>
      </c>
      <c r="S4440">
        <v>2</v>
      </c>
      <c r="T4440">
        <v>9</v>
      </c>
      <c r="U4440">
        <v>5</v>
      </c>
      <c r="V4440">
        <v>0</v>
      </c>
      <c r="W4440">
        <v>1</v>
      </c>
      <c r="X4440">
        <v>0</v>
      </c>
      <c r="Y4440">
        <v>0</v>
      </c>
      <c r="Z4440">
        <v>0</v>
      </c>
    </row>
    <row r="4441" spans="1:26" x14ac:dyDescent="0.2">
      <c r="A4441" t="s">
        <v>4559</v>
      </c>
      <c r="B4441" t="s">
        <v>99</v>
      </c>
      <c r="C4441">
        <v>2020</v>
      </c>
      <c r="D4441" t="s">
        <v>95</v>
      </c>
      <c r="E4441" t="s">
        <v>42</v>
      </c>
      <c r="F4441" t="s">
        <v>57</v>
      </c>
      <c r="G4441">
        <v>32050</v>
      </c>
      <c r="H4441">
        <v>8012.5</v>
      </c>
      <c r="I4441" s="13">
        <v>0.5</v>
      </c>
      <c r="J4441" t="s">
        <v>6207</v>
      </c>
      <c r="K4441">
        <v>1</v>
      </c>
      <c r="L4441">
        <v>0</v>
      </c>
      <c r="M4441" t="s">
        <v>0</v>
      </c>
      <c r="N4441" s="2">
        <v>0.28000000000000003</v>
      </c>
      <c r="O4441" s="2">
        <v>0.72</v>
      </c>
      <c r="P4441">
        <v>7</v>
      </c>
      <c r="Q4441">
        <v>14</v>
      </c>
      <c r="R4441">
        <v>2</v>
      </c>
      <c r="S4441">
        <v>7</v>
      </c>
      <c r="T4441">
        <v>13</v>
      </c>
      <c r="U4441">
        <v>6</v>
      </c>
      <c r="V4441">
        <v>1</v>
      </c>
      <c r="W4441">
        <v>0</v>
      </c>
      <c r="X4441">
        <v>1</v>
      </c>
      <c r="Y4441">
        <v>0</v>
      </c>
      <c r="Z4441">
        <v>0</v>
      </c>
    </row>
    <row r="4442" spans="1:26" x14ac:dyDescent="0.2">
      <c r="A4442" t="s">
        <v>4560</v>
      </c>
      <c r="B4442" t="s">
        <v>92</v>
      </c>
      <c r="C4442">
        <v>2020</v>
      </c>
      <c r="D4442" t="s">
        <v>28</v>
      </c>
      <c r="E4442" t="s">
        <v>80</v>
      </c>
      <c r="F4442" t="s">
        <v>28</v>
      </c>
      <c r="G4442">
        <v>21944</v>
      </c>
      <c r="H4442">
        <v>5486</v>
      </c>
      <c r="I4442" s="13">
        <v>1</v>
      </c>
      <c r="J4442" t="s">
        <v>6207</v>
      </c>
      <c r="K4442">
        <v>1</v>
      </c>
      <c r="L4442">
        <v>1</v>
      </c>
      <c r="M4442" t="s">
        <v>58</v>
      </c>
      <c r="N4442" s="2">
        <v>0.4</v>
      </c>
      <c r="O4442" s="2">
        <v>0.6</v>
      </c>
      <c r="P4442">
        <v>14</v>
      </c>
      <c r="Q4442">
        <v>9</v>
      </c>
      <c r="R4442">
        <v>5</v>
      </c>
      <c r="S4442">
        <v>8</v>
      </c>
      <c r="T4442">
        <v>6</v>
      </c>
      <c r="U4442">
        <v>12</v>
      </c>
      <c r="V4442">
        <v>0</v>
      </c>
      <c r="W4442">
        <v>2</v>
      </c>
      <c r="X4442">
        <v>0</v>
      </c>
      <c r="Y4442">
        <v>0</v>
      </c>
      <c r="Z4442">
        <v>0</v>
      </c>
    </row>
    <row r="4443" spans="1:26" x14ac:dyDescent="0.2">
      <c r="A4443" t="s">
        <v>4561</v>
      </c>
      <c r="B4443" t="s">
        <v>37</v>
      </c>
      <c r="C4443">
        <v>2020</v>
      </c>
      <c r="D4443" t="s">
        <v>79</v>
      </c>
      <c r="E4443" t="s">
        <v>48</v>
      </c>
      <c r="F4443" t="s">
        <v>20</v>
      </c>
      <c r="G4443">
        <v>25486</v>
      </c>
      <c r="H4443">
        <v>6371.5</v>
      </c>
      <c r="I4443" s="13">
        <v>1</v>
      </c>
      <c r="J4443" t="s">
        <v>6206</v>
      </c>
      <c r="K4443">
        <v>0</v>
      </c>
      <c r="L4443">
        <v>0</v>
      </c>
      <c r="M4443" t="s">
        <v>58</v>
      </c>
      <c r="N4443" s="2">
        <v>0.37</v>
      </c>
      <c r="O4443" s="2">
        <v>0.63</v>
      </c>
      <c r="P4443">
        <v>15</v>
      </c>
      <c r="Q4443">
        <v>4</v>
      </c>
      <c r="R4443">
        <v>4</v>
      </c>
      <c r="S4443">
        <v>6</v>
      </c>
      <c r="T4443">
        <v>4</v>
      </c>
      <c r="U4443">
        <v>13</v>
      </c>
      <c r="V4443">
        <v>1</v>
      </c>
      <c r="W4443">
        <v>0</v>
      </c>
      <c r="X4443">
        <v>0</v>
      </c>
      <c r="Y4443">
        <v>0</v>
      </c>
      <c r="Z4443">
        <v>0</v>
      </c>
    </row>
    <row r="4444" spans="1:26" x14ac:dyDescent="0.2">
      <c r="A4444" t="s">
        <v>4562</v>
      </c>
      <c r="B4444" t="s">
        <v>100</v>
      </c>
      <c r="C4444">
        <v>2020</v>
      </c>
      <c r="D4444" t="s">
        <v>63</v>
      </c>
      <c r="E4444" t="s">
        <v>45</v>
      </c>
      <c r="F4444" t="s">
        <v>65</v>
      </c>
      <c r="G4444">
        <v>26804</v>
      </c>
      <c r="H4444">
        <v>6701</v>
      </c>
      <c r="I4444" s="13">
        <v>0.75</v>
      </c>
      <c r="J4444" t="s">
        <v>6207</v>
      </c>
      <c r="K4444">
        <v>0</v>
      </c>
      <c r="L4444">
        <v>1</v>
      </c>
      <c r="M4444" t="s">
        <v>1</v>
      </c>
      <c r="N4444" s="2">
        <v>0.48</v>
      </c>
      <c r="O4444" s="2">
        <v>0.52</v>
      </c>
      <c r="P4444">
        <v>9</v>
      </c>
      <c r="Q4444">
        <v>12</v>
      </c>
      <c r="R4444">
        <v>3</v>
      </c>
      <c r="S4444">
        <v>3</v>
      </c>
      <c r="T4444">
        <v>9</v>
      </c>
      <c r="U4444">
        <v>7</v>
      </c>
      <c r="V4444">
        <v>3</v>
      </c>
      <c r="W4444">
        <v>1</v>
      </c>
      <c r="X4444">
        <v>0</v>
      </c>
      <c r="Y4444">
        <v>0</v>
      </c>
      <c r="Z4444">
        <v>0</v>
      </c>
    </row>
    <row r="4445" spans="1:26" x14ac:dyDescent="0.2">
      <c r="A4445" t="s">
        <v>4563</v>
      </c>
      <c r="B4445" t="s">
        <v>93</v>
      </c>
      <c r="C4445">
        <v>2020</v>
      </c>
      <c r="D4445" t="s">
        <v>31</v>
      </c>
      <c r="E4445" t="s">
        <v>51</v>
      </c>
      <c r="F4445" t="s">
        <v>20</v>
      </c>
      <c r="G4445">
        <v>28500</v>
      </c>
      <c r="H4445">
        <v>7125</v>
      </c>
      <c r="I4445" s="13">
        <v>0.33333333333333331</v>
      </c>
      <c r="J4445" t="s">
        <v>6206</v>
      </c>
      <c r="K4445">
        <v>0</v>
      </c>
      <c r="L4445">
        <v>1</v>
      </c>
      <c r="M4445" t="s">
        <v>1</v>
      </c>
      <c r="N4445" s="2">
        <v>0.6</v>
      </c>
      <c r="O4445" s="2">
        <v>0.4</v>
      </c>
      <c r="P4445">
        <v>12</v>
      </c>
      <c r="Q4445">
        <v>17</v>
      </c>
      <c r="R4445">
        <v>4</v>
      </c>
      <c r="S4445">
        <v>1</v>
      </c>
      <c r="T4445">
        <v>13</v>
      </c>
      <c r="U4445">
        <v>9</v>
      </c>
      <c r="V4445">
        <v>2</v>
      </c>
      <c r="W4445">
        <v>1</v>
      </c>
      <c r="X4445">
        <v>0</v>
      </c>
      <c r="Y4445">
        <v>0</v>
      </c>
      <c r="Z4445">
        <v>0</v>
      </c>
    </row>
    <row r="4446" spans="1:26" x14ac:dyDescent="0.2">
      <c r="A4446" t="s">
        <v>4564</v>
      </c>
      <c r="B4446" t="s">
        <v>32</v>
      </c>
      <c r="C4446">
        <v>2020</v>
      </c>
      <c r="D4446" t="s">
        <v>26</v>
      </c>
      <c r="E4446" t="s">
        <v>18</v>
      </c>
      <c r="F4446" t="s">
        <v>26</v>
      </c>
      <c r="G4446">
        <v>61276</v>
      </c>
      <c r="H4446">
        <v>10000</v>
      </c>
      <c r="I4446" s="13">
        <v>0</v>
      </c>
      <c r="J4446" t="s">
        <v>6207</v>
      </c>
      <c r="K4446">
        <v>0</v>
      </c>
      <c r="L4446">
        <v>1</v>
      </c>
      <c r="M4446" t="s">
        <v>1</v>
      </c>
      <c r="N4446" s="2">
        <v>0.54</v>
      </c>
      <c r="O4446" s="2">
        <v>0.46</v>
      </c>
      <c r="P4446">
        <v>12</v>
      </c>
      <c r="Q4446">
        <v>10</v>
      </c>
      <c r="R4446">
        <v>5</v>
      </c>
      <c r="S4446">
        <v>2</v>
      </c>
      <c r="T4446">
        <v>9</v>
      </c>
      <c r="U4446">
        <v>8</v>
      </c>
      <c r="V4446">
        <v>0</v>
      </c>
      <c r="W4446">
        <v>0</v>
      </c>
      <c r="X4446">
        <v>0</v>
      </c>
      <c r="Y4446">
        <v>0</v>
      </c>
      <c r="Z4446">
        <v>0</v>
      </c>
    </row>
    <row r="4447" spans="1:26" x14ac:dyDescent="0.2">
      <c r="A4447" t="s">
        <v>4565</v>
      </c>
      <c r="B4447" t="s">
        <v>37</v>
      </c>
      <c r="C4447">
        <v>2020</v>
      </c>
      <c r="D4447" t="s">
        <v>28</v>
      </c>
      <c r="E4447" t="s">
        <v>46</v>
      </c>
      <c r="F4447" t="s">
        <v>28</v>
      </c>
      <c r="G4447">
        <v>21944</v>
      </c>
      <c r="H4447">
        <v>5486</v>
      </c>
      <c r="I4447" s="13">
        <v>0.5</v>
      </c>
      <c r="J4447" t="s">
        <v>6206</v>
      </c>
      <c r="K4447">
        <v>1</v>
      </c>
      <c r="L4447">
        <v>1</v>
      </c>
      <c r="M4447" t="s">
        <v>58</v>
      </c>
      <c r="N4447" s="2">
        <v>0.41</v>
      </c>
      <c r="O4447" s="2">
        <v>0.59</v>
      </c>
      <c r="P4447">
        <v>15</v>
      </c>
      <c r="Q4447">
        <v>7</v>
      </c>
      <c r="R4447">
        <v>2</v>
      </c>
      <c r="S4447">
        <v>3</v>
      </c>
      <c r="T4447">
        <v>5</v>
      </c>
      <c r="U4447">
        <v>12</v>
      </c>
      <c r="V4447">
        <v>1</v>
      </c>
      <c r="W4447">
        <v>1</v>
      </c>
      <c r="X4447">
        <v>0</v>
      </c>
      <c r="Y4447">
        <v>0</v>
      </c>
      <c r="Z4447">
        <v>0</v>
      </c>
    </row>
    <row r="4448" spans="1:26" x14ac:dyDescent="0.2">
      <c r="A4448" t="s">
        <v>4566</v>
      </c>
      <c r="B4448" t="s">
        <v>81</v>
      </c>
      <c r="C4448">
        <v>2020</v>
      </c>
      <c r="D4448" t="s">
        <v>95</v>
      </c>
      <c r="E4448" t="s">
        <v>73</v>
      </c>
      <c r="F4448" t="s">
        <v>57</v>
      </c>
      <c r="G4448">
        <v>32050</v>
      </c>
      <c r="H4448">
        <v>8012.5</v>
      </c>
      <c r="I4448" s="13">
        <v>0.2857142857142857</v>
      </c>
      <c r="J4448" t="s">
        <v>6207</v>
      </c>
      <c r="K4448">
        <v>0</v>
      </c>
      <c r="L4448">
        <v>2</v>
      </c>
      <c r="M4448" t="s">
        <v>1</v>
      </c>
      <c r="N4448" s="2">
        <v>0.51</v>
      </c>
      <c r="O4448" s="2">
        <v>0.49</v>
      </c>
      <c r="P4448">
        <v>13</v>
      </c>
      <c r="Q4448">
        <v>18</v>
      </c>
      <c r="R4448">
        <v>7</v>
      </c>
      <c r="S4448">
        <v>3</v>
      </c>
      <c r="T4448">
        <v>17</v>
      </c>
      <c r="U4448">
        <v>11</v>
      </c>
      <c r="V4448">
        <v>4</v>
      </c>
      <c r="W4448">
        <v>3</v>
      </c>
      <c r="X4448">
        <v>0</v>
      </c>
      <c r="Y4448">
        <v>0</v>
      </c>
      <c r="Z4448">
        <v>1</v>
      </c>
    </row>
    <row r="4449" spans="1:26" x14ac:dyDescent="0.2">
      <c r="A4449" t="s">
        <v>4567</v>
      </c>
      <c r="B4449" t="s">
        <v>92</v>
      </c>
      <c r="C4449">
        <v>2020</v>
      </c>
      <c r="D4449" t="s">
        <v>42</v>
      </c>
      <c r="E4449" t="s">
        <v>22</v>
      </c>
      <c r="F4449" t="s">
        <v>38</v>
      </c>
      <c r="G4449">
        <v>42918</v>
      </c>
      <c r="H4449">
        <v>10000</v>
      </c>
      <c r="I4449" s="13">
        <v>1</v>
      </c>
      <c r="J4449" t="s">
        <v>6207</v>
      </c>
      <c r="K4449">
        <v>0</v>
      </c>
      <c r="L4449">
        <v>0</v>
      </c>
      <c r="M4449" t="s">
        <v>58</v>
      </c>
      <c r="N4449" s="2">
        <v>0.49</v>
      </c>
      <c r="O4449" s="2">
        <v>0.51</v>
      </c>
      <c r="P4449">
        <v>13</v>
      </c>
      <c r="Q4449">
        <v>16</v>
      </c>
      <c r="R4449">
        <v>5</v>
      </c>
      <c r="S4449">
        <v>3</v>
      </c>
      <c r="T4449">
        <v>13</v>
      </c>
      <c r="U4449">
        <v>13</v>
      </c>
      <c r="V4449">
        <v>1</v>
      </c>
      <c r="W4449">
        <v>0</v>
      </c>
      <c r="X4449">
        <v>0</v>
      </c>
      <c r="Y4449">
        <v>0</v>
      </c>
      <c r="Z4449">
        <v>0</v>
      </c>
    </row>
    <row r="4450" spans="1:26" x14ac:dyDescent="0.2">
      <c r="A4450" t="s">
        <v>4568</v>
      </c>
      <c r="B4450" t="s">
        <v>66</v>
      </c>
      <c r="C4450">
        <v>2020</v>
      </c>
      <c r="D4450" t="s">
        <v>90</v>
      </c>
      <c r="E4450" t="s">
        <v>80</v>
      </c>
      <c r="F4450" t="s">
        <v>91</v>
      </c>
      <c r="G4450">
        <v>31876</v>
      </c>
      <c r="H4450">
        <v>7969</v>
      </c>
      <c r="I4450" s="13">
        <v>1</v>
      </c>
      <c r="J4450" t="s">
        <v>6207</v>
      </c>
      <c r="K4450">
        <v>1</v>
      </c>
      <c r="L4450">
        <v>2</v>
      </c>
      <c r="M4450" t="s">
        <v>1</v>
      </c>
      <c r="N4450" s="2">
        <v>0.37</v>
      </c>
      <c r="O4450" s="2">
        <v>0.63</v>
      </c>
      <c r="P4450">
        <v>8</v>
      </c>
      <c r="Q4450">
        <v>19</v>
      </c>
      <c r="R4450">
        <v>6</v>
      </c>
      <c r="S4450">
        <v>6</v>
      </c>
      <c r="T4450">
        <v>14</v>
      </c>
      <c r="U4450">
        <v>8</v>
      </c>
      <c r="V4450">
        <v>0</v>
      </c>
      <c r="W4450">
        <v>1</v>
      </c>
      <c r="X4450">
        <v>0</v>
      </c>
      <c r="Y4450">
        <v>0</v>
      </c>
      <c r="Z4450">
        <v>0</v>
      </c>
    </row>
    <row r="4451" spans="1:26" x14ac:dyDescent="0.2">
      <c r="A4451" t="s">
        <v>4569</v>
      </c>
      <c r="B4451" t="s">
        <v>32</v>
      </c>
      <c r="C4451">
        <v>2020</v>
      </c>
      <c r="D4451" t="s">
        <v>63</v>
      </c>
      <c r="E4451" t="s">
        <v>64</v>
      </c>
      <c r="F4451" t="s">
        <v>65</v>
      </c>
      <c r="G4451">
        <v>26804</v>
      </c>
      <c r="H4451">
        <v>6701</v>
      </c>
      <c r="I4451" s="13">
        <v>0</v>
      </c>
      <c r="J4451" t="s">
        <v>6207</v>
      </c>
      <c r="K4451">
        <v>0</v>
      </c>
      <c r="L4451">
        <v>0</v>
      </c>
      <c r="M4451" t="s">
        <v>58</v>
      </c>
      <c r="N4451" s="2">
        <v>0.53</v>
      </c>
      <c r="O4451" s="2">
        <v>0.47</v>
      </c>
      <c r="P4451">
        <v>11</v>
      </c>
      <c r="Q4451">
        <v>12</v>
      </c>
      <c r="R4451">
        <v>9</v>
      </c>
      <c r="S4451">
        <v>7</v>
      </c>
      <c r="T4451">
        <v>11</v>
      </c>
      <c r="U4451">
        <v>10</v>
      </c>
      <c r="V4451">
        <v>0</v>
      </c>
      <c r="W4451">
        <v>0</v>
      </c>
      <c r="X4451">
        <v>0</v>
      </c>
      <c r="Y4451">
        <v>0</v>
      </c>
      <c r="Z4451">
        <v>0</v>
      </c>
    </row>
    <row r="4452" spans="1:26" x14ac:dyDescent="0.2">
      <c r="A4452" t="s">
        <v>4570</v>
      </c>
      <c r="B4452" t="s">
        <v>60</v>
      </c>
      <c r="C4452">
        <v>2020</v>
      </c>
      <c r="D4452" t="s">
        <v>26</v>
      </c>
      <c r="E4452" t="s">
        <v>31</v>
      </c>
      <c r="F4452" t="s">
        <v>26</v>
      </c>
      <c r="G4452">
        <v>61276</v>
      </c>
      <c r="H4452">
        <v>10000</v>
      </c>
      <c r="I4452" s="13">
        <v>1</v>
      </c>
      <c r="J4452" t="s">
        <v>6208</v>
      </c>
      <c r="K4452">
        <v>0</v>
      </c>
      <c r="L4452">
        <v>1</v>
      </c>
      <c r="M4452" t="s">
        <v>1</v>
      </c>
      <c r="N4452" s="2">
        <v>0.63</v>
      </c>
      <c r="O4452" s="2">
        <v>0.37</v>
      </c>
      <c r="P4452">
        <v>9</v>
      </c>
      <c r="Q4452">
        <v>13</v>
      </c>
      <c r="R4452">
        <v>9</v>
      </c>
      <c r="S4452">
        <v>4</v>
      </c>
      <c r="T4452">
        <v>10</v>
      </c>
      <c r="U4452">
        <v>8</v>
      </c>
      <c r="V4452">
        <v>2</v>
      </c>
      <c r="W4452">
        <v>3</v>
      </c>
      <c r="X4452">
        <v>0</v>
      </c>
      <c r="Y4452">
        <v>0</v>
      </c>
      <c r="Z4452">
        <v>0</v>
      </c>
    </row>
    <row r="4453" spans="1:26" x14ac:dyDescent="0.2">
      <c r="A4453" t="s">
        <v>4571</v>
      </c>
      <c r="B4453" t="s">
        <v>61</v>
      </c>
      <c r="C4453">
        <v>2020</v>
      </c>
      <c r="D4453" t="s">
        <v>40</v>
      </c>
      <c r="E4453" t="s">
        <v>48</v>
      </c>
      <c r="F4453" t="s">
        <v>49</v>
      </c>
      <c r="G4453">
        <v>53400</v>
      </c>
      <c r="H4453">
        <v>10000</v>
      </c>
      <c r="I4453" s="13">
        <v>0</v>
      </c>
      <c r="J4453" t="s">
        <v>6207</v>
      </c>
      <c r="K4453">
        <v>0</v>
      </c>
      <c r="L4453">
        <v>2</v>
      </c>
      <c r="M4453" t="s">
        <v>1</v>
      </c>
      <c r="N4453" s="2">
        <v>0.66</v>
      </c>
      <c r="O4453" s="2">
        <v>0.34</v>
      </c>
      <c r="P4453">
        <v>14</v>
      </c>
      <c r="Q4453">
        <v>8</v>
      </c>
      <c r="R4453">
        <v>6</v>
      </c>
      <c r="S4453">
        <v>2</v>
      </c>
      <c r="T4453">
        <v>9</v>
      </c>
      <c r="U4453">
        <v>12</v>
      </c>
      <c r="V4453">
        <v>0</v>
      </c>
      <c r="W4453">
        <v>3</v>
      </c>
      <c r="X4453">
        <v>0</v>
      </c>
      <c r="Y4453">
        <v>0</v>
      </c>
      <c r="Z4453">
        <v>1</v>
      </c>
    </row>
    <row r="4454" spans="1:26" x14ac:dyDescent="0.2">
      <c r="A4454" t="s">
        <v>4572</v>
      </c>
      <c r="B4454" t="s">
        <v>59</v>
      </c>
      <c r="C4454">
        <v>2020</v>
      </c>
      <c r="D4454" t="s">
        <v>51</v>
      </c>
      <c r="E4454" t="s">
        <v>79</v>
      </c>
      <c r="F4454" t="s">
        <v>20</v>
      </c>
      <c r="G4454">
        <v>36284</v>
      </c>
      <c r="H4454">
        <v>9071</v>
      </c>
      <c r="I4454" s="13">
        <v>0.8</v>
      </c>
      <c r="J4454" t="s">
        <v>6206</v>
      </c>
      <c r="K4454">
        <v>4</v>
      </c>
      <c r="L4454">
        <v>1</v>
      </c>
      <c r="M4454" t="s">
        <v>0</v>
      </c>
      <c r="N4454" s="2">
        <v>0.64</v>
      </c>
      <c r="O4454" s="2">
        <v>0.36</v>
      </c>
      <c r="P4454">
        <v>21</v>
      </c>
      <c r="Q4454">
        <v>9</v>
      </c>
      <c r="R4454">
        <v>1</v>
      </c>
      <c r="S4454">
        <v>5</v>
      </c>
      <c r="T4454">
        <v>8</v>
      </c>
      <c r="U4454">
        <v>17</v>
      </c>
      <c r="V4454">
        <v>2</v>
      </c>
      <c r="W4454">
        <v>3</v>
      </c>
      <c r="X4454">
        <v>0</v>
      </c>
      <c r="Y4454">
        <v>0</v>
      </c>
      <c r="Z4454">
        <v>0</v>
      </c>
    </row>
    <row r="4455" spans="1:26" x14ac:dyDescent="0.2">
      <c r="A4455" t="s">
        <v>4573</v>
      </c>
      <c r="B4455" t="s">
        <v>93</v>
      </c>
      <c r="C4455">
        <v>2020</v>
      </c>
      <c r="D4455" t="s">
        <v>18</v>
      </c>
      <c r="E4455" t="s">
        <v>45</v>
      </c>
      <c r="F4455" t="s">
        <v>20</v>
      </c>
      <c r="G4455">
        <v>40341</v>
      </c>
      <c r="H4455">
        <v>10000</v>
      </c>
      <c r="I4455" s="13">
        <v>0.66666666666666663</v>
      </c>
      <c r="J4455" t="s">
        <v>6206</v>
      </c>
      <c r="K4455">
        <v>2</v>
      </c>
      <c r="L4455">
        <v>0</v>
      </c>
      <c r="M4455" t="s">
        <v>0</v>
      </c>
      <c r="N4455" s="2">
        <v>0.65</v>
      </c>
      <c r="O4455" s="2">
        <v>0.35</v>
      </c>
      <c r="P4455">
        <v>11</v>
      </c>
      <c r="Q4455">
        <v>12</v>
      </c>
      <c r="R4455">
        <v>7</v>
      </c>
      <c r="S4455">
        <v>3</v>
      </c>
      <c r="T4455">
        <v>11</v>
      </c>
      <c r="U4455">
        <v>12</v>
      </c>
      <c r="V4455">
        <v>0</v>
      </c>
      <c r="W4455">
        <v>3</v>
      </c>
      <c r="X4455">
        <v>0</v>
      </c>
      <c r="Y4455">
        <v>0</v>
      </c>
      <c r="Z4455">
        <v>1</v>
      </c>
    </row>
    <row r="4456" spans="1:26" x14ac:dyDescent="0.2">
      <c r="A4456" t="s">
        <v>4574</v>
      </c>
      <c r="B4456" t="s">
        <v>41</v>
      </c>
      <c r="C4456">
        <v>2020</v>
      </c>
      <c r="D4456" t="s">
        <v>23</v>
      </c>
      <c r="E4456" t="s">
        <v>33</v>
      </c>
      <c r="F4456" t="s">
        <v>20</v>
      </c>
      <c r="G4456">
        <v>62500</v>
      </c>
      <c r="H4456">
        <v>10000</v>
      </c>
      <c r="I4456" s="13">
        <v>0</v>
      </c>
      <c r="J4456" t="s">
        <v>6207</v>
      </c>
      <c r="K4456">
        <v>2</v>
      </c>
      <c r="L4456">
        <v>0</v>
      </c>
      <c r="M4456" t="s">
        <v>0</v>
      </c>
      <c r="N4456" s="2">
        <v>0.35</v>
      </c>
      <c r="O4456" s="2">
        <v>0.65</v>
      </c>
      <c r="P4456">
        <v>7</v>
      </c>
      <c r="Q4456">
        <v>11</v>
      </c>
      <c r="R4456">
        <v>6</v>
      </c>
      <c r="S4456">
        <v>6</v>
      </c>
      <c r="T4456">
        <v>9</v>
      </c>
      <c r="U4456">
        <v>9</v>
      </c>
      <c r="V4456">
        <v>1</v>
      </c>
      <c r="W4456">
        <v>1</v>
      </c>
      <c r="X4456">
        <v>0</v>
      </c>
      <c r="Y4456">
        <v>0</v>
      </c>
      <c r="Z4456">
        <v>1</v>
      </c>
    </row>
    <row r="4457" spans="1:26" x14ac:dyDescent="0.2">
      <c r="A4457" t="s">
        <v>4575</v>
      </c>
      <c r="B4457" t="s">
        <v>68</v>
      </c>
      <c r="C4457">
        <v>2020</v>
      </c>
      <c r="D4457" t="s">
        <v>40</v>
      </c>
      <c r="E4457" t="s">
        <v>73</v>
      </c>
      <c r="F4457" t="s">
        <v>49</v>
      </c>
      <c r="G4457">
        <v>53400</v>
      </c>
      <c r="H4457">
        <v>10000</v>
      </c>
      <c r="I4457" s="13">
        <v>1</v>
      </c>
      <c r="J4457" t="s">
        <v>6207</v>
      </c>
      <c r="K4457">
        <v>5</v>
      </c>
      <c r="L4457">
        <v>2</v>
      </c>
      <c r="M4457" t="s">
        <v>0</v>
      </c>
      <c r="N4457" s="2">
        <v>0.57999999999999996</v>
      </c>
      <c r="O4457" s="2">
        <v>0.42</v>
      </c>
      <c r="P4457">
        <v>8</v>
      </c>
      <c r="Q4457">
        <v>6</v>
      </c>
      <c r="R4457">
        <v>5</v>
      </c>
      <c r="S4457">
        <v>5</v>
      </c>
      <c r="T4457">
        <v>6</v>
      </c>
      <c r="U4457">
        <v>4</v>
      </c>
      <c r="V4457">
        <v>1</v>
      </c>
      <c r="W4457">
        <v>0</v>
      </c>
      <c r="X4457">
        <v>0</v>
      </c>
      <c r="Y4457">
        <v>0</v>
      </c>
      <c r="Z4457">
        <v>1</v>
      </c>
    </row>
    <row r="4458" spans="1:26" x14ac:dyDescent="0.2">
      <c r="A4458" t="s">
        <v>4576</v>
      </c>
      <c r="B4458" t="s">
        <v>81</v>
      </c>
      <c r="C4458">
        <v>2020</v>
      </c>
      <c r="D4458" t="s">
        <v>64</v>
      </c>
      <c r="E4458" t="s">
        <v>42</v>
      </c>
      <c r="F4458" t="s">
        <v>64</v>
      </c>
      <c r="G4458">
        <v>52264</v>
      </c>
      <c r="H4458">
        <v>10000</v>
      </c>
      <c r="I4458" s="13">
        <v>0.4</v>
      </c>
      <c r="J4458" t="s">
        <v>6207</v>
      </c>
      <c r="K4458">
        <v>1</v>
      </c>
      <c r="L4458">
        <v>1</v>
      </c>
      <c r="M4458" t="s">
        <v>58</v>
      </c>
      <c r="N4458" s="2">
        <v>0.49</v>
      </c>
      <c r="O4458" s="2">
        <v>0.51</v>
      </c>
      <c r="P4458">
        <v>15</v>
      </c>
      <c r="Q4458">
        <v>10</v>
      </c>
      <c r="R4458">
        <v>2</v>
      </c>
      <c r="S4458">
        <v>2</v>
      </c>
      <c r="T4458">
        <v>10</v>
      </c>
      <c r="U4458">
        <v>10</v>
      </c>
      <c r="V4458">
        <v>2</v>
      </c>
      <c r="W4458">
        <v>3</v>
      </c>
      <c r="X4458">
        <v>0</v>
      </c>
      <c r="Y4458">
        <v>0</v>
      </c>
      <c r="Z4458">
        <v>0</v>
      </c>
    </row>
    <row r="4459" spans="1:26" x14ac:dyDescent="0.2">
      <c r="A4459" t="s">
        <v>4577</v>
      </c>
      <c r="B4459" t="s">
        <v>60</v>
      </c>
      <c r="C4459">
        <v>2020</v>
      </c>
      <c r="D4459" t="s">
        <v>33</v>
      </c>
      <c r="E4459" t="s">
        <v>18</v>
      </c>
      <c r="F4459" t="s">
        <v>33</v>
      </c>
      <c r="G4459">
        <v>37645</v>
      </c>
      <c r="H4459">
        <v>9411.25</v>
      </c>
      <c r="I4459" s="13">
        <v>0.66666666666666663</v>
      </c>
      <c r="J4459" t="s">
        <v>6208</v>
      </c>
      <c r="K4459">
        <v>0</v>
      </c>
      <c r="L4459">
        <v>0</v>
      </c>
      <c r="M4459" t="s">
        <v>58</v>
      </c>
      <c r="N4459" s="2">
        <v>0.38</v>
      </c>
      <c r="O4459" s="2">
        <v>0.62</v>
      </c>
      <c r="P4459">
        <v>9</v>
      </c>
      <c r="Q4459">
        <v>21</v>
      </c>
      <c r="R4459">
        <v>8</v>
      </c>
      <c r="S4459">
        <v>5</v>
      </c>
      <c r="T4459">
        <v>16</v>
      </c>
      <c r="U4459">
        <v>6</v>
      </c>
      <c r="V4459">
        <v>3</v>
      </c>
      <c r="W4459">
        <v>0</v>
      </c>
      <c r="X4459">
        <v>0</v>
      </c>
      <c r="Y4459">
        <v>0</v>
      </c>
      <c r="Z4459">
        <v>0</v>
      </c>
    </row>
    <row r="4460" spans="1:26" x14ac:dyDescent="0.2">
      <c r="A4460" t="s">
        <v>4578</v>
      </c>
      <c r="B4460" t="s">
        <v>84</v>
      </c>
      <c r="C4460">
        <v>2020</v>
      </c>
      <c r="D4460" t="s">
        <v>79</v>
      </c>
      <c r="E4460" t="s">
        <v>63</v>
      </c>
      <c r="F4460" t="s">
        <v>20</v>
      </c>
      <c r="G4460">
        <v>25486</v>
      </c>
      <c r="H4460">
        <v>6371.5</v>
      </c>
      <c r="I4460" s="13">
        <v>0</v>
      </c>
      <c r="J4460" t="s">
        <v>6208</v>
      </c>
      <c r="K4460">
        <v>1</v>
      </c>
      <c r="L4460">
        <v>0</v>
      </c>
      <c r="M4460" t="s">
        <v>0</v>
      </c>
      <c r="N4460" s="2">
        <v>0.44</v>
      </c>
      <c r="O4460" s="2">
        <v>0.56000000000000005</v>
      </c>
      <c r="P4460">
        <v>15</v>
      </c>
      <c r="Q4460">
        <v>18</v>
      </c>
      <c r="R4460">
        <v>3</v>
      </c>
      <c r="S4460">
        <v>2</v>
      </c>
      <c r="T4460">
        <v>16</v>
      </c>
      <c r="U4460">
        <v>15</v>
      </c>
      <c r="V4460">
        <v>3</v>
      </c>
      <c r="W4460">
        <v>1</v>
      </c>
      <c r="X4460">
        <v>0</v>
      </c>
      <c r="Y4460">
        <v>0</v>
      </c>
      <c r="Z4460">
        <v>1</v>
      </c>
    </row>
    <row r="4461" spans="1:26" x14ac:dyDescent="0.2">
      <c r="A4461" t="s">
        <v>4579</v>
      </c>
      <c r="B4461" t="s">
        <v>68</v>
      </c>
      <c r="C4461">
        <v>2020</v>
      </c>
      <c r="D4461" t="s">
        <v>45</v>
      </c>
      <c r="E4461" t="s">
        <v>28</v>
      </c>
      <c r="F4461" t="s">
        <v>26</v>
      </c>
      <c r="G4461">
        <v>39572</v>
      </c>
      <c r="H4461">
        <v>9893</v>
      </c>
      <c r="I4461" s="13">
        <v>0</v>
      </c>
      <c r="J4461" t="s">
        <v>6207</v>
      </c>
      <c r="K4461">
        <v>1</v>
      </c>
      <c r="L4461">
        <v>2</v>
      </c>
      <c r="M4461" t="s">
        <v>1</v>
      </c>
      <c r="N4461" s="2">
        <v>0.66</v>
      </c>
      <c r="O4461" s="2">
        <v>0.34</v>
      </c>
      <c r="P4461">
        <v>8</v>
      </c>
      <c r="Q4461">
        <v>10</v>
      </c>
      <c r="R4461">
        <v>7</v>
      </c>
      <c r="S4461">
        <v>4</v>
      </c>
      <c r="T4461">
        <v>9</v>
      </c>
      <c r="U4461">
        <v>6</v>
      </c>
      <c r="V4461">
        <v>0</v>
      </c>
      <c r="W4461">
        <v>4</v>
      </c>
      <c r="X4461">
        <v>0</v>
      </c>
      <c r="Y4461">
        <v>0</v>
      </c>
      <c r="Z4461">
        <v>0</v>
      </c>
    </row>
    <row r="4462" spans="1:26" x14ac:dyDescent="0.2">
      <c r="A4462" t="s">
        <v>4580</v>
      </c>
      <c r="B4462" t="s">
        <v>37</v>
      </c>
      <c r="C4462">
        <v>2020</v>
      </c>
      <c r="D4462" t="s">
        <v>31</v>
      </c>
      <c r="E4462" t="s">
        <v>40</v>
      </c>
      <c r="F4462" t="s">
        <v>20</v>
      </c>
      <c r="G4462">
        <v>28500</v>
      </c>
      <c r="H4462">
        <v>7125</v>
      </c>
      <c r="I4462" s="13">
        <v>0</v>
      </c>
      <c r="J4462" t="s">
        <v>6206</v>
      </c>
      <c r="K4462">
        <v>0</v>
      </c>
      <c r="L4462">
        <v>3</v>
      </c>
      <c r="M4462" t="s">
        <v>1</v>
      </c>
      <c r="N4462" s="2">
        <v>0.46</v>
      </c>
      <c r="O4462" s="2">
        <v>0.54</v>
      </c>
      <c r="P4462">
        <v>16</v>
      </c>
      <c r="Q4462">
        <v>14</v>
      </c>
      <c r="R4462">
        <v>4</v>
      </c>
      <c r="S4462">
        <v>2</v>
      </c>
      <c r="T4462">
        <v>14</v>
      </c>
      <c r="U4462">
        <v>13</v>
      </c>
      <c r="V4462">
        <v>0</v>
      </c>
      <c r="W4462">
        <v>0</v>
      </c>
      <c r="X4462">
        <v>0</v>
      </c>
      <c r="Y4462">
        <v>0</v>
      </c>
      <c r="Z4462">
        <v>1</v>
      </c>
    </row>
    <row r="4463" spans="1:26" x14ac:dyDescent="0.2">
      <c r="A4463" t="s">
        <v>4581</v>
      </c>
      <c r="B4463" t="s">
        <v>59</v>
      </c>
      <c r="C4463">
        <v>2020</v>
      </c>
      <c r="D4463" t="s">
        <v>73</v>
      </c>
      <c r="E4463" t="s">
        <v>90</v>
      </c>
      <c r="F4463" t="s">
        <v>73</v>
      </c>
      <c r="G4463">
        <v>32384</v>
      </c>
      <c r="H4463">
        <v>8096</v>
      </c>
      <c r="I4463" s="13">
        <v>0</v>
      </c>
      <c r="J4463" t="s">
        <v>6206</v>
      </c>
      <c r="K4463">
        <v>1</v>
      </c>
      <c r="L4463">
        <v>2</v>
      </c>
      <c r="M4463" t="s">
        <v>1</v>
      </c>
      <c r="N4463" s="2">
        <v>0.59</v>
      </c>
      <c r="O4463" s="2">
        <v>0.41</v>
      </c>
      <c r="P4463">
        <v>11</v>
      </c>
      <c r="Q4463">
        <v>12</v>
      </c>
      <c r="R4463">
        <v>4</v>
      </c>
      <c r="S4463">
        <v>5</v>
      </c>
      <c r="T4463">
        <v>11</v>
      </c>
      <c r="U4463">
        <v>10</v>
      </c>
      <c r="V4463">
        <v>0</v>
      </c>
      <c r="W4463">
        <v>0</v>
      </c>
      <c r="X4463">
        <v>0</v>
      </c>
      <c r="Y4463">
        <v>0</v>
      </c>
      <c r="Z4463">
        <v>0</v>
      </c>
    </row>
    <row r="4464" spans="1:26" x14ac:dyDescent="0.2">
      <c r="A4464" t="s">
        <v>4582</v>
      </c>
      <c r="B4464" t="s">
        <v>97</v>
      </c>
      <c r="C4464">
        <v>2020</v>
      </c>
      <c r="D4464" t="s">
        <v>80</v>
      </c>
      <c r="E4464" t="s">
        <v>95</v>
      </c>
      <c r="F4464" t="s">
        <v>80</v>
      </c>
      <c r="G4464">
        <v>32261</v>
      </c>
      <c r="H4464">
        <v>8065.25</v>
      </c>
      <c r="I4464" s="13">
        <v>0</v>
      </c>
      <c r="J4464" t="s">
        <v>6207</v>
      </c>
      <c r="K4464">
        <v>5</v>
      </c>
      <c r="L4464">
        <v>0</v>
      </c>
      <c r="M4464" t="s">
        <v>0</v>
      </c>
      <c r="N4464" s="2">
        <v>0.72</v>
      </c>
      <c r="O4464" s="2">
        <v>0.28000000000000003</v>
      </c>
      <c r="P4464">
        <v>9</v>
      </c>
      <c r="Q4464">
        <v>12</v>
      </c>
      <c r="R4464">
        <v>9</v>
      </c>
      <c r="S4464">
        <v>1</v>
      </c>
      <c r="T4464">
        <v>10</v>
      </c>
      <c r="U4464">
        <v>9</v>
      </c>
      <c r="V4464">
        <v>0</v>
      </c>
      <c r="W4464">
        <v>2</v>
      </c>
      <c r="X4464">
        <v>0</v>
      </c>
      <c r="Y4464">
        <v>0</v>
      </c>
      <c r="Z4464">
        <v>0</v>
      </c>
    </row>
    <row r="4465" spans="1:26" x14ac:dyDescent="0.2">
      <c r="A4465" t="s">
        <v>4583</v>
      </c>
      <c r="B4465" t="s">
        <v>66</v>
      </c>
      <c r="C4465">
        <v>2020</v>
      </c>
      <c r="D4465" t="s">
        <v>46</v>
      </c>
      <c r="E4465" t="s">
        <v>51</v>
      </c>
      <c r="F4465" t="s">
        <v>20</v>
      </c>
      <c r="G4465">
        <v>60704</v>
      </c>
      <c r="H4465">
        <v>10000</v>
      </c>
      <c r="I4465" s="13">
        <v>0.8</v>
      </c>
      <c r="J4465" t="s">
        <v>6207</v>
      </c>
      <c r="K4465">
        <v>2</v>
      </c>
      <c r="L4465">
        <v>1</v>
      </c>
      <c r="M4465" t="s">
        <v>0</v>
      </c>
      <c r="N4465" s="2">
        <v>0.53</v>
      </c>
      <c r="O4465" s="2">
        <v>0.47</v>
      </c>
      <c r="P4465">
        <v>14</v>
      </c>
      <c r="Q4465">
        <v>11</v>
      </c>
      <c r="R4465">
        <v>6</v>
      </c>
      <c r="S4465">
        <v>3</v>
      </c>
      <c r="T4465">
        <v>12</v>
      </c>
      <c r="U4465">
        <v>14</v>
      </c>
      <c r="V4465">
        <v>1</v>
      </c>
      <c r="W4465">
        <v>3</v>
      </c>
      <c r="X4465">
        <v>0</v>
      </c>
      <c r="Y4465">
        <v>1</v>
      </c>
      <c r="Z4465">
        <v>1</v>
      </c>
    </row>
    <row r="4466" spans="1:26" x14ac:dyDescent="0.2">
      <c r="A4466" t="s">
        <v>4584</v>
      </c>
      <c r="B4466" t="s">
        <v>32</v>
      </c>
      <c r="C4466">
        <v>2020</v>
      </c>
      <c r="D4466" t="s">
        <v>48</v>
      </c>
      <c r="E4466" t="s">
        <v>23</v>
      </c>
      <c r="F4466" t="s">
        <v>49</v>
      </c>
      <c r="G4466">
        <v>74197</v>
      </c>
      <c r="H4466">
        <v>10000</v>
      </c>
      <c r="I4466" s="13">
        <v>0.25</v>
      </c>
      <c r="J4466" t="s">
        <v>6207</v>
      </c>
      <c r="K4466">
        <v>1</v>
      </c>
      <c r="L4466">
        <v>0</v>
      </c>
      <c r="M4466" t="s">
        <v>0</v>
      </c>
      <c r="N4466" s="2">
        <v>0.62</v>
      </c>
      <c r="O4466" s="2">
        <v>0.38</v>
      </c>
      <c r="P4466">
        <v>4</v>
      </c>
      <c r="Q4466">
        <v>12</v>
      </c>
      <c r="R4466">
        <v>6</v>
      </c>
      <c r="S4466">
        <v>2</v>
      </c>
      <c r="T4466">
        <v>12</v>
      </c>
      <c r="U4466">
        <v>2</v>
      </c>
      <c r="V4466">
        <v>4</v>
      </c>
      <c r="W4466">
        <v>0</v>
      </c>
      <c r="X4466">
        <v>0</v>
      </c>
      <c r="Y4466">
        <v>0</v>
      </c>
      <c r="Z4466">
        <v>0</v>
      </c>
    </row>
    <row r="4467" spans="1:26" x14ac:dyDescent="0.2">
      <c r="A4467" t="s">
        <v>4585</v>
      </c>
      <c r="B4467" t="s">
        <v>76</v>
      </c>
      <c r="C4467">
        <v>2020</v>
      </c>
      <c r="D4467" t="s">
        <v>22</v>
      </c>
      <c r="E4467" t="s">
        <v>26</v>
      </c>
      <c r="F4467" t="s">
        <v>24</v>
      </c>
      <c r="G4467">
        <v>31750</v>
      </c>
      <c r="H4467">
        <v>7937.5</v>
      </c>
      <c r="I4467" s="13">
        <v>1</v>
      </c>
      <c r="J4467" t="s">
        <v>6207</v>
      </c>
      <c r="K4467">
        <v>0</v>
      </c>
      <c r="L4467">
        <v>1</v>
      </c>
      <c r="M4467" t="s">
        <v>1</v>
      </c>
      <c r="N4467" s="2">
        <v>0.53</v>
      </c>
      <c r="O4467" s="2">
        <v>0.47</v>
      </c>
      <c r="P4467">
        <v>11</v>
      </c>
      <c r="Q4467">
        <v>20</v>
      </c>
      <c r="R4467">
        <v>3</v>
      </c>
      <c r="S4467">
        <v>2</v>
      </c>
      <c r="T4467">
        <v>17</v>
      </c>
      <c r="U4467">
        <v>10</v>
      </c>
      <c r="V4467">
        <v>2</v>
      </c>
      <c r="W4467">
        <v>1</v>
      </c>
      <c r="X4467">
        <v>0</v>
      </c>
      <c r="Y4467">
        <v>0</v>
      </c>
      <c r="Z4467">
        <v>0</v>
      </c>
    </row>
    <row r="4468" spans="1:26" x14ac:dyDescent="0.2">
      <c r="A4468" t="s">
        <v>4586</v>
      </c>
      <c r="B4468" t="s">
        <v>93</v>
      </c>
      <c r="C4468">
        <v>2020</v>
      </c>
      <c r="D4468" t="s">
        <v>31</v>
      </c>
      <c r="E4468" t="s">
        <v>33</v>
      </c>
      <c r="F4468" t="s">
        <v>20</v>
      </c>
      <c r="G4468">
        <v>28500</v>
      </c>
      <c r="H4468">
        <v>7125</v>
      </c>
      <c r="I4468" s="13">
        <v>0.25</v>
      </c>
      <c r="J4468" t="s">
        <v>6206</v>
      </c>
      <c r="K4468">
        <v>1</v>
      </c>
      <c r="L4468">
        <v>2</v>
      </c>
      <c r="M4468" t="s">
        <v>1</v>
      </c>
      <c r="N4468" s="2">
        <v>0.52</v>
      </c>
      <c r="O4468" s="2">
        <v>0.48</v>
      </c>
      <c r="P4468">
        <v>16</v>
      </c>
      <c r="Q4468">
        <v>14</v>
      </c>
      <c r="R4468">
        <v>13</v>
      </c>
      <c r="S4468">
        <v>7</v>
      </c>
      <c r="T4468">
        <v>13</v>
      </c>
      <c r="U4468">
        <v>12</v>
      </c>
      <c r="V4468">
        <v>2</v>
      </c>
      <c r="W4468">
        <v>2</v>
      </c>
      <c r="X4468">
        <v>0</v>
      </c>
      <c r="Y4468">
        <v>0</v>
      </c>
      <c r="Z4468">
        <v>0</v>
      </c>
    </row>
    <row r="4469" spans="1:26" x14ac:dyDescent="0.2">
      <c r="A4469" t="s">
        <v>4587</v>
      </c>
      <c r="B4469" t="s">
        <v>61</v>
      </c>
      <c r="C4469">
        <v>2020</v>
      </c>
      <c r="D4469" t="s">
        <v>90</v>
      </c>
      <c r="E4469" t="s">
        <v>64</v>
      </c>
      <c r="F4469" t="s">
        <v>91</v>
      </c>
      <c r="G4469">
        <v>31876</v>
      </c>
      <c r="H4469">
        <v>7969</v>
      </c>
      <c r="I4469" s="13">
        <v>0</v>
      </c>
      <c r="J4469" t="s">
        <v>6207</v>
      </c>
      <c r="K4469">
        <v>3</v>
      </c>
      <c r="L4469">
        <v>0</v>
      </c>
      <c r="M4469" t="s">
        <v>0</v>
      </c>
      <c r="N4469" s="2">
        <v>0.65</v>
      </c>
      <c r="O4469" s="2">
        <v>0.35</v>
      </c>
      <c r="P4469">
        <v>6</v>
      </c>
      <c r="Q4469">
        <v>14</v>
      </c>
      <c r="R4469">
        <v>3</v>
      </c>
      <c r="S4469">
        <v>1</v>
      </c>
      <c r="T4469">
        <v>12</v>
      </c>
      <c r="U4469">
        <v>5</v>
      </c>
      <c r="V4469">
        <v>0</v>
      </c>
      <c r="W4469">
        <v>1</v>
      </c>
      <c r="X4469">
        <v>0</v>
      </c>
      <c r="Y4469">
        <v>0</v>
      </c>
      <c r="Z4469">
        <v>0</v>
      </c>
    </row>
    <row r="4470" spans="1:26" x14ac:dyDescent="0.2">
      <c r="A4470" t="s">
        <v>4588</v>
      </c>
      <c r="B4470" t="s">
        <v>68</v>
      </c>
      <c r="C4470">
        <v>2020</v>
      </c>
      <c r="D4470" t="s">
        <v>23</v>
      </c>
      <c r="E4470" t="s">
        <v>46</v>
      </c>
      <c r="F4470" t="s">
        <v>20</v>
      </c>
      <c r="G4470">
        <v>62500</v>
      </c>
      <c r="H4470">
        <v>10000</v>
      </c>
      <c r="I4470" s="13">
        <v>0.75</v>
      </c>
      <c r="J4470" t="s">
        <v>6207</v>
      </c>
      <c r="K4470">
        <v>3</v>
      </c>
      <c r="L4470">
        <v>3</v>
      </c>
      <c r="M4470" t="s">
        <v>58</v>
      </c>
      <c r="N4470" s="2">
        <v>0.37</v>
      </c>
      <c r="O4470" s="2">
        <v>0.63</v>
      </c>
      <c r="P4470">
        <v>7</v>
      </c>
      <c r="Q4470">
        <v>19</v>
      </c>
      <c r="R4470">
        <v>3</v>
      </c>
      <c r="S4470">
        <v>5</v>
      </c>
      <c r="T4470">
        <v>18</v>
      </c>
      <c r="U4470">
        <v>8</v>
      </c>
      <c r="V4470">
        <v>3</v>
      </c>
      <c r="W4470">
        <v>1</v>
      </c>
      <c r="X4470">
        <v>0</v>
      </c>
      <c r="Y4470">
        <v>0</v>
      </c>
      <c r="Z4470">
        <v>0</v>
      </c>
    </row>
    <row r="4471" spans="1:26" x14ac:dyDescent="0.2">
      <c r="A4471" t="s">
        <v>4589</v>
      </c>
      <c r="B4471" t="s">
        <v>41</v>
      </c>
      <c r="C4471">
        <v>2020</v>
      </c>
      <c r="D4471" t="s">
        <v>42</v>
      </c>
      <c r="E4471" t="s">
        <v>51</v>
      </c>
      <c r="F4471" t="s">
        <v>38</v>
      </c>
      <c r="G4471">
        <v>42918</v>
      </c>
      <c r="H4471">
        <v>10000</v>
      </c>
      <c r="I4471" s="13">
        <v>0.6</v>
      </c>
      <c r="J4471" t="s">
        <v>6207</v>
      </c>
      <c r="K4471">
        <v>0</v>
      </c>
      <c r="L4471">
        <v>2</v>
      </c>
      <c r="M4471" t="s">
        <v>1</v>
      </c>
      <c r="N4471" s="2">
        <v>0.5</v>
      </c>
      <c r="O4471" s="2">
        <v>0.5</v>
      </c>
      <c r="P4471">
        <v>14</v>
      </c>
      <c r="Q4471">
        <v>18</v>
      </c>
      <c r="R4471">
        <v>5</v>
      </c>
      <c r="S4471">
        <v>8</v>
      </c>
      <c r="T4471">
        <v>18</v>
      </c>
      <c r="U4471">
        <v>13</v>
      </c>
      <c r="V4471">
        <v>3</v>
      </c>
      <c r="W4471">
        <v>2</v>
      </c>
      <c r="X4471">
        <v>0</v>
      </c>
      <c r="Y4471">
        <v>0</v>
      </c>
      <c r="Z4471">
        <v>1</v>
      </c>
    </row>
    <row r="4472" spans="1:26" x14ac:dyDescent="0.2">
      <c r="A4472" t="s">
        <v>4590</v>
      </c>
      <c r="B4472" t="s">
        <v>93</v>
      </c>
      <c r="C4472">
        <v>2020</v>
      </c>
      <c r="D4472" t="s">
        <v>18</v>
      </c>
      <c r="E4472" t="s">
        <v>63</v>
      </c>
      <c r="F4472" t="s">
        <v>20</v>
      </c>
      <c r="G4472">
        <v>40341</v>
      </c>
      <c r="H4472">
        <v>10000</v>
      </c>
      <c r="I4472" s="13">
        <v>0.75</v>
      </c>
      <c r="J4472" t="s">
        <v>6206</v>
      </c>
      <c r="K4472">
        <v>2</v>
      </c>
      <c r="L4472">
        <v>5</v>
      </c>
      <c r="M4472" t="s">
        <v>1</v>
      </c>
      <c r="N4472" s="2">
        <v>0.66</v>
      </c>
      <c r="O4472" s="2">
        <v>0.34</v>
      </c>
      <c r="P4472">
        <v>10</v>
      </c>
      <c r="Q4472">
        <v>12</v>
      </c>
      <c r="R4472">
        <v>10</v>
      </c>
      <c r="S4472">
        <v>3</v>
      </c>
      <c r="T4472">
        <v>11</v>
      </c>
      <c r="U4472">
        <v>6</v>
      </c>
      <c r="V4472">
        <v>2</v>
      </c>
      <c r="W4472">
        <v>1</v>
      </c>
      <c r="X4472">
        <v>1</v>
      </c>
      <c r="Y4472">
        <v>0</v>
      </c>
      <c r="Z4472">
        <v>0</v>
      </c>
    </row>
    <row r="4473" spans="1:26" x14ac:dyDescent="0.2">
      <c r="A4473" t="s">
        <v>4591</v>
      </c>
      <c r="B4473" t="s">
        <v>83</v>
      </c>
      <c r="C4473">
        <v>2020</v>
      </c>
      <c r="D4473" t="s">
        <v>33</v>
      </c>
      <c r="E4473" t="s">
        <v>95</v>
      </c>
      <c r="F4473" t="s">
        <v>33</v>
      </c>
      <c r="G4473">
        <v>37645</v>
      </c>
      <c r="H4473">
        <v>9411.25</v>
      </c>
      <c r="I4473" s="13">
        <v>0.66666666666666663</v>
      </c>
      <c r="J4473" t="s">
        <v>6208</v>
      </c>
      <c r="K4473">
        <v>2</v>
      </c>
      <c r="L4473">
        <v>1</v>
      </c>
      <c r="M4473" t="s">
        <v>0</v>
      </c>
      <c r="N4473" s="2">
        <v>0.54</v>
      </c>
      <c r="O4473" s="2">
        <v>0.46</v>
      </c>
      <c r="P4473">
        <v>14</v>
      </c>
      <c r="Q4473">
        <v>13</v>
      </c>
      <c r="R4473">
        <v>5</v>
      </c>
      <c r="S4473">
        <v>7</v>
      </c>
      <c r="T4473">
        <v>12</v>
      </c>
      <c r="U4473">
        <v>13</v>
      </c>
      <c r="V4473">
        <v>1</v>
      </c>
      <c r="W4473">
        <v>2</v>
      </c>
      <c r="X4473">
        <v>0</v>
      </c>
      <c r="Y4473">
        <v>0</v>
      </c>
      <c r="Z4473">
        <v>0</v>
      </c>
    </row>
    <row r="4474" spans="1:26" x14ac:dyDescent="0.2">
      <c r="A4474" t="s">
        <v>4592</v>
      </c>
      <c r="B4474" t="s">
        <v>61</v>
      </c>
      <c r="C4474">
        <v>2020</v>
      </c>
      <c r="D4474" t="s">
        <v>80</v>
      </c>
      <c r="E4474" t="s">
        <v>40</v>
      </c>
      <c r="F4474" t="s">
        <v>80</v>
      </c>
      <c r="G4474">
        <v>32261</v>
      </c>
      <c r="H4474">
        <v>8065.25</v>
      </c>
      <c r="I4474" s="13">
        <v>1</v>
      </c>
      <c r="J4474" t="s">
        <v>6207</v>
      </c>
      <c r="K4474">
        <v>0</v>
      </c>
      <c r="L4474">
        <v>2</v>
      </c>
      <c r="M4474" t="s">
        <v>1</v>
      </c>
      <c r="N4474" s="2">
        <v>0.43</v>
      </c>
      <c r="O4474" s="2">
        <v>0.56999999999999995</v>
      </c>
      <c r="P4474">
        <v>13</v>
      </c>
      <c r="Q4474">
        <v>16</v>
      </c>
      <c r="R4474">
        <v>1</v>
      </c>
      <c r="S4474">
        <v>1</v>
      </c>
      <c r="T4474">
        <v>13</v>
      </c>
      <c r="U4474">
        <v>12</v>
      </c>
      <c r="V4474">
        <v>2</v>
      </c>
      <c r="W4474">
        <v>3</v>
      </c>
      <c r="X4474">
        <v>0</v>
      </c>
      <c r="Y4474">
        <v>0</v>
      </c>
      <c r="Z4474">
        <v>0</v>
      </c>
    </row>
    <row r="4475" spans="1:26" x14ac:dyDescent="0.2">
      <c r="A4475" t="s">
        <v>4593</v>
      </c>
      <c r="B4475" t="s">
        <v>59</v>
      </c>
      <c r="C4475">
        <v>2020</v>
      </c>
      <c r="D4475" t="s">
        <v>46</v>
      </c>
      <c r="E4475" t="s">
        <v>26</v>
      </c>
      <c r="F4475" t="s">
        <v>20</v>
      </c>
      <c r="G4475">
        <v>60704</v>
      </c>
      <c r="H4475">
        <v>10000</v>
      </c>
      <c r="I4475" s="13">
        <v>1</v>
      </c>
      <c r="J4475" t="s">
        <v>6206</v>
      </c>
      <c r="K4475">
        <v>0</v>
      </c>
      <c r="L4475">
        <v>3</v>
      </c>
      <c r="M4475" t="s">
        <v>1</v>
      </c>
      <c r="N4475" s="2">
        <v>0.36</v>
      </c>
      <c r="O4475" s="2">
        <v>0.64</v>
      </c>
      <c r="P4475">
        <v>13</v>
      </c>
      <c r="Q4475">
        <v>10</v>
      </c>
      <c r="R4475">
        <v>1</v>
      </c>
      <c r="S4475">
        <v>2</v>
      </c>
      <c r="T4475">
        <v>10</v>
      </c>
      <c r="U4475">
        <v>10</v>
      </c>
      <c r="V4475">
        <v>1</v>
      </c>
      <c r="W4475">
        <v>1</v>
      </c>
      <c r="X4475">
        <v>0</v>
      </c>
      <c r="Y4475">
        <v>0</v>
      </c>
      <c r="Z4475">
        <v>0</v>
      </c>
    </row>
    <row r="4476" spans="1:26" x14ac:dyDescent="0.2">
      <c r="A4476" t="s">
        <v>4594</v>
      </c>
      <c r="B4476" t="s">
        <v>37</v>
      </c>
      <c r="C4476">
        <v>2020</v>
      </c>
      <c r="D4476" t="s">
        <v>73</v>
      </c>
      <c r="E4476" t="s">
        <v>28</v>
      </c>
      <c r="F4476" t="s">
        <v>73</v>
      </c>
      <c r="G4476">
        <v>32384</v>
      </c>
      <c r="H4476">
        <v>8096</v>
      </c>
      <c r="I4476" s="13">
        <v>0</v>
      </c>
      <c r="J4476" t="s">
        <v>6206</v>
      </c>
      <c r="K4476">
        <v>3</v>
      </c>
      <c r="L4476">
        <v>2</v>
      </c>
      <c r="M4476" t="s">
        <v>0</v>
      </c>
      <c r="N4476" s="2">
        <v>0.53</v>
      </c>
      <c r="O4476" s="2">
        <v>0.47</v>
      </c>
      <c r="P4476">
        <v>11</v>
      </c>
      <c r="Q4476">
        <v>10</v>
      </c>
      <c r="R4476">
        <v>6</v>
      </c>
      <c r="S4476">
        <v>7</v>
      </c>
      <c r="T4476">
        <v>11</v>
      </c>
      <c r="U4476">
        <v>10</v>
      </c>
      <c r="V4476">
        <v>0</v>
      </c>
      <c r="W4476">
        <v>0</v>
      </c>
      <c r="X4476">
        <v>0</v>
      </c>
      <c r="Y4476">
        <v>0</v>
      </c>
      <c r="Z4476">
        <v>1</v>
      </c>
    </row>
    <row r="4477" spans="1:26" x14ac:dyDescent="0.2">
      <c r="A4477" t="s">
        <v>4595</v>
      </c>
      <c r="B4477" t="s">
        <v>76</v>
      </c>
      <c r="C4477">
        <v>2020</v>
      </c>
      <c r="D4477" t="s">
        <v>64</v>
      </c>
      <c r="E4477" t="s">
        <v>51</v>
      </c>
      <c r="F4477" t="s">
        <v>64</v>
      </c>
      <c r="G4477">
        <v>52264</v>
      </c>
      <c r="H4477">
        <v>10000</v>
      </c>
      <c r="I4477" s="13">
        <v>0.4</v>
      </c>
      <c r="J4477" t="s">
        <v>6207</v>
      </c>
      <c r="K4477">
        <v>2</v>
      </c>
      <c r="L4477">
        <v>2</v>
      </c>
      <c r="M4477" t="s">
        <v>58</v>
      </c>
      <c r="N4477" s="2">
        <v>0.41</v>
      </c>
      <c r="O4477" s="2">
        <v>0.59</v>
      </c>
      <c r="P4477">
        <v>17</v>
      </c>
      <c r="Q4477">
        <v>14</v>
      </c>
      <c r="R4477">
        <v>7</v>
      </c>
      <c r="S4477">
        <v>3</v>
      </c>
      <c r="T4477">
        <v>13</v>
      </c>
      <c r="U4477">
        <v>14</v>
      </c>
      <c r="V4477">
        <v>3</v>
      </c>
      <c r="W4477">
        <v>2</v>
      </c>
      <c r="X4477">
        <v>0</v>
      </c>
      <c r="Y4477">
        <v>0</v>
      </c>
      <c r="Z4477">
        <v>0</v>
      </c>
    </row>
    <row r="4478" spans="1:26" x14ac:dyDescent="0.2">
      <c r="A4478" t="s">
        <v>4596</v>
      </c>
      <c r="B4478" t="s">
        <v>92</v>
      </c>
      <c r="C4478">
        <v>2020</v>
      </c>
      <c r="D4478" t="s">
        <v>42</v>
      </c>
      <c r="E4478" t="s">
        <v>31</v>
      </c>
      <c r="F4478" t="s">
        <v>38</v>
      </c>
      <c r="G4478">
        <v>42918</v>
      </c>
      <c r="H4478">
        <v>10000</v>
      </c>
      <c r="I4478" s="13">
        <v>1</v>
      </c>
      <c r="J4478" t="s">
        <v>6207</v>
      </c>
      <c r="K4478">
        <v>3</v>
      </c>
      <c r="L4478">
        <v>1</v>
      </c>
      <c r="M4478" t="s">
        <v>0</v>
      </c>
      <c r="N4478" s="2">
        <v>0.53</v>
      </c>
      <c r="O4478" s="2">
        <v>0.47</v>
      </c>
      <c r="P4478">
        <v>22</v>
      </c>
      <c r="Q4478">
        <v>19</v>
      </c>
      <c r="R4478">
        <v>3</v>
      </c>
      <c r="S4478">
        <v>4</v>
      </c>
      <c r="T4478">
        <v>14</v>
      </c>
      <c r="U4478">
        <v>18</v>
      </c>
      <c r="V4478">
        <v>1</v>
      </c>
      <c r="W4478">
        <v>2</v>
      </c>
      <c r="X4478">
        <v>0</v>
      </c>
      <c r="Y4478">
        <v>0</v>
      </c>
      <c r="Z4478">
        <v>0</v>
      </c>
    </row>
    <row r="4479" spans="1:26" x14ac:dyDescent="0.2">
      <c r="A4479" t="s">
        <v>4597</v>
      </c>
      <c r="B4479" t="s">
        <v>41</v>
      </c>
      <c r="C4479">
        <v>2020</v>
      </c>
      <c r="D4479" t="s">
        <v>48</v>
      </c>
      <c r="E4479" t="s">
        <v>90</v>
      </c>
      <c r="F4479" t="s">
        <v>49</v>
      </c>
      <c r="G4479">
        <v>74197</v>
      </c>
      <c r="H4479">
        <v>10000</v>
      </c>
      <c r="I4479" s="13">
        <v>0.5</v>
      </c>
      <c r="J4479" t="s">
        <v>6207</v>
      </c>
      <c r="K4479">
        <v>2</v>
      </c>
      <c r="L4479">
        <v>1</v>
      </c>
      <c r="M4479" t="s">
        <v>0</v>
      </c>
      <c r="N4479" s="2">
        <v>0.57999999999999996</v>
      </c>
      <c r="O4479" s="2">
        <v>0.42</v>
      </c>
      <c r="P4479">
        <v>9</v>
      </c>
      <c r="Q4479">
        <v>15</v>
      </c>
      <c r="R4479">
        <v>5</v>
      </c>
      <c r="S4479">
        <v>6</v>
      </c>
      <c r="T4479">
        <v>14</v>
      </c>
      <c r="U4479">
        <v>7</v>
      </c>
      <c r="V4479">
        <v>2</v>
      </c>
      <c r="W4479">
        <v>2</v>
      </c>
      <c r="X4479">
        <v>0</v>
      </c>
      <c r="Y4479">
        <v>0</v>
      </c>
      <c r="Z4479">
        <v>0</v>
      </c>
    </row>
    <row r="4480" spans="1:26" x14ac:dyDescent="0.2">
      <c r="A4480" t="s">
        <v>4598</v>
      </c>
      <c r="B4480" t="s">
        <v>60</v>
      </c>
      <c r="C4480">
        <v>2020</v>
      </c>
      <c r="D4480" t="s">
        <v>45</v>
      </c>
      <c r="E4480" t="s">
        <v>79</v>
      </c>
      <c r="F4480" t="s">
        <v>26</v>
      </c>
      <c r="G4480">
        <v>39572</v>
      </c>
      <c r="H4480">
        <v>9893</v>
      </c>
      <c r="I4480" s="13">
        <v>1</v>
      </c>
      <c r="J4480" t="s">
        <v>6208</v>
      </c>
      <c r="K4480">
        <v>1</v>
      </c>
      <c r="L4480">
        <v>1</v>
      </c>
      <c r="M4480" t="s">
        <v>58</v>
      </c>
      <c r="N4480" s="2">
        <v>0.47</v>
      </c>
      <c r="O4480" s="2">
        <v>0.53</v>
      </c>
      <c r="P4480">
        <v>11</v>
      </c>
      <c r="Q4480">
        <v>12</v>
      </c>
      <c r="R4480">
        <v>3</v>
      </c>
      <c r="S4480">
        <v>4</v>
      </c>
      <c r="T4480">
        <v>10</v>
      </c>
      <c r="U4480">
        <v>10</v>
      </c>
      <c r="V4480">
        <v>2</v>
      </c>
      <c r="W4480">
        <v>0</v>
      </c>
      <c r="X4480">
        <v>0</v>
      </c>
      <c r="Y4480">
        <v>0</v>
      </c>
      <c r="Z4480">
        <v>0</v>
      </c>
    </row>
    <row r="4481" spans="1:26" x14ac:dyDescent="0.2">
      <c r="A4481" t="s">
        <v>4599</v>
      </c>
      <c r="B4481" t="s">
        <v>66</v>
      </c>
      <c r="C4481">
        <v>2020</v>
      </c>
      <c r="D4481" t="s">
        <v>22</v>
      </c>
      <c r="E4481" t="s">
        <v>23</v>
      </c>
      <c r="F4481" t="s">
        <v>24</v>
      </c>
      <c r="G4481">
        <v>31750</v>
      </c>
      <c r="H4481">
        <v>7937.5</v>
      </c>
      <c r="I4481" s="13">
        <v>0.6</v>
      </c>
      <c r="J4481" t="s">
        <v>6207</v>
      </c>
      <c r="K4481">
        <v>2</v>
      </c>
      <c r="L4481">
        <v>3</v>
      </c>
      <c r="M4481" t="s">
        <v>1</v>
      </c>
      <c r="N4481" s="2">
        <v>0.66</v>
      </c>
      <c r="O4481" s="2">
        <v>0.34</v>
      </c>
      <c r="P4481">
        <v>10</v>
      </c>
      <c r="Q4481">
        <v>10</v>
      </c>
      <c r="R4481">
        <v>4</v>
      </c>
      <c r="S4481">
        <v>2</v>
      </c>
      <c r="T4481">
        <v>9</v>
      </c>
      <c r="U4481">
        <v>9</v>
      </c>
      <c r="V4481">
        <v>1</v>
      </c>
      <c r="W4481">
        <v>4</v>
      </c>
      <c r="X4481">
        <v>0</v>
      </c>
      <c r="Y4481">
        <v>0</v>
      </c>
      <c r="Z4481">
        <v>0</v>
      </c>
    </row>
    <row r="4482" spans="1:26" x14ac:dyDescent="0.2">
      <c r="A4482" t="s">
        <v>4600</v>
      </c>
      <c r="B4482" t="s">
        <v>68</v>
      </c>
      <c r="C4482">
        <v>2020</v>
      </c>
      <c r="D4482" t="s">
        <v>31</v>
      </c>
      <c r="E4482" t="s">
        <v>22</v>
      </c>
      <c r="F4482" t="s">
        <v>20</v>
      </c>
      <c r="G4482">
        <v>28500</v>
      </c>
      <c r="H4482">
        <v>7125</v>
      </c>
      <c r="I4482" s="13">
        <v>0</v>
      </c>
      <c r="J4482" t="s">
        <v>6207</v>
      </c>
      <c r="K4482">
        <v>0</v>
      </c>
      <c r="L4482">
        <v>1</v>
      </c>
      <c r="M4482" t="s">
        <v>1</v>
      </c>
      <c r="N4482" s="2">
        <v>0.5</v>
      </c>
      <c r="O4482" s="2">
        <v>0.5</v>
      </c>
      <c r="P4482">
        <v>9</v>
      </c>
      <c r="Q4482">
        <v>14</v>
      </c>
      <c r="R4482">
        <v>3</v>
      </c>
      <c r="S4482">
        <v>4</v>
      </c>
      <c r="T4482">
        <v>11</v>
      </c>
      <c r="U4482">
        <v>8</v>
      </c>
      <c r="V4482">
        <v>0</v>
      </c>
      <c r="W4482">
        <v>0</v>
      </c>
      <c r="X4482">
        <v>0</v>
      </c>
      <c r="Y4482">
        <v>0</v>
      </c>
      <c r="Z4482">
        <v>0</v>
      </c>
    </row>
    <row r="4483" spans="1:26" x14ac:dyDescent="0.2">
      <c r="A4483" t="s">
        <v>4601</v>
      </c>
      <c r="B4483" t="s">
        <v>37</v>
      </c>
      <c r="C4483">
        <v>2020</v>
      </c>
      <c r="D4483" t="s">
        <v>40</v>
      </c>
      <c r="E4483" t="s">
        <v>33</v>
      </c>
      <c r="F4483" t="s">
        <v>49</v>
      </c>
      <c r="G4483">
        <v>53400</v>
      </c>
      <c r="H4483">
        <v>10000</v>
      </c>
      <c r="I4483" s="13">
        <v>0.8</v>
      </c>
      <c r="J4483" t="s">
        <v>6206</v>
      </c>
      <c r="K4483">
        <v>1</v>
      </c>
      <c r="L4483">
        <v>2</v>
      </c>
      <c r="M4483" t="s">
        <v>1</v>
      </c>
      <c r="N4483" s="2">
        <v>0.71</v>
      </c>
      <c r="O4483" s="2">
        <v>0.28999999999999998</v>
      </c>
      <c r="P4483">
        <v>18</v>
      </c>
      <c r="Q4483">
        <v>14</v>
      </c>
      <c r="R4483">
        <v>9</v>
      </c>
      <c r="S4483">
        <v>3</v>
      </c>
      <c r="T4483">
        <v>12</v>
      </c>
      <c r="U4483">
        <v>15</v>
      </c>
      <c r="V4483">
        <v>3</v>
      </c>
      <c r="W4483">
        <v>1</v>
      </c>
      <c r="X4483">
        <v>0</v>
      </c>
      <c r="Y4483">
        <v>1</v>
      </c>
      <c r="Z4483">
        <v>0</v>
      </c>
    </row>
    <row r="4484" spans="1:26" x14ac:dyDescent="0.2">
      <c r="A4484" t="s">
        <v>4602</v>
      </c>
      <c r="B4484" t="s">
        <v>81</v>
      </c>
      <c r="C4484">
        <v>2020</v>
      </c>
      <c r="D4484" t="s">
        <v>26</v>
      </c>
      <c r="E4484" t="s">
        <v>42</v>
      </c>
      <c r="F4484" t="s">
        <v>26</v>
      </c>
      <c r="G4484">
        <v>61276</v>
      </c>
      <c r="H4484">
        <v>10000</v>
      </c>
      <c r="I4484" s="13">
        <v>0.16666666666666666</v>
      </c>
      <c r="J4484" t="s">
        <v>6207</v>
      </c>
      <c r="K4484">
        <v>2</v>
      </c>
      <c r="L4484">
        <v>1</v>
      </c>
      <c r="M4484" t="s">
        <v>0</v>
      </c>
      <c r="N4484" s="2">
        <v>0.67</v>
      </c>
      <c r="O4484" s="2">
        <v>0.33</v>
      </c>
      <c r="P4484">
        <v>13</v>
      </c>
      <c r="Q4484">
        <v>18</v>
      </c>
      <c r="R4484">
        <v>7</v>
      </c>
      <c r="S4484">
        <v>0</v>
      </c>
      <c r="T4484">
        <v>16</v>
      </c>
      <c r="U4484">
        <v>11</v>
      </c>
      <c r="V4484">
        <v>2</v>
      </c>
      <c r="W4484">
        <v>4</v>
      </c>
      <c r="X4484">
        <v>0</v>
      </c>
      <c r="Y4484">
        <v>0</v>
      </c>
      <c r="Z4484">
        <v>0</v>
      </c>
    </row>
    <row r="4485" spans="1:26" x14ac:dyDescent="0.2">
      <c r="A4485" t="s">
        <v>4603</v>
      </c>
      <c r="B4485" t="s">
        <v>66</v>
      </c>
      <c r="C4485">
        <v>2020</v>
      </c>
      <c r="D4485" t="s">
        <v>79</v>
      </c>
      <c r="E4485" t="s">
        <v>18</v>
      </c>
      <c r="F4485" t="s">
        <v>20</v>
      </c>
      <c r="G4485">
        <v>25486</v>
      </c>
      <c r="H4485">
        <v>6371.5</v>
      </c>
      <c r="I4485" s="13">
        <v>1</v>
      </c>
      <c r="J4485" t="s">
        <v>6207</v>
      </c>
      <c r="K4485">
        <v>1</v>
      </c>
      <c r="L4485">
        <v>4</v>
      </c>
      <c r="M4485" t="s">
        <v>1</v>
      </c>
      <c r="N4485" s="2">
        <v>0.36</v>
      </c>
      <c r="O4485" s="2">
        <v>0.64</v>
      </c>
      <c r="P4485">
        <v>15</v>
      </c>
      <c r="Q4485">
        <v>8</v>
      </c>
      <c r="R4485">
        <v>0</v>
      </c>
      <c r="S4485">
        <v>8</v>
      </c>
      <c r="T4485">
        <v>7</v>
      </c>
      <c r="U4485">
        <v>12</v>
      </c>
      <c r="V4485">
        <v>1</v>
      </c>
      <c r="W4485">
        <v>0</v>
      </c>
      <c r="X4485">
        <v>0</v>
      </c>
      <c r="Y4485">
        <v>0</v>
      </c>
      <c r="Z4485">
        <v>0</v>
      </c>
    </row>
    <row r="4486" spans="1:26" x14ac:dyDescent="0.2">
      <c r="A4486" t="s">
        <v>4604</v>
      </c>
      <c r="B4486" t="s">
        <v>61</v>
      </c>
      <c r="C4486">
        <v>2020</v>
      </c>
      <c r="D4486" t="s">
        <v>28</v>
      </c>
      <c r="E4486" t="s">
        <v>64</v>
      </c>
      <c r="F4486" t="s">
        <v>28</v>
      </c>
      <c r="G4486">
        <v>21944</v>
      </c>
      <c r="H4486">
        <v>5486</v>
      </c>
      <c r="I4486" s="13">
        <v>0</v>
      </c>
      <c r="J4486" t="s">
        <v>6207</v>
      </c>
      <c r="K4486">
        <v>1</v>
      </c>
      <c r="L4486">
        <v>2</v>
      </c>
      <c r="M4486" t="s">
        <v>1</v>
      </c>
      <c r="N4486" s="2">
        <v>0.56999999999999995</v>
      </c>
      <c r="O4486" s="2">
        <v>0.43</v>
      </c>
      <c r="P4486">
        <v>15</v>
      </c>
      <c r="Q4486">
        <v>11</v>
      </c>
      <c r="R4486">
        <v>13</v>
      </c>
      <c r="S4486">
        <v>3</v>
      </c>
      <c r="T4486">
        <v>11</v>
      </c>
      <c r="U4486">
        <v>12</v>
      </c>
      <c r="V4486">
        <v>1</v>
      </c>
      <c r="W4486">
        <v>0</v>
      </c>
      <c r="X4486">
        <v>0</v>
      </c>
      <c r="Y4486">
        <v>0</v>
      </c>
      <c r="Z4486">
        <v>0</v>
      </c>
    </row>
    <row r="4487" spans="1:26" x14ac:dyDescent="0.2">
      <c r="A4487" t="s">
        <v>4605</v>
      </c>
      <c r="B4487" t="s">
        <v>41</v>
      </c>
      <c r="C4487">
        <v>2020</v>
      </c>
      <c r="D4487" t="s">
        <v>23</v>
      </c>
      <c r="E4487" t="s">
        <v>80</v>
      </c>
      <c r="F4487" t="s">
        <v>20</v>
      </c>
      <c r="G4487">
        <v>62500</v>
      </c>
      <c r="H4487">
        <v>10000</v>
      </c>
      <c r="I4487" s="13">
        <v>0.83333333333333337</v>
      </c>
      <c r="J4487" t="s">
        <v>6207</v>
      </c>
      <c r="K4487">
        <v>3</v>
      </c>
      <c r="L4487">
        <v>2</v>
      </c>
      <c r="M4487" t="s">
        <v>0</v>
      </c>
      <c r="N4487" s="2">
        <v>0.36</v>
      </c>
      <c r="O4487" s="2">
        <v>0.64</v>
      </c>
      <c r="P4487">
        <v>14</v>
      </c>
      <c r="Q4487">
        <v>10</v>
      </c>
      <c r="R4487">
        <v>1</v>
      </c>
      <c r="S4487">
        <v>9</v>
      </c>
      <c r="T4487">
        <v>7</v>
      </c>
      <c r="U4487">
        <v>13</v>
      </c>
      <c r="V4487">
        <v>3</v>
      </c>
      <c r="W4487">
        <v>3</v>
      </c>
      <c r="X4487">
        <v>0</v>
      </c>
      <c r="Y4487">
        <v>0</v>
      </c>
      <c r="Z4487">
        <v>0</v>
      </c>
    </row>
    <row r="4488" spans="1:26" x14ac:dyDescent="0.2">
      <c r="A4488" t="s">
        <v>4606</v>
      </c>
      <c r="B4488" t="s">
        <v>88</v>
      </c>
      <c r="C4488">
        <v>2020</v>
      </c>
      <c r="D4488" t="s">
        <v>51</v>
      </c>
      <c r="E4488" t="s">
        <v>48</v>
      </c>
      <c r="F4488" t="s">
        <v>20</v>
      </c>
      <c r="G4488">
        <v>36284</v>
      </c>
      <c r="H4488">
        <v>9071</v>
      </c>
      <c r="I4488" s="13">
        <v>0.5</v>
      </c>
      <c r="J4488" t="s">
        <v>6207</v>
      </c>
      <c r="K4488">
        <v>1</v>
      </c>
      <c r="L4488">
        <v>3</v>
      </c>
      <c r="M4488" t="s">
        <v>1</v>
      </c>
      <c r="N4488" s="2">
        <v>0.47</v>
      </c>
      <c r="O4488" s="2">
        <v>0.53</v>
      </c>
      <c r="P4488">
        <v>16</v>
      </c>
      <c r="Q4488">
        <v>14</v>
      </c>
      <c r="R4488">
        <v>7</v>
      </c>
      <c r="S4488">
        <v>5</v>
      </c>
      <c r="T4488">
        <v>11</v>
      </c>
      <c r="U4488">
        <v>15</v>
      </c>
      <c r="V4488">
        <v>1</v>
      </c>
      <c r="W4488">
        <v>5</v>
      </c>
      <c r="X4488">
        <v>0</v>
      </c>
      <c r="Y4488">
        <v>0</v>
      </c>
      <c r="Z4488">
        <v>0</v>
      </c>
    </row>
    <row r="4489" spans="1:26" x14ac:dyDescent="0.2">
      <c r="A4489" t="s">
        <v>4607</v>
      </c>
      <c r="B4489" t="s">
        <v>97</v>
      </c>
      <c r="C4489">
        <v>2020</v>
      </c>
      <c r="D4489" t="s">
        <v>95</v>
      </c>
      <c r="E4489" t="s">
        <v>46</v>
      </c>
      <c r="F4489" t="s">
        <v>57</v>
      </c>
      <c r="G4489">
        <v>32050</v>
      </c>
      <c r="H4489">
        <v>8012.5</v>
      </c>
      <c r="I4489" s="13">
        <v>0.5</v>
      </c>
      <c r="J4489" t="s">
        <v>6207</v>
      </c>
      <c r="K4489">
        <v>0</v>
      </c>
      <c r="L4489">
        <v>3</v>
      </c>
      <c r="M4489" t="s">
        <v>1</v>
      </c>
      <c r="N4489" s="2">
        <v>0.45</v>
      </c>
      <c r="O4489" s="2">
        <v>0.55000000000000004</v>
      </c>
      <c r="P4489">
        <v>9</v>
      </c>
      <c r="Q4489">
        <v>11</v>
      </c>
      <c r="R4489">
        <v>2</v>
      </c>
      <c r="S4489">
        <v>4</v>
      </c>
      <c r="T4489">
        <v>9</v>
      </c>
      <c r="U4489">
        <v>6</v>
      </c>
      <c r="V4489">
        <v>1</v>
      </c>
      <c r="W4489">
        <v>1</v>
      </c>
      <c r="X4489">
        <v>0</v>
      </c>
      <c r="Y4489">
        <v>0</v>
      </c>
      <c r="Z4489">
        <v>0</v>
      </c>
    </row>
    <row r="4490" spans="1:26" x14ac:dyDescent="0.2">
      <c r="A4490" t="s">
        <v>4608</v>
      </c>
      <c r="B4490" t="s">
        <v>84</v>
      </c>
      <c r="C4490">
        <v>2020</v>
      </c>
      <c r="D4490" t="s">
        <v>63</v>
      </c>
      <c r="E4490" t="s">
        <v>73</v>
      </c>
      <c r="F4490" t="s">
        <v>65</v>
      </c>
      <c r="G4490">
        <v>26804</v>
      </c>
      <c r="H4490">
        <v>6701</v>
      </c>
      <c r="I4490" s="13">
        <v>0</v>
      </c>
      <c r="J4490" t="s">
        <v>6208</v>
      </c>
      <c r="K4490">
        <v>3</v>
      </c>
      <c r="L4490">
        <v>0</v>
      </c>
      <c r="M4490" t="s">
        <v>0</v>
      </c>
      <c r="N4490" s="2">
        <v>0.4</v>
      </c>
      <c r="O4490" s="2">
        <v>0.6</v>
      </c>
      <c r="P4490">
        <v>11</v>
      </c>
      <c r="Q4490">
        <v>15</v>
      </c>
      <c r="R4490">
        <v>5</v>
      </c>
      <c r="S4490">
        <v>10</v>
      </c>
      <c r="T4490">
        <v>12</v>
      </c>
      <c r="U4490">
        <v>11</v>
      </c>
      <c r="V4490">
        <v>0</v>
      </c>
      <c r="W4490">
        <v>1</v>
      </c>
      <c r="X4490">
        <v>0</v>
      </c>
      <c r="Y4490">
        <v>0</v>
      </c>
      <c r="Z4490">
        <v>2</v>
      </c>
    </row>
    <row r="4491" spans="1:26" x14ac:dyDescent="0.2">
      <c r="A4491" t="s">
        <v>4609</v>
      </c>
      <c r="B4491" t="s">
        <v>100</v>
      </c>
      <c r="C4491">
        <v>2020</v>
      </c>
      <c r="D4491" t="s">
        <v>90</v>
      </c>
      <c r="E4491" t="s">
        <v>45</v>
      </c>
      <c r="F4491" t="s">
        <v>91</v>
      </c>
      <c r="G4491">
        <v>31876</v>
      </c>
      <c r="H4491">
        <v>7969</v>
      </c>
      <c r="I4491" s="13">
        <v>0.33333333333333331</v>
      </c>
      <c r="J4491" t="s">
        <v>6207</v>
      </c>
      <c r="K4491">
        <v>0</v>
      </c>
      <c r="L4491">
        <v>0</v>
      </c>
      <c r="M4491" t="s">
        <v>58</v>
      </c>
      <c r="N4491" s="2">
        <v>0.55000000000000004</v>
      </c>
      <c r="O4491" s="2">
        <v>0.45</v>
      </c>
      <c r="P4491">
        <v>8</v>
      </c>
      <c r="Q4491">
        <v>12</v>
      </c>
      <c r="R4491">
        <v>10</v>
      </c>
      <c r="S4491">
        <v>3</v>
      </c>
      <c r="T4491">
        <v>12</v>
      </c>
      <c r="U4491">
        <v>7</v>
      </c>
      <c r="V4491">
        <v>1</v>
      </c>
      <c r="W4491">
        <v>2</v>
      </c>
      <c r="X4491">
        <v>0</v>
      </c>
      <c r="Y4491">
        <v>0</v>
      </c>
      <c r="Z4491">
        <v>0</v>
      </c>
    </row>
    <row r="4492" spans="1:26" x14ac:dyDescent="0.2">
      <c r="A4492" t="s">
        <v>4610</v>
      </c>
      <c r="B4492" t="s">
        <v>66</v>
      </c>
      <c r="C4492">
        <v>2020</v>
      </c>
      <c r="D4492" t="s">
        <v>45</v>
      </c>
      <c r="E4492" t="s">
        <v>51</v>
      </c>
      <c r="F4492" t="s">
        <v>26</v>
      </c>
      <c r="G4492">
        <v>39572</v>
      </c>
      <c r="H4492">
        <v>9893</v>
      </c>
      <c r="I4492" s="13">
        <v>0.5</v>
      </c>
      <c r="J4492" t="s">
        <v>6207</v>
      </c>
      <c r="K4492">
        <v>2</v>
      </c>
      <c r="L4492">
        <v>2</v>
      </c>
      <c r="M4492" t="s">
        <v>58</v>
      </c>
      <c r="N4492" s="2">
        <v>0.53</v>
      </c>
      <c r="O4492" s="2">
        <v>0.47</v>
      </c>
      <c r="P4492">
        <v>7</v>
      </c>
      <c r="Q4492">
        <v>10</v>
      </c>
      <c r="R4492">
        <v>6</v>
      </c>
      <c r="S4492">
        <v>3</v>
      </c>
      <c r="T4492">
        <v>8</v>
      </c>
      <c r="U4492">
        <v>8</v>
      </c>
      <c r="V4492">
        <v>1</v>
      </c>
      <c r="W4492">
        <v>1</v>
      </c>
      <c r="X4492">
        <v>0</v>
      </c>
      <c r="Y4492">
        <v>0</v>
      </c>
      <c r="Z4492">
        <v>1</v>
      </c>
    </row>
    <row r="4493" spans="1:26" x14ac:dyDescent="0.2">
      <c r="A4493" t="s">
        <v>4611</v>
      </c>
      <c r="B4493" t="s">
        <v>60</v>
      </c>
      <c r="C4493">
        <v>2020</v>
      </c>
      <c r="D4493" t="s">
        <v>64</v>
      </c>
      <c r="E4493" t="s">
        <v>23</v>
      </c>
      <c r="F4493" t="s">
        <v>64</v>
      </c>
      <c r="G4493">
        <v>52264</v>
      </c>
      <c r="H4493">
        <v>10000</v>
      </c>
      <c r="I4493" s="13">
        <v>0.25</v>
      </c>
      <c r="J4493" t="s">
        <v>6208</v>
      </c>
      <c r="K4493">
        <v>3</v>
      </c>
      <c r="L4493">
        <v>2</v>
      </c>
      <c r="M4493" t="s">
        <v>0</v>
      </c>
      <c r="N4493" s="2">
        <v>0.35</v>
      </c>
      <c r="O4493" s="2">
        <v>0.65</v>
      </c>
      <c r="P4493">
        <v>7</v>
      </c>
      <c r="Q4493">
        <v>11</v>
      </c>
      <c r="R4493">
        <v>3</v>
      </c>
      <c r="S4493">
        <v>8</v>
      </c>
      <c r="T4493">
        <v>9</v>
      </c>
      <c r="U4493">
        <v>7</v>
      </c>
      <c r="V4493">
        <v>2</v>
      </c>
      <c r="W4493">
        <v>1</v>
      </c>
      <c r="X4493">
        <v>0</v>
      </c>
      <c r="Y4493">
        <v>1</v>
      </c>
      <c r="Z4493">
        <v>1</v>
      </c>
    </row>
    <row r="4494" spans="1:26" x14ac:dyDescent="0.2">
      <c r="A4494" t="s">
        <v>4612</v>
      </c>
      <c r="B4494" t="s">
        <v>99</v>
      </c>
      <c r="C4494">
        <v>2020</v>
      </c>
      <c r="D4494" t="s">
        <v>22</v>
      </c>
      <c r="E4494" t="s">
        <v>95</v>
      </c>
      <c r="F4494" t="s">
        <v>24</v>
      </c>
      <c r="G4494">
        <v>31750</v>
      </c>
      <c r="H4494">
        <v>7937.5</v>
      </c>
      <c r="I4494" s="13">
        <v>0.66666666666666663</v>
      </c>
      <c r="J4494" t="s">
        <v>6207</v>
      </c>
      <c r="K4494">
        <v>1</v>
      </c>
      <c r="L4494">
        <v>0</v>
      </c>
      <c r="M4494" t="s">
        <v>0</v>
      </c>
      <c r="N4494" s="2">
        <v>0.48</v>
      </c>
      <c r="O4494" s="2">
        <v>0.52</v>
      </c>
      <c r="P4494">
        <v>18</v>
      </c>
      <c r="Q4494">
        <v>10</v>
      </c>
      <c r="R4494">
        <v>3</v>
      </c>
      <c r="S4494">
        <v>3</v>
      </c>
      <c r="T4494">
        <v>8</v>
      </c>
      <c r="U4494">
        <v>15</v>
      </c>
      <c r="V4494">
        <v>1</v>
      </c>
      <c r="W4494">
        <v>2</v>
      </c>
      <c r="X4494">
        <v>0</v>
      </c>
      <c r="Y4494">
        <v>0</v>
      </c>
      <c r="Z4494">
        <v>0</v>
      </c>
    </row>
    <row r="4495" spans="1:26" x14ac:dyDescent="0.2">
      <c r="A4495" t="s">
        <v>4613</v>
      </c>
      <c r="B4495" t="s">
        <v>76</v>
      </c>
      <c r="C4495">
        <v>2020</v>
      </c>
      <c r="D4495" t="s">
        <v>46</v>
      </c>
      <c r="E4495" t="s">
        <v>31</v>
      </c>
      <c r="F4495" t="s">
        <v>20</v>
      </c>
      <c r="G4495">
        <v>60704</v>
      </c>
      <c r="H4495">
        <v>10000</v>
      </c>
      <c r="I4495" s="13">
        <v>1</v>
      </c>
      <c r="J4495" t="s">
        <v>6207</v>
      </c>
      <c r="K4495">
        <v>1</v>
      </c>
      <c r="L4495">
        <v>1</v>
      </c>
      <c r="M4495" t="s">
        <v>58</v>
      </c>
      <c r="N4495" s="2">
        <v>0.69</v>
      </c>
      <c r="O4495" s="2">
        <v>0.31</v>
      </c>
      <c r="P4495">
        <v>11</v>
      </c>
      <c r="Q4495">
        <v>13</v>
      </c>
      <c r="R4495">
        <v>11</v>
      </c>
      <c r="S4495">
        <v>1</v>
      </c>
      <c r="T4495">
        <v>9</v>
      </c>
      <c r="U4495">
        <v>11</v>
      </c>
      <c r="V4495">
        <v>0</v>
      </c>
      <c r="W4495">
        <v>3</v>
      </c>
      <c r="X4495">
        <v>0</v>
      </c>
      <c r="Y4495">
        <v>0</v>
      </c>
      <c r="Z4495">
        <v>1</v>
      </c>
    </row>
    <row r="4496" spans="1:26" x14ac:dyDescent="0.2">
      <c r="A4496" t="s">
        <v>4614</v>
      </c>
      <c r="B4496" t="s">
        <v>68</v>
      </c>
      <c r="C4496">
        <v>2020</v>
      </c>
      <c r="D4496" t="s">
        <v>48</v>
      </c>
      <c r="E4496" t="s">
        <v>28</v>
      </c>
      <c r="F4496" t="s">
        <v>49</v>
      </c>
      <c r="G4496">
        <v>74197</v>
      </c>
      <c r="H4496">
        <v>10000</v>
      </c>
      <c r="I4496" s="13">
        <v>0.33333333333333331</v>
      </c>
      <c r="J4496" t="s">
        <v>6207</v>
      </c>
      <c r="K4496">
        <v>3</v>
      </c>
      <c r="L4496">
        <v>1</v>
      </c>
      <c r="M4496" t="s">
        <v>0</v>
      </c>
      <c r="N4496" s="2">
        <v>0.69</v>
      </c>
      <c r="O4496" s="2">
        <v>0.31</v>
      </c>
      <c r="P4496">
        <v>16</v>
      </c>
      <c r="Q4496">
        <v>10</v>
      </c>
      <c r="R4496">
        <v>8</v>
      </c>
      <c r="S4496">
        <v>3</v>
      </c>
      <c r="T4496">
        <v>9</v>
      </c>
      <c r="U4496">
        <v>12</v>
      </c>
      <c r="V4496">
        <v>1</v>
      </c>
      <c r="W4496">
        <v>2</v>
      </c>
      <c r="X4496">
        <v>0</v>
      </c>
      <c r="Y4496">
        <v>0</v>
      </c>
      <c r="Z4496">
        <v>0</v>
      </c>
    </row>
    <row r="4497" spans="1:26" x14ac:dyDescent="0.2">
      <c r="A4497" t="s">
        <v>4615</v>
      </c>
      <c r="B4497" t="s">
        <v>61</v>
      </c>
      <c r="C4497">
        <v>2020</v>
      </c>
      <c r="D4497" t="s">
        <v>33</v>
      </c>
      <c r="E4497" t="s">
        <v>26</v>
      </c>
      <c r="F4497" t="s">
        <v>33</v>
      </c>
      <c r="G4497">
        <v>37645</v>
      </c>
      <c r="H4497">
        <v>9411.25</v>
      </c>
      <c r="I4497" s="13">
        <v>0.66666666666666663</v>
      </c>
      <c r="J4497" t="s">
        <v>6207</v>
      </c>
      <c r="K4497">
        <v>1</v>
      </c>
      <c r="L4497">
        <v>1</v>
      </c>
      <c r="M4497" t="s">
        <v>58</v>
      </c>
      <c r="N4497" s="2">
        <v>0.62</v>
      </c>
      <c r="O4497" s="2">
        <v>0.38</v>
      </c>
      <c r="P4497">
        <v>18</v>
      </c>
      <c r="Q4497">
        <v>7</v>
      </c>
      <c r="R4497">
        <v>10</v>
      </c>
      <c r="S4497">
        <v>8</v>
      </c>
      <c r="T4497">
        <v>7</v>
      </c>
      <c r="U4497">
        <v>15</v>
      </c>
      <c r="V4497">
        <v>2</v>
      </c>
      <c r="W4497">
        <v>1</v>
      </c>
      <c r="X4497">
        <v>0</v>
      </c>
      <c r="Y4497">
        <v>0</v>
      </c>
      <c r="Z4497">
        <v>0</v>
      </c>
    </row>
    <row r="4498" spans="1:26" x14ac:dyDescent="0.2">
      <c r="A4498" t="s">
        <v>4616</v>
      </c>
      <c r="B4498" t="s">
        <v>59</v>
      </c>
      <c r="C4498">
        <v>2020</v>
      </c>
      <c r="D4498" t="s">
        <v>18</v>
      </c>
      <c r="E4498" t="s">
        <v>90</v>
      </c>
      <c r="F4498" t="s">
        <v>20</v>
      </c>
      <c r="G4498">
        <v>40341</v>
      </c>
      <c r="H4498">
        <v>10000</v>
      </c>
      <c r="I4498" s="13">
        <v>0.5</v>
      </c>
      <c r="J4498" t="s">
        <v>6206</v>
      </c>
      <c r="K4498">
        <v>0</v>
      </c>
      <c r="L4498">
        <v>0</v>
      </c>
      <c r="M4498" t="s">
        <v>58</v>
      </c>
      <c r="N4498" s="2">
        <v>0.64</v>
      </c>
      <c r="O4498" s="2">
        <v>0.36</v>
      </c>
      <c r="P4498">
        <v>9</v>
      </c>
      <c r="Q4498">
        <v>11</v>
      </c>
      <c r="R4498">
        <v>0</v>
      </c>
      <c r="S4498">
        <v>3</v>
      </c>
      <c r="T4498">
        <v>8</v>
      </c>
      <c r="U4498">
        <v>9</v>
      </c>
      <c r="V4498">
        <v>2</v>
      </c>
      <c r="W4498">
        <v>1</v>
      </c>
      <c r="X4498">
        <v>0</v>
      </c>
      <c r="Y4498">
        <v>1</v>
      </c>
      <c r="Z4498">
        <v>0</v>
      </c>
    </row>
    <row r="4499" spans="1:26" x14ac:dyDescent="0.2">
      <c r="A4499" t="s">
        <v>4617</v>
      </c>
      <c r="B4499" t="s">
        <v>93</v>
      </c>
      <c r="C4499">
        <v>2020</v>
      </c>
      <c r="D4499" t="s">
        <v>51</v>
      </c>
      <c r="E4499" t="s">
        <v>73</v>
      </c>
      <c r="F4499" t="s">
        <v>20</v>
      </c>
      <c r="G4499">
        <v>36284</v>
      </c>
      <c r="H4499">
        <v>9071</v>
      </c>
      <c r="I4499" s="13">
        <v>0.66666666666666663</v>
      </c>
      <c r="J4499" t="s">
        <v>6206</v>
      </c>
      <c r="K4499">
        <v>2</v>
      </c>
      <c r="L4499">
        <v>1</v>
      </c>
      <c r="M4499" t="s">
        <v>0</v>
      </c>
      <c r="N4499" s="2">
        <v>0.62</v>
      </c>
      <c r="O4499" s="2">
        <v>0.38</v>
      </c>
      <c r="P4499">
        <v>14</v>
      </c>
      <c r="Q4499">
        <v>12</v>
      </c>
      <c r="R4499">
        <v>5</v>
      </c>
      <c r="S4499">
        <v>5</v>
      </c>
      <c r="T4499">
        <v>10</v>
      </c>
      <c r="U4499">
        <v>14</v>
      </c>
      <c r="V4499">
        <v>2</v>
      </c>
      <c r="W4499">
        <v>1</v>
      </c>
      <c r="X4499">
        <v>0</v>
      </c>
      <c r="Y4499">
        <v>0</v>
      </c>
      <c r="Z4499">
        <v>1</v>
      </c>
    </row>
    <row r="4500" spans="1:26" x14ac:dyDescent="0.2">
      <c r="A4500" t="s">
        <v>4618</v>
      </c>
      <c r="B4500" t="s">
        <v>97</v>
      </c>
      <c r="C4500">
        <v>2020</v>
      </c>
      <c r="D4500" t="s">
        <v>42</v>
      </c>
      <c r="E4500" t="s">
        <v>40</v>
      </c>
      <c r="F4500" t="s">
        <v>38</v>
      </c>
      <c r="G4500">
        <v>42918</v>
      </c>
      <c r="H4500">
        <v>10000</v>
      </c>
      <c r="I4500" s="13">
        <v>0.5</v>
      </c>
      <c r="J4500" t="s">
        <v>6207</v>
      </c>
      <c r="K4500">
        <v>1</v>
      </c>
      <c r="L4500">
        <v>2</v>
      </c>
      <c r="M4500" t="s">
        <v>1</v>
      </c>
      <c r="N4500" s="2">
        <v>0.28000000000000003</v>
      </c>
      <c r="O4500" s="2">
        <v>0.72</v>
      </c>
      <c r="P4500">
        <v>9</v>
      </c>
      <c r="Q4500">
        <v>13</v>
      </c>
      <c r="R4500">
        <v>1</v>
      </c>
      <c r="S4500">
        <v>11</v>
      </c>
      <c r="T4500">
        <v>12</v>
      </c>
      <c r="U4500">
        <v>7</v>
      </c>
      <c r="V4500">
        <v>1</v>
      </c>
      <c r="W4500">
        <v>1</v>
      </c>
      <c r="X4500">
        <v>1</v>
      </c>
      <c r="Y4500">
        <v>1</v>
      </c>
      <c r="Z4500">
        <v>0</v>
      </c>
    </row>
    <row r="4501" spans="1:26" x14ac:dyDescent="0.2">
      <c r="A4501" t="s">
        <v>4619</v>
      </c>
      <c r="B4501" t="s">
        <v>92</v>
      </c>
      <c r="C4501">
        <v>2020</v>
      </c>
      <c r="D4501" t="s">
        <v>80</v>
      </c>
      <c r="E4501" t="s">
        <v>63</v>
      </c>
      <c r="F4501" t="s">
        <v>80</v>
      </c>
      <c r="G4501">
        <v>32261</v>
      </c>
      <c r="H4501">
        <v>8065.25</v>
      </c>
      <c r="I4501" s="13">
        <v>0.5</v>
      </c>
      <c r="J4501" t="s">
        <v>6207</v>
      </c>
      <c r="K4501">
        <v>3</v>
      </c>
      <c r="L4501">
        <v>0</v>
      </c>
      <c r="M4501" t="s">
        <v>0</v>
      </c>
      <c r="N4501" s="2">
        <v>0.73</v>
      </c>
      <c r="O4501" s="2">
        <v>0.27</v>
      </c>
      <c r="P4501">
        <v>12</v>
      </c>
      <c r="Q4501">
        <v>14</v>
      </c>
      <c r="R4501">
        <v>7</v>
      </c>
      <c r="S4501">
        <v>3</v>
      </c>
      <c r="T4501">
        <v>13</v>
      </c>
      <c r="U4501">
        <v>12</v>
      </c>
      <c r="V4501">
        <v>0</v>
      </c>
      <c r="W4501">
        <v>2</v>
      </c>
      <c r="X4501">
        <v>0</v>
      </c>
      <c r="Y4501">
        <v>0</v>
      </c>
      <c r="Z4501">
        <v>0</v>
      </c>
    </row>
    <row r="4502" spans="1:26" x14ac:dyDescent="0.2">
      <c r="A4502" t="s">
        <v>4620</v>
      </c>
      <c r="B4502" t="s">
        <v>68</v>
      </c>
      <c r="C4502">
        <v>2020</v>
      </c>
      <c r="D4502" t="s">
        <v>46</v>
      </c>
      <c r="E4502" t="s">
        <v>45</v>
      </c>
      <c r="F4502" t="s">
        <v>20</v>
      </c>
      <c r="G4502">
        <v>60704</v>
      </c>
      <c r="H4502">
        <v>10000</v>
      </c>
      <c r="I4502" s="13">
        <v>0.75</v>
      </c>
      <c r="J4502" t="s">
        <v>6207</v>
      </c>
      <c r="K4502">
        <v>0</v>
      </c>
      <c r="L4502">
        <v>1</v>
      </c>
      <c r="M4502" t="s">
        <v>1</v>
      </c>
      <c r="N4502" s="2">
        <v>0.59</v>
      </c>
      <c r="O4502" s="2">
        <v>0.41</v>
      </c>
      <c r="P4502">
        <v>10</v>
      </c>
      <c r="Q4502">
        <v>16</v>
      </c>
      <c r="R4502">
        <v>7</v>
      </c>
      <c r="S4502">
        <v>3</v>
      </c>
      <c r="T4502">
        <v>13</v>
      </c>
      <c r="U4502">
        <v>10</v>
      </c>
      <c r="V4502">
        <v>1</v>
      </c>
      <c r="W4502">
        <v>3</v>
      </c>
      <c r="X4502">
        <v>0</v>
      </c>
      <c r="Y4502">
        <v>0</v>
      </c>
      <c r="Z4502">
        <v>0</v>
      </c>
    </row>
    <row r="4503" spans="1:26" x14ac:dyDescent="0.2">
      <c r="A4503" t="s">
        <v>4621</v>
      </c>
      <c r="B4503" t="s">
        <v>37</v>
      </c>
      <c r="C4503">
        <v>2020</v>
      </c>
      <c r="D4503" t="s">
        <v>26</v>
      </c>
      <c r="E4503" t="s">
        <v>64</v>
      </c>
      <c r="F4503" t="s">
        <v>26</v>
      </c>
      <c r="G4503">
        <v>61276</v>
      </c>
      <c r="H4503">
        <v>10000</v>
      </c>
      <c r="I4503" s="13">
        <v>1</v>
      </c>
      <c r="J4503" t="s">
        <v>6206</v>
      </c>
      <c r="K4503">
        <v>1</v>
      </c>
      <c r="L4503">
        <v>1</v>
      </c>
      <c r="M4503" t="s">
        <v>58</v>
      </c>
      <c r="N4503" s="2">
        <v>0.69</v>
      </c>
      <c r="O4503" s="2">
        <v>0.31</v>
      </c>
      <c r="P4503">
        <v>12</v>
      </c>
      <c r="Q4503">
        <v>10</v>
      </c>
      <c r="R4503">
        <v>6</v>
      </c>
      <c r="S4503">
        <v>3</v>
      </c>
      <c r="T4503">
        <v>9</v>
      </c>
      <c r="U4503">
        <v>7</v>
      </c>
      <c r="V4503">
        <v>2</v>
      </c>
      <c r="W4503">
        <v>1</v>
      </c>
      <c r="X4503">
        <v>0</v>
      </c>
      <c r="Y4503">
        <v>0</v>
      </c>
      <c r="Z4503">
        <v>0</v>
      </c>
    </row>
    <row r="4504" spans="1:26" x14ac:dyDescent="0.2">
      <c r="A4504" t="s">
        <v>4622</v>
      </c>
      <c r="B4504" t="s">
        <v>88</v>
      </c>
      <c r="C4504">
        <v>2020</v>
      </c>
      <c r="D4504" t="s">
        <v>23</v>
      </c>
      <c r="E4504" t="s">
        <v>18</v>
      </c>
      <c r="F4504" t="s">
        <v>20</v>
      </c>
      <c r="G4504">
        <v>62500</v>
      </c>
      <c r="H4504">
        <v>10000</v>
      </c>
      <c r="I4504" s="13">
        <v>1</v>
      </c>
      <c r="J4504" t="s">
        <v>6207</v>
      </c>
      <c r="K4504">
        <v>0</v>
      </c>
      <c r="L4504">
        <v>1</v>
      </c>
      <c r="M4504" t="s">
        <v>1</v>
      </c>
      <c r="N4504" s="2">
        <v>0.45</v>
      </c>
      <c r="O4504" s="2">
        <v>0.55000000000000004</v>
      </c>
      <c r="P4504">
        <v>14</v>
      </c>
      <c r="Q4504">
        <v>12</v>
      </c>
      <c r="R4504">
        <v>4</v>
      </c>
      <c r="S4504">
        <v>2</v>
      </c>
      <c r="T4504">
        <v>9</v>
      </c>
      <c r="U4504">
        <v>11</v>
      </c>
      <c r="V4504">
        <v>0</v>
      </c>
      <c r="W4504">
        <v>4</v>
      </c>
      <c r="X4504">
        <v>1</v>
      </c>
      <c r="Y4504">
        <v>0</v>
      </c>
      <c r="Z4504">
        <v>0</v>
      </c>
    </row>
    <row r="4505" spans="1:26" x14ac:dyDescent="0.2">
      <c r="A4505" t="s">
        <v>4623</v>
      </c>
      <c r="B4505" t="s">
        <v>60</v>
      </c>
      <c r="C4505">
        <v>2020</v>
      </c>
      <c r="D4505" t="s">
        <v>95</v>
      </c>
      <c r="E4505" t="s">
        <v>90</v>
      </c>
      <c r="F4505" t="s">
        <v>57</v>
      </c>
      <c r="G4505">
        <v>32050</v>
      </c>
      <c r="H4505">
        <v>8012.5</v>
      </c>
      <c r="I4505" s="13">
        <v>1</v>
      </c>
      <c r="J4505" t="s">
        <v>6208</v>
      </c>
      <c r="K4505">
        <v>1</v>
      </c>
      <c r="L4505">
        <v>0</v>
      </c>
      <c r="M4505" t="s">
        <v>0</v>
      </c>
      <c r="N4505" s="2">
        <v>0.32</v>
      </c>
      <c r="O4505" s="2">
        <v>0.68</v>
      </c>
      <c r="P4505">
        <v>8</v>
      </c>
      <c r="Q4505">
        <v>13</v>
      </c>
      <c r="R4505">
        <v>2</v>
      </c>
      <c r="S4505">
        <v>12</v>
      </c>
      <c r="T4505">
        <v>13</v>
      </c>
      <c r="U4505">
        <v>7</v>
      </c>
      <c r="V4505">
        <v>3</v>
      </c>
      <c r="W4505">
        <v>0</v>
      </c>
      <c r="X4505">
        <v>0</v>
      </c>
      <c r="Y4505">
        <v>0</v>
      </c>
      <c r="Z4505">
        <v>0</v>
      </c>
    </row>
    <row r="4506" spans="1:26" x14ac:dyDescent="0.2">
      <c r="A4506" t="s">
        <v>4624</v>
      </c>
      <c r="B4506" t="s">
        <v>100</v>
      </c>
      <c r="C4506">
        <v>2020</v>
      </c>
      <c r="D4506" t="s">
        <v>22</v>
      </c>
      <c r="E4506" t="s">
        <v>28</v>
      </c>
      <c r="F4506" t="s">
        <v>24</v>
      </c>
      <c r="G4506">
        <v>31750</v>
      </c>
      <c r="H4506">
        <v>7937.5</v>
      </c>
      <c r="I4506" s="13">
        <v>0.33333333333333331</v>
      </c>
      <c r="J4506" t="s">
        <v>6207</v>
      </c>
      <c r="K4506">
        <v>0</v>
      </c>
      <c r="L4506">
        <v>4</v>
      </c>
      <c r="M4506" t="s">
        <v>1</v>
      </c>
      <c r="N4506" s="2">
        <v>0.59</v>
      </c>
      <c r="O4506" s="2">
        <v>0.41</v>
      </c>
      <c r="P4506">
        <v>12</v>
      </c>
      <c r="Q4506">
        <v>10</v>
      </c>
      <c r="R4506">
        <v>8</v>
      </c>
      <c r="S4506">
        <v>5</v>
      </c>
      <c r="T4506">
        <v>8</v>
      </c>
      <c r="U4506">
        <v>9</v>
      </c>
      <c r="V4506">
        <v>1</v>
      </c>
      <c r="W4506">
        <v>2</v>
      </c>
      <c r="X4506">
        <v>0</v>
      </c>
      <c r="Y4506">
        <v>0</v>
      </c>
      <c r="Z4506">
        <v>0</v>
      </c>
    </row>
    <row r="4507" spans="1:26" x14ac:dyDescent="0.2">
      <c r="A4507" t="s">
        <v>4625</v>
      </c>
      <c r="B4507" t="s">
        <v>76</v>
      </c>
      <c r="C4507">
        <v>2020</v>
      </c>
      <c r="D4507" t="s">
        <v>33</v>
      </c>
      <c r="E4507" t="s">
        <v>48</v>
      </c>
      <c r="F4507" t="s">
        <v>33</v>
      </c>
      <c r="G4507">
        <v>37645</v>
      </c>
      <c r="H4507">
        <v>9411.25</v>
      </c>
      <c r="I4507" s="13">
        <v>0.2</v>
      </c>
      <c r="J4507" t="s">
        <v>6207</v>
      </c>
      <c r="K4507">
        <v>0</v>
      </c>
      <c r="L4507">
        <v>0</v>
      </c>
      <c r="M4507" t="s">
        <v>58</v>
      </c>
      <c r="N4507" s="2">
        <v>0.44</v>
      </c>
      <c r="O4507" s="2">
        <v>0.56000000000000005</v>
      </c>
      <c r="P4507">
        <v>11</v>
      </c>
      <c r="Q4507">
        <v>23</v>
      </c>
      <c r="R4507">
        <v>2</v>
      </c>
      <c r="S4507">
        <v>6</v>
      </c>
      <c r="T4507">
        <v>21</v>
      </c>
      <c r="U4507">
        <v>11</v>
      </c>
      <c r="V4507">
        <v>4</v>
      </c>
      <c r="W4507">
        <v>1</v>
      </c>
      <c r="X4507">
        <v>0</v>
      </c>
      <c r="Y4507">
        <v>0</v>
      </c>
      <c r="Z4507">
        <v>0</v>
      </c>
    </row>
    <row r="4508" spans="1:26" x14ac:dyDescent="0.2">
      <c r="A4508" t="s">
        <v>4626</v>
      </c>
      <c r="B4508" t="s">
        <v>59</v>
      </c>
      <c r="C4508">
        <v>2020</v>
      </c>
      <c r="D4508" t="s">
        <v>42</v>
      </c>
      <c r="E4508" t="s">
        <v>63</v>
      </c>
      <c r="F4508" t="s">
        <v>38</v>
      </c>
      <c r="G4508">
        <v>42918</v>
      </c>
      <c r="H4508">
        <v>10000</v>
      </c>
      <c r="I4508" s="13">
        <v>0.5</v>
      </c>
      <c r="J4508" t="s">
        <v>6206</v>
      </c>
      <c r="K4508">
        <v>2</v>
      </c>
      <c r="L4508">
        <v>2</v>
      </c>
      <c r="M4508" t="s">
        <v>58</v>
      </c>
      <c r="N4508" s="2">
        <v>0.7</v>
      </c>
      <c r="O4508" s="2">
        <v>0.3</v>
      </c>
      <c r="P4508">
        <v>9</v>
      </c>
      <c r="Q4508">
        <v>15</v>
      </c>
      <c r="R4508">
        <v>11</v>
      </c>
      <c r="S4508">
        <v>4</v>
      </c>
      <c r="T4508">
        <v>14</v>
      </c>
      <c r="U4508">
        <v>9</v>
      </c>
      <c r="V4508">
        <v>0</v>
      </c>
      <c r="W4508">
        <v>2</v>
      </c>
      <c r="X4508">
        <v>0</v>
      </c>
      <c r="Y4508">
        <v>0</v>
      </c>
      <c r="Z4508">
        <v>2</v>
      </c>
    </row>
    <row r="4509" spans="1:26" x14ac:dyDescent="0.2">
      <c r="A4509" t="s">
        <v>4627</v>
      </c>
      <c r="B4509" t="s">
        <v>83</v>
      </c>
      <c r="C4509">
        <v>2020</v>
      </c>
      <c r="D4509" t="s">
        <v>80</v>
      </c>
      <c r="E4509" t="s">
        <v>79</v>
      </c>
      <c r="F4509" t="s">
        <v>80</v>
      </c>
      <c r="G4509">
        <v>32261</v>
      </c>
      <c r="H4509">
        <v>8065.25</v>
      </c>
      <c r="I4509" s="13">
        <v>1</v>
      </c>
      <c r="J4509" t="s">
        <v>6208</v>
      </c>
      <c r="K4509">
        <v>2</v>
      </c>
      <c r="L4509">
        <v>1</v>
      </c>
      <c r="M4509" t="s">
        <v>0</v>
      </c>
      <c r="N4509" s="2">
        <v>0.67</v>
      </c>
      <c r="O4509" s="2">
        <v>0.33</v>
      </c>
      <c r="P4509">
        <v>14</v>
      </c>
      <c r="Q4509">
        <v>15</v>
      </c>
      <c r="R4509">
        <v>7</v>
      </c>
      <c r="S4509">
        <v>2</v>
      </c>
      <c r="T4509">
        <v>13</v>
      </c>
      <c r="U4509">
        <v>12</v>
      </c>
      <c r="V4509">
        <v>0</v>
      </c>
      <c r="W4509">
        <v>1</v>
      </c>
      <c r="X4509">
        <v>0</v>
      </c>
      <c r="Y4509">
        <v>0</v>
      </c>
      <c r="Z4509">
        <v>0</v>
      </c>
    </row>
    <row r="4510" spans="1:26" x14ac:dyDescent="0.2">
      <c r="A4510" t="s">
        <v>4628</v>
      </c>
      <c r="B4510" t="s">
        <v>99</v>
      </c>
      <c r="C4510">
        <v>2020</v>
      </c>
      <c r="D4510" t="s">
        <v>73</v>
      </c>
      <c r="E4510" t="s">
        <v>80</v>
      </c>
      <c r="F4510" t="s">
        <v>73</v>
      </c>
      <c r="G4510">
        <v>32384</v>
      </c>
      <c r="H4510">
        <v>8096</v>
      </c>
      <c r="I4510" s="13">
        <v>1</v>
      </c>
      <c r="J4510" t="s">
        <v>6207</v>
      </c>
      <c r="K4510">
        <v>1</v>
      </c>
      <c r="L4510">
        <v>1</v>
      </c>
      <c r="M4510" t="s">
        <v>58</v>
      </c>
      <c r="N4510" s="2">
        <v>0.28999999999999998</v>
      </c>
      <c r="O4510" s="2">
        <v>0.71</v>
      </c>
      <c r="P4510">
        <v>17</v>
      </c>
      <c r="Q4510">
        <v>10</v>
      </c>
      <c r="R4510">
        <v>0</v>
      </c>
      <c r="S4510">
        <v>10</v>
      </c>
      <c r="T4510">
        <v>9</v>
      </c>
      <c r="U4510">
        <v>13</v>
      </c>
      <c r="V4510">
        <v>1</v>
      </c>
      <c r="W4510">
        <v>0</v>
      </c>
      <c r="X4510">
        <v>1</v>
      </c>
      <c r="Y4510">
        <v>0</v>
      </c>
      <c r="Z4510">
        <v>1</v>
      </c>
    </row>
    <row r="4511" spans="1:26" x14ac:dyDescent="0.2">
      <c r="A4511" t="s">
        <v>4629</v>
      </c>
      <c r="B4511" t="s">
        <v>93</v>
      </c>
      <c r="C4511">
        <v>2020</v>
      </c>
      <c r="D4511" t="s">
        <v>79</v>
      </c>
      <c r="E4511" t="s">
        <v>40</v>
      </c>
      <c r="F4511" t="s">
        <v>20</v>
      </c>
      <c r="G4511">
        <v>25486</v>
      </c>
      <c r="H4511">
        <v>6371.5</v>
      </c>
      <c r="I4511" s="13">
        <v>1</v>
      </c>
      <c r="J4511" t="s">
        <v>6206</v>
      </c>
      <c r="K4511">
        <v>0</v>
      </c>
      <c r="L4511">
        <v>2</v>
      </c>
      <c r="M4511" t="s">
        <v>1</v>
      </c>
      <c r="N4511" s="2">
        <v>0.3</v>
      </c>
      <c r="O4511" s="2">
        <v>0.7</v>
      </c>
      <c r="P4511">
        <v>10</v>
      </c>
      <c r="Q4511">
        <v>12</v>
      </c>
      <c r="R4511">
        <v>2</v>
      </c>
      <c r="S4511">
        <v>6</v>
      </c>
      <c r="T4511">
        <v>9</v>
      </c>
      <c r="U4511">
        <v>10</v>
      </c>
      <c r="V4511">
        <v>2</v>
      </c>
      <c r="W4511">
        <v>0</v>
      </c>
      <c r="X4511">
        <v>0</v>
      </c>
      <c r="Y4511">
        <v>0</v>
      </c>
      <c r="Z4511">
        <v>0</v>
      </c>
    </row>
    <row r="4512" spans="1:26" x14ac:dyDescent="0.2">
      <c r="A4512" t="s">
        <v>4630</v>
      </c>
      <c r="B4512" t="s">
        <v>88</v>
      </c>
      <c r="C4512">
        <v>2020</v>
      </c>
      <c r="D4512" t="s">
        <v>90</v>
      </c>
      <c r="E4512" t="s">
        <v>33</v>
      </c>
      <c r="F4512" t="s">
        <v>91</v>
      </c>
      <c r="G4512">
        <v>31876</v>
      </c>
      <c r="H4512">
        <v>7969</v>
      </c>
      <c r="I4512" s="13">
        <v>0.5</v>
      </c>
      <c r="J4512" t="s">
        <v>6207</v>
      </c>
      <c r="K4512">
        <v>2</v>
      </c>
      <c r="L4512">
        <v>0</v>
      </c>
      <c r="M4512" t="s">
        <v>0</v>
      </c>
      <c r="N4512" s="2">
        <v>0.42</v>
      </c>
      <c r="O4512" s="2">
        <v>0.57999999999999996</v>
      </c>
      <c r="P4512">
        <v>6</v>
      </c>
      <c r="Q4512">
        <v>17</v>
      </c>
      <c r="R4512">
        <v>2</v>
      </c>
      <c r="S4512">
        <v>9</v>
      </c>
      <c r="T4512">
        <v>17</v>
      </c>
      <c r="U4512">
        <v>6</v>
      </c>
      <c r="V4512">
        <v>1</v>
      </c>
      <c r="W4512">
        <v>1</v>
      </c>
      <c r="X4512">
        <v>0</v>
      </c>
      <c r="Y4512">
        <v>0</v>
      </c>
      <c r="Z4512">
        <v>1</v>
      </c>
    </row>
    <row r="4513" spans="1:26" x14ac:dyDescent="0.2">
      <c r="A4513" t="s">
        <v>4631</v>
      </c>
      <c r="B4513" t="s">
        <v>60</v>
      </c>
      <c r="C4513">
        <v>2020</v>
      </c>
      <c r="D4513" t="s">
        <v>18</v>
      </c>
      <c r="E4513" t="s">
        <v>31</v>
      </c>
      <c r="F4513" t="s">
        <v>20</v>
      </c>
      <c r="G4513">
        <v>40341</v>
      </c>
      <c r="H4513">
        <v>10000</v>
      </c>
      <c r="I4513" s="13">
        <v>1</v>
      </c>
      <c r="J4513" t="s">
        <v>6208</v>
      </c>
      <c r="K4513">
        <v>2</v>
      </c>
      <c r="L4513">
        <v>0</v>
      </c>
      <c r="M4513" t="s">
        <v>0</v>
      </c>
      <c r="N4513" s="2">
        <v>0.49</v>
      </c>
      <c r="O4513" s="2">
        <v>0.51</v>
      </c>
      <c r="P4513">
        <v>9</v>
      </c>
      <c r="Q4513">
        <v>22</v>
      </c>
      <c r="R4513">
        <v>1</v>
      </c>
      <c r="S4513">
        <v>8</v>
      </c>
      <c r="T4513">
        <v>15</v>
      </c>
      <c r="U4513">
        <v>8</v>
      </c>
      <c r="V4513">
        <v>1</v>
      </c>
      <c r="W4513">
        <v>1</v>
      </c>
      <c r="X4513">
        <v>0</v>
      </c>
      <c r="Y4513">
        <v>0</v>
      </c>
      <c r="Z4513">
        <v>0</v>
      </c>
    </row>
    <row r="4514" spans="1:26" x14ac:dyDescent="0.2">
      <c r="A4514" t="s">
        <v>4632</v>
      </c>
      <c r="B4514" t="s">
        <v>84</v>
      </c>
      <c r="C4514">
        <v>2020</v>
      </c>
      <c r="D4514" t="s">
        <v>45</v>
      </c>
      <c r="E4514" t="s">
        <v>42</v>
      </c>
      <c r="F4514" t="s">
        <v>26</v>
      </c>
      <c r="G4514">
        <v>39572</v>
      </c>
      <c r="H4514">
        <v>9893</v>
      </c>
      <c r="I4514" s="13">
        <v>0.5</v>
      </c>
      <c r="J4514" t="s">
        <v>6208</v>
      </c>
      <c r="K4514">
        <v>1</v>
      </c>
      <c r="L4514">
        <v>2</v>
      </c>
      <c r="M4514" t="s">
        <v>1</v>
      </c>
      <c r="N4514" s="2">
        <v>0.48</v>
      </c>
      <c r="O4514" s="2">
        <v>0.52</v>
      </c>
      <c r="P4514">
        <v>14</v>
      </c>
      <c r="Q4514">
        <v>12</v>
      </c>
      <c r="R4514">
        <v>3</v>
      </c>
      <c r="S4514">
        <v>6</v>
      </c>
      <c r="T4514">
        <v>10</v>
      </c>
      <c r="U4514">
        <v>13</v>
      </c>
      <c r="V4514">
        <v>0</v>
      </c>
      <c r="W4514">
        <v>2</v>
      </c>
      <c r="X4514">
        <v>0</v>
      </c>
      <c r="Y4514">
        <v>0</v>
      </c>
      <c r="Z4514">
        <v>0</v>
      </c>
    </row>
    <row r="4515" spans="1:26" x14ac:dyDescent="0.2">
      <c r="A4515" t="s">
        <v>4633</v>
      </c>
      <c r="B4515" t="s">
        <v>41</v>
      </c>
      <c r="C4515">
        <v>2020</v>
      </c>
      <c r="D4515" t="s">
        <v>64</v>
      </c>
      <c r="E4515" t="s">
        <v>46</v>
      </c>
      <c r="F4515" t="s">
        <v>64</v>
      </c>
      <c r="G4515">
        <v>52264</v>
      </c>
      <c r="H4515">
        <v>10000</v>
      </c>
      <c r="I4515" s="13">
        <v>1</v>
      </c>
      <c r="J4515" t="s">
        <v>6207</v>
      </c>
      <c r="K4515">
        <v>0</v>
      </c>
      <c r="L4515">
        <v>2</v>
      </c>
      <c r="M4515" t="s">
        <v>1</v>
      </c>
      <c r="N4515" s="2">
        <v>0.38</v>
      </c>
      <c r="O4515" s="2">
        <v>0.62</v>
      </c>
      <c r="P4515">
        <v>10</v>
      </c>
      <c r="Q4515">
        <v>11</v>
      </c>
      <c r="R4515">
        <v>3</v>
      </c>
      <c r="S4515">
        <v>7</v>
      </c>
      <c r="T4515">
        <v>10</v>
      </c>
      <c r="U4515">
        <v>9</v>
      </c>
      <c r="V4515">
        <v>2</v>
      </c>
      <c r="W4515">
        <v>1</v>
      </c>
      <c r="X4515">
        <v>1</v>
      </c>
      <c r="Y4515">
        <v>0</v>
      </c>
      <c r="Z4515">
        <v>0</v>
      </c>
    </row>
    <row r="4516" spans="1:26" x14ac:dyDescent="0.2">
      <c r="A4516" t="s">
        <v>4634</v>
      </c>
      <c r="B4516" t="s">
        <v>37</v>
      </c>
      <c r="C4516">
        <v>2020</v>
      </c>
      <c r="D4516" t="s">
        <v>51</v>
      </c>
      <c r="E4516" t="s">
        <v>95</v>
      </c>
      <c r="F4516" t="s">
        <v>20</v>
      </c>
      <c r="G4516">
        <v>36284</v>
      </c>
      <c r="H4516">
        <v>9071</v>
      </c>
      <c r="I4516" s="13">
        <v>1</v>
      </c>
      <c r="J4516" t="s">
        <v>6206</v>
      </c>
      <c r="K4516">
        <v>4</v>
      </c>
      <c r="L4516">
        <v>0</v>
      </c>
      <c r="M4516" t="s">
        <v>0</v>
      </c>
      <c r="N4516" s="2">
        <v>0.66</v>
      </c>
      <c r="O4516" s="2">
        <v>0.34</v>
      </c>
      <c r="P4516">
        <v>9</v>
      </c>
      <c r="Q4516">
        <v>11</v>
      </c>
      <c r="R4516">
        <v>6</v>
      </c>
      <c r="S4516">
        <v>6</v>
      </c>
      <c r="T4516">
        <v>8</v>
      </c>
      <c r="U4516">
        <v>9</v>
      </c>
      <c r="V4516">
        <v>1</v>
      </c>
      <c r="W4516">
        <v>1</v>
      </c>
      <c r="X4516">
        <v>0</v>
      </c>
      <c r="Y4516">
        <v>0</v>
      </c>
      <c r="Z4516">
        <v>0</v>
      </c>
    </row>
    <row r="4517" spans="1:26" x14ac:dyDescent="0.2">
      <c r="A4517" t="s">
        <v>4635</v>
      </c>
      <c r="B4517" t="s">
        <v>81</v>
      </c>
      <c r="C4517">
        <v>2020</v>
      </c>
      <c r="D4517" t="s">
        <v>63</v>
      </c>
      <c r="E4517" t="s">
        <v>22</v>
      </c>
      <c r="F4517" t="s">
        <v>65</v>
      </c>
      <c r="G4517">
        <v>26804</v>
      </c>
      <c r="H4517">
        <v>6701</v>
      </c>
      <c r="I4517" s="13">
        <v>0</v>
      </c>
      <c r="J4517" t="s">
        <v>6207</v>
      </c>
      <c r="K4517">
        <v>1</v>
      </c>
      <c r="L4517">
        <v>1</v>
      </c>
      <c r="M4517" t="s">
        <v>58</v>
      </c>
      <c r="N4517" s="2">
        <v>0.42</v>
      </c>
      <c r="O4517" s="2">
        <v>0.57999999999999996</v>
      </c>
      <c r="P4517">
        <v>13</v>
      </c>
      <c r="Q4517">
        <v>18</v>
      </c>
      <c r="R4517">
        <v>5</v>
      </c>
      <c r="S4517">
        <v>6</v>
      </c>
      <c r="T4517">
        <v>17</v>
      </c>
      <c r="U4517">
        <v>11</v>
      </c>
      <c r="V4517">
        <v>2</v>
      </c>
      <c r="W4517">
        <v>0</v>
      </c>
      <c r="X4517">
        <v>0</v>
      </c>
      <c r="Y4517">
        <v>0</v>
      </c>
      <c r="Z4517">
        <v>0</v>
      </c>
    </row>
    <row r="4518" spans="1:26" x14ac:dyDescent="0.2">
      <c r="A4518" t="s">
        <v>4636</v>
      </c>
      <c r="B4518" t="s">
        <v>61</v>
      </c>
      <c r="C4518">
        <v>2020</v>
      </c>
      <c r="D4518" t="s">
        <v>28</v>
      </c>
      <c r="E4518" t="s">
        <v>23</v>
      </c>
      <c r="F4518" t="s">
        <v>28</v>
      </c>
      <c r="G4518">
        <v>21944</v>
      </c>
      <c r="H4518">
        <v>5486</v>
      </c>
      <c r="I4518" s="13">
        <v>0.33333333333333331</v>
      </c>
      <c r="J4518" t="s">
        <v>6207</v>
      </c>
      <c r="K4518">
        <v>1</v>
      </c>
      <c r="L4518">
        <v>2</v>
      </c>
      <c r="M4518" t="s">
        <v>1</v>
      </c>
      <c r="N4518" s="2">
        <v>0.45</v>
      </c>
      <c r="O4518" s="2">
        <v>0.55000000000000004</v>
      </c>
      <c r="P4518">
        <v>9</v>
      </c>
      <c r="Q4518">
        <v>6</v>
      </c>
      <c r="R4518">
        <v>5</v>
      </c>
      <c r="S4518">
        <v>4</v>
      </c>
      <c r="T4518">
        <v>4</v>
      </c>
      <c r="U4518">
        <v>8</v>
      </c>
      <c r="V4518">
        <v>2</v>
      </c>
      <c r="W4518">
        <v>1</v>
      </c>
      <c r="X4518">
        <v>0</v>
      </c>
      <c r="Y4518">
        <v>0</v>
      </c>
      <c r="Z4518">
        <v>1</v>
      </c>
    </row>
    <row r="4519" spans="1:26" x14ac:dyDescent="0.2">
      <c r="A4519" t="s">
        <v>4637</v>
      </c>
      <c r="B4519" t="s">
        <v>100</v>
      </c>
      <c r="C4519">
        <v>2020</v>
      </c>
      <c r="D4519" t="s">
        <v>80</v>
      </c>
      <c r="E4519" t="s">
        <v>64</v>
      </c>
      <c r="F4519" t="s">
        <v>80</v>
      </c>
      <c r="G4519">
        <v>32261</v>
      </c>
      <c r="H4519">
        <v>8065.25</v>
      </c>
      <c r="I4519" s="13">
        <v>1</v>
      </c>
      <c r="J4519" t="s">
        <v>6207</v>
      </c>
      <c r="K4519">
        <v>2</v>
      </c>
      <c r="L4519">
        <v>4</v>
      </c>
      <c r="M4519" t="s">
        <v>1</v>
      </c>
      <c r="N4519" s="2">
        <v>0.68</v>
      </c>
      <c r="O4519" s="2">
        <v>0.32</v>
      </c>
      <c r="P4519">
        <v>10</v>
      </c>
      <c r="Q4519">
        <v>14</v>
      </c>
      <c r="R4519">
        <v>9</v>
      </c>
      <c r="S4519">
        <v>6</v>
      </c>
      <c r="T4519">
        <v>12</v>
      </c>
      <c r="U4519">
        <v>9</v>
      </c>
      <c r="V4519">
        <v>1</v>
      </c>
      <c r="W4519">
        <v>1</v>
      </c>
      <c r="X4519">
        <v>0</v>
      </c>
      <c r="Y4519">
        <v>0</v>
      </c>
      <c r="Z4519">
        <v>0</v>
      </c>
    </row>
    <row r="4520" spans="1:26" x14ac:dyDescent="0.2">
      <c r="A4520" t="s">
        <v>4638</v>
      </c>
      <c r="B4520" t="s">
        <v>66</v>
      </c>
      <c r="C4520">
        <v>2020</v>
      </c>
      <c r="D4520" t="s">
        <v>33</v>
      </c>
      <c r="E4520" t="s">
        <v>51</v>
      </c>
      <c r="F4520" t="s">
        <v>33</v>
      </c>
      <c r="G4520">
        <v>37645</v>
      </c>
      <c r="H4520">
        <v>9411.25</v>
      </c>
      <c r="I4520" s="13">
        <v>1</v>
      </c>
      <c r="J4520" t="s">
        <v>6207</v>
      </c>
      <c r="K4520">
        <v>3</v>
      </c>
      <c r="L4520">
        <v>1</v>
      </c>
      <c r="M4520" t="s">
        <v>0</v>
      </c>
      <c r="N4520" s="2">
        <v>0.53</v>
      </c>
      <c r="O4520" s="2">
        <v>0.47</v>
      </c>
      <c r="P4520">
        <v>10</v>
      </c>
      <c r="Q4520">
        <v>14</v>
      </c>
      <c r="R4520">
        <v>8</v>
      </c>
      <c r="S4520">
        <v>6</v>
      </c>
      <c r="T4520">
        <v>12</v>
      </c>
      <c r="U4520">
        <v>10</v>
      </c>
      <c r="V4520">
        <v>1</v>
      </c>
      <c r="W4520">
        <v>2</v>
      </c>
      <c r="X4520">
        <v>0</v>
      </c>
      <c r="Y4520">
        <v>0</v>
      </c>
      <c r="Z4520">
        <v>0</v>
      </c>
    </row>
    <row r="4521" spans="1:26" x14ac:dyDescent="0.2">
      <c r="A4521" t="s">
        <v>4639</v>
      </c>
      <c r="B4521" t="s">
        <v>84</v>
      </c>
      <c r="C4521">
        <v>2020</v>
      </c>
      <c r="D4521" t="s">
        <v>95</v>
      </c>
      <c r="E4521" t="s">
        <v>79</v>
      </c>
      <c r="F4521" t="s">
        <v>57</v>
      </c>
      <c r="G4521">
        <v>32050</v>
      </c>
      <c r="H4521">
        <v>8012.5</v>
      </c>
      <c r="I4521" s="13">
        <v>0</v>
      </c>
      <c r="J4521" t="s">
        <v>6208</v>
      </c>
      <c r="K4521">
        <v>0</v>
      </c>
      <c r="L4521">
        <v>2</v>
      </c>
      <c r="M4521" t="s">
        <v>1</v>
      </c>
      <c r="N4521" s="2">
        <v>0.49</v>
      </c>
      <c r="O4521" s="2">
        <v>0.51</v>
      </c>
      <c r="P4521">
        <v>9</v>
      </c>
      <c r="Q4521">
        <v>13</v>
      </c>
      <c r="R4521">
        <v>5</v>
      </c>
      <c r="S4521">
        <v>11</v>
      </c>
      <c r="T4521">
        <v>11</v>
      </c>
      <c r="U4521">
        <v>8</v>
      </c>
      <c r="V4521">
        <v>1</v>
      </c>
      <c r="W4521">
        <v>1</v>
      </c>
      <c r="X4521">
        <v>0</v>
      </c>
      <c r="Y4521">
        <v>0</v>
      </c>
      <c r="Z4521">
        <v>0</v>
      </c>
    </row>
    <row r="4522" spans="1:26" x14ac:dyDescent="0.2">
      <c r="A4522" t="s">
        <v>4640</v>
      </c>
      <c r="B4522" t="s">
        <v>61</v>
      </c>
      <c r="C4522">
        <v>2020</v>
      </c>
      <c r="D4522" t="s">
        <v>40</v>
      </c>
      <c r="E4522" t="s">
        <v>18</v>
      </c>
      <c r="F4522" t="s">
        <v>49</v>
      </c>
      <c r="G4522">
        <v>53400</v>
      </c>
      <c r="H4522">
        <v>10000</v>
      </c>
      <c r="I4522" s="13">
        <v>0.5</v>
      </c>
      <c r="J4522" t="s">
        <v>6207</v>
      </c>
      <c r="K4522">
        <v>1</v>
      </c>
      <c r="L4522">
        <v>2</v>
      </c>
      <c r="M4522" t="s">
        <v>1</v>
      </c>
      <c r="N4522" s="2">
        <v>0.48</v>
      </c>
      <c r="O4522" s="2">
        <v>0.52</v>
      </c>
      <c r="P4522">
        <v>14</v>
      </c>
      <c r="Q4522">
        <v>13</v>
      </c>
      <c r="R4522">
        <v>6</v>
      </c>
      <c r="S4522">
        <v>2</v>
      </c>
      <c r="T4522">
        <v>12</v>
      </c>
      <c r="U4522">
        <v>10</v>
      </c>
      <c r="V4522">
        <v>2</v>
      </c>
      <c r="W4522">
        <v>0</v>
      </c>
      <c r="X4522">
        <v>0</v>
      </c>
      <c r="Y4522">
        <v>0</v>
      </c>
      <c r="Z4522">
        <v>1</v>
      </c>
    </row>
    <row r="4523" spans="1:26" x14ac:dyDescent="0.2">
      <c r="A4523" t="s">
        <v>4641</v>
      </c>
      <c r="B4523" t="s">
        <v>60</v>
      </c>
      <c r="C4523">
        <v>2020</v>
      </c>
      <c r="D4523" t="s">
        <v>26</v>
      </c>
      <c r="E4523" t="s">
        <v>73</v>
      </c>
      <c r="F4523" t="s">
        <v>26</v>
      </c>
      <c r="G4523">
        <v>61276</v>
      </c>
      <c r="H4523">
        <v>10000</v>
      </c>
      <c r="I4523" s="13">
        <v>0</v>
      </c>
      <c r="J4523" t="s">
        <v>6208</v>
      </c>
      <c r="K4523">
        <v>2</v>
      </c>
      <c r="L4523">
        <v>0</v>
      </c>
      <c r="M4523" t="s">
        <v>0</v>
      </c>
      <c r="N4523" s="2">
        <v>0.54</v>
      </c>
      <c r="O4523" s="2">
        <v>0.46</v>
      </c>
      <c r="P4523">
        <v>8</v>
      </c>
      <c r="Q4523">
        <v>14</v>
      </c>
      <c r="R4523">
        <v>8</v>
      </c>
      <c r="S4523">
        <v>4</v>
      </c>
      <c r="T4523">
        <v>10</v>
      </c>
      <c r="U4523">
        <v>6</v>
      </c>
      <c r="V4523">
        <v>0</v>
      </c>
      <c r="W4523">
        <v>1</v>
      </c>
      <c r="X4523">
        <v>0</v>
      </c>
      <c r="Y4523">
        <v>0</v>
      </c>
      <c r="Z4523">
        <v>0</v>
      </c>
    </row>
    <row r="4524" spans="1:26" x14ac:dyDescent="0.2">
      <c r="A4524" t="s">
        <v>4642</v>
      </c>
      <c r="B4524" t="s">
        <v>68</v>
      </c>
      <c r="C4524">
        <v>2020</v>
      </c>
      <c r="D4524" t="s">
        <v>22</v>
      </c>
      <c r="E4524" t="s">
        <v>90</v>
      </c>
      <c r="F4524" t="s">
        <v>24</v>
      </c>
      <c r="G4524">
        <v>31750</v>
      </c>
      <c r="H4524">
        <v>7937.5</v>
      </c>
      <c r="I4524" s="13">
        <v>0.5</v>
      </c>
      <c r="J4524" t="s">
        <v>6207</v>
      </c>
      <c r="K4524">
        <v>2</v>
      </c>
      <c r="L4524">
        <v>1</v>
      </c>
      <c r="M4524" t="s">
        <v>0</v>
      </c>
      <c r="N4524" s="2">
        <v>0.6</v>
      </c>
      <c r="O4524" s="2">
        <v>0.4</v>
      </c>
      <c r="P4524">
        <v>8</v>
      </c>
      <c r="Q4524">
        <v>12</v>
      </c>
      <c r="R4524">
        <v>10</v>
      </c>
      <c r="S4524">
        <v>5</v>
      </c>
      <c r="T4524">
        <v>12</v>
      </c>
      <c r="U4524">
        <v>7</v>
      </c>
      <c r="V4524">
        <v>2</v>
      </c>
      <c r="W4524">
        <v>2</v>
      </c>
      <c r="X4524">
        <v>0</v>
      </c>
      <c r="Y4524">
        <v>2</v>
      </c>
      <c r="Z4524">
        <v>0</v>
      </c>
    </row>
    <row r="4525" spans="1:26" x14ac:dyDescent="0.2">
      <c r="A4525" t="s">
        <v>4643</v>
      </c>
      <c r="B4525" t="s">
        <v>88</v>
      </c>
      <c r="C4525">
        <v>2020</v>
      </c>
      <c r="D4525" t="s">
        <v>42</v>
      </c>
      <c r="E4525" t="s">
        <v>48</v>
      </c>
      <c r="F4525" t="s">
        <v>38</v>
      </c>
      <c r="G4525">
        <v>42918</v>
      </c>
      <c r="H4525">
        <v>10000</v>
      </c>
      <c r="I4525" s="13">
        <v>0</v>
      </c>
      <c r="J4525" t="s">
        <v>6207</v>
      </c>
      <c r="K4525">
        <v>1</v>
      </c>
      <c r="L4525">
        <v>3</v>
      </c>
      <c r="M4525" t="s">
        <v>1</v>
      </c>
      <c r="N4525" s="2">
        <v>0.41</v>
      </c>
      <c r="O4525" s="2">
        <v>0.59</v>
      </c>
      <c r="P4525">
        <v>19</v>
      </c>
      <c r="Q4525">
        <v>12</v>
      </c>
      <c r="R4525">
        <v>5</v>
      </c>
      <c r="S4525">
        <v>6</v>
      </c>
      <c r="T4525">
        <v>13</v>
      </c>
      <c r="U4525">
        <v>18</v>
      </c>
      <c r="V4525">
        <v>2</v>
      </c>
      <c r="W4525">
        <v>1</v>
      </c>
      <c r="X4525">
        <v>1</v>
      </c>
      <c r="Y4525">
        <v>0</v>
      </c>
      <c r="Z4525">
        <v>1</v>
      </c>
    </row>
    <row r="4526" spans="1:26" x14ac:dyDescent="0.2">
      <c r="A4526" t="s">
        <v>4644</v>
      </c>
      <c r="B4526" t="s">
        <v>59</v>
      </c>
      <c r="C4526">
        <v>2020</v>
      </c>
      <c r="D4526" t="s">
        <v>23</v>
      </c>
      <c r="E4526" t="s">
        <v>45</v>
      </c>
      <c r="F4526" t="s">
        <v>20</v>
      </c>
      <c r="G4526">
        <v>62500</v>
      </c>
      <c r="H4526">
        <v>10000</v>
      </c>
      <c r="I4526" s="13">
        <v>0.66666666666666663</v>
      </c>
      <c r="J4526" t="s">
        <v>6206</v>
      </c>
      <c r="K4526">
        <v>0</v>
      </c>
      <c r="L4526">
        <v>1</v>
      </c>
      <c r="M4526" t="s">
        <v>1</v>
      </c>
      <c r="N4526" s="2">
        <v>0.69</v>
      </c>
      <c r="O4526" s="2">
        <v>0.31</v>
      </c>
      <c r="P4526">
        <v>12</v>
      </c>
      <c r="Q4526">
        <v>10</v>
      </c>
      <c r="R4526">
        <v>5</v>
      </c>
      <c r="S4526">
        <v>6</v>
      </c>
      <c r="T4526">
        <v>8</v>
      </c>
      <c r="U4526">
        <v>10</v>
      </c>
      <c r="V4526">
        <v>2</v>
      </c>
      <c r="W4526">
        <v>1</v>
      </c>
      <c r="X4526">
        <v>0</v>
      </c>
      <c r="Y4526">
        <v>0</v>
      </c>
      <c r="Z4526">
        <v>0</v>
      </c>
    </row>
    <row r="4527" spans="1:26" x14ac:dyDescent="0.2">
      <c r="A4527" t="s">
        <v>4645</v>
      </c>
      <c r="B4527" t="s">
        <v>97</v>
      </c>
      <c r="C4527">
        <v>2020</v>
      </c>
      <c r="D4527" t="s">
        <v>46</v>
      </c>
      <c r="E4527" t="s">
        <v>63</v>
      </c>
      <c r="F4527" t="s">
        <v>20</v>
      </c>
      <c r="G4527">
        <v>60704</v>
      </c>
      <c r="H4527">
        <v>10000</v>
      </c>
      <c r="I4527" s="13">
        <v>0.33333333333333331</v>
      </c>
      <c r="J4527" t="s">
        <v>6207</v>
      </c>
      <c r="K4527">
        <v>3</v>
      </c>
      <c r="L4527">
        <v>1</v>
      </c>
      <c r="M4527" t="s">
        <v>0</v>
      </c>
      <c r="N4527" s="2">
        <v>0.66</v>
      </c>
      <c r="O4527" s="2">
        <v>0.34</v>
      </c>
      <c r="P4527">
        <v>11</v>
      </c>
      <c r="Q4527">
        <v>8</v>
      </c>
      <c r="R4527">
        <v>6</v>
      </c>
      <c r="S4527">
        <v>6</v>
      </c>
      <c r="T4527">
        <v>7</v>
      </c>
      <c r="U4527">
        <v>9</v>
      </c>
      <c r="V4527">
        <v>1</v>
      </c>
      <c r="W4527">
        <v>2</v>
      </c>
      <c r="X4527">
        <v>0</v>
      </c>
      <c r="Y4527">
        <v>0</v>
      </c>
      <c r="Z4527">
        <v>0</v>
      </c>
    </row>
    <row r="4528" spans="1:26" x14ac:dyDescent="0.2">
      <c r="A4528" t="s">
        <v>4646</v>
      </c>
      <c r="B4528" t="s">
        <v>93</v>
      </c>
      <c r="C4528">
        <v>2020</v>
      </c>
      <c r="D4528" t="s">
        <v>31</v>
      </c>
      <c r="E4528" t="s">
        <v>28</v>
      </c>
      <c r="F4528" t="s">
        <v>20</v>
      </c>
      <c r="G4528">
        <v>28500</v>
      </c>
      <c r="H4528">
        <v>7125</v>
      </c>
      <c r="I4528" s="13">
        <v>1</v>
      </c>
      <c r="J4528" t="s">
        <v>6206</v>
      </c>
      <c r="K4528">
        <v>0</v>
      </c>
      <c r="L4528">
        <v>2</v>
      </c>
      <c r="M4528" t="s">
        <v>1</v>
      </c>
      <c r="N4528" s="2">
        <v>0.68</v>
      </c>
      <c r="O4528" s="2">
        <v>0.32</v>
      </c>
      <c r="P4528">
        <v>11</v>
      </c>
      <c r="Q4528">
        <v>16</v>
      </c>
      <c r="R4528">
        <v>8</v>
      </c>
      <c r="S4528">
        <v>4</v>
      </c>
      <c r="T4528">
        <v>11</v>
      </c>
      <c r="U4528">
        <v>10</v>
      </c>
      <c r="V4528">
        <v>2</v>
      </c>
      <c r="W4528">
        <v>0</v>
      </c>
      <c r="X4528">
        <v>0</v>
      </c>
      <c r="Y4528">
        <v>0</v>
      </c>
      <c r="Z4528">
        <v>0</v>
      </c>
    </row>
    <row r="4529" spans="1:26" x14ac:dyDescent="0.2">
      <c r="A4529" t="s">
        <v>4647</v>
      </c>
      <c r="B4529" t="s">
        <v>76</v>
      </c>
      <c r="C4529">
        <v>2020</v>
      </c>
      <c r="D4529" t="s">
        <v>48</v>
      </c>
      <c r="E4529" t="s">
        <v>80</v>
      </c>
      <c r="F4529" t="s">
        <v>49</v>
      </c>
      <c r="G4529">
        <v>74197</v>
      </c>
      <c r="H4529">
        <v>10000</v>
      </c>
      <c r="I4529" s="13">
        <v>0</v>
      </c>
      <c r="J4529" t="s">
        <v>6207</v>
      </c>
      <c r="K4529">
        <v>1</v>
      </c>
      <c r="L4529">
        <v>2</v>
      </c>
      <c r="M4529" t="s">
        <v>1</v>
      </c>
      <c r="N4529" s="2">
        <v>0.53</v>
      </c>
      <c r="O4529" s="2">
        <v>0.47</v>
      </c>
      <c r="P4529">
        <v>11</v>
      </c>
      <c r="Q4529">
        <v>13</v>
      </c>
      <c r="R4529">
        <v>3</v>
      </c>
      <c r="S4529">
        <v>4</v>
      </c>
      <c r="T4529">
        <v>9</v>
      </c>
      <c r="U4529">
        <v>12</v>
      </c>
      <c r="V4529">
        <v>0</v>
      </c>
      <c r="W4529">
        <v>0</v>
      </c>
      <c r="X4529">
        <v>0</v>
      </c>
      <c r="Y4529">
        <v>0</v>
      </c>
      <c r="Z4529">
        <v>0</v>
      </c>
    </row>
    <row r="4530" spans="1:26" x14ac:dyDescent="0.2">
      <c r="A4530" t="s">
        <v>4648</v>
      </c>
      <c r="B4530" t="s">
        <v>92</v>
      </c>
      <c r="C4530">
        <v>2020</v>
      </c>
      <c r="D4530" t="s">
        <v>73</v>
      </c>
      <c r="E4530" t="s">
        <v>79</v>
      </c>
      <c r="F4530" t="s">
        <v>73</v>
      </c>
      <c r="G4530">
        <v>32384</v>
      </c>
      <c r="H4530">
        <v>8096</v>
      </c>
      <c r="I4530" s="13">
        <v>1</v>
      </c>
      <c r="J4530" t="s">
        <v>6207</v>
      </c>
      <c r="K4530">
        <v>3</v>
      </c>
      <c r="L4530">
        <v>1</v>
      </c>
      <c r="M4530" t="s">
        <v>0</v>
      </c>
      <c r="N4530" s="2">
        <v>0.63</v>
      </c>
      <c r="O4530" s="2">
        <v>0.37</v>
      </c>
      <c r="P4530">
        <v>16</v>
      </c>
      <c r="Q4530">
        <v>20</v>
      </c>
      <c r="R4530">
        <v>12</v>
      </c>
      <c r="S4530">
        <v>8</v>
      </c>
      <c r="T4530">
        <v>20</v>
      </c>
      <c r="U4530">
        <v>13</v>
      </c>
      <c r="V4530">
        <v>2</v>
      </c>
      <c r="W4530">
        <v>3</v>
      </c>
      <c r="X4530">
        <v>0</v>
      </c>
      <c r="Y4530">
        <v>0</v>
      </c>
      <c r="Z4530">
        <v>1</v>
      </c>
    </row>
    <row r="4531" spans="1:26" x14ac:dyDescent="0.2">
      <c r="A4531" t="s">
        <v>4649</v>
      </c>
      <c r="B4531" t="s">
        <v>37</v>
      </c>
      <c r="C4531">
        <v>2020</v>
      </c>
      <c r="D4531" t="s">
        <v>18</v>
      </c>
      <c r="E4531" t="s">
        <v>46</v>
      </c>
      <c r="F4531" t="s">
        <v>20</v>
      </c>
      <c r="G4531">
        <v>40341</v>
      </c>
      <c r="H4531">
        <v>10000</v>
      </c>
      <c r="I4531" s="13">
        <v>1</v>
      </c>
      <c r="J4531" t="s">
        <v>6206</v>
      </c>
      <c r="K4531">
        <v>0</v>
      </c>
      <c r="L4531">
        <v>1</v>
      </c>
      <c r="M4531" t="s">
        <v>1</v>
      </c>
      <c r="N4531" s="2">
        <v>0.68</v>
      </c>
      <c r="O4531" s="2">
        <v>0.32</v>
      </c>
      <c r="P4531">
        <v>8</v>
      </c>
      <c r="Q4531">
        <v>11</v>
      </c>
      <c r="R4531">
        <v>9</v>
      </c>
      <c r="S4531">
        <v>1</v>
      </c>
      <c r="T4531">
        <v>7</v>
      </c>
      <c r="U4531">
        <v>6</v>
      </c>
      <c r="V4531">
        <v>0</v>
      </c>
      <c r="W4531">
        <v>1</v>
      </c>
      <c r="X4531">
        <v>0</v>
      </c>
      <c r="Y4531">
        <v>0</v>
      </c>
      <c r="Z4531">
        <v>0</v>
      </c>
    </row>
    <row r="4532" spans="1:26" x14ac:dyDescent="0.2">
      <c r="A4532" t="s">
        <v>4650</v>
      </c>
      <c r="B4532" t="s">
        <v>32</v>
      </c>
      <c r="C4532">
        <v>2020</v>
      </c>
      <c r="D4532" t="s">
        <v>42</v>
      </c>
      <c r="E4532" t="s">
        <v>45</v>
      </c>
      <c r="F4532" t="s">
        <v>38</v>
      </c>
      <c r="G4532">
        <v>42918</v>
      </c>
      <c r="H4532">
        <v>10000</v>
      </c>
      <c r="I4532" s="13">
        <v>0.66666666666666663</v>
      </c>
      <c r="J4532" t="s">
        <v>6207</v>
      </c>
      <c r="K4532">
        <v>0</v>
      </c>
      <c r="L4532">
        <v>0</v>
      </c>
      <c r="M4532" t="s">
        <v>58</v>
      </c>
      <c r="N4532" s="2">
        <v>0.57999999999999996</v>
      </c>
      <c r="O4532" s="2">
        <v>0.42</v>
      </c>
      <c r="P4532">
        <v>14</v>
      </c>
      <c r="Q4532">
        <v>9</v>
      </c>
      <c r="R4532">
        <v>9</v>
      </c>
      <c r="S4532">
        <v>1</v>
      </c>
      <c r="T4532">
        <v>9</v>
      </c>
      <c r="U4532">
        <v>12</v>
      </c>
      <c r="V4532">
        <v>2</v>
      </c>
      <c r="W4532">
        <v>1</v>
      </c>
      <c r="X4532">
        <v>0</v>
      </c>
      <c r="Y4532">
        <v>0</v>
      </c>
      <c r="Z4532">
        <v>0</v>
      </c>
    </row>
    <row r="4533" spans="1:26" x14ac:dyDescent="0.2">
      <c r="A4533" t="s">
        <v>4651</v>
      </c>
      <c r="B4533" t="s">
        <v>61</v>
      </c>
      <c r="C4533">
        <v>2020</v>
      </c>
      <c r="D4533" t="s">
        <v>48</v>
      </c>
      <c r="E4533" t="s">
        <v>26</v>
      </c>
      <c r="F4533" t="s">
        <v>49</v>
      </c>
      <c r="G4533">
        <v>74197</v>
      </c>
      <c r="H4533">
        <v>10000</v>
      </c>
      <c r="I4533" s="13">
        <v>0.66666666666666663</v>
      </c>
      <c r="J4533" t="s">
        <v>6207</v>
      </c>
      <c r="K4533">
        <v>2</v>
      </c>
      <c r="L4533">
        <v>4</v>
      </c>
      <c r="M4533" t="s">
        <v>1</v>
      </c>
      <c r="N4533" s="2">
        <v>0.53</v>
      </c>
      <c r="O4533" s="2">
        <v>0.47</v>
      </c>
      <c r="P4533">
        <v>13</v>
      </c>
      <c r="Q4533">
        <v>12</v>
      </c>
      <c r="R4533">
        <v>6</v>
      </c>
      <c r="S4533">
        <v>4</v>
      </c>
      <c r="T4533">
        <v>10</v>
      </c>
      <c r="U4533">
        <v>12</v>
      </c>
      <c r="V4533">
        <v>3</v>
      </c>
      <c r="W4533">
        <v>0</v>
      </c>
      <c r="X4533">
        <v>0</v>
      </c>
      <c r="Y4533">
        <v>0</v>
      </c>
      <c r="Z4533">
        <v>0</v>
      </c>
    </row>
    <row r="4534" spans="1:26" x14ac:dyDescent="0.2">
      <c r="A4534" t="s">
        <v>4652</v>
      </c>
      <c r="B4534" t="s">
        <v>60</v>
      </c>
      <c r="C4534">
        <v>2020</v>
      </c>
      <c r="D4534" t="s">
        <v>64</v>
      </c>
      <c r="E4534" t="s">
        <v>40</v>
      </c>
      <c r="F4534" t="s">
        <v>64</v>
      </c>
      <c r="G4534">
        <v>52264</v>
      </c>
      <c r="H4534">
        <v>10000</v>
      </c>
      <c r="I4534" s="13">
        <v>0.5</v>
      </c>
      <c r="J4534" t="s">
        <v>6208</v>
      </c>
      <c r="K4534">
        <v>3</v>
      </c>
      <c r="L4534">
        <v>4</v>
      </c>
      <c r="M4534" t="s">
        <v>1</v>
      </c>
      <c r="N4534" s="2">
        <v>0.18</v>
      </c>
      <c r="O4534" s="2">
        <v>0.82</v>
      </c>
      <c r="P4534">
        <v>8</v>
      </c>
      <c r="Q4534">
        <v>12</v>
      </c>
      <c r="R4534">
        <v>4</v>
      </c>
      <c r="S4534">
        <v>5</v>
      </c>
      <c r="T4534">
        <v>11</v>
      </c>
      <c r="U4534">
        <v>10</v>
      </c>
      <c r="V4534">
        <v>2</v>
      </c>
      <c r="W4534">
        <v>2</v>
      </c>
      <c r="X4534">
        <v>0</v>
      </c>
      <c r="Y4534">
        <v>0</v>
      </c>
      <c r="Z4534">
        <v>2</v>
      </c>
    </row>
    <row r="4535" spans="1:26" x14ac:dyDescent="0.2">
      <c r="A4535" t="s">
        <v>4653</v>
      </c>
      <c r="B4535" t="s">
        <v>83</v>
      </c>
      <c r="C4535">
        <v>2020</v>
      </c>
      <c r="D4535" t="s">
        <v>28</v>
      </c>
      <c r="E4535" t="s">
        <v>33</v>
      </c>
      <c r="F4535" t="s">
        <v>28</v>
      </c>
      <c r="G4535">
        <v>21944</v>
      </c>
      <c r="H4535">
        <v>5486</v>
      </c>
      <c r="I4535" s="13">
        <v>0</v>
      </c>
      <c r="J4535" t="s">
        <v>6208</v>
      </c>
      <c r="K4535">
        <v>0</v>
      </c>
      <c r="L4535">
        <v>4</v>
      </c>
      <c r="M4535" t="s">
        <v>1</v>
      </c>
      <c r="N4535" s="2">
        <v>0.48</v>
      </c>
      <c r="O4535" s="2">
        <v>0.52</v>
      </c>
      <c r="P4535">
        <v>16</v>
      </c>
      <c r="Q4535">
        <v>12</v>
      </c>
      <c r="R4535">
        <v>6</v>
      </c>
      <c r="S4535">
        <v>8</v>
      </c>
      <c r="T4535">
        <v>10</v>
      </c>
      <c r="U4535">
        <v>10</v>
      </c>
      <c r="V4535">
        <v>1</v>
      </c>
      <c r="W4535">
        <v>1</v>
      </c>
      <c r="X4535">
        <v>0</v>
      </c>
      <c r="Y4535">
        <v>0</v>
      </c>
      <c r="Z4535">
        <v>0</v>
      </c>
    </row>
    <row r="4536" spans="1:26" x14ac:dyDescent="0.2">
      <c r="A4536" t="s">
        <v>4654</v>
      </c>
      <c r="B4536" t="s">
        <v>76</v>
      </c>
      <c r="C4536">
        <v>2020</v>
      </c>
      <c r="D4536" t="s">
        <v>73</v>
      </c>
      <c r="E4536" t="s">
        <v>31</v>
      </c>
      <c r="F4536" t="s">
        <v>73</v>
      </c>
      <c r="G4536">
        <v>32384</v>
      </c>
      <c r="H4536">
        <v>8096</v>
      </c>
      <c r="I4536" s="13">
        <v>1</v>
      </c>
      <c r="J4536" t="s">
        <v>6207</v>
      </c>
      <c r="K4536">
        <v>3</v>
      </c>
      <c r="L4536">
        <v>1</v>
      </c>
      <c r="M4536" t="s">
        <v>0</v>
      </c>
      <c r="N4536" s="2">
        <v>0.46</v>
      </c>
      <c r="O4536" s="2">
        <v>0.54</v>
      </c>
      <c r="P4536">
        <v>16</v>
      </c>
      <c r="Q4536">
        <v>12</v>
      </c>
      <c r="R4536">
        <v>6</v>
      </c>
      <c r="S4536">
        <v>5</v>
      </c>
      <c r="T4536">
        <v>9</v>
      </c>
      <c r="U4536">
        <v>15</v>
      </c>
      <c r="V4536">
        <v>0</v>
      </c>
      <c r="W4536">
        <v>1</v>
      </c>
      <c r="X4536">
        <v>0</v>
      </c>
      <c r="Y4536">
        <v>0</v>
      </c>
      <c r="Z4536">
        <v>0</v>
      </c>
    </row>
    <row r="4537" spans="1:26" x14ac:dyDescent="0.2">
      <c r="A4537" t="s">
        <v>4655</v>
      </c>
      <c r="B4537" t="s">
        <v>37</v>
      </c>
      <c r="C4537">
        <v>2020</v>
      </c>
      <c r="D4537" t="s">
        <v>90</v>
      </c>
      <c r="E4537" t="s">
        <v>23</v>
      </c>
      <c r="F4537" t="s">
        <v>91</v>
      </c>
      <c r="G4537">
        <v>31876</v>
      </c>
      <c r="H4537">
        <v>7969</v>
      </c>
      <c r="I4537" s="13">
        <v>1</v>
      </c>
      <c r="J4537" t="s">
        <v>6206</v>
      </c>
      <c r="K4537">
        <v>1</v>
      </c>
      <c r="L4537">
        <v>1</v>
      </c>
      <c r="M4537" t="s">
        <v>58</v>
      </c>
      <c r="N4537" s="2">
        <v>0.51</v>
      </c>
      <c r="O4537" s="2">
        <v>0.49</v>
      </c>
      <c r="P4537">
        <v>7</v>
      </c>
      <c r="Q4537">
        <v>7</v>
      </c>
      <c r="R4537">
        <v>3</v>
      </c>
      <c r="S4537">
        <v>3</v>
      </c>
      <c r="T4537">
        <v>7</v>
      </c>
      <c r="U4537">
        <v>5</v>
      </c>
      <c r="V4537">
        <v>1</v>
      </c>
      <c r="W4537">
        <v>0</v>
      </c>
      <c r="X4537">
        <v>0</v>
      </c>
      <c r="Y4537">
        <v>0</v>
      </c>
      <c r="Z4537">
        <v>0</v>
      </c>
    </row>
    <row r="4538" spans="1:26" x14ac:dyDescent="0.2">
      <c r="A4538" t="s">
        <v>4656</v>
      </c>
      <c r="B4538" t="s">
        <v>93</v>
      </c>
      <c r="C4538">
        <v>2020</v>
      </c>
      <c r="D4538" t="s">
        <v>79</v>
      </c>
      <c r="E4538" t="s">
        <v>42</v>
      </c>
      <c r="F4538" t="s">
        <v>20</v>
      </c>
      <c r="G4538">
        <v>25486</v>
      </c>
      <c r="H4538">
        <v>6371.5</v>
      </c>
      <c r="I4538" s="13">
        <v>0.4</v>
      </c>
      <c r="J4538" t="s">
        <v>6206</v>
      </c>
      <c r="K4538">
        <v>3</v>
      </c>
      <c r="L4538">
        <v>2</v>
      </c>
      <c r="M4538" t="s">
        <v>0</v>
      </c>
      <c r="N4538" s="2">
        <v>0.46</v>
      </c>
      <c r="O4538" s="2">
        <v>0.54</v>
      </c>
      <c r="P4538">
        <v>15</v>
      </c>
      <c r="Q4538">
        <v>24</v>
      </c>
      <c r="R4538">
        <v>7</v>
      </c>
      <c r="S4538">
        <v>7</v>
      </c>
      <c r="T4538">
        <v>23</v>
      </c>
      <c r="U4538">
        <v>13</v>
      </c>
      <c r="V4538">
        <v>3</v>
      </c>
      <c r="W4538">
        <v>2</v>
      </c>
      <c r="X4538">
        <v>0</v>
      </c>
      <c r="Y4538">
        <v>0</v>
      </c>
      <c r="Z4538">
        <v>0</v>
      </c>
    </row>
    <row r="4539" spans="1:26" x14ac:dyDescent="0.2">
      <c r="A4539" t="s">
        <v>4657</v>
      </c>
      <c r="B4539" t="s">
        <v>32</v>
      </c>
      <c r="C4539">
        <v>2020</v>
      </c>
      <c r="D4539" t="s">
        <v>51</v>
      </c>
      <c r="E4539" t="s">
        <v>22</v>
      </c>
      <c r="F4539" t="s">
        <v>20</v>
      </c>
      <c r="G4539">
        <v>36284</v>
      </c>
      <c r="H4539">
        <v>9071</v>
      </c>
      <c r="I4539" s="13">
        <v>0</v>
      </c>
      <c r="J4539" t="s">
        <v>6207</v>
      </c>
      <c r="K4539">
        <v>2</v>
      </c>
      <c r="L4539">
        <v>0</v>
      </c>
      <c r="M4539" t="s">
        <v>0</v>
      </c>
      <c r="N4539" s="2">
        <v>0.62</v>
      </c>
      <c r="O4539" s="2">
        <v>0.38</v>
      </c>
      <c r="P4539">
        <v>14</v>
      </c>
      <c r="Q4539">
        <v>11</v>
      </c>
      <c r="R4539">
        <v>10</v>
      </c>
      <c r="S4539">
        <v>3</v>
      </c>
      <c r="T4539">
        <v>8</v>
      </c>
      <c r="U4539">
        <v>11</v>
      </c>
      <c r="V4539">
        <v>1</v>
      </c>
      <c r="W4539">
        <v>0</v>
      </c>
      <c r="X4539">
        <v>0</v>
      </c>
      <c r="Y4539">
        <v>0</v>
      </c>
      <c r="Z4539">
        <v>0</v>
      </c>
    </row>
    <row r="4540" spans="1:26" x14ac:dyDescent="0.2">
      <c r="A4540" t="s">
        <v>4658</v>
      </c>
      <c r="B4540" t="s">
        <v>41</v>
      </c>
      <c r="C4540">
        <v>2020</v>
      </c>
      <c r="D4540" t="s">
        <v>63</v>
      </c>
      <c r="E4540" t="s">
        <v>26</v>
      </c>
      <c r="F4540" t="s">
        <v>65</v>
      </c>
      <c r="G4540">
        <v>26804</v>
      </c>
      <c r="H4540">
        <v>6701</v>
      </c>
      <c r="I4540" s="13">
        <v>0</v>
      </c>
      <c r="J4540" t="s">
        <v>6207</v>
      </c>
      <c r="K4540">
        <v>1</v>
      </c>
      <c r="L4540">
        <v>2</v>
      </c>
      <c r="M4540" t="s">
        <v>1</v>
      </c>
      <c r="N4540" s="2">
        <v>0.24</v>
      </c>
      <c r="O4540" s="2">
        <v>0.76</v>
      </c>
      <c r="P4540">
        <v>16</v>
      </c>
      <c r="Q4540">
        <v>11</v>
      </c>
      <c r="R4540">
        <v>9</v>
      </c>
      <c r="S4540">
        <v>13</v>
      </c>
      <c r="T4540">
        <v>7</v>
      </c>
      <c r="U4540">
        <v>14</v>
      </c>
      <c r="V4540">
        <v>0</v>
      </c>
      <c r="W4540">
        <v>0</v>
      </c>
      <c r="X4540">
        <v>0</v>
      </c>
      <c r="Y4540">
        <v>0</v>
      </c>
      <c r="Z4540">
        <v>0</v>
      </c>
    </row>
    <row r="4541" spans="1:26" x14ac:dyDescent="0.2">
      <c r="A4541" t="s">
        <v>4659</v>
      </c>
      <c r="B4541" t="s">
        <v>68</v>
      </c>
      <c r="C4541">
        <v>2020</v>
      </c>
      <c r="D4541" t="s">
        <v>45</v>
      </c>
      <c r="E4541" t="s">
        <v>95</v>
      </c>
      <c r="F4541" t="s">
        <v>26</v>
      </c>
      <c r="G4541">
        <v>39572</v>
      </c>
      <c r="H4541">
        <v>9893</v>
      </c>
      <c r="I4541" s="13">
        <v>0.5</v>
      </c>
      <c r="J4541" t="s">
        <v>6207</v>
      </c>
      <c r="K4541">
        <v>0</v>
      </c>
      <c r="L4541">
        <v>1</v>
      </c>
      <c r="M4541" t="s">
        <v>1</v>
      </c>
      <c r="N4541" s="2">
        <v>0.62</v>
      </c>
      <c r="O4541" s="2">
        <v>0.38</v>
      </c>
      <c r="P4541">
        <v>15</v>
      </c>
      <c r="Q4541">
        <v>8</v>
      </c>
      <c r="R4541">
        <v>11</v>
      </c>
      <c r="S4541">
        <v>4</v>
      </c>
      <c r="T4541">
        <v>8</v>
      </c>
      <c r="U4541">
        <v>12</v>
      </c>
      <c r="V4541">
        <v>1</v>
      </c>
      <c r="W4541">
        <v>3</v>
      </c>
      <c r="X4541">
        <v>0</v>
      </c>
      <c r="Y4541">
        <v>0</v>
      </c>
      <c r="Z4541">
        <v>0</v>
      </c>
    </row>
    <row r="4542" spans="1:26" x14ac:dyDescent="0.2">
      <c r="A4542" t="s">
        <v>4660</v>
      </c>
      <c r="B4542" t="s">
        <v>97</v>
      </c>
      <c r="C4542">
        <v>2020</v>
      </c>
      <c r="D4542" t="s">
        <v>73</v>
      </c>
      <c r="E4542" t="s">
        <v>33</v>
      </c>
      <c r="F4542" t="s">
        <v>73</v>
      </c>
      <c r="G4542">
        <v>32384</v>
      </c>
      <c r="H4542">
        <v>8096</v>
      </c>
      <c r="I4542" s="13">
        <v>0.33333333333333331</v>
      </c>
      <c r="J4542" t="s">
        <v>6207</v>
      </c>
      <c r="K4542">
        <v>0</v>
      </c>
      <c r="L4542">
        <v>2</v>
      </c>
      <c r="M4542" t="s">
        <v>1</v>
      </c>
      <c r="N4542" s="2">
        <v>0.51</v>
      </c>
      <c r="O4542" s="2">
        <v>0.49</v>
      </c>
      <c r="P4542">
        <v>12</v>
      </c>
      <c r="Q4542">
        <v>12</v>
      </c>
      <c r="R4542">
        <v>4</v>
      </c>
      <c r="S4542">
        <v>4</v>
      </c>
      <c r="T4542">
        <v>10</v>
      </c>
      <c r="U4542">
        <v>12</v>
      </c>
      <c r="V4542">
        <v>0</v>
      </c>
      <c r="W4542">
        <v>3</v>
      </c>
      <c r="X4542">
        <v>0</v>
      </c>
      <c r="Y4542">
        <v>0</v>
      </c>
      <c r="Z4542">
        <v>0</v>
      </c>
    </row>
    <row r="4543" spans="1:26" x14ac:dyDescent="0.2">
      <c r="A4543" t="s">
        <v>4661</v>
      </c>
      <c r="B4543" t="s">
        <v>50</v>
      </c>
      <c r="C4543">
        <v>2020</v>
      </c>
      <c r="D4543" t="s">
        <v>48</v>
      </c>
      <c r="E4543" t="s">
        <v>31</v>
      </c>
      <c r="F4543" t="s">
        <v>49</v>
      </c>
      <c r="G4543">
        <v>74197</v>
      </c>
      <c r="H4543">
        <v>10000</v>
      </c>
      <c r="I4543" s="13">
        <v>0.8</v>
      </c>
      <c r="J4543" t="s">
        <v>6207</v>
      </c>
      <c r="K4543">
        <v>1</v>
      </c>
      <c r="L4543">
        <v>1</v>
      </c>
      <c r="M4543" t="s">
        <v>58</v>
      </c>
      <c r="N4543" s="2">
        <v>0.56999999999999995</v>
      </c>
      <c r="O4543" s="2">
        <v>0.43</v>
      </c>
      <c r="P4543">
        <v>16</v>
      </c>
      <c r="Q4543">
        <v>14</v>
      </c>
      <c r="R4543">
        <v>6</v>
      </c>
      <c r="S4543">
        <v>1</v>
      </c>
      <c r="T4543">
        <v>10</v>
      </c>
      <c r="U4543">
        <v>15</v>
      </c>
      <c r="V4543">
        <v>2</v>
      </c>
      <c r="W4543">
        <v>3</v>
      </c>
      <c r="X4543">
        <v>0</v>
      </c>
      <c r="Y4543">
        <v>0</v>
      </c>
      <c r="Z4543">
        <v>0</v>
      </c>
    </row>
    <row r="4544" spans="1:26" x14ac:dyDescent="0.2">
      <c r="A4544" t="s">
        <v>4662</v>
      </c>
      <c r="B4544" t="s">
        <v>59</v>
      </c>
      <c r="C4544">
        <v>2020</v>
      </c>
      <c r="D4544" t="s">
        <v>90</v>
      </c>
      <c r="E4544" t="s">
        <v>40</v>
      </c>
      <c r="F4544" t="s">
        <v>91</v>
      </c>
      <c r="G4544">
        <v>31876</v>
      </c>
      <c r="H4544">
        <v>7969</v>
      </c>
      <c r="I4544" s="13">
        <v>0.8571428571428571</v>
      </c>
      <c r="J4544" t="s">
        <v>6206</v>
      </c>
      <c r="K4544">
        <v>3</v>
      </c>
      <c r="L4544">
        <v>2</v>
      </c>
      <c r="M4544" t="s">
        <v>0</v>
      </c>
      <c r="N4544" s="2">
        <v>0.63</v>
      </c>
      <c r="O4544" s="2">
        <v>0.37</v>
      </c>
      <c r="P4544">
        <v>13</v>
      </c>
      <c r="Q4544">
        <v>16</v>
      </c>
      <c r="R4544">
        <v>5</v>
      </c>
      <c r="S4544">
        <v>3</v>
      </c>
      <c r="T4544">
        <v>13</v>
      </c>
      <c r="U4544">
        <v>11</v>
      </c>
      <c r="V4544">
        <v>3</v>
      </c>
      <c r="W4544">
        <v>3</v>
      </c>
      <c r="X4544">
        <v>0</v>
      </c>
      <c r="Y4544">
        <v>1</v>
      </c>
      <c r="Z4544">
        <v>0</v>
      </c>
    </row>
    <row r="4545" spans="1:26" x14ac:dyDescent="0.2">
      <c r="A4545" t="s">
        <v>4663</v>
      </c>
      <c r="B4545" t="s">
        <v>41</v>
      </c>
      <c r="C4545">
        <v>2020</v>
      </c>
      <c r="D4545" t="s">
        <v>18</v>
      </c>
      <c r="E4545" t="s">
        <v>80</v>
      </c>
      <c r="F4545" t="s">
        <v>20</v>
      </c>
      <c r="G4545">
        <v>40341</v>
      </c>
      <c r="H4545">
        <v>10000</v>
      </c>
      <c r="I4545" s="13">
        <v>1</v>
      </c>
      <c r="J4545" t="s">
        <v>6207</v>
      </c>
      <c r="K4545">
        <v>2</v>
      </c>
      <c r="L4545">
        <v>1</v>
      </c>
      <c r="M4545" t="s">
        <v>0</v>
      </c>
      <c r="N4545" s="2">
        <v>0.59</v>
      </c>
      <c r="O4545" s="2">
        <v>0.41</v>
      </c>
      <c r="P4545">
        <v>16</v>
      </c>
      <c r="Q4545">
        <v>16</v>
      </c>
      <c r="R4545">
        <v>6</v>
      </c>
      <c r="S4545">
        <v>5</v>
      </c>
      <c r="T4545">
        <v>15</v>
      </c>
      <c r="U4545">
        <v>16</v>
      </c>
      <c r="V4545">
        <v>2</v>
      </c>
      <c r="W4545">
        <v>5</v>
      </c>
      <c r="X4545">
        <v>0</v>
      </c>
      <c r="Y4545">
        <v>0</v>
      </c>
      <c r="Z4545">
        <v>1</v>
      </c>
    </row>
    <row r="4546" spans="1:26" x14ac:dyDescent="0.2">
      <c r="A4546" t="s">
        <v>4664</v>
      </c>
      <c r="B4546" t="s">
        <v>76</v>
      </c>
      <c r="C4546">
        <v>2020</v>
      </c>
      <c r="D4546" t="s">
        <v>51</v>
      </c>
      <c r="E4546" t="s">
        <v>42</v>
      </c>
      <c r="F4546" t="s">
        <v>20</v>
      </c>
      <c r="G4546">
        <v>36284</v>
      </c>
      <c r="H4546">
        <v>9071</v>
      </c>
      <c r="I4546" s="13">
        <v>0.5</v>
      </c>
      <c r="J4546" t="s">
        <v>6207</v>
      </c>
      <c r="K4546">
        <v>1</v>
      </c>
      <c r="L4546">
        <v>2</v>
      </c>
      <c r="M4546" t="s">
        <v>1</v>
      </c>
      <c r="N4546" s="2">
        <v>0.61</v>
      </c>
      <c r="O4546" s="2">
        <v>0.39</v>
      </c>
      <c r="P4546">
        <v>16</v>
      </c>
      <c r="Q4546">
        <v>16</v>
      </c>
      <c r="R4546">
        <v>4</v>
      </c>
      <c r="S4546">
        <v>5</v>
      </c>
      <c r="T4546">
        <v>14</v>
      </c>
      <c r="U4546">
        <v>13</v>
      </c>
      <c r="V4546">
        <v>1</v>
      </c>
      <c r="W4546">
        <v>1</v>
      </c>
      <c r="X4546">
        <v>0</v>
      </c>
      <c r="Y4546">
        <v>0</v>
      </c>
      <c r="Z4546">
        <v>0</v>
      </c>
    </row>
    <row r="4547" spans="1:26" x14ac:dyDescent="0.2">
      <c r="A4547" t="s">
        <v>4665</v>
      </c>
      <c r="B4547" t="s">
        <v>99</v>
      </c>
      <c r="C4547">
        <v>2020</v>
      </c>
      <c r="D4547" t="s">
        <v>64</v>
      </c>
      <c r="E4547" t="s">
        <v>95</v>
      </c>
      <c r="F4547" t="s">
        <v>64</v>
      </c>
      <c r="G4547">
        <v>52264</v>
      </c>
      <c r="H4547">
        <v>10000</v>
      </c>
      <c r="I4547" s="13">
        <v>0.5</v>
      </c>
      <c r="J4547" t="s">
        <v>6207</v>
      </c>
      <c r="K4547">
        <v>1</v>
      </c>
      <c r="L4547">
        <v>0</v>
      </c>
      <c r="M4547" t="s">
        <v>0</v>
      </c>
      <c r="N4547" s="2">
        <v>0.5</v>
      </c>
      <c r="O4547" s="2">
        <v>0.5</v>
      </c>
      <c r="P4547">
        <v>11</v>
      </c>
      <c r="Q4547">
        <v>9</v>
      </c>
      <c r="R4547">
        <v>5</v>
      </c>
      <c r="S4547">
        <v>2</v>
      </c>
      <c r="T4547">
        <v>7</v>
      </c>
      <c r="U4547">
        <v>7</v>
      </c>
      <c r="V4547">
        <v>0</v>
      </c>
      <c r="W4547">
        <v>2</v>
      </c>
      <c r="X4547">
        <v>0</v>
      </c>
      <c r="Y4547">
        <v>0</v>
      </c>
      <c r="Z4547">
        <v>0</v>
      </c>
    </row>
    <row r="4548" spans="1:26" x14ac:dyDescent="0.2">
      <c r="A4548" t="s">
        <v>4666</v>
      </c>
      <c r="B4548" t="s">
        <v>92</v>
      </c>
      <c r="C4548">
        <v>2020</v>
      </c>
      <c r="D4548" t="s">
        <v>45</v>
      </c>
      <c r="E4548" t="s">
        <v>22</v>
      </c>
      <c r="F4548" t="s">
        <v>26</v>
      </c>
      <c r="G4548">
        <v>39572</v>
      </c>
      <c r="H4548">
        <v>9893</v>
      </c>
      <c r="I4548" s="13">
        <v>1</v>
      </c>
      <c r="J4548" t="s">
        <v>6207</v>
      </c>
      <c r="K4548">
        <v>1</v>
      </c>
      <c r="L4548">
        <v>0</v>
      </c>
      <c r="M4548" t="s">
        <v>0</v>
      </c>
      <c r="N4548" s="2">
        <v>0.41</v>
      </c>
      <c r="O4548" s="2">
        <v>0.59</v>
      </c>
      <c r="P4548">
        <v>11</v>
      </c>
      <c r="Q4548">
        <v>11</v>
      </c>
      <c r="R4548">
        <v>7</v>
      </c>
      <c r="S4548">
        <v>12</v>
      </c>
      <c r="T4548">
        <v>11</v>
      </c>
      <c r="U4548">
        <v>11</v>
      </c>
      <c r="V4548">
        <v>0</v>
      </c>
      <c r="W4548">
        <v>2</v>
      </c>
      <c r="X4548">
        <v>0</v>
      </c>
      <c r="Y4548">
        <v>0</v>
      </c>
      <c r="Z4548">
        <v>0</v>
      </c>
    </row>
    <row r="4549" spans="1:26" x14ac:dyDescent="0.2">
      <c r="A4549" t="s">
        <v>4667</v>
      </c>
      <c r="B4549" t="s">
        <v>61</v>
      </c>
      <c r="C4549">
        <v>2020</v>
      </c>
      <c r="D4549" t="s">
        <v>79</v>
      </c>
      <c r="E4549" t="s">
        <v>46</v>
      </c>
      <c r="F4549" t="s">
        <v>20</v>
      </c>
      <c r="G4549">
        <v>25486</v>
      </c>
      <c r="H4549">
        <v>6371.5</v>
      </c>
      <c r="I4549" s="13">
        <v>1</v>
      </c>
      <c r="J4549" t="s">
        <v>6207</v>
      </c>
      <c r="K4549">
        <v>1</v>
      </c>
      <c r="L4549">
        <v>3</v>
      </c>
      <c r="M4549" t="s">
        <v>1</v>
      </c>
      <c r="N4549" s="2">
        <v>0.31</v>
      </c>
      <c r="O4549" s="2">
        <v>0.69</v>
      </c>
      <c r="P4549">
        <v>9</v>
      </c>
      <c r="Q4549">
        <v>13</v>
      </c>
      <c r="R4549">
        <v>6</v>
      </c>
      <c r="S4549">
        <v>7</v>
      </c>
      <c r="T4549">
        <v>7</v>
      </c>
      <c r="U4549">
        <v>7</v>
      </c>
      <c r="V4549">
        <v>2</v>
      </c>
      <c r="W4549">
        <v>1</v>
      </c>
      <c r="X4549">
        <v>0</v>
      </c>
      <c r="Y4549">
        <v>0</v>
      </c>
      <c r="Z4549">
        <v>0</v>
      </c>
    </row>
    <row r="4550" spans="1:26" x14ac:dyDescent="0.2">
      <c r="A4550" t="s">
        <v>4668</v>
      </c>
      <c r="B4550" t="s">
        <v>66</v>
      </c>
      <c r="C4550">
        <v>2020</v>
      </c>
      <c r="D4550" t="s">
        <v>63</v>
      </c>
      <c r="E4550" t="s">
        <v>23</v>
      </c>
      <c r="F4550" t="s">
        <v>65</v>
      </c>
      <c r="G4550">
        <v>26804</v>
      </c>
      <c r="H4550">
        <v>6701</v>
      </c>
      <c r="I4550" s="13">
        <v>0.5</v>
      </c>
      <c r="J4550" t="s">
        <v>6207</v>
      </c>
      <c r="K4550">
        <v>1</v>
      </c>
      <c r="L4550">
        <v>3</v>
      </c>
      <c r="M4550" t="s">
        <v>1</v>
      </c>
      <c r="N4550" s="2">
        <v>0.52</v>
      </c>
      <c r="O4550" s="2">
        <v>0.48</v>
      </c>
      <c r="P4550">
        <v>12</v>
      </c>
      <c r="Q4550">
        <v>9</v>
      </c>
      <c r="R4550">
        <v>6</v>
      </c>
      <c r="S4550">
        <v>8</v>
      </c>
      <c r="T4550">
        <v>8</v>
      </c>
      <c r="U4550">
        <v>11</v>
      </c>
      <c r="V4550">
        <v>2</v>
      </c>
      <c r="W4550">
        <v>2</v>
      </c>
      <c r="X4550">
        <v>0</v>
      </c>
      <c r="Y4550">
        <v>0</v>
      </c>
      <c r="Z4550">
        <v>1</v>
      </c>
    </row>
    <row r="4551" spans="1:26" x14ac:dyDescent="0.2">
      <c r="A4551" t="s">
        <v>4669</v>
      </c>
      <c r="B4551" t="s">
        <v>88</v>
      </c>
      <c r="C4551">
        <v>2020</v>
      </c>
      <c r="D4551" t="s">
        <v>28</v>
      </c>
      <c r="E4551" t="s">
        <v>26</v>
      </c>
      <c r="F4551" t="s">
        <v>28</v>
      </c>
      <c r="G4551">
        <v>21944</v>
      </c>
      <c r="H4551">
        <v>5486</v>
      </c>
      <c r="I4551" s="13">
        <v>0</v>
      </c>
      <c r="J4551" t="s">
        <v>6207</v>
      </c>
      <c r="K4551">
        <v>0</v>
      </c>
      <c r="L4551">
        <v>3</v>
      </c>
      <c r="M4551" t="s">
        <v>1</v>
      </c>
      <c r="N4551" s="2">
        <v>0.41</v>
      </c>
      <c r="O4551" s="2">
        <v>0.59</v>
      </c>
      <c r="P4551">
        <v>8</v>
      </c>
      <c r="Q4551">
        <v>11</v>
      </c>
      <c r="R4551">
        <v>6</v>
      </c>
      <c r="S4551">
        <v>7</v>
      </c>
      <c r="T4551">
        <v>10</v>
      </c>
      <c r="U4551">
        <v>7</v>
      </c>
      <c r="V4551">
        <v>0</v>
      </c>
      <c r="W4551">
        <v>0</v>
      </c>
      <c r="X4551">
        <v>0</v>
      </c>
      <c r="Y4551">
        <v>0</v>
      </c>
      <c r="Z4551">
        <v>0</v>
      </c>
    </row>
    <row r="4552" spans="1:26" x14ac:dyDescent="0.2">
      <c r="A4552" t="s">
        <v>4670</v>
      </c>
      <c r="B4552" t="s">
        <v>41</v>
      </c>
      <c r="C4552">
        <v>2020</v>
      </c>
      <c r="D4552" t="s">
        <v>22</v>
      </c>
      <c r="E4552" t="s">
        <v>48</v>
      </c>
      <c r="F4552" t="s">
        <v>24</v>
      </c>
      <c r="G4552">
        <v>31750</v>
      </c>
      <c r="H4552">
        <v>7937.5</v>
      </c>
      <c r="I4552" s="13">
        <v>0.6</v>
      </c>
      <c r="J4552" t="s">
        <v>6207</v>
      </c>
      <c r="K4552">
        <v>1</v>
      </c>
      <c r="L4552">
        <v>2</v>
      </c>
      <c r="M4552" t="s">
        <v>1</v>
      </c>
      <c r="N4552" s="2">
        <v>0.56999999999999995</v>
      </c>
      <c r="O4552" s="2">
        <v>0.43</v>
      </c>
      <c r="P4552">
        <v>4</v>
      </c>
      <c r="Q4552">
        <v>14</v>
      </c>
      <c r="R4552">
        <v>6</v>
      </c>
      <c r="S4552">
        <v>2</v>
      </c>
      <c r="T4552">
        <v>14</v>
      </c>
      <c r="U4552">
        <v>3</v>
      </c>
      <c r="V4552">
        <v>4</v>
      </c>
      <c r="W4552">
        <v>1</v>
      </c>
      <c r="X4552">
        <v>0</v>
      </c>
      <c r="Y4552">
        <v>0</v>
      </c>
      <c r="Z4552">
        <v>1</v>
      </c>
    </row>
    <row r="4553" spans="1:26" x14ac:dyDescent="0.2">
      <c r="A4553" t="s">
        <v>4671</v>
      </c>
      <c r="B4553" t="s">
        <v>32</v>
      </c>
      <c r="C4553">
        <v>2020</v>
      </c>
      <c r="D4553" t="s">
        <v>23</v>
      </c>
      <c r="E4553" t="s">
        <v>73</v>
      </c>
      <c r="F4553" t="s">
        <v>20</v>
      </c>
      <c r="G4553">
        <v>62500</v>
      </c>
      <c r="H4553">
        <v>10000</v>
      </c>
      <c r="I4553" s="13">
        <v>1</v>
      </c>
      <c r="J4553" t="s">
        <v>6207</v>
      </c>
      <c r="K4553">
        <v>3</v>
      </c>
      <c r="L4553">
        <v>0</v>
      </c>
      <c r="M4553" t="s">
        <v>0</v>
      </c>
      <c r="N4553" s="2">
        <v>0.37</v>
      </c>
      <c r="O4553" s="2">
        <v>0.63</v>
      </c>
      <c r="P4553">
        <v>11</v>
      </c>
      <c r="Q4553">
        <v>10</v>
      </c>
      <c r="R4553">
        <v>2</v>
      </c>
      <c r="S4553">
        <v>3</v>
      </c>
      <c r="T4553">
        <v>5</v>
      </c>
      <c r="U4553">
        <v>9</v>
      </c>
      <c r="V4553">
        <v>0</v>
      </c>
      <c r="W4553">
        <v>3</v>
      </c>
      <c r="X4553">
        <v>0</v>
      </c>
      <c r="Y4553">
        <v>0</v>
      </c>
      <c r="Z4553">
        <v>0</v>
      </c>
    </row>
    <row r="4554" spans="1:26" x14ac:dyDescent="0.2">
      <c r="A4554" t="s">
        <v>4672</v>
      </c>
      <c r="B4554" t="s">
        <v>60</v>
      </c>
      <c r="C4554">
        <v>2020</v>
      </c>
      <c r="D4554" t="s">
        <v>95</v>
      </c>
      <c r="E4554" t="s">
        <v>28</v>
      </c>
      <c r="F4554" t="s">
        <v>57</v>
      </c>
      <c r="G4554">
        <v>32050</v>
      </c>
      <c r="H4554">
        <v>8012.5</v>
      </c>
      <c r="I4554" s="13">
        <v>0.5</v>
      </c>
      <c r="J4554" t="s">
        <v>6208</v>
      </c>
      <c r="K4554">
        <v>1</v>
      </c>
      <c r="L4554">
        <v>0</v>
      </c>
      <c r="M4554" t="s">
        <v>0</v>
      </c>
      <c r="N4554" s="2">
        <v>0.43</v>
      </c>
      <c r="O4554" s="2">
        <v>0.56999999999999995</v>
      </c>
      <c r="P4554">
        <v>2</v>
      </c>
      <c r="Q4554">
        <v>13</v>
      </c>
      <c r="R4554">
        <v>8</v>
      </c>
      <c r="S4554">
        <v>9</v>
      </c>
      <c r="T4554">
        <v>11</v>
      </c>
      <c r="U4554">
        <v>1</v>
      </c>
      <c r="V4554">
        <v>3</v>
      </c>
      <c r="W4554">
        <v>1</v>
      </c>
      <c r="X4554">
        <v>0</v>
      </c>
      <c r="Y4554">
        <v>0</v>
      </c>
      <c r="Z4554">
        <v>0</v>
      </c>
    </row>
    <row r="4555" spans="1:26" x14ac:dyDescent="0.2">
      <c r="A4555" t="s">
        <v>4673</v>
      </c>
      <c r="B4555" t="s">
        <v>66</v>
      </c>
      <c r="C4555">
        <v>2020</v>
      </c>
      <c r="D4555" t="s">
        <v>40</v>
      </c>
      <c r="E4555" t="s">
        <v>45</v>
      </c>
      <c r="F4555" t="s">
        <v>49</v>
      </c>
      <c r="G4555">
        <v>53400</v>
      </c>
      <c r="H4555">
        <v>10000</v>
      </c>
      <c r="I4555" s="13">
        <v>0.75</v>
      </c>
      <c r="J4555" t="s">
        <v>6207</v>
      </c>
      <c r="K4555">
        <v>5</v>
      </c>
      <c r="L4555">
        <v>0</v>
      </c>
      <c r="M4555" t="s">
        <v>0</v>
      </c>
      <c r="N4555" s="2">
        <v>0.68</v>
      </c>
      <c r="O4555" s="2">
        <v>0.32</v>
      </c>
      <c r="P4555">
        <v>11</v>
      </c>
      <c r="Q4555">
        <v>8</v>
      </c>
      <c r="R4555">
        <v>7</v>
      </c>
      <c r="S4555">
        <v>5</v>
      </c>
      <c r="T4555">
        <v>8</v>
      </c>
      <c r="U4555">
        <v>10</v>
      </c>
      <c r="V4555">
        <v>2</v>
      </c>
      <c r="W4555">
        <v>2</v>
      </c>
      <c r="X4555">
        <v>0</v>
      </c>
      <c r="Y4555">
        <v>0</v>
      </c>
      <c r="Z4555">
        <v>1</v>
      </c>
    </row>
    <row r="4556" spans="1:26" x14ac:dyDescent="0.2">
      <c r="A4556" t="s">
        <v>4674</v>
      </c>
      <c r="B4556" t="s">
        <v>76</v>
      </c>
      <c r="C4556">
        <v>2020</v>
      </c>
      <c r="D4556" t="s">
        <v>26</v>
      </c>
      <c r="E4556" t="s">
        <v>79</v>
      </c>
      <c r="F4556" t="s">
        <v>26</v>
      </c>
      <c r="G4556">
        <v>61276</v>
      </c>
      <c r="H4556">
        <v>10000</v>
      </c>
      <c r="I4556" s="13">
        <v>0.5</v>
      </c>
      <c r="J4556" t="s">
        <v>6207</v>
      </c>
      <c r="K4556">
        <v>2</v>
      </c>
      <c r="L4556">
        <v>0</v>
      </c>
      <c r="M4556" t="s">
        <v>0</v>
      </c>
      <c r="N4556" s="2">
        <v>0.7</v>
      </c>
      <c r="O4556" s="2">
        <v>0.3</v>
      </c>
      <c r="P4556">
        <v>9</v>
      </c>
      <c r="Q4556">
        <v>12</v>
      </c>
      <c r="R4556">
        <v>14</v>
      </c>
      <c r="S4556">
        <v>1</v>
      </c>
      <c r="T4556">
        <v>10</v>
      </c>
      <c r="U4556">
        <v>8</v>
      </c>
      <c r="V4556">
        <v>2</v>
      </c>
      <c r="W4556">
        <v>2</v>
      </c>
      <c r="X4556">
        <v>0</v>
      </c>
      <c r="Y4556">
        <v>0</v>
      </c>
      <c r="Z4556">
        <v>0</v>
      </c>
    </row>
    <row r="4557" spans="1:26" x14ac:dyDescent="0.2">
      <c r="A4557" t="s">
        <v>4675</v>
      </c>
      <c r="B4557" t="s">
        <v>61</v>
      </c>
      <c r="C4557">
        <v>2020</v>
      </c>
      <c r="D4557" t="s">
        <v>80</v>
      </c>
      <c r="E4557" t="s">
        <v>51</v>
      </c>
      <c r="F4557" t="s">
        <v>80</v>
      </c>
      <c r="G4557">
        <v>32261</v>
      </c>
      <c r="H4557">
        <v>8065.25</v>
      </c>
      <c r="I4557" s="13">
        <v>0.5</v>
      </c>
      <c r="J4557" t="s">
        <v>6207</v>
      </c>
      <c r="K4557">
        <v>2</v>
      </c>
      <c r="L4557">
        <v>4</v>
      </c>
      <c r="M4557" t="s">
        <v>1</v>
      </c>
      <c r="N4557" s="2">
        <v>0.47</v>
      </c>
      <c r="O4557" s="2">
        <v>0.53</v>
      </c>
      <c r="P4557">
        <v>7</v>
      </c>
      <c r="Q4557">
        <v>11</v>
      </c>
      <c r="R4557">
        <v>8</v>
      </c>
      <c r="S4557">
        <v>7</v>
      </c>
      <c r="T4557">
        <v>9</v>
      </c>
      <c r="U4557">
        <v>8</v>
      </c>
      <c r="V4557">
        <v>0</v>
      </c>
      <c r="W4557">
        <v>2</v>
      </c>
      <c r="X4557">
        <v>0</v>
      </c>
      <c r="Y4557">
        <v>0</v>
      </c>
      <c r="Z4557">
        <v>2</v>
      </c>
    </row>
    <row r="4558" spans="1:26" x14ac:dyDescent="0.2">
      <c r="A4558" t="s">
        <v>4676</v>
      </c>
      <c r="B4558" t="s">
        <v>93</v>
      </c>
      <c r="C4558">
        <v>2020</v>
      </c>
      <c r="D4558" t="s">
        <v>33</v>
      </c>
      <c r="E4558" t="s">
        <v>63</v>
      </c>
      <c r="F4558" t="s">
        <v>33</v>
      </c>
      <c r="G4558">
        <v>37645</v>
      </c>
      <c r="H4558">
        <v>9411.25</v>
      </c>
      <c r="I4558" s="13">
        <v>0</v>
      </c>
      <c r="J4558" t="s">
        <v>6206</v>
      </c>
      <c r="K4558">
        <v>3</v>
      </c>
      <c r="L4558">
        <v>1</v>
      </c>
      <c r="M4558" t="s">
        <v>0</v>
      </c>
      <c r="N4558" s="2">
        <v>0.64</v>
      </c>
      <c r="O4558" s="2">
        <v>0.36</v>
      </c>
      <c r="P4558">
        <v>14</v>
      </c>
      <c r="Q4558">
        <v>16</v>
      </c>
      <c r="R4558">
        <v>8</v>
      </c>
      <c r="S4558">
        <v>3</v>
      </c>
      <c r="T4558">
        <v>12</v>
      </c>
      <c r="U4558">
        <v>12</v>
      </c>
      <c r="V4558">
        <v>2</v>
      </c>
      <c r="W4558">
        <v>1</v>
      </c>
      <c r="X4558">
        <v>0</v>
      </c>
      <c r="Y4558">
        <v>0</v>
      </c>
      <c r="Z4558">
        <v>1</v>
      </c>
    </row>
    <row r="4559" spans="1:26" x14ac:dyDescent="0.2">
      <c r="A4559" t="s">
        <v>4677</v>
      </c>
      <c r="B4559" t="s">
        <v>88</v>
      </c>
      <c r="C4559">
        <v>2020</v>
      </c>
      <c r="D4559" t="s">
        <v>31</v>
      </c>
      <c r="E4559" t="s">
        <v>64</v>
      </c>
      <c r="F4559" t="s">
        <v>20</v>
      </c>
      <c r="G4559">
        <v>28500</v>
      </c>
      <c r="H4559">
        <v>7125</v>
      </c>
      <c r="I4559" s="13">
        <v>1</v>
      </c>
      <c r="J4559" t="s">
        <v>6207</v>
      </c>
      <c r="K4559">
        <v>0</v>
      </c>
      <c r="L4559">
        <v>2</v>
      </c>
      <c r="M4559" t="s">
        <v>1</v>
      </c>
      <c r="N4559" s="2">
        <v>0.64</v>
      </c>
      <c r="O4559" s="2">
        <v>0.36</v>
      </c>
      <c r="P4559">
        <v>6</v>
      </c>
      <c r="Q4559">
        <v>14</v>
      </c>
      <c r="R4559">
        <v>5</v>
      </c>
      <c r="S4559">
        <v>4</v>
      </c>
      <c r="T4559">
        <v>12</v>
      </c>
      <c r="U4559">
        <v>6</v>
      </c>
      <c r="V4559">
        <v>1</v>
      </c>
      <c r="W4559">
        <v>0</v>
      </c>
      <c r="X4559">
        <v>0</v>
      </c>
      <c r="Y4559">
        <v>0</v>
      </c>
      <c r="Z4559">
        <v>1</v>
      </c>
    </row>
    <row r="4560" spans="1:26" x14ac:dyDescent="0.2">
      <c r="A4560" t="s">
        <v>4678</v>
      </c>
      <c r="B4560" t="s">
        <v>59</v>
      </c>
      <c r="C4560">
        <v>2020</v>
      </c>
      <c r="D4560" t="s">
        <v>42</v>
      </c>
      <c r="E4560" t="s">
        <v>18</v>
      </c>
      <c r="F4560" t="s">
        <v>38</v>
      </c>
      <c r="G4560">
        <v>42918</v>
      </c>
      <c r="H4560">
        <v>10000</v>
      </c>
      <c r="I4560" s="13">
        <v>0.875</v>
      </c>
      <c r="J4560" t="s">
        <v>6206</v>
      </c>
      <c r="K4560">
        <v>2</v>
      </c>
      <c r="L4560">
        <v>1</v>
      </c>
      <c r="M4560" t="s">
        <v>0</v>
      </c>
      <c r="N4560" s="2">
        <v>0.28999999999999998</v>
      </c>
      <c r="O4560" s="2">
        <v>0.71</v>
      </c>
      <c r="P4560">
        <v>13</v>
      </c>
      <c r="Q4560">
        <v>12</v>
      </c>
      <c r="R4560">
        <v>2</v>
      </c>
      <c r="S4560">
        <v>9</v>
      </c>
      <c r="T4560">
        <v>11</v>
      </c>
      <c r="U4560">
        <v>12</v>
      </c>
      <c r="V4560">
        <v>3</v>
      </c>
      <c r="W4560">
        <v>4</v>
      </c>
      <c r="X4560">
        <v>0</v>
      </c>
      <c r="Y4560">
        <v>1</v>
      </c>
      <c r="Z4560">
        <v>1</v>
      </c>
    </row>
    <row r="4561" spans="1:26" x14ac:dyDescent="0.2">
      <c r="A4561" t="s">
        <v>4679</v>
      </c>
      <c r="B4561" t="s">
        <v>68</v>
      </c>
      <c r="C4561">
        <v>2020</v>
      </c>
      <c r="D4561" t="s">
        <v>46</v>
      </c>
      <c r="E4561" t="s">
        <v>90</v>
      </c>
      <c r="F4561" t="s">
        <v>20</v>
      </c>
      <c r="G4561">
        <v>60704</v>
      </c>
      <c r="H4561">
        <v>10000</v>
      </c>
      <c r="I4561" s="13">
        <v>0</v>
      </c>
      <c r="J4561" t="s">
        <v>6207</v>
      </c>
      <c r="K4561">
        <v>2</v>
      </c>
      <c r="L4561">
        <v>0</v>
      </c>
      <c r="M4561" t="s">
        <v>0</v>
      </c>
      <c r="N4561" s="2">
        <v>0.54</v>
      </c>
      <c r="O4561" s="2">
        <v>0.46</v>
      </c>
      <c r="P4561">
        <v>9</v>
      </c>
      <c r="Q4561">
        <v>12</v>
      </c>
      <c r="R4561">
        <v>11</v>
      </c>
      <c r="S4561">
        <v>3</v>
      </c>
      <c r="T4561">
        <v>10</v>
      </c>
      <c r="U4561">
        <v>8</v>
      </c>
      <c r="V4561">
        <v>0</v>
      </c>
      <c r="W4561">
        <v>0</v>
      </c>
      <c r="X4561">
        <v>0</v>
      </c>
      <c r="Y4561">
        <v>0</v>
      </c>
      <c r="Z4561">
        <v>0</v>
      </c>
    </row>
    <row r="4562" spans="1:26" x14ac:dyDescent="0.2">
      <c r="A4562" t="s">
        <v>4680</v>
      </c>
      <c r="B4562" t="s">
        <v>66</v>
      </c>
      <c r="C4562">
        <v>2021</v>
      </c>
      <c r="D4562" t="s">
        <v>101</v>
      </c>
      <c r="E4562" t="s">
        <v>46</v>
      </c>
      <c r="F4562" t="s">
        <v>101</v>
      </c>
      <c r="G4562">
        <v>17250</v>
      </c>
      <c r="H4562">
        <v>13800</v>
      </c>
      <c r="I4562" s="13">
        <v>0</v>
      </c>
      <c r="J4562" t="s">
        <v>6207</v>
      </c>
      <c r="K4562">
        <v>2</v>
      </c>
      <c r="L4562">
        <v>0</v>
      </c>
      <c r="M4562" t="s">
        <v>0</v>
      </c>
      <c r="N4562" s="2">
        <v>0.35</v>
      </c>
      <c r="O4562" s="2">
        <v>0.65</v>
      </c>
      <c r="P4562">
        <v>9</v>
      </c>
      <c r="Q4562">
        <v>13</v>
      </c>
      <c r="R4562">
        <v>2</v>
      </c>
      <c r="S4562">
        <v>5</v>
      </c>
      <c r="T4562">
        <v>12</v>
      </c>
      <c r="U4562">
        <v>8</v>
      </c>
      <c r="V4562">
        <v>0</v>
      </c>
      <c r="W4562">
        <v>0</v>
      </c>
      <c r="X4562">
        <v>0</v>
      </c>
      <c r="Y4562">
        <v>0</v>
      </c>
      <c r="Z4562">
        <v>0</v>
      </c>
    </row>
    <row r="4563" spans="1:26" x14ac:dyDescent="0.2">
      <c r="A4563" t="s">
        <v>4681</v>
      </c>
      <c r="B4563" t="s">
        <v>81</v>
      </c>
      <c r="C4563">
        <v>2021</v>
      </c>
      <c r="D4563" t="s">
        <v>48</v>
      </c>
      <c r="E4563" t="s">
        <v>33</v>
      </c>
      <c r="F4563" t="s">
        <v>49</v>
      </c>
      <c r="G4563">
        <v>74197</v>
      </c>
      <c r="H4563">
        <v>59357.600000000006</v>
      </c>
      <c r="I4563" s="13">
        <v>0.33333333333333331</v>
      </c>
      <c r="J4563" t="s">
        <v>6207</v>
      </c>
      <c r="K4563">
        <v>5</v>
      </c>
      <c r="L4563">
        <v>1</v>
      </c>
      <c r="M4563" t="s">
        <v>0</v>
      </c>
      <c r="N4563" s="2">
        <v>0.49</v>
      </c>
      <c r="O4563" s="2">
        <v>0.51</v>
      </c>
      <c r="P4563">
        <v>12</v>
      </c>
      <c r="Q4563">
        <v>13</v>
      </c>
      <c r="R4563">
        <v>5</v>
      </c>
      <c r="S4563">
        <v>4</v>
      </c>
      <c r="T4563">
        <v>11</v>
      </c>
      <c r="U4563">
        <v>9</v>
      </c>
      <c r="V4563">
        <v>1</v>
      </c>
      <c r="W4563">
        <v>2</v>
      </c>
      <c r="X4563">
        <v>0</v>
      </c>
      <c r="Y4563">
        <v>0</v>
      </c>
      <c r="Z4563">
        <v>0</v>
      </c>
    </row>
    <row r="4564" spans="1:26" x14ac:dyDescent="0.2">
      <c r="A4564" t="s">
        <v>4682</v>
      </c>
      <c r="B4564" t="s">
        <v>41</v>
      </c>
      <c r="C4564">
        <v>2021</v>
      </c>
      <c r="D4564" t="s">
        <v>85</v>
      </c>
      <c r="E4564" t="s">
        <v>42</v>
      </c>
      <c r="F4564" t="s">
        <v>85</v>
      </c>
      <c r="G4564">
        <v>22220</v>
      </c>
      <c r="H4564">
        <v>17776</v>
      </c>
      <c r="I4564" s="13">
        <v>0.75</v>
      </c>
      <c r="J4564" t="s">
        <v>6207</v>
      </c>
      <c r="K4564">
        <v>3</v>
      </c>
      <c r="L4564">
        <v>2</v>
      </c>
      <c r="M4564" t="s">
        <v>0</v>
      </c>
      <c r="N4564" s="2">
        <v>0.38</v>
      </c>
      <c r="O4564" s="2">
        <v>0.62</v>
      </c>
      <c r="P4564">
        <v>15</v>
      </c>
      <c r="Q4564">
        <v>16</v>
      </c>
      <c r="R4564">
        <v>2</v>
      </c>
      <c r="S4564">
        <v>4</v>
      </c>
      <c r="T4564">
        <v>18</v>
      </c>
      <c r="U4564">
        <v>13</v>
      </c>
      <c r="V4564">
        <v>3</v>
      </c>
      <c r="W4564">
        <v>1</v>
      </c>
      <c r="X4564">
        <v>0</v>
      </c>
      <c r="Y4564">
        <v>0</v>
      </c>
      <c r="Z4564">
        <v>1</v>
      </c>
    </row>
    <row r="4565" spans="1:26" x14ac:dyDescent="0.2">
      <c r="A4565" t="s">
        <v>4683</v>
      </c>
      <c r="B4565" t="s">
        <v>76</v>
      </c>
      <c r="C4565">
        <v>2021</v>
      </c>
      <c r="D4565" t="s">
        <v>80</v>
      </c>
      <c r="E4565" t="s">
        <v>22</v>
      </c>
      <c r="F4565" t="s">
        <v>80</v>
      </c>
      <c r="G4565">
        <v>32261</v>
      </c>
      <c r="H4565">
        <v>25808.800000000003</v>
      </c>
      <c r="I4565" s="13">
        <v>0.66666666666666663</v>
      </c>
      <c r="J4565" t="s">
        <v>6207</v>
      </c>
      <c r="K4565">
        <v>1</v>
      </c>
      <c r="L4565">
        <v>0</v>
      </c>
      <c r="M4565" t="s">
        <v>0</v>
      </c>
      <c r="N4565" s="2">
        <v>0.56000000000000005</v>
      </c>
      <c r="O4565" s="2">
        <v>0.44</v>
      </c>
      <c r="P4565">
        <v>14</v>
      </c>
      <c r="Q4565">
        <v>11</v>
      </c>
      <c r="R4565">
        <v>5</v>
      </c>
      <c r="S4565">
        <v>4</v>
      </c>
      <c r="T4565">
        <v>6</v>
      </c>
      <c r="U4565">
        <v>10</v>
      </c>
      <c r="V4565">
        <v>1</v>
      </c>
      <c r="W4565">
        <v>2</v>
      </c>
      <c r="X4565">
        <v>0</v>
      </c>
      <c r="Y4565">
        <v>0</v>
      </c>
      <c r="Z4565">
        <v>0</v>
      </c>
    </row>
    <row r="4566" spans="1:26" x14ac:dyDescent="0.2">
      <c r="A4566" t="s">
        <v>4684</v>
      </c>
      <c r="B4566" t="s">
        <v>92</v>
      </c>
      <c r="C4566">
        <v>2021</v>
      </c>
      <c r="D4566" t="s">
        <v>45</v>
      </c>
      <c r="E4566" t="s">
        <v>73</v>
      </c>
      <c r="F4566" t="s">
        <v>26</v>
      </c>
      <c r="G4566">
        <v>39572</v>
      </c>
      <c r="H4566">
        <v>31657.600000000002</v>
      </c>
      <c r="I4566" s="13">
        <v>1</v>
      </c>
      <c r="J4566" t="s">
        <v>6207</v>
      </c>
      <c r="K4566">
        <v>3</v>
      </c>
      <c r="L4566">
        <v>1</v>
      </c>
      <c r="M4566" t="s">
        <v>0</v>
      </c>
      <c r="N4566" s="2">
        <v>0.48</v>
      </c>
      <c r="O4566" s="2">
        <v>0.52</v>
      </c>
      <c r="P4566">
        <v>15</v>
      </c>
      <c r="Q4566">
        <v>13</v>
      </c>
      <c r="R4566">
        <v>6</v>
      </c>
      <c r="S4566">
        <v>8</v>
      </c>
      <c r="T4566">
        <v>13</v>
      </c>
      <c r="U4566">
        <v>15</v>
      </c>
      <c r="V4566">
        <v>2</v>
      </c>
      <c r="W4566">
        <v>0</v>
      </c>
      <c r="X4566">
        <v>0</v>
      </c>
      <c r="Y4566">
        <v>0</v>
      </c>
      <c r="Z4566">
        <v>0</v>
      </c>
    </row>
    <row r="4567" spans="1:26" x14ac:dyDescent="0.2">
      <c r="A4567" t="s">
        <v>4685</v>
      </c>
      <c r="B4567" t="s">
        <v>68</v>
      </c>
      <c r="C4567">
        <v>2021</v>
      </c>
      <c r="D4567" t="s">
        <v>18</v>
      </c>
      <c r="E4567" t="s">
        <v>79</v>
      </c>
      <c r="F4567" t="s">
        <v>20</v>
      </c>
      <c r="G4567">
        <v>40341</v>
      </c>
      <c r="H4567">
        <v>32272.800000000003</v>
      </c>
      <c r="I4567" s="13">
        <v>0</v>
      </c>
      <c r="J4567" t="s">
        <v>6207</v>
      </c>
      <c r="K4567">
        <v>3</v>
      </c>
      <c r="L4567">
        <v>0</v>
      </c>
      <c r="M4567" t="s">
        <v>0</v>
      </c>
      <c r="N4567" s="2">
        <v>0.62</v>
      </c>
      <c r="O4567" s="2">
        <v>0.38</v>
      </c>
      <c r="P4567">
        <v>12</v>
      </c>
      <c r="Q4567">
        <v>15</v>
      </c>
      <c r="R4567">
        <v>5</v>
      </c>
      <c r="S4567">
        <v>2</v>
      </c>
      <c r="T4567">
        <v>15</v>
      </c>
      <c r="U4567">
        <v>11</v>
      </c>
      <c r="V4567">
        <v>0</v>
      </c>
      <c r="W4567">
        <v>0</v>
      </c>
      <c r="X4567">
        <v>0</v>
      </c>
      <c r="Y4567">
        <v>0</v>
      </c>
      <c r="Z4567">
        <v>0</v>
      </c>
    </row>
    <row r="4568" spans="1:26" x14ac:dyDescent="0.2">
      <c r="A4568" t="s">
        <v>4686</v>
      </c>
      <c r="B4568" t="s">
        <v>93</v>
      </c>
      <c r="C4568">
        <v>2021</v>
      </c>
      <c r="D4568" t="s">
        <v>28</v>
      </c>
      <c r="E4568" t="s">
        <v>90</v>
      </c>
      <c r="F4568" t="s">
        <v>28</v>
      </c>
      <c r="G4568">
        <v>21944</v>
      </c>
      <c r="H4568">
        <v>17555.2</v>
      </c>
      <c r="I4568" s="13">
        <v>0.66666666666666663</v>
      </c>
      <c r="J4568" t="s">
        <v>6206</v>
      </c>
      <c r="K4568">
        <v>1</v>
      </c>
      <c r="L4568">
        <v>2</v>
      </c>
      <c r="M4568" t="s">
        <v>1</v>
      </c>
      <c r="N4568" s="2">
        <v>0.36</v>
      </c>
      <c r="O4568" s="2">
        <v>0.64</v>
      </c>
      <c r="P4568">
        <v>6</v>
      </c>
      <c r="Q4568">
        <v>11</v>
      </c>
      <c r="R4568">
        <v>7</v>
      </c>
      <c r="S4568">
        <v>6</v>
      </c>
      <c r="T4568">
        <v>10</v>
      </c>
      <c r="U4568">
        <v>7</v>
      </c>
      <c r="V4568">
        <v>2</v>
      </c>
      <c r="W4568">
        <v>1</v>
      </c>
      <c r="X4568">
        <v>0</v>
      </c>
      <c r="Y4568">
        <v>0</v>
      </c>
      <c r="Z4568">
        <v>0</v>
      </c>
    </row>
    <row r="4569" spans="1:26" x14ac:dyDescent="0.2">
      <c r="A4569" t="s">
        <v>4687</v>
      </c>
      <c r="B4569" t="s">
        <v>37</v>
      </c>
      <c r="C4569">
        <v>2021</v>
      </c>
      <c r="D4569" t="s">
        <v>69</v>
      </c>
      <c r="E4569" t="s">
        <v>26</v>
      </c>
      <c r="F4569" t="s">
        <v>69</v>
      </c>
      <c r="G4569">
        <v>27359</v>
      </c>
      <c r="H4569">
        <v>21887.200000000001</v>
      </c>
      <c r="I4569" s="13">
        <v>0</v>
      </c>
      <c r="J4569" t="s">
        <v>6206</v>
      </c>
      <c r="K4569">
        <v>0</v>
      </c>
      <c r="L4569">
        <v>3</v>
      </c>
      <c r="M4569" t="s">
        <v>1</v>
      </c>
      <c r="N4569" s="2">
        <v>0.5</v>
      </c>
      <c r="O4569" s="2">
        <v>0.5</v>
      </c>
      <c r="P4569">
        <v>14</v>
      </c>
      <c r="Q4569">
        <v>6</v>
      </c>
      <c r="R4569">
        <v>3</v>
      </c>
      <c r="S4569">
        <v>11</v>
      </c>
      <c r="T4569">
        <v>4</v>
      </c>
      <c r="U4569">
        <v>14</v>
      </c>
      <c r="V4569">
        <v>1</v>
      </c>
      <c r="W4569">
        <v>1</v>
      </c>
      <c r="X4569">
        <v>0</v>
      </c>
      <c r="Y4569">
        <v>0</v>
      </c>
      <c r="Z4569">
        <v>0</v>
      </c>
    </row>
    <row r="4570" spans="1:26" x14ac:dyDescent="0.2">
      <c r="A4570" t="s">
        <v>4688</v>
      </c>
      <c r="B4570" t="s">
        <v>32</v>
      </c>
      <c r="C4570">
        <v>2021</v>
      </c>
      <c r="D4570" t="s">
        <v>64</v>
      </c>
      <c r="E4570" t="s">
        <v>23</v>
      </c>
      <c r="F4570" t="s">
        <v>64</v>
      </c>
      <c r="G4570">
        <v>52264</v>
      </c>
      <c r="H4570">
        <v>41811.200000000004</v>
      </c>
      <c r="I4570" s="13">
        <v>0</v>
      </c>
      <c r="J4570" t="s">
        <v>6207</v>
      </c>
      <c r="K4570">
        <v>2</v>
      </c>
      <c r="L4570">
        <v>4</v>
      </c>
      <c r="M4570" t="s">
        <v>1</v>
      </c>
      <c r="N4570" s="2">
        <v>0.47</v>
      </c>
      <c r="O4570" s="2">
        <v>0.53</v>
      </c>
      <c r="P4570">
        <v>6</v>
      </c>
      <c r="Q4570">
        <v>5</v>
      </c>
      <c r="R4570">
        <v>7</v>
      </c>
      <c r="S4570">
        <v>6</v>
      </c>
      <c r="T4570">
        <v>4</v>
      </c>
      <c r="U4570">
        <v>3</v>
      </c>
      <c r="V4570">
        <v>1</v>
      </c>
      <c r="W4570">
        <v>0</v>
      </c>
      <c r="X4570">
        <v>0</v>
      </c>
      <c r="Y4570">
        <v>0</v>
      </c>
      <c r="Z4570">
        <v>1</v>
      </c>
    </row>
    <row r="4571" spans="1:26" x14ac:dyDescent="0.2">
      <c r="A4571" t="s">
        <v>4689</v>
      </c>
      <c r="B4571" t="s">
        <v>61</v>
      </c>
      <c r="C4571">
        <v>2021</v>
      </c>
      <c r="D4571" t="s">
        <v>51</v>
      </c>
      <c r="E4571" t="s">
        <v>40</v>
      </c>
      <c r="F4571" t="s">
        <v>20</v>
      </c>
      <c r="G4571">
        <v>36284</v>
      </c>
      <c r="H4571">
        <v>29027.200000000001</v>
      </c>
      <c r="I4571" s="13">
        <v>0.66666666666666663</v>
      </c>
      <c r="J4571" t="s">
        <v>6207</v>
      </c>
      <c r="K4571">
        <v>1</v>
      </c>
      <c r="L4571">
        <v>0</v>
      </c>
      <c r="M4571" t="s">
        <v>0</v>
      </c>
      <c r="N4571" s="2">
        <v>0.35</v>
      </c>
      <c r="O4571" s="2">
        <v>0.65</v>
      </c>
      <c r="P4571">
        <v>9</v>
      </c>
      <c r="Q4571">
        <v>14</v>
      </c>
      <c r="R4571">
        <v>3</v>
      </c>
      <c r="S4571">
        <v>11</v>
      </c>
      <c r="T4571">
        <v>11</v>
      </c>
      <c r="U4571">
        <v>8</v>
      </c>
      <c r="V4571">
        <v>2</v>
      </c>
      <c r="W4571">
        <v>1</v>
      </c>
      <c r="X4571">
        <v>0</v>
      </c>
      <c r="Y4571">
        <v>0</v>
      </c>
      <c r="Z4571">
        <v>0</v>
      </c>
    </row>
    <row r="4572" spans="1:26" x14ac:dyDescent="0.2">
      <c r="A4572" t="s">
        <v>4690</v>
      </c>
      <c r="B4572" t="s">
        <v>41</v>
      </c>
      <c r="C4572">
        <v>2021</v>
      </c>
      <c r="D4572" t="s">
        <v>26</v>
      </c>
      <c r="E4572" t="s">
        <v>28</v>
      </c>
      <c r="F4572" t="s">
        <v>26</v>
      </c>
      <c r="G4572">
        <v>61276</v>
      </c>
      <c r="H4572">
        <v>49020.800000000003</v>
      </c>
      <c r="I4572" s="13">
        <v>0</v>
      </c>
      <c r="J4572" t="s">
        <v>6207</v>
      </c>
      <c r="K4572">
        <v>2</v>
      </c>
      <c r="L4572">
        <v>0</v>
      </c>
      <c r="M4572" t="s">
        <v>0</v>
      </c>
      <c r="N4572" s="2">
        <v>0.67</v>
      </c>
      <c r="O4572" s="2">
        <v>0.33</v>
      </c>
      <c r="P4572">
        <v>16</v>
      </c>
      <c r="Q4572">
        <v>8</v>
      </c>
      <c r="R4572">
        <v>8</v>
      </c>
      <c r="S4572">
        <v>4</v>
      </c>
      <c r="T4572">
        <v>6</v>
      </c>
      <c r="U4572">
        <v>12</v>
      </c>
      <c r="V4572">
        <v>0</v>
      </c>
      <c r="W4572">
        <v>0</v>
      </c>
      <c r="X4572">
        <v>0</v>
      </c>
      <c r="Y4572">
        <v>0</v>
      </c>
      <c r="Z4572">
        <v>0</v>
      </c>
    </row>
    <row r="4573" spans="1:26" x14ac:dyDescent="0.2">
      <c r="A4573" t="s">
        <v>4691</v>
      </c>
      <c r="B4573" t="s">
        <v>83</v>
      </c>
      <c r="C4573">
        <v>2021</v>
      </c>
      <c r="D4573" t="s">
        <v>40</v>
      </c>
      <c r="E4573" t="s">
        <v>69</v>
      </c>
      <c r="F4573" t="s">
        <v>49</v>
      </c>
      <c r="G4573">
        <v>53400</v>
      </c>
      <c r="H4573">
        <v>42720</v>
      </c>
      <c r="I4573" s="13">
        <v>1</v>
      </c>
      <c r="J4573" t="s">
        <v>6208</v>
      </c>
      <c r="K4573">
        <v>5</v>
      </c>
      <c r="L4573">
        <v>0</v>
      </c>
      <c r="M4573" t="s">
        <v>0</v>
      </c>
      <c r="N4573" s="2">
        <v>0.67</v>
      </c>
      <c r="O4573" s="2">
        <v>0.33</v>
      </c>
      <c r="P4573">
        <v>10</v>
      </c>
      <c r="Q4573">
        <v>14</v>
      </c>
      <c r="R4573">
        <v>6</v>
      </c>
      <c r="S4573">
        <v>1</v>
      </c>
      <c r="T4573">
        <v>13</v>
      </c>
      <c r="U4573">
        <v>7</v>
      </c>
      <c r="V4573">
        <v>1</v>
      </c>
      <c r="W4573">
        <v>0</v>
      </c>
      <c r="X4573">
        <v>0</v>
      </c>
      <c r="Y4573">
        <v>0</v>
      </c>
      <c r="Z4573">
        <v>0</v>
      </c>
    </row>
    <row r="4574" spans="1:26" x14ac:dyDescent="0.2">
      <c r="A4574" t="s">
        <v>4692</v>
      </c>
      <c r="B4574" t="s">
        <v>100</v>
      </c>
      <c r="C4574">
        <v>2021</v>
      </c>
      <c r="D4574" t="s">
        <v>33</v>
      </c>
      <c r="E4574" t="s">
        <v>45</v>
      </c>
      <c r="F4574" t="s">
        <v>33</v>
      </c>
      <c r="G4574">
        <v>37645</v>
      </c>
      <c r="H4574">
        <v>30116</v>
      </c>
      <c r="I4574" s="13">
        <v>0.66666666666666663</v>
      </c>
      <c r="J4574" t="s">
        <v>6207</v>
      </c>
      <c r="K4574">
        <v>2</v>
      </c>
      <c r="L4574">
        <v>2</v>
      </c>
      <c r="M4574" t="s">
        <v>58</v>
      </c>
      <c r="N4574" s="2">
        <v>0.7</v>
      </c>
      <c r="O4574" s="2">
        <v>0.3</v>
      </c>
      <c r="P4574">
        <v>13</v>
      </c>
      <c r="Q4574">
        <v>5</v>
      </c>
      <c r="R4574">
        <v>8</v>
      </c>
      <c r="S4574">
        <v>5</v>
      </c>
      <c r="T4574">
        <v>6</v>
      </c>
      <c r="U4574">
        <v>13</v>
      </c>
      <c r="V4574">
        <v>2</v>
      </c>
      <c r="W4574">
        <v>4</v>
      </c>
      <c r="X4574">
        <v>0</v>
      </c>
      <c r="Y4574">
        <v>0</v>
      </c>
      <c r="Z4574">
        <v>1</v>
      </c>
    </row>
    <row r="4575" spans="1:26" x14ac:dyDescent="0.2">
      <c r="A4575" t="s">
        <v>4693</v>
      </c>
      <c r="B4575" t="s">
        <v>32</v>
      </c>
      <c r="C4575">
        <v>2021</v>
      </c>
      <c r="D4575" t="s">
        <v>79</v>
      </c>
      <c r="E4575" t="s">
        <v>101</v>
      </c>
      <c r="F4575" t="s">
        <v>20</v>
      </c>
      <c r="G4575">
        <v>25486</v>
      </c>
      <c r="H4575">
        <v>20388.800000000003</v>
      </c>
      <c r="I4575" s="13">
        <v>0.75</v>
      </c>
      <c r="J4575" t="s">
        <v>6207</v>
      </c>
      <c r="K4575">
        <v>0</v>
      </c>
      <c r="L4575">
        <v>0</v>
      </c>
      <c r="M4575" t="s">
        <v>58</v>
      </c>
      <c r="N4575" s="2">
        <v>0.53</v>
      </c>
      <c r="O4575" s="2">
        <v>0.47</v>
      </c>
      <c r="P4575">
        <v>10</v>
      </c>
      <c r="Q4575">
        <v>13</v>
      </c>
      <c r="R4575">
        <v>3</v>
      </c>
      <c r="S4575">
        <v>5</v>
      </c>
      <c r="T4575">
        <v>12</v>
      </c>
      <c r="U4575">
        <v>9</v>
      </c>
      <c r="V4575">
        <v>3</v>
      </c>
      <c r="W4575">
        <v>1</v>
      </c>
      <c r="X4575">
        <v>0</v>
      </c>
      <c r="Y4575">
        <v>0</v>
      </c>
      <c r="Z4575">
        <v>0</v>
      </c>
    </row>
    <row r="4576" spans="1:26" x14ac:dyDescent="0.2">
      <c r="A4576" t="s">
        <v>4694</v>
      </c>
      <c r="B4576" t="s">
        <v>93</v>
      </c>
      <c r="C4576">
        <v>2021</v>
      </c>
      <c r="D4576" t="s">
        <v>42</v>
      </c>
      <c r="E4576" t="s">
        <v>64</v>
      </c>
      <c r="F4576" t="s">
        <v>38</v>
      </c>
      <c r="G4576">
        <v>42918</v>
      </c>
      <c r="H4576">
        <v>34334.400000000001</v>
      </c>
      <c r="I4576" s="13">
        <v>0.8571428571428571</v>
      </c>
      <c r="J4576" t="s">
        <v>6206</v>
      </c>
      <c r="K4576">
        <v>2</v>
      </c>
      <c r="L4576">
        <v>0</v>
      </c>
      <c r="M4576" t="s">
        <v>0</v>
      </c>
      <c r="N4576" s="2">
        <v>0.47</v>
      </c>
      <c r="O4576" s="2">
        <v>0.53</v>
      </c>
      <c r="P4576">
        <v>16</v>
      </c>
      <c r="Q4576">
        <v>9</v>
      </c>
      <c r="R4576">
        <v>3</v>
      </c>
      <c r="S4576">
        <v>4</v>
      </c>
      <c r="T4576">
        <v>8</v>
      </c>
      <c r="U4576">
        <v>18</v>
      </c>
      <c r="V4576">
        <v>3</v>
      </c>
      <c r="W4576">
        <v>4</v>
      </c>
      <c r="X4576">
        <v>0</v>
      </c>
      <c r="Y4576">
        <v>0</v>
      </c>
      <c r="Z4576">
        <v>1</v>
      </c>
    </row>
    <row r="4577" spans="1:26" x14ac:dyDescent="0.2">
      <c r="A4577" t="s">
        <v>4695</v>
      </c>
      <c r="B4577" t="s">
        <v>61</v>
      </c>
      <c r="C4577">
        <v>2021</v>
      </c>
      <c r="D4577" t="s">
        <v>90</v>
      </c>
      <c r="E4577" t="s">
        <v>85</v>
      </c>
      <c r="F4577" t="s">
        <v>91</v>
      </c>
      <c r="G4577">
        <v>31876</v>
      </c>
      <c r="H4577">
        <v>25500.800000000003</v>
      </c>
      <c r="I4577" s="13">
        <v>0.5</v>
      </c>
      <c r="J4577" t="s">
        <v>6207</v>
      </c>
      <c r="K4577">
        <v>2</v>
      </c>
      <c r="L4577">
        <v>0</v>
      </c>
      <c r="M4577" t="s">
        <v>0</v>
      </c>
      <c r="N4577" s="2">
        <v>0.56999999999999995</v>
      </c>
      <c r="O4577" s="2">
        <v>0.43</v>
      </c>
      <c r="P4577">
        <v>7</v>
      </c>
      <c r="Q4577">
        <v>12</v>
      </c>
      <c r="R4577">
        <v>7</v>
      </c>
      <c r="S4577">
        <v>2</v>
      </c>
      <c r="T4577">
        <v>11</v>
      </c>
      <c r="U4577">
        <v>6</v>
      </c>
      <c r="V4577">
        <v>4</v>
      </c>
      <c r="W4577">
        <v>0</v>
      </c>
      <c r="X4577">
        <v>0</v>
      </c>
      <c r="Y4577">
        <v>0</v>
      </c>
      <c r="Z4577">
        <v>0</v>
      </c>
    </row>
    <row r="4578" spans="1:26" x14ac:dyDescent="0.2">
      <c r="A4578" t="s">
        <v>4696</v>
      </c>
      <c r="B4578" t="s">
        <v>59</v>
      </c>
      <c r="C4578">
        <v>2021</v>
      </c>
      <c r="D4578" t="s">
        <v>22</v>
      </c>
      <c r="E4578" t="s">
        <v>51</v>
      </c>
      <c r="F4578" t="s">
        <v>24</v>
      </c>
      <c r="G4578">
        <v>31750</v>
      </c>
      <c r="H4578">
        <v>25400</v>
      </c>
      <c r="I4578" s="13">
        <v>0.4</v>
      </c>
      <c r="J4578" t="s">
        <v>6206</v>
      </c>
      <c r="K4578">
        <v>0</v>
      </c>
      <c r="L4578">
        <v>1</v>
      </c>
      <c r="M4578" t="s">
        <v>1</v>
      </c>
      <c r="N4578" s="2">
        <v>0.57999999999999996</v>
      </c>
      <c r="O4578" s="2">
        <v>0.42</v>
      </c>
      <c r="P4578">
        <v>7</v>
      </c>
      <c r="Q4578">
        <v>10</v>
      </c>
      <c r="R4578">
        <v>5</v>
      </c>
      <c r="S4578">
        <v>4</v>
      </c>
      <c r="T4578">
        <v>9</v>
      </c>
      <c r="U4578">
        <v>7</v>
      </c>
      <c r="V4578">
        <v>1</v>
      </c>
      <c r="W4578">
        <v>4</v>
      </c>
      <c r="X4578">
        <v>0</v>
      </c>
      <c r="Y4578">
        <v>0</v>
      </c>
      <c r="Z4578">
        <v>1</v>
      </c>
    </row>
    <row r="4579" spans="1:26" x14ac:dyDescent="0.2">
      <c r="A4579" t="s">
        <v>4697</v>
      </c>
      <c r="B4579" t="s">
        <v>76</v>
      </c>
      <c r="C4579">
        <v>2021</v>
      </c>
      <c r="D4579" t="s">
        <v>73</v>
      </c>
      <c r="E4579" t="s">
        <v>48</v>
      </c>
      <c r="F4579" t="s">
        <v>73</v>
      </c>
      <c r="G4579">
        <v>32384</v>
      </c>
      <c r="H4579">
        <v>25907.200000000001</v>
      </c>
      <c r="I4579" s="13">
        <v>0.6</v>
      </c>
      <c r="J4579" t="s">
        <v>6207</v>
      </c>
      <c r="K4579">
        <v>1</v>
      </c>
      <c r="L4579">
        <v>1</v>
      </c>
      <c r="M4579" t="s">
        <v>58</v>
      </c>
      <c r="N4579" s="2">
        <v>0.36</v>
      </c>
      <c r="O4579" s="2">
        <v>0.64</v>
      </c>
      <c r="P4579">
        <v>13</v>
      </c>
      <c r="Q4579">
        <v>12</v>
      </c>
      <c r="R4579">
        <v>7</v>
      </c>
      <c r="S4579">
        <v>7</v>
      </c>
      <c r="T4579">
        <v>12</v>
      </c>
      <c r="U4579">
        <v>10</v>
      </c>
      <c r="V4579">
        <v>2</v>
      </c>
      <c r="W4579">
        <v>3</v>
      </c>
      <c r="X4579">
        <v>0</v>
      </c>
      <c r="Y4579">
        <v>0</v>
      </c>
      <c r="Z4579">
        <v>0</v>
      </c>
    </row>
    <row r="4580" spans="1:26" x14ac:dyDescent="0.2">
      <c r="A4580" t="s">
        <v>4698</v>
      </c>
      <c r="B4580" t="s">
        <v>81</v>
      </c>
      <c r="C4580">
        <v>2021</v>
      </c>
      <c r="D4580" t="s">
        <v>46</v>
      </c>
      <c r="E4580" t="s">
        <v>18</v>
      </c>
      <c r="F4580" t="s">
        <v>20</v>
      </c>
      <c r="G4580">
        <v>60704</v>
      </c>
      <c r="H4580">
        <v>48563.200000000004</v>
      </c>
      <c r="I4580" s="13">
        <v>0.66666666666666663</v>
      </c>
      <c r="J4580" t="s">
        <v>6207</v>
      </c>
      <c r="K4580">
        <v>0</v>
      </c>
      <c r="L4580">
        <v>2</v>
      </c>
      <c r="M4580" t="s">
        <v>1</v>
      </c>
      <c r="N4580" s="2">
        <v>0.35</v>
      </c>
      <c r="O4580" s="2">
        <v>0.65</v>
      </c>
      <c r="P4580">
        <v>4</v>
      </c>
      <c r="Q4580">
        <v>15</v>
      </c>
      <c r="R4580">
        <v>9</v>
      </c>
      <c r="S4580">
        <v>8</v>
      </c>
      <c r="T4580">
        <v>10</v>
      </c>
      <c r="U4580">
        <v>4</v>
      </c>
      <c r="V4580">
        <v>3</v>
      </c>
      <c r="W4580">
        <v>0</v>
      </c>
      <c r="X4580">
        <v>0</v>
      </c>
      <c r="Y4580">
        <v>0</v>
      </c>
      <c r="Z4580">
        <v>0</v>
      </c>
    </row>
    <row r="4581" spans="1:26" x14ac:dyDescent="0.2">
      <c r="A4581" t="s">
        <v>4699</v>
      </c>
      <c r="B4581" t="s">
        <v>66</v>
      </c>
      <c r="C4581">
        <v>2021</v>
      </c>
      <c r="D4581" t="s">
        <v>23</v>
      </c>
      <c r="E4581" t="s">
        <v>80</v>
      </c>
      <c r="F4581" t="s">
        <v>20</v>
      </c>
      <c r="G4581">
        <v>62500</v>
      </c>
      <c r="H4581">
        <v>50000</v>
      </c>
      <c r="I4581" s="13">
        <v>1</v>
      </c>
      <c r="J4581" t="s">
        <v>6207</v>
      </c>
      <c r="K4581">
        <v>4</v>
      </c>
      <c r="L4581">
        <v>1</v>
      </c>
      <c r="M4581" t="s">
        <v>0</v>
      </c>
      <c r="N4581" s="2">
        <v>0.51</v>
      </c>
      <c r="O4581" s="2">
        <v>0.49</v>
      </c>
      <c r="P4581">
        <v>8</v>
      </c>
      <c r="Q4581">
        <v>10</v>
      </c>
      <c r="R4581">
        <v>10</v>
      </c>
      <c r="S4581">
        <v>0</v>
      </c>
      <c r="T4581">
        <v>8</v>
      </c>
      <c r="U4581">
        <v>8</v>
      </c>
      <c r="V4581">
        <v>0</v>
      </c>
      <c r="W4581">
        <v>1</v>
      </c>
      <c r="X4581">
        <v>0</v>
      </c>
      <c r="Y4581">
        <v>1</v>
      </c>
      <c r="Z4581">
        <v>0</v>
      </c>
    </row>
    <row r="4582" spans="1:26" x14ac:dyDescent="0.2">
      <c r="A4582" t="s">
        <v>4700</v>
      </c>
      <c r="B4582" t="s">
        <v>32</v>
      </c>
      <c r="C4582">
        <v>2021</v>
      </c>
      <c r="D4582" t="s">
        <v>40</v>
      </c>
      <c r="E4582" t="s">
        <v>46</v>
      </c>
      <c r="F4582" t="s">
        <v>49</v>
      </c>
      <c r="G4582">
        <v>53400</v>
      </c>
      <c r="H4582">
        <v>42720</v>
      </c>
      <c r="I4582" s="13">
        <v>0.75</v>
      </c>
      <c r="J4582" t="s">
        <v>6207</v>
      </c>
      <c r="K4582">
        <v>5</v>
      </c>
      <c r="L4582">
        <v>0</v>
      </c>
      <c r="M4582" t="s">
        <v>0</v>
      </c>
      <c r="N4582" s="2">
        <v>0.81</v>
      </c>
      <c r="O4582" s="2">
        <v>0.19</v>
      </c>
      <c r="P4582">
        <v>10</v>
      </c>
      <c r="Q4582">
        <v>6</v>
      </c>
      <c r="R4582">
        <v>14</v>
      </c>
      <c r="S4582">
        <v>0</v>
      </c>
      <c r="T4582">
        <v>5</v>
      </c>
      <c r="U4582">
        <v>7</v>
      </c>
      <c r="V4582">
        <v>1</v>
      </c>
      <c r="W4582">
        <v>2</v>
      </c>
      <c r="X4582">
        <v>0</v>
      </c>
      <c r="Y4582">
        <v>1</v>
      </c>
      <c r="Z4582">
        <v>0</v>
      </c>
    </row>
    <row r="4583" spans="1:26" x14ac:dyDescent="0.2">
      <c r="A4583" t="s">
        <v>4701</v>
      </c>
      <c r="B4583" t="s">
        <v>59</v>
      </c>
      <c r="C4583">
        <v>2021</v>
      </c>
      <c r="D4583" t="s">
        <v>23</v>
      </c>
      <c r="E4583" t="s">
        <v>79</v>
      </c>
      <c r="F4583" t="s">
        <v>20</v>
      </c>
      <c r="G4583">
        <v>62500</v>
      </c>
      <c r="H4583">
        <v>50000</v>
      </c>
      <c r="I4583" s="13">
        <v>0</v>
      </c>
      <c r="J4583" t="s">
        <v>6206</v>
      </c>
      <c r="K4583">
        <v>2</v>
      </c>
      <c r="L4583">
        <v>2</v>
      </c>
      <c r="M4583" t="s">
        <v>58</v>
      </c>
      <c r="N4583" s="2">
        <v>0.46</v>
      </c>
      <c r="O4583" s="2">
        <v>0.54</v>
      </c>
      <c r="P4583">
        <v>9</v>
      </c>
      <c r="Q4583">
        <v>11</v>
      </c>
      <c r="R4583">
        <v>5</v>
      </c>
      <c r="S4583">
        <v>3</v>
      </c>
      <c r="T4583">
        <v>10</v>
      </c>
      <c r="U4583">
        <v>7</v>
      </c>
      <c r="V4583">
        <v>1</v>
      </c>
      <c r="W4583">
        <v>0</v>
      </c>
      <c r="X4583">
        <v>0</v>
      </c>
      <c r="Y4583">
        <v>0</v>
      </c>
      <c r="Z4583">
        <v>0</v>
      </c>
    </row>
    <row r="4584" spans="1:26" x14ac:dyDescent="0.2">
      <c r="A4584" t="s">
        <v>4702</v>
      </c>
      <c r="B4584" t="s">
        <v>99</v>
      </c>
      <c r="C4584">
        <v>2021</v>
      </c>
      <c r="D4584" t="s">
        <v>69</v>
      </c>
      <c r="E4584" t="s">
        <v>80</v>
      </c>
      <c r="F4584" t="s">
        <v>69</v>
      </c>
      <c r="G4584">
        <v>27359</v>
      </c>
      <c r="H4584">
        <v>21887.200000000001</v>
      </c>
      <c r="I4584" s="13">
        <v>0.33333333333333331</v>
      </c>
      <c r="J4584" t="s">
        <v>6207</v>
      </c>
      <c r="K4584">
        <v>1</v>
      </c>
      <c r="L4584">
        <v>2</v>
      </c>
      <c r="M4584" t="s">
        <v>1</v>
      </c>
      <c r="N4584" s="2">
        <v>0.45</v>
      </c>
      <c r="O4584" s="2">
        <v>0.55000000000000004</v>
      </c>
      <c r="P4584">
        <v>10</v>
      </c>
      <c r="Q4584">
        <v>10</v>
      </c>
      <c r="R4584">
        <v>9</v>
      </c>
      <c r="S4584">
        <v>9</v>
      </c>
      <c r="T4584">
        <v>8</v>
      </c>
      <c r="U4584">
        <v>9</v>
      </c>
      <c r="V4584">
        <v>2</v>
      </c>
      <c r="W4584">
        <v>1</v>
      </c>
      <c r="X4584">
        <v>0</v>
      </c>
      <c r="Y4584">
        <v>0</v>
      </c>
      <c r="Z4584">
        <v>1</v>
      </c>
    </row>
    <row r="4585" spans="1:26" x14ac:dyDescent="0.2">
      <c r="A4585" t="s">
        <v>4703</v>
      </c>
      <c r="B4585" t="s">
        <v>81</v>
      </c>
      <c r="C4585">
        <v>2021</v>
      </c>
      <c r="D4585" t="s">
        <v>64</v>
      </c>
      <c r="E4585" t="s">
        <v>73</v>
      </c>
      <c r="F4585" t="s">
        <v>64</v>
      </c>
      <c r="G4585">
        <v>52264</v>
      </c>
      <c r="H4585">
        <v>41811.200000000004</v>
      </c>
      <c r="I4585" s="13">
        <v>0.5</v>
      </c>
      <c r="J4585" t="s">
        <v>6207</v>
      </c>
      <c r="K4585">
        <v>2</v>
      </c>
      <c r="L4585">
        <v>2</v>
      </c>
      <c r="M4585" t="s">
        <v>58</v>
      </c>
      <c r="N4585" s="2">
        <v>0.36</v>
      </c>
      <c r="O4585" s="2">
        <v>0.64</v>
      </c>
      <c r="P4585">
        <v>5</v>
      </c>
      <c r="Q4585">
        <v>15</v>
      </c>
      <c r="R4585">
        <v>4</v>
      </c>
      <c r="S4585">
        <v>4</v>
      </c>
      <c r="T4585">
        <v>11</v>
      </c>
      <c r="U4585">
        <v>6</v>
      </c>
      <c r="V4585">
        <v>3</v>
      </c>
      <c r="W4585">
        <v>3</v>
      </c>
      <c r="X4585">
        <v>0</v>
      </c>
      <c r="Y4585">
        <v>0</v>
      </c>
      <c r="Z4585">
        <v>1</v>
      </c>
    </row>
    <row r="4586" spans="1:26" x14ac:dyDescent="0.2">
      <c r="A4586" t="s">
        <v>4704</v>
      </c>
      <c r="B4586" t="s">
        <v>68</v>
      </c>
      <c r="C4586">
        <v>2021</v>
      </c>
      <c r="D4586" t="s">
        <v>90</v>
      </c>
      <c r="E4586" t="s">
        <v>45</v>
      </c>
      <c r="F4586" t="s">
        <v>91</v>
      </c>
      <c r="G4586">
        <v>31876</v>
      </c>
      <c r="H4586">
        <v>25500.800000000003</v>
      </c>
      <c r="I4586" s="13">
        <v>0.66666666666666663</v>
      </c>
      <c r="J4586" t="s">
        <v>6207</v>
      </c>
      <c r="K4586">
        <v>0</v>
      </c>
      <c r="L4586">
        <v>2</v>
      </c>
      <c r="M4586" t="s">
        <v>1</v>
      </c>
      <c r="N4586" s="2">
        <v>0.66</v>
      </c>
      <c r="O4586" s="2">
        <v>0.34</v>
      </c>
      <c r="P4586">
        <v>9</v>
      </c>
      <c r="Q4586">
        <v>7</v>
      </c>
      <c r="R4586">
        <v>4</v>
      </c>
      <c r="S4586">
        <v>5</v>
      </c>
      <c r="T4586">
        <v>7</v>
      </c>
      <c r="U4586">
        <v>9</v>
      </c>
      <c r="V4586">
        <v>1</v>
      </c>
      <c r="W4586">
        <v>2</v>
      </c>
      <c r="X4586">
        <v>0</v>
      </c>
      <c r="Y4586">
        <v>0</v>
      </c>
      <c r="Z4586">
        <v>1</v>
      </c>
    </row>
    <row r="4587" spans="1:26" x14ac:dyDescent="0.2">
      <c r="A4587" t="s">
        <v>4705</v>
      </c>
      <c r="B4587" t="s">
        <v>97</v>
      </c>
      <c r="C4587">
        <v>2021</v>
      </c>
      <c r="D4587" t="s">
        <v>42</v>
      </c>
      <c r="E4587" t="s">
        <v>101</v>
      </c>
      <c r="F4587" t="s">
        <v>38</v>
      </c>
      <c r="G4587">
        <v>42918</v>
      </c>
      <c r="H4587">
        <v>34334.400000000001</v>
      </c>
      <c r="I4587" s="13">
        <v>0.5</v>
      </c>
      <c r="J4587" t="s">
        <v>6207</v>
      </c>
      <c r="K4587">
        <v>1</v>
      </c>
      <c r="L4587">
        <v>1</v>
      </c>
      <c r="M4587" t="s">
        <v>58</v>
      </c>
      <c r="N4587" s="2">
        <v>0.46</v>
      </c>
      <c r="O4587" s="2">
        <v>0.54</v>
      </c>
      <c r="P4587">
        <v>16</v>
      </c>
      <c r="Q4587">
        <v>16</v>
      </c>
      <c r="R4587">
        <v>3</v>
      </c>
      <c r="S4587">
        <v>2</v>
      </c>
      <c r="T4587">
        <v>15</v>
      </c>
      <c r="U4587">
        <v>14</v>
      </c>
      <c r="V4587">
        <v>3</v>
      </c>
      <c r="W4587">
        <v>3</v>
      </c>
      <c r="X4587">
        <v>0</v>
      </c>
      <c r="Y4587">
        <v>0</v>
      </c>
      <c r="Z4587">
        <v>0</v>
      </c>
    </row>
    <row r="4588" spans="1:26" x14ac:dyDescent="0.2">
      <c r="A4588" t="s">
        <v>4706</v>
      </c>
      <c r="B4588" t="s">
        <v>61</v>
      </c>
      <c r="C4588">
        <v>2021</v>
      </c>
      <c r="D4588" t="s">
        <v>26</v>
      </c>
      <c r="E4588" t="s">
        <v>18</v>
      </c>
      <c r="F4588" t="s">
        <v>26</v>
      </c>
      <c r="G4588">
        <v>61276</v>
      </c>
      <c r="H4588">
        <v>49020.800000000003</v>
      </c>
      <c r="I4588" s="13">
        <v>0.66666666666666663</v>
      </c>
      <c r="J4588" t="s">
        <v>6207</v>
      </c>
      <c r="K4588">
        <v>1</v>
      </c>
      <c r="L4588">
        <v>1</v>
      </c>
      <c r="M4588" t="s">
        <v>58</v>
      </c>
      <c r="N4588" s="2">
        <v>0.66</v>
      </c>
      <c r="O4588" s="2">
        <v>0.34</v>
      </c>
      <c r="P4588">
        <v>5</v>
      </c>
      <c r="Q4588">
        <v>14</v>
      </c>
      <c r="R4588">
        <v>12</v>
      </c>
      <c r="S4588">
        <v>3</v>
      </c>
      <c r="T4588">
        <v>13</v>
      </c>
      <c r="U4588">
        <v>4</v>
      </c>
      <c r="V4588">
        <v>0</v>
      </c>
      <c r="W4588">
        <v>2</v>
      </c>
      <c r="X4588">
        <v>0</v>
      </c>
      <c r="Y4588">
        <v>1</v>
      </c>
      <c r="Z4588">
        <v>1</v>
      </c>
    </row>
    <row r="4589" spans="1:26" x14ac:dyDescent="0.2">
      <c r="A4589" t="s">
        <v>4707</v>
      </c>
      <c r="B4589" t="s">
        <v>37</v>
      </c>
      <c r="C4589">
        <v>2021</v>
      </c>
      <c r="D4589" t="s">
        <v>51</v>
      </c>
      <c r="E4589" t="s">
        <v>85</v>
      </c>
      <c r="F4589" t="s">
        <v>20</v>
      </c>
      <c r="G4589">
        <v>36284</v>
      </c>
      <c r="H4589">
        <v>29027.200000000001</v>
      </c>
      <c r="I4589" s="13">
        <v>0.5</v>
      </c>
      <c r="J4589" t="s">
        <v>6206</v>
      </c>
      <c r="K4589">
        <v>1</v>
      </c>
      <c r="L4589">
        <v>0</v>
      </c>
      <c r="M4589" t="s">
        <v>0</v>
      </c>
      <c r="N4589" s="2">
        <v>0.57999999999999996</v>
      </c>
      <c r="O4589" s="2">
        <v>0.42</v>
      </c>
      <c r="P4589">
        <v>12</v>
      </c>
      <c r="Q4589">
        <v>8</v>
      </c>
      <c r="R4589">
        <v>10</v>
      </c>
      <c r="S4589">
        <v>3</v>
      </c>
      <c r="T4589">
        <v>8</v>
      </c>
      <c r="U4589">
        <v>14</v>
      </c>
      <c r="V4589">
        <v>3</v>
      </c>
      <c r="W4589">
        <v>3</v>
      </c>
      <c r="X4589">
        <v>0</v>
      </c>
      <c r="Y4589">
        <v>0</v>
      </c>
      <c r="Z4589">
        <v>0</v>
      </c>
    </row>
    <row r="4590" spans="1:26" x14ac:dyDescent="0.2">
      <c r="A4590" t="s">
        <v>4708</v>
      </c>
      <c r="B4590" t="s">
        <v>66</v>
      </c>
      <c r="C4590">
        <v>2021</v>
      </c>
      <c r="D4590" t="s">
        <v>28</v>
      </c>
      <c r="E4590" t="s">
        <v>33</v>
      </c>
      <c r="F4590" t="s">
        <v>28</v>
      </c>
      <c r="G4590">
        <v>21944</v>
      </c>
      <c r="H4590">
        <v>17555.2</v>
      </c>
      <c r="I4590" s="13">
        <v>0.2857142857142857</v>
      </c>
      <c r="J4590" t="s">
        <v>6207</v>
      </c>
      <c r="K4590">
        <v>1</v>
      </c>
      <c r="L4590">
        <v>1</v>
      </c>
      <c r="M4590" t="s">
        <v>58</v>
      </c>
      <c r="N4590" s="2">
        <v>0.36</v>
      </c>
      <c r="O4590" s="2">
        <v>0.64</v>
      </c>
      <c r="P4590">
        <v>11</v>
      </c>
      <c r="Q4590">
        <v>15</v>
      </c>
      <c r="R4590">
        <v>5</v>
      </c>
      <c r="S4590">
        <v>5</v>
      </c>
      <c r="T4590">
        <v>13</v>
      </c>
      <c r="U4590">
        <v>9</v>
      </c>
      <c r="V4590">
        <v>4</v>
      </c>
      <c r="W4590">
        <v>3</v>
      </c>
      <c r="X4590">
        <v>0</v>
      </c>
      <c r="Y4590">
        <v>0</v>
      </c>
      <c r="Z4590">
        <v>0</v>
      </c>
    </row>
    <row r="4591" spans="1:26" x14ac:dyDescent="0.2">
      <c r="A4591" t="s">
        <v>4709</v>
      </c>
      <c r="B4591" t="s">
        <v>41</v>
      </c>
      <c r="C4591">
        <v>2021</v>
      </c>
      <c r="D4591" t="s">
        <v>22</v>
      </c>
      <c r="E4591" t="s">
        <v>48</v>
      </c>
      <c r="F4591" t="s">
        <v>24</v>
      </c>
      <c r="G4591">
        <v>31750</v>
      </c>
      <c r="H4591">
        <v>25400</v>
      </c>
      <c r="I4591" s="13">
        <v>0.8571428571428571</v>
      </c>
      <c r="J4591" t="s">
        <v>6207</v>
      </c>
      <c r="K4591">
        <v>0</v>
      </c>
      <c r="L4591">
        <v>1</v>
      </c>
      <c r="M4591" t="s">
        <v>1</v>
      </c>
      <c r="N4591" s="2">
        <v>0.44</v>
      </c>
      <c r="O4591" s="2">
        <v>0.56000000000000005</v>
      </c>
      <c r="P4591">
        <v>13</v>
      </c>
      <c r="Q4591">
        <v>12</v>
      </c>
      <c r="R4591">
        <v>5</v>
      </c>
      <c r="S4591">
        <v>7</v>
      </c>
      <c r="T4591">
        <v>7</v>
      </c>
      <c r="U4591">
        <v>9</v>
      </c>
      <c r="V4591">
        <v>3</v>
      </c>
      <c r="W4591">
        <v>4</v>
      </c>
      <c r="X4591">
        <v>0</v>
      </c>
      <c r="Y4591">
        <v>0</v>
      </c>
      <c r="Z4591">
        <v>0</v>
      </c>
    </row>
    <row r="4592" spans="1:26" x14ac:dyDescent="0.2">
      <c r="A4592" t="s">
        <v>4710</v>
      </c>
      <c r="B4592" t="s">
        <v>68</v>
      </c>
      <c r="C4592">
        <v>2021</v>
      </c>
      <c r="D4592" t="s">
        <v>79</v>
      </c>
      <c r="E4592" t="s">
        <v>51</v>
      </c>
      <c r="F4592" t="s">
        <v>20</v>
      </c>
      <c r="G4592">
        <v>25486</v>
      </c>
      <c r="H4592">
        <v>20388.800000000003</v>
      </c>
      <c r="I4592" s="13">
        <v>0.4</v>
      </c>
      <c r="J4592" t="s">
        <v>6207</v>
      </c>
      <c r="K4592">
        <v>3</v>
      </c>
      <c r="L4592">
        <v>0</v>
      </c>
      <c r="M4592" t="s">
        <v>0</v>
      </c>
      <c r="N4592" s="2">
        <v>0.62</v>
      </c>
      <c r="O4592" s="2">
        <v>0.38</v>
      </c>
      <c r="P4592">
        <v>10</v>
      </c>
      <c r="Q4592">
        <v>14</v>
      </c>
      <c r="R4592">
        <v>8</v>
      </c>
      <c r="S4592">
        <v>2</v>
      </c>
      <c r="T4592">
        <v>13</v>
      </c>
      <c r="U4592">
        <v>15</v>
      </c>
      <c r="V4592">
        <v>2</v>
      </c>
      <c r="W4592">
        <v>2</v>
      </c>
      <c r="X4592">
        <v>0</v>
      </c>
      <c r="Y4592">
        <v>1</v>
      </c>
      <c r="Z4592">
        <v>1</v>
      </c>
    </row>
    <row r="4593" spans="1:26" x14ac:dyDescent="0.2">
      <c r="A4593" t="s">
        <v>4711</v>
      </c>
      <c r="B4593" t="s">
        <v>97</v>
      </c>
      <c r="C4593">
        <v>2021</v>
      </c>
      <c r="D4593" t="s">
        <v>85</v>
      </c>
      <c r="E4593" t="s">
        <v>22</v>
      </c>
      <c r="F4593" t="s">
        <v>85</v>
      </c>
      <c r="G4593">
        <v>22220</v>
      </c>
      <c r="H4593">
        <v>17776</v>
      </c>
      <c r="I4593" s="13">
        <v>0.66666666666666663</v>
      </c>
      <c r="J4593" t="s">
        <v>6207</v>
      </c>
      <c r="K4593">
        <v>0</v>
      </c>
      <c r="L4593">
        <v>2</v>
      </c>
      <c r="M4593" t="s">
        <v>1</v>
      </c>
      <c r="N4593" s="2">
        <v>0.44</v>
      </c>
      <c r="O4593" s="2">
        <v>0.56000000000000005</v>
      </c>
      <c r="P4593">
        <v>15</v>
      </c>
      <c r="Q4593">
        <v>15</v>
      </c>
      <c r="R4593">
        <v>6</v>
      </c>
      <c r="S4593">
        <v>8</v>
      </c>
      <c r="T4593">
        <v>15</v>
      </c>
      <c r="U4593">
        <v>13</v>
      </c>
      <c r="V4593">
        <v>3</v>
      </c>
      <c r="W4593">
        <v>3</v>
      </c>
      <c r="X4593">
        <v>0</v>
      </c>
      <c r="Y4593">
        <v>0</v>
      </c>
      <c r="Z4593">
        <v>0</v>
      </c>
    </row>
    <row r="4594" spans="1:26" x14ac:dyDescent="0.2">
      <c r="A4594" t="s">
        <v>4712</v>
      </c>
      <c r="B4594" t="s">
        <v>93</v>
      </c>
      <c r="C4594">
        <v>2021</v>
      </c>
      <c r="D4594" t="s">
        <v>73</v>
      </c>
      <c r="E4594" t="s">
        <v>23</v>
      </c>
      <c r="F4594" t="s">
        <v>73</v>
      </c>
      <c r="G4594">
        <v>32384</v>
      </c>
      <c r="H4594">
        <v>25907.200000000001</v>
      </c>
      <c r="I4594" s="13">
        <v>0.42857142857142855</v>
      </c>
      <c r="J4594" t="s">
        <v>6206</v>
      </c>
      <c r="K4594">
        <v>0</v>
      </c>
      <c r="L4594">
        <v>0</v>
      </c>
      <c r="M4594" t="s">
        <v>58</v>
      </c>
      <c r="N4594" s="2">
        <v>0.42</v>
      </c>
      <c r="O4594" s="2">
        <v>0.57999999999999996</v>
      </c>
      <c r="P4594">
        <v>14</v>
      </c>
      <c r="Q4594">
        <v>8</v>
      </c>
      <c r="R4594">
        <v>5</v>
      </c>
      <c r="S4594">
        <v>4</v>
      </c>
      <c r="T4594">
        <v>10</v>
      </c>
      <c r="U4594">
        <v>12</v>
      </c>
      <c r="V4594">
        <v>4</v>
      </c>
      <c r="W4594">
        <v>2</v>
      </c>
      <c r="X4594">
        <v>0</v>
      </c>
      <c r="Y4594">
        <v>1</v>
      </c>
      <c r="Z4594">
        <v>0</v>
      </c>
    </row>
    <row r="4595" spans="1:26" x14ac:dyDescent="0.2">
      <c r="A4595" t="s">
        <v>4713</v>
      </c>
      <c r="B4595" t="s">
        <v>61</v>
      </c>
      <c r="C4595">
        <v>2021</v>
      </c>
      <c r="D4595" t="s">
        <v>48</v>
      </c>
      <c r="E4595" t="s">
        <v>64</v>
      </c>
      <c r="F4595" t="s">
        <v>49</v>
      </c>
      <c r="G4595">
        <v>74197</v>
      </c>
      <c r="H4595">
        <v>59357.600000000006</v>
      </c>
      <c r="I4595" s="13">
        <v>1</v>
      </c>
      <c r="J4595" t="s">
        <v>6207</v>
      </c>
      <c r="K4595">
        <v>4</v>
      </c>
      <c r="L4595">
        <v>1</v>
      </c>
      <c r="M4595" t="s">
        <v>0</v>
      </c>
      <c r="N4595" s="2">
        <v>0.64</v>
      </c>
      <c r="O4595" s="2">
        <v>0.36</v>
      </c>
      <c r="P4595">
        <v>5</v>
      </c>
      <c r="Q4595">
        <v>10</v>
      </c>
      <c r="R4595">
        <v>7</v>
      </c>
      <c r="S4595">
        <v>3</v>
      </c>
      <c r="T4595">
        <v>9</v>
      </c>
      <c r="U4595">
        <v>2</v>
      </c>
      <c r="V4595">
        <v>1</v>
      </c>
      <c r="W4595">
        <v>0</v>
      </c>
      <c r="X4595">
        <v>0</v>
      </c>
      <c r="Y4595">
        <v>0</v>
      </c>
      <c r="Z4595">
        <v>0</v>
      </c>
    </row>
    <row r="4596" spans="1:26" x14ac:dyDescent="0.2">
      <c r="A4596" t="s">
        <v>4714</v>
      </c>
      <c r="B4596" t="s">
        <v>81</v>
      </c>
      <c r="C4596">
        <v>2021</v>
      </c>
      <c r="D4596" t="s">
        <v>80</v>
      </c>
      <c r="E4596" t="s">
        <v>40</v>
      </c>
      <c r="F4596" t="s">
        <v>80</v>
      </c>
      <c r="G4596">
        <v>32261</v>
      </c>
      <c r="H4596">
        <v>25808.800000000003</v>
      </c>
      <c r="I4596" s="13">
        <v>1</v>
      </c>
      <c r="J4596" t="s">
        <v>6207</v>
      </c>
      <c r="K4596">
        <v>0</v>
      </c>
      <c r="L4596">
        <v>1</v>
      </c>
      <c r="M4596" t="s">
        <v>1</v>
      </c>
      <c r="N4596" s="2">
        <v>0.39</v>
      </c>
      <c r="O4596" s="2">
        <v>0.61</v>
      </c>
      <c r="P4596">
        <v>15</v>
      </c>
      <c r="Q4596">
        <v>4</v>
      </c>
      <c r="R4596">
        <v>5</v>
      </c>
      <c r="S4596">
        <v>8</v>
      </c>
      <c r="T4596">
        <v>4</v>
      </c>
      <c r="U4596">
        <v>11</v>
      </c>
      <c r="V4596">
        <v>1</v>
      </c>
      <c r="W4596">
        <v>2</v>
      </c>
      <c r="X4596">
        <v>0</v>
      </c>
      <c r="Y4596">
        <v>0</v>
      </c>
      <c r="Z4596">
        <v>0</v>
      </c>
    </row>
    <row r="4597" spans="1:26" x14ac:dyDescent="0.2">
      <c r="A4597" t="s">
        <v>4715</v>
      </c>
      <c r="B4597" t="s">
        <v>83</v>
      </c>
      <c r="C4597">
        <v>2021</v>
      </c>
      <c r="D4597" t="s">
        <v>101</v>
      </c>
      <c r="E4597" t="s">
        <v>90</v>
      </c>
      <c r="F4597" t="s">
        <v>101</v>
      </c>
      <c r="G4597">
        <v>17250</v>
      </c>
      <c r="H4597">
        <v>13800</v>
      </c>
      <c r="I4597" s="13">
        <v>1</v>
      </c>
      <c r="J4597" t="s">
        <v>6208</v>
      </c>
      <c r="K4597">
        <v>0</v>
      </c>
      <c r="L4597">
        <v>1</v>
      </c>
      <c r="M4597" t="s">
        <v>1</v>
      </c>
      <c r="N4597" s="2">
        <v>0.41</v>
      </c>
      <c r="O4597" s="2">
        <v>0.59</v>
      </c>
      <c r="P4597">
        <v>13</v>
      </c>
      <c r="Q4597">
        <v>8</v>
      </c>
      <c r="R4597">
        <v>1</v>
      </c>
      <c r="S4597">
        <v>5</v>
      </c>
      <c r="T4597">
        <v>9</v>
      </c>
      <c r="U4597">
        <v>12</v>
      </c>
      <c r="V4597">
        <v>3</v>
      </c>
      <c r="W4597">
        <v>2</v>
      </c>
      <c r="X4597">
        <v>0</v>
      </c>
      <c r="Y4597">
        <v>0</v>
      </c>
      <c r="Z4597">
        <v>0</v>
      </c>
    </row>
    <row r="4598" spans="1:26" x14ac:dyDescent="0.2">
      <c r="A4598" t="s">
        <v>4716</v>
      </c>
      <c r="B4598" t="s">
        <v>66</v>
      </c>
      <c r="C4598">
        <v>2021</v>
      </c>
      <c r="D4598" t="s">
        <v>46</v>
      </c>
      <c r="E4598" t="s">
        <v>69</v>
      </c>
      <c r="F4598" t="s">
        <v>20</v>
      </c>
      <c r="G4598">
        <v>60704</v>
      </c>
      <c r="H4598">
        <v>48563.200000000004</v>
      </c>
      <c r="I4598" s="13">
        <v>0</v>
      </c>
      <c r="J4598" t="s">
        <v>6207</v>
      </c>
      <c r="K4598">
        <v>1</v>
      </c>
      <c r="L4598">
        <v>0</v>
      </c>
      <c r="M4598" t="s">
        <v>0</v>
      </c>
      <c r="N4598" s="2">
        <v>0.52</v>
      </c>
      <c r="O4598" s="2">
        <v>0.48</v>
      </c>
      <c r="P4598">
        <v>8</v>
      </c>
      <c r="Q4598">
        <v>10</v>
      </c>
      <c r="R4598">
        <v>8</v>
      </c>
      <c r="S4598">
        <v>4</v>
      </c>
      <c r="T4598">
        <v>9</v>
      </c>
      <c r="U4598">
        <v>11</v>
      </c>
      <c r="V4598">
        <v>1</v>
      </c>
      <c r="W4598">
        <v>2</v>
      </c>
      <c r="X4598">
        <v>0</v>
      </c>
      <c r="Y4598">
        <v>0</v>
      </c>
      <c r="Z4598">
        <v>0</v>
      </c>
    </row>
    <row r="4599" spans="1:26" x14ac:dyDescent="0.2">
      <c r="A4599" t="s">
        <v>4717</v>
      </c>
      <c r="B4599" t="s">
        <v>59</v>
      </c>
      <c r="C4599">
        <v>2021</v>
      </c>
      <c r="D4599" t="s">
        <v>18</v>
      </c>
      <c r="E4599" t="s">
        <v>42</v>
      </c>
      <c r="F4599" t="s">
        <v>20</v>
      </c>
      <c r="G4599">
        <v>40341</v>
      </c>
      <c r="H4599">
        <v>32272.800000000003</v>
      </c>
      <c r="I4599" s="13">
        <v>0.2</v>
      </c>
      <c r="J4599" t="s">
        <v>6206</v>
      </c>
      <c r="K4599">
        <v>3</v>
      </c>
      <c r="L4599">
        <v>0</v>
      </c>
      <c r="M4599" t="s">
        <v>0</v>
      </c>
      <c r="N4599" s="2">
        <v>0.56999999999999995</v>
      </c>
      <c r="O4599" s="2">
        <v>0.43</v>
      </c>
      <c r="P4599">
        <v>12</v>
      </c>
      <c r="Q4599">
        <v>14</v>
      </c>
      <c r="R4599">
        <v>4</v>
      </c>
      <c r="S4599">
        <v>11</v>
      </c>
      <c r="T4599">
        <v>11</v>
      </c>
      <c r="U4599">
        <v>11</v>
      </c>
      <c r="V4599">
        <v>1</v>
      </c>
      <c r="W4599">
        <v>4</v>
      </c>
      <c r="X4599">
        <v>0</v>
      </c>
      <c r="Y4599">
        <v>0</v>
      </c>
      <c r="Z4599">
        <v>0</v>
      </c>
    </row>
    <row r="4600" spans="1:26" x14ac:dyDescent="0.2">
      <c r="A4600" t="s">
        <v>4718</v>
      </c>
      <c r="B4600" t="s">
        <v>76</v>
      </c>
      <c r="C4600">
        <v>2021</v>
      </c>
      <c r="D4600" t="s">
        <v>33</v>
      </c>
      <c r="E4600" t="s">
        <v>26</v>
      </c>
      <c r="F4600" t="s">
        <v>33</v>
      </c>
      <c r="G4600">
        <v>37645</v>
      </c>
      <c r="H4600">
        <v>30116</v>
      </c>
      <c r="I4600" s="13">
        <v>0.75</v>
      </c>
      <c r="J4600" t="s">
        <v>6207</v>
      </c>
      <c r="K4600">
        <v>0</v>
      </c>
      <c r="L4600">
        <v>3</v>
      </c>
      <c r="M4600" t="s">
        <v>1</v>
      </c>
      <c r="N4600" s="2">
        <v>0.44</v>
      </c>
      <c r="O4600" s="2">
        <v>0.56000000000000005</v>
      </c>
      <c r="P4600">
        <v>12</v>
      </c>
      <c r="Q4600">
        <v>11</v>
      </c>
      <c r="R4600">
        <v>2</v>
      </c>
      <c r="S4600">
        <v>11</v>
      </c>
      <c r="T4600">
        <v>9</v>
      </c>
      <c r="U4600">
        <v>8</v>
      </c>
      <c r="V4600">
        <v>2</v>
      </c>
      <c r="W4600">
        <v>1</v>
      </c>
      <c r="X4600">
        <v>1</v>
      </c>
      <c r="Y4600">
        <v>0</v>
      </c>
      <c r="Z4600">
        <v>0</v>
      </c>
    </row>
    <row r="4601" spans="1:26" x14ac:dyDescent="0.2">
      <c r="A4601" t="s">
        <v>4719</v>
      </c>
      <c r="B4601" t="s">
        <v>32</v>
      </c>
      <c r="C4601">
        <v>2021</v>
      </c>
      <c r="D4601" t="s">
        <v>45</v>
      </c>
      <c r="E4601" t="s">
        <v>28</v>
      </c>
      <c r="F4601" t="s">
        <v>26</v>
      </c>
      <c r="G4601">
        <v>39572</v>
      </c>
      <c r="H4601">
        <v>31657.600000000002</v>
      </c>
      <c r="I4601" s="13">
        <v>0.5</v>
      </c>
      <c r="J4601" t="s">
        <v>6207</v>
      </c>
      <c r="K4601">
        <v>3</v>
      </c>
      <c r="L4601">
        <v>1</v>
      </c>
      <c r="M4601" t="s">
        <v>0</v>
      </c>
      <c r="N4601" s="2">
        <v>0.52</v>
      </c>
      <c r="O4601" s="2">
        <v>0.48</v>
      </c>
      <c r="P4601">
        <v>8</v>
      </c>
      <c r="Q4601">
        <v>5</v>
      </c>
      <c r="R4601">
        <v>4</v>
      </c>
      <c r="S4601">
        <v>6</v>
      </c>
      <c r="T4601">
        <v>3</v>
      </c>
      <c r="U4601">
        <v>6</v>
      </c>
      <c r="V4601">
        <v>1</v>
      </c>
      <c r="W4601">
        <v>1</v>
      </c>
      <c r="X4601">
        <v>0</v>
      </c>
      <c r="Y4601">
        <v>0</v>
      </c>
      <c r="Z4601">
        <v>0</v>
      </c>
    </row>
    <row r="4602" spans="1:26" x14ac:dyDescent="0.2">
      <c r="A4602" t="s">
        <v>4720</v>
      </c>
      <c r="B4602" t="s">
        <v>41</v>
      </c>
      <c r="C4602">
        <v>2021</v>
      </c>
      <c r="D4602" t="s">
        <v>64</v>
      </c>
      <c r="E4602" t="s">
        <v>33</v>
      </c>
      <c r="F4602" t="s">
        <v>64</v>
      </c>
      <c r="G4602">
        <v>52264</v>
      </c>
      <c r="H4602">
        <v>41811.200000000004</v>
      </c>
      <c r="I4602" s="13">
        <v>0.75</v>
      </c>
      <c r="J4602" t="s">
        <v>6207</v>
      </c>
      <c r="K4602">
        <v>1</v>
      </c>
      <c r="L4602">
        <v>1</v>
      </c>
      <c r="M4602" t="s">
        <v>58</v>
      </c>
      <c r="N4602" s="2">
        <v>0.35</v>
      </c>
      <c r="O4602" s="2">
        <v>0.65</v>
      </c>
      <c r="P4602">
        <v>13</v>
      </c>
      <c r="Q4602">
        <v>10</v>
      </c>
      <c r="R4602">
        <v>4</v>
      </c>
      <c r="S4602">
        <v>5</v>
      </c>
      <c r="T4602">
        <v>9</v>
      </c>
      <c r="U4602">
        <v>11</v>
      </c>
      <c r="V4602">
        <v>2</v>
      </c>
      <c r="W4602">
        <v>2</v>
      </c>
      <c r="X4602">
        <v>0</v>
      </c>
      <c r="Y4602">
        <v>0</v>
      </c>
      <c r="Z4602">
        <v>0</v>
      </c>
    </row>
    <row r="4603" spans="1:26" x14ac:dyDescent="0.2">
      <c r="A4603" t="s">
        <v>4721</v>
      </c>
      <c r="B4603" t="s">
        <v>100</v>
      </c>
      <c r="C4603">
        <v>2021</v>
      </c>
      <c r="D4603" t="s">
        <v>22</v>
      </c>
      <c r="E4603" t="s">
        <v>101</v>
      </c>
      <c r="F4603" t="s">
        <v>24</v>
      </c>
      <c r="G4603">
        <v>31750</v>
      </c>
      <c r="H4603">
        <v>25400</v>
      </c>
      <c r="I4603" s="13">
        <v>0.55555555555555558</v>
      </c>
      <c r="J4603" t="s">
        <v>6207</v>
      </c>
      <c r="K4603">
        <v>0</v>
      </c>
      <c r="L4603">
        <v>2</v>
      </c>
      <c r="M4603" t="s">
        <v>1</v>
      </c>
      <c r="N4603" s="2">
        <v>0.62</v>
      </c>
      <c r="O4603" s="2">
        <v>0.38</v>
      </c>
      <c r="P4603">
        <v>9</v>
      </c>
      <c r="Q4603">
        <v>12</v>
      </c>
      <c r="R4603">
        <v>4</v>
      </c>
      <c r="S4603">
        <v>2</v>
      </c>
      <c r="T4603">
        <v>10</v>
      </c>
      <c r="U4603">
        <v>7</v>
      </c>
      <c r="V4603">
        <v>4</v>
      </c>
      <c r="W4603">
        <v>4</v>
      </c>
      <c r="X4603">
        <v>0</v>
      </c>
      <c r="Y4603">
        <v>1</v>
      </c>
      <c r="Z4603">
        <v>1</v>
      </c>
    </row>
    <row r="4604" spans="1:26" x14ac:dyDescent="0.2">
      <c r="A4604" t="s">
        <v>4722</v>
      </c>
      <c r="B4604" t="s">
        <v>99</v>
      </c>
      <c r="C4604">
        <v>2021</v>
      </c>
      <c r="D4604" t="s">
        <v>69</v>
      </c>
      <c r="E4604" t="s">
        <v>85</v>
      </c>
      <c r="F4604" t="s">
        <v>69</v>
      </c>
      <c r="G4604">
        <v>27359</v>
      </c>
      <c r="H4604">
        <v>21887.200000000001</v>
      </c>
      <c r="I4604" s="13">
        <v>0</v>
      </c>
      <c r="J4604" t="s">
        <v>6207</v>
      </c>
      <c r="K4604">
        <v>1</v>
      </c>
      <c r="L4604">
        <v>3</v>
      </c>
      <c r="M4604" t="s">
        <v>1</v>
      </c>
      <c r="N4604" s="2">
        <v>0.49</v>
      </c>
      <c r="O4604" s="2">
        <v>0.51</v>
      </c>
      <c r="P4604">
        <v>14</v>
      </c>
      <c r="Q4604">
        <v>11</v>
      </c>
      <c r="R4604">
        <v>4</v>
      </c>
      <c r="S4604">
        <v>8</v>
      </c>
      <c r="T4604">
        <v>10</v>
      </c>
      <c r="U4604">
        <v>14</v>
      </c>
      <c r="V4604">
        <v>1</v>
      </c>
      <c r="W4604">
        <v>1</v>
      </c>
      <c r="X4604">
        <v>0</v>
      </c>
      <c r="Y4604">
        <v>0</v>
      </c>
      <c r="Z4604">
        <v>0</v>
      </c>
    </row>
    <row r="4605" spans="1:26" x14ac:dyDescent="0.2">
      <c r="A4605" t="s">
        <v>4723</v>
      </c>
      <c r="B4605" t="s">
        <v>68</v>
      </c>
      <c r="C4605">
        <v>2021</v>
      </c>
      <c r="D4605" t="s">
        <v>40</v>
      </c>
      <c r="E4605" t="s">
        <v>73</v>
      </c>
      <c r="F4605" t="s">
        <v>49</v>
      </c>
      <c r="G4605">
        <v>53400</v>
      </c>
      <c r="H4605">
        <v>42720</v>
      </c>
      <c r="I4605" s="13">
        <v>0</v>
      </c>
      <c r="J4605" t="s">
        <v>6207</v>
      </c>
      <c r="K4605">
        <v>0</v>
      </c>
      <c r="L4605">
        <v>0</v>
      </c>
      <c r="M4605" t="s">
        <v>58</v>
      </c>
      <c r="N4605" s="2">
        <v>0.64</v>
      </c>
      <c r="O4605" s="2">
        <v>0.36</v>
      </c>
      <c r="P4605">
        <v>10</v>
      </c>
      <c r="Q4605">
        <v>8</v>
      </c>
      <c r="R4605">
        <v>8</v>
      </c>
      <c r="S4605">
        <v>5</v>
      </c>
      <c r="T4605">
        <v>5</v>
      </c>
      <c r="U4605">
        <v>12</v>
      </c>
      <c r="V4605">
        <v>0</v>
      </c>
      <c r="W4605">
        <v>2</v>
      </c>
      <c r="X4605">
        <v>0</v>
      </c>
      <c r="Y4605">
        <v>0</v>
      </c>
      <c r="Z4605">
        <v>0</v>
      </c>
    </row>
    <row r="4606" spans="1:26" x14ac:dyDescent="0.2">
      <c r="A4606" t="s">
        <v>4724</v>
      </c>
      <c r="B4606" t="s">
        <v>92</v>
      </c>
      <c r="C4606">
        <v>2021</v>
      </c>
      <c r="D4606" t="s">
        <v>26</v>
      </c>
      <c r="E4606" t="s">
        <v>79</v>
      </c>
      <c r="F4606" t="s">
        <v>26</v>
      </c>
      <c r="G4606">
        <v>61276</v>
      </c>
      <c r="H4606">
        <v>49020.800000000003</v>
      </c>
      <c r="I4606" s="13">
        <v>0.5</v>
      </c>
      <c r="J4606" t="s">
        <v>6207</v>
      </c>
      <c r="K4606">
        <v>3</v>
      </c>
      <c r="L4606">
        <v>0</v>
      </c>
      <c r="M4606" t="s">
        <v>0</v>
      </c>
      <c r="N4606" s="2">
        <v>0.6</v>
      </c>
      <c r="O4606" s="2">
        <v>0.4</v>
      </c>
      <c r="P4606">
        <v>14</v>
      </c>
      <c r="Q4606">
        <v>15</v>
      </c>
      <c r="R4606">
        <v>10</v>
      </c>
      <c r="S4606">
        <v>5</v>
      </c>
      <c r="T4606">
        <v>17</v>
      </c>
      <c r="U4606">
        <v>11</v>
      </c>
      <c r="V4606">
        <v>3</v>
      </c>
      <c r="W4606">
        <v>1</v>
      </c>
      <c r="X4606">
        <v>0</v>
      </c>
      <c r="Y4606">
        <v>0</v>
      </c>
      <c r="Z4606">
        <v>0</v>
      </c>
    </row>
    <row r="4607" spans="1:26" x14ac:dyDescent="0.2">
      <c r="A4607" t="s">
        <v>4725</v>
      </c>
      <c r="B4607" t="s">
        <v>61</v>
      </c>
      <c r="C4607">
        <v>2021</v>
      </c>
      <c r="D4607" t="s">
        <v>28</v>
      </c>
      <c r="E4607" t="s">
        <v>46</v>
      </c>
      <c r="F4607" t="s">
        <v>28</v>
      </c>
      <c r="G4607">
        <v>21944</v>
      </c>
      <c r="H4607">
        <v>17555.2</v>
      </c>
      <c r="I4607" s="13">
        <v>0.33333333333333331</v>
      </c>
      <c r="J4607" t="s">
        <v>6207</v>
      </c>
      <c r="K4607">
        <v>0</v>
      </c>
      <c r="L4607">
        <v>1</v>
      </c>
      <c r="M4607" t="s">
        <v>1</v>
      </c>
      <c r="N4607" s="2">
        <v>0.45</v>
      </c>
      <c r="O4607" s="2">
        <v>0.55000000000000004</v>
      </c>
      <c r="P4607">
        <v>11</v>
      </c>
      <c r="Q4607">
        <v>13</v>
      </c>
      <c r="R4607">
        <v>8</v>
      </c>
      <c r="S4607">
        <v>3</v>
      </c>
      <c r="T4607">
        <v>9</v>
      </c>
      <c r="U4607">
        <v>8</v>
      </c>
      <c r="V4607">
        <v>2</v>
      </c>
      <c r="W4607">
        <v>1</v>
      </c>
      <c r="X4607">
        <v>0</v>
      </c>
      <c r="Y4607">
        <v>0</v>
      </c>
      <c r="Z4607">
        <v>0</v>
      </c>
    </row>
    <row r="4608" spans="1:26" x14ac:dyDescent="0.2">
      <c r="A4608" t="s">
        <v>4726</v>
      </c>
      <c r="B4608" t="s">
        <v>76</v>
      </c>
      <c r="C4608">
        <v>2021</v>
      </c>
      <c r="D4608" t="s">
        <v>42</v>
      </c>
      <c r="E4608" t="s">
        <v>45</v>
      </c>
      <c r="F4608" t="s">
        <v>38</v>
      </c>
      <c r="G4608">
        <v>42918</v>
      </c>
      <c r="H4608">
        <v>34334.400000000001</v>
      </c>
      <c r="I4608" s="13">
        <v>0.5</v>
      </c>
      <c r="J4608" t="s">
        <v>6207</v>
      </c>
      <c r="K4608">
        <v>3</v>
      </c>
      <c r="L4608">
        <v>0</v>
      </c>
      <c r="M4608" t="s">
        <v>0</v>
      </c>
      <c r="N4608" s="2">
        <v>0.56000000000000005</v>
      </c>
      <c r="O4608" s="2">
        <v>0.44</v>
      </c>
      <c r="P4608">
        <v>12</v>
      </c>
      <c r="Q4608">
        <v>7</v>
      </c>
      <c r="R4608">
        <v>5</v>
      </c>
      <c r="S4608">
        <v>4</v>
      </c>
      <c r="T4608">
        <v>7</v>
      </c>
      <c r="U4608">
        <v>10</v>
      </c>
      <c r="V4608">
        <v>1</v>
      </c>
      <c r="W4608">
        <v>1</v>
      </c>
      <c r="X4608">
        <v>0</v>
      </c>
      <c r="Y4608">
        <v>0</v>
      </c>
      <c r="Z4608">
        <v>0</v>
      </c>
    </row>
    <row r="4609" spans="1:26" x14ac:dyDescent="0.2">
      <c r="A4609" t="s">
        <v>4727</v>
      </c>
      <c r="B4609" t="s">
        <v>32</v>
      </c>
      <c r="C4609">
        <v>2021</v>
      </c>
      <c r="D4609" t="s">
        <v>23</v>
      </c>
      <c r="E4609" t="s">
        <v>48</v>
      </c>
      <c r="F4609" t="s">
        <v>20</v>
      </c>
      <c r="G4609">
        <v>62500</v>
      </c>
      <c r="H4609">
        <v>50000</v>
      </c>
      <c r="I4609" s="13">
        <v>0</v>
      </c>
      <c r="J4609" t="s">
        <v>6207</v>
      </c>
      <c r="K4609">
        <v>1</v>
      </c>
      <c r="L4609">
        <v>2</v>
      </c>
      <c r="M4609" t="s">
        <v>1</v>
      </c>
      <c r="N4609" s="2">
        <v>0.4</v>
      </c>
      <c r="O4609" s="2">
        <v>0.6</v>
      </c>
      <c r="P4609">
        <v>7</v>
      </c>
      <c r="Q4609">
        <v>7</v>
      </c>
      <c r="R4609">
        <v>2</v>
      </c>
      <c r="S4609">
        <v>11</v>
      </c>
      <c r="T4609">
        <v>5</v>
      </c>
      <c r="U4609">
        <v>8</v>
      </c>
      <c r="V4609">
        <v>0</v>
      </c>
      <c r="W4609">
        <v>0</v>
      </c>
      <c r="X4609">
        <v>0</v>
      </c>
      <c r="Y4609">
        <v>0</v>
      </c>
      <c r="Z4609">
        <v>1</v>
      </c>
    </row>
    <row r="4610" spans="1:26" x14ac:dyDescent="0.2">
      <c r="A4610" t="s">
        <v>4728</v>
      </c>
      <c r="B4610" t="s">
        <v>59</v>
      </c>
      <c r="C4610">
        <v>2021</v>
      </c>
      <c r="D4610" t="s">
        <v>90</v>
      </c>
      <c r="E4610" t="s">
        <v>80</v>
      </c>
      <c r="F4610" t="s">
        <v>91</v>
      </c>
      <c r="G4610">
        <v>31876</v>
      </c>
      <c r="H4610">
        <v>25500.800000000003</v>
      </c>
      <c r="I4610" s="13">
        <v>1</v>
      </c>
      <c r="J4610" t="s">
        <v>6206</v>
      </c>
      <c r="K4610">
        <v>2</v>
      </c>
      <c r="L4610">
        <v>1</v>
      </c>
      <c r="M4610" t="s">
        <v>0</v>
      </c>
      <c r="N4610" s="2">
        <v>0.37</v>
      </c>
      <c r="O4610" s="2">
        <v>0.63</v>
      </c>
      <c r="P4610">
        <v>7</v>
      </c>
      <c r="Q4610">
        <v>11</v>
      </c>
      <c r="R4610">
        <v>4</v>
      </c>
      <c r="S4610">
        <v>9</v>
      </c>
      <c r="T4610">
        <v>8</v>
      </c>
      <c r="U4610">
        <v>10</v>
      </c>
      <c r="V4610">
        <v>2</v>
      </c>
      <c r="W4610">
        <v>1</v>
      </c>
      <c r="X4610">
        <v>0</v>
      </c>
      <c r="Y4610">
        <v>0</v>
      </c>
      <c r="Z4610">
        <v>1</v>
      </c>
    </row>
    <row r="4611" spans="1:26" x14ac:dyDescent="0.2">
      <c r="A4611" t="s">
        <v>4729</v>
      </c>
      <c r="B4611" t="s">
        <v>81</v>
      </c>
      <c r="C4611">
        <v>2021</v>
      </c>
      <c r="D4611" t="s">
        <v>51</v>
      </c>
      <c r="E4611" t="s">
        <v>18</v>
      </c>
      <c r="F4611" t="s">
        <v>20</v>
      </c>
      <c r="G4611">
        <v>36284</v>
      </c>
      <c r="H4611">
        <v>29027.200000000001</v>
      </c>
      <c r="I4611" s="13">
        <v>1</v>
      </c>
      <c r="J4611" t="s">
        <v>6207</v>
      </c>
      <c r="K4611">
        <v>0</v>
      </c>
      <c r="L4611">
        <v>3</v>
      </c>
      <c r="M4611" t="s">
        <v>1</v>
      </c>
      <c r="N4611" s="2">
        <v>0.47</v>
      </c>
      <c r="O4611" s="2">
        <v>0.53</v>
      </c>
      <c r="P4611">
        <v>15</v>
      </c>
      <c r="Q4611">
        <v>4</v>
      </c>
      <c r="R4611">
        <v>5</v>
      </c>
      <c r="S4611">
        <v>11</v>
      </c>
      <c r="T4611">
        <v>4</v>
      </c>
      <c r="U4611">
        <v>15</v>
      </c>
      <c r="V4611">
        <v>0</v>
      </c>
      <c r="W4611">
        <v>1</v>
      </c>
      <c r="X4611">
        <v>0</v>
      </c>
      <c r="Y4611">
        <v>0</v>
      </c>
      <c r="Z4611">
        <v>0</v>
      </c>
    </row>
    <row r="4612" spans="1:26" x14ac:dyDescent="0.2">
      <c r="A4612" t="s">
        <v>4730</v>
      </c>
      <c r="B4612" t="s">
        <v>41</v>
      </c>
      <c r="C4612">
        <v>2021</v>
      </c>
      <c r="D4612" t="s">
        <v>48</v>
      </c>
      <c r="E4612" t="s">
        <v>42</v>
      </c>
      <c r="F4612" t="s">
        <v>49</v>
      </c>
      <c r="G4612">
        <v>74197</v>
      </c>
      <c r="H4612">
        <v>59357.600000000006</v>
      </c>
      <c r="I4612" s="13">
        <v>0.5</v>
      </c>
      <c r="J4612" t="s">
        <v>6207</v>
      </c>
      <c r="K4612">
        <v>0</v>
      </c>
      <c r="L4612">
        <v>1</v>
      </c>
      <c r="M4612" t="s">
        <v>1</v>
      </c>
      <c r="N4612" s="2">
        <v>0.59</v>
      </c>
      <c r="O4612" s="2">
        <v>0.41</v>
      </c>
      <c r="P4612">
        <v>14</v>
      </c>
      <c r="Q4612">
        <v>11</v>
      </c>
      <c r="R4612">
        <v>5</v>
      </c>
      <c r="S4612">
        <v>5</v>
      </c>
      <c r="T4612">
        <v>9</v>
      </c>
      <c r="U4612">
        <v>13</v>
      </c>
      <c r="V4612">
        <v>2</v>
      </c>
      <c r="W4612">
        <v>2</v>
      </c>
      <c r="X4612">
        <v>0</v>
      </c>
      <c r="Y4612">
        <v>0</v>
      </c>
      <c r="Z4612">
        <v>1</v>
      </c>
    </row>
    <row r="4613" spans="1:26" x14ac:dyDescent="0.2">
      <c r="A4613" t="s">
        <v>4731</v>
      </c>
      <c r="B4613" t="s">
        <v>66</v>
      </c>
      <c r="C4613">
        <v>2021</v>
      </c>
      <c r="D4613" t="s">
        <v>18</v>
      </c>
      <c r="E4613" t="s">
        <v>40</v>
      </c>
      <c r="F4613" t="s">
        <v>20</v>
      </c>
      <c r="G4613">
        <v>40341</v>
      </c>
      <c r="H4613">
        <v>32272.800000000003</v>
      </c>
      <c r="I4613" s="13">
        <v>1</v>
      </c>
      <c r="J4613" t="s">
        <v>6207</v>
      </c>
      <c r="K4613">
        <v>0</v>
      </c>
      <c r="L4613">
        <v>1</v>
      </c>
      <c r="M4613" t="s">
        <v>1</v>
      </c>
      <c r="N4613" s="2">
        <v>0.41</v>
      </c>
      <c r="O4613" s="2">
        <v>0.59</v>
      </c>
      <c r="P4613">
        <v>13</v>
      </c>
      <c r="Q4613">
        <v>15</v>
      </c>
      <c r="R4613">
        <v>4</v>
      </c>
      <c r="S4613">
        <v>13</v>
      </c>
      <c r="T4613">
        <v>12</v>
      </c>
      <c r="U4613">
        <v>10</v>
      </c>
      <c r="V4613">
        <v>3</v>
      </c>
      <c r="W4613">
        <v>2</v>
      </c>
      <c r="X4613">
        <v>0</v>
      </c>
      <c r="Y4613">
        <v>0</v>
      </c>
      <c r="Z4613">
        <v>0</v>
      </c>
    </row>
    <row r="4614" spans="1:26" x14ac:dyDescent="0.2">
      <c r="A4614" t="s">
        <v>4732</v>
      </c>
      <c r="B4614" t="s">
        <v>102</v>
      </c>
      <c r="C4614">
        <v>2021</v>
      </c>
      <c r="D4614" t="s">
        <v>85</v>
      </c>
      <c r="E4614" t="s">
        <v>64</v>
      </c>
      <c r="F4614" t="s">
        <v>85</v>
      </c>
      <c r="G4614">
        <v>22220</v>
      </c>
      <c r="H4614">
        <v>17776</v>
      </c>
      <c r="I4614" s="13">
        <v>0.42857142857142855</v>
      </c>
      <c r="J4614" t="s">
        <v>6209</v>
      </c>
      <c r="K4614">
        <v>1</v>
      </c>
      <c r="L4614">
        <v>1</v>
      </c>
      <c r="M4614" t="s">
        <v>58</v>
      </c>
      <c r="N4614" s="2">
        <v>0.52</v>
      </c>
      <c r="O4614" s="2">
        <v>0.48</v>
      </c>
      <c r="P4614">
        <v>15</v>
      </c>
      <c r="Q4614">
        <v>20</v>
      </c>
      <c r="R4614">
        <v>5</v>
      </c>
      <c r="S4614">
        <v>6</v>
      </c>
      <c r="T4614">
        <v>19</v>
      </c>
      <c r="U4614">
        <v>12</v>
      </c>
      <c r="V4614">
        <v>4</v>
      </c>
      <c r="W4614">
        <v>3</v>
      </c>
      <c r="X4614">
        <v>0</v>
      </c>
      <c r="Y4614">
        <v>0</v>
      </c>
      <c r="Z4614">
        <v>0</v>
      </c>
    </row>
    <row r="4615" spans="1:26" x14ac:dyDescent="0.2">
      <c r="A4615" t="s">
        <v>4733</v>
      </c>
      <c r="B4615" t="s">
        <v>88</v>
      </c>
      <c r="C4615">
        <v>2021</v>
      </c>
      <c r="D4615" t="s">
        <v>80</v>
      </c>
      <c r="E4615" t="s">
        <v>28</v>
      </c>
      <c r="F4615" t="s">
        <v>80</v>
      </c>
      <c r="G4615">
        <v>32261</v>
      </c>
      <c r="H4615">
        <v>25808.800000000003</v>
      </c>
      <c r="I4615" s="13">
        <v>0.5</v>
      </c>
      <c r="J4615" t="s">
        <v>6207</v>
      </c>
      <c r="K4615">
        <v>2</v>
      </c>
      <c r="L4615">
        <v>2</v>
      </c>
      <c r="M4615" t="s">
        <v>58</v>
      </c>
      <c r="N4615" s="2">
        <v>0.67</v>
      </c>
      <c r="O4615" s="2">
        <v>0.33</v>
      </c>
      <c r="P4615">
        <v>11</v>
      </c>
      <c r="Q4615">
        <v>11</v>
      </c>
      <c r="R4615">
        <v>8</v>
      </c>
      <c r="S4615">
        <v>3</v>
      </c>
      <c r="T4615">
        <v>10</v>
      </c>
      <c r="U4615">
        <v>8</v>
      </c>
      <c r="V4615">
        <v>2</v>
      </c>
      <c r="W4615">
        <v>4</v>
      </c>
      <c r="X4615">
        <v>0</v>
      </c>
      <c r="Y4615">
        <v>0</v>
      </c>
      <c r="Z4615">
        <v>0</v>
      </c>
    </row>
    <row r="4616" spans="1:26" x14ac:dyDescent="0.2">
      <c r="A4616" t="s">
        <v>4734</v>
      </c>
      <c r="B4616" t="s">
        <v>60</v>
      </c>
      <c r="C4616">
        <v>2021</v>
      </c>
      <c r="D4616" t="s">
        <v>33</v>
      </c>
      <c r="E4616" t="s">
        <v>23</v>
      </c>
      <c r="F4616" t="s">
        <v>33</v>
      </c>
      <c r="G4616">
        <v>37645</v>
      </c>
      <c r="H4616">
        <v>30116</v>
      </c>
      <c r="I4616" s="13">
        <v>0.8</v>
      </c>
      <c r="J4616" t="s">
        <v>6208</v>
      </c>
      <c r="K4616">
        <v>1</v>
      </c>
      <c r="L4616">
        <v>2</v>
      </c>
      <c r="M4616" t="s">
        <v>1</v>
      </c>
      <c r="N4616" s="2">
        <v>0.54</v>
      </c>
      <c r="O4616" s="2">
        <v>0.46</v>
      </c>
      <c r="P4616">
        <v>7</v>
      </c>
      <c r="Q4616">
        <v>12</v>
      </c>
      <c r="R4616">
        <v>5</v>
      </c>
      <c r="S4616">
        <v>7</v>
      </c>
      <c r="T4616">
        <v>10</v>
      </c>
      <c r="U4616">
        <v>6</v>
      </c>
      <c r="V4616">
        <v>3</v>
      </c>
      <c r="W4616">
        <v>2</v>
      </c>
      <c r="X4616">
        <v>0</v>
      </c>
      <c r="Y4616">
        <v>0</v>
      </c>
      <c r="Z4616">
        <v>0</v>
      </c>
    </row>
    <row r="4617" spans="1:26" x14ac:dyDescent="0.2">
      <c r="A4617" t="s">
        <v>4735</v>
      </c>
      <c r="B4617" t="s">
        <v>93</v>
      </c>
      <c r="C4617">
        <v>2021</v>
      </c>
      <c r="D4617" t="s">
        <v>45</v>
      </c>
      <c r="E4617" t="s">
        <v>69</v>
      </c>
      <c r="F4617" t="s">
        <v>26</v>
      </c>
      <c r="G4617">
        <v>39572</v>
      </c>
      <c r="H4617">
        <v>31657.600000000002</v>
      </c>
      <c r="I4617" s="13">
        <v>0.6</v>
      </c>
      <c r="J4617" t="s">
        <v>6206</v>
      </c>
      <c r="K4617">
        <v>2</v>
      </c>
      <c r="L4617">
        <v>0</v>
      </c>
      <c r="M4617" t="s">
        <v>0</v>
      </c>
      <c r="N4617" s="2">
        <v>0.47</v>
      </c>
      <c r="O4617" s="2">
        <v>0.53</v>
      </c>
      <c r="P4617">
        <v>9</v>
      </c>
      <c r="Q4617">
        <v>11</v>
      </c>
      <c r="R4617">
        <v>6</v>
      </c>
      <c r="S4617">
        <v>4</v>
      </c>
      <c r="T4617">
        <v>12</v>
      </c>
      <c r="U4617">
        <v>9</v>
      </c>
      <c r="V4617">
        <v>2</v>
      </c>
      <c r="W4617">
        <v>3</v>
      </c>
      <c r="X4617">
        <v>0</v>
      </c>
      <c r="Y4617">
        <v>0</v>
      </c>
      <c r="Z4617">
        <v>1</v>
      </c>
    </row>
    <row r="4618" spans="1:26" x14ac:dyDescent="0.2">
      <c r="A4618" t="s">
        <v>4736</v>
      </c>
      <c r="B4618" t="s">
        <v>59</v>
      </c>
      <c r="C4618">
        <v>2021</v>
      </c>
      <c r="D4618" t="s">
        <v>101</v>
      </c>
      <c r="E4618" t="s">
        <v>26</v>
      </c>
      <c r="F4618" t="s">
        <v>101</v>
      </c>
      <c r="G4618">
        <v>17250</v>
      </c>
      <c r="H4618">
        <v>13800</v>
      </c>
      <c r="I4618" s="13">
        <v>0.5</v>
      </c>
      <c r="J4618" t="s">
        <v>6206</v>
      </c>
      <c r="K4618">
        <v>3</v>
      </c>
      <c r="L4618">
        <v>3</v>
      </c>
      <c r="M4618" t="s">
        <v>58</v>
      </c>
      <c r="N4618" s="2">
        <v>0.33</v>
      </c>
      <c r="O4618" s="2">
        <v>0.67</v>
      </c>
      <c r="P4618">
        <v>11</v>
      </c>
      <c r="Q4618">
        <v>12</v>
      </c>
      <c r="R4618">
        <v>2</v>
      </c>
      <c r="S4618">
        <v>11</v>
      </c>
      <c r="T4618">
        <v>8</v>
      </c>
      <c r="U4618">
        <v>7</v>
      </c>
      <c r="V4618">
        <v>1</v>
      </c>
      <c r="W4618">
        <v>1</v>
      </c>
      <c r="X4618">
        <v>0</v>
      </c>
      <c r="Y4618">
        <v>0</v>
      </c>
      <c r="Z4618">
        <v>0</v>
      </c>
    </row>
    <row r="4619" spans="1:26" x14ac:dyDescent="0.2">
      <c r="A4619" t="s">
        <v>4737</v>
      </c>
      <c r="B4619" t="s">
        <v>92</v>
      </c>
      <c r="C4619">
        <v>2021</v>
      </c>
      <c r="D4619" t="s">
        <v>73</v>
      </c>
      <c r="E4619" t="s">
        <v>22</v>
      </c>
      <c r="F4619" t="s">
        <v>73</v>
      </c>
      <c r="G4619">
        <v>32384</v>
      </c>
      <c r="H4619">
        <v>25907.200000000001</v>
      </c>
      <c r="I4619" s="13">
        <v>0</v>
      </c>
      <c r="J4619" t="s">
        <v>6207</v>
      </c>
      <c r="K4619">
        <v>0</v>
      </c>
      <c r="L4619">
        <v>1</v>
      </c>
      <c r="M4619" t="s">
        <v>1</v>
      </c>
      <c r="N4619" s="2">
        <v>0.56999999999999995</v>
      </c>
      <c r="O4619" s="2">
        <v>0.43</v>
      </c>
      <c r="P4619">
        <v>6</v>
      </c>
      <c r="Q4619">
        <v>15</v>
      </c>
      <c r="R4619">
        <v>5</v>
      </c>
      <c r="S4619">
        <v>5</v>
      </c>
      <c r="T4619">
        <v>12</v>
      </c>
      <c r="U4619">
        <v>8</v>
      </c>
      <c r="V4619">
        <v>0</v>
      </c>
      <c r="W4619">
        <v>0</v>
      </c>
      <c r="X4619">
        <v>0</v>
      </c>
      <c r="Y4619">
        <v>0</v>
      </c>
      <c r="Z4619">
        <v>0</v>
      </c>
    </row>
    <row r="4620" spans="1:26" x14ac:dyDescent="0.2">
      <c r="A4620" t="s">
        <v>4738</v>
      </c>
      <c r="B4620" t="s">
        <v>76</v>
      </c>
      <c r="C4620">
        <v>2021</v>
      </c>
      <c r="D4620" t="s">
        <v>46</v>
      </c>
      <c r="E4620" t="s">
        <v>51</v>
      </c>
      <c r="F4620" t="s">
        <v>20</v>
      </c>
      <c r="G4620">
        <v>60704</v>
      </c>
      <c r="H4620">
        <v>48563.200000000004</v>
      </c>
      <c r="I4620" s="13">
        <v>0.66666666666666663</v>
      </c>
      <c r="J4620" t="s">
        <v>6207</v>
      </c>
      <c r="K4620">
        <v>3</v>
      </c>
      <c r="L4620">
        <v>1</v>
      </c>
      <c r="M4620" t="s">
        <v>0</v>
      </c>
      <c r="N4620" s="2">
        <v>0.47</v>
      </c>
      <c r="O4620" s="2">
        <v>0.53</v>
      </c>
      <c r="P4620">
        <v>17</v>
      </c>
      <c r="Q4620">
        <v>14</v>
      </c>
      <c r="R4620">
        <v>4</v>
      </c>
      <c r="S4620">
        <v>4</v>
      </c>
      <c r="T4620">
        <v>12</v>
      </c>
      <c r="U4620">
        <v>13</v>
      </c>
      <c r="V4620">
        <v>2</v>
      </c>
      <c r="W4620">
        <v>1</v>
      </c>
      <c r="X4620">
        <v>0</v>
      </c>
      <c r="Y4620">
        <v>0</v>
      </c>
      <c r="Z4620">
        <v>0</v>
      </c>
    </row>
    <row r="4621" spans="1:26" x14ac:dyDescent="0.2">
      <c r="A4621" t="s">
        <v>4739</v>
      </c>
      <c r="B4621" t="s">
        <v>37</v>
      </c>
      <c r="C4621">
        <v>2021</v>
      </c>
      <c r="D4621" t="s">
        <v>79</v>
      </c>
      <c r="E4621" t="s">
        <v>90</v>
      </c>
      <c r="F4621" t="s">
        <v>20</v>
      </c>
      <c r="G4621">
        <v>25486</v>
      </c>
      <c r="H4621">
        <v>20388.800000000003</v>
      </c>
      <c r="I4621" s="13">
        <v>0.5714285714285714</v>
      </c>
      <c r="J4621" t="s">
        <v>6206</v>
      </c>
      <c r="K4621">
        <v>1</v>
      </c>
      <c r="L4621">
        <v>1</v>
      </c>
      <c r="M4621" t="s">
        <v>58</v>
      </c>
      <c r="N4621" s="2">
        <v>0.47</v>
      </c>
      <c r="O4621" s="2">
        <v>0.53</v>
      </c>
      <c r="P4621">
        <v>9</v>
      </c>
      <c r="Q4621">
        <v>13</v>
      </c>
      <c r="R4621">
        <v>6</v>
      </c>
      <c r="S4621">
        <v>5</v>
      </c>
      <c r="T4621">
        <v>12</v>
      </c>
      <c r="U4621">
        <v>10</v>
      </c>
      <c r="V4621">
        <v>2</v>
      </c>
      <c r="W4621">
        <v>5</v>
      </c>
      <c r="X4621">
        <v>0</v>
      </c>
      <c r="Y4621">
        <v>0</v>
      </c>
      <c r="Z4621">
        <v>1</v>
      </c>
    </row>
    <row r="4622" spans="1:26" x14ac:dyDescent="0.2">
      <c r="A4622" t="s">
        <v>4740</v>
      </c>
      <c r="B4622" t="s">
        <v>66</v>
      </c>
      <c r="C4622">
        <v>2021</v>
      </c>
      <c r="D4622" t="s">
        <v>48</v>
      </c>
      <c r="E4622" t="s">
        <v>45</v>
      </c>
      <c r="F4622" t="s">
        <v>49</v>
      </c>
      <c r="G4622">
        <v>74197</v>
      </c>
      <c r="H4622">
        <v>59357.600000000006</v>
      </c>
      <c r="I4622" s="13">
        <v>0.5</v>
      </c>
      <c r="J4622" t="s">
        <v>6207</v>
      </c>
      <c r="K4622">
        <v>1</v>
      </c>
      <c r="L4622">
        <v>1</v>
      </c>
      <c r="M4622" t="s">
        <v>58</v>
      </c>
      <c r="N4622" s="2">
        <v>0.71</v>
      </c>
      <c r="O4622" s="2">
        <v>0.28999999999999998</v>
      </c>
      <c r="P4622">
        <v>12</v>
      </c>
      <c r="Q4622">
        <v>11</v>
      </c>
      <c r="R4622">
        <v>10</v>
      </c>
      <c r="S4622">
        <v>1</v>
      </c>
      <c r="T4622">
        <v>10</v>
      </c>
      <c r="U4622">
        <v>9</v>
      </c>
      <c r="V4622">
        <v>1</v>
      </c>
      <c r="W4622">
        <v>1</v>
      </c>
      <c r="X4622">
        <v>0</v>
      </c>
      <c r="Y4622">
        <v>0</v>
      </c>
      <c r="Z4622">
        <v>0</v>
      </c>
    </row>
    <row r="4623" spans="1:26" x14ac:dyDescent="0.2">
      <c r="A4623" t="s">
        <v>4741</v>
      </c>
      <c r="B4623" t="s">
        <v>83</v>
      </c>
      <c r="C4623">
        <v>2021</v>
      </c>
      <c r="D4623" t="s">
        <v>22</v>
      </c>
      <c r="E4623" t="s">
        <v>64</v>
      </c>
      <c r="F4623" t="s">
        <v>24</v>
      </c>
      <c r="G4623">
        <v>31750</v>
      </c>
      <c r="H4623">
        <v>25400</v>
      </c>
      <c r="I4623" s="13">
        <v>0.66666666666666663</v>
      </c>
      <c r="J4623" t="s">
        <v>6208</v>
      </c>
      <c r="K4623">
        <v>2</v>
      </c>
      <c r="L4623">
        <v>1</v>
      </c>
      <c r="M4623" t="s">
        <v>0</v>
      </c>
      <c r="N4623" s="2">
        <v>0.52</v>
      </c>
      <c r="O4623" s="2">
        <v>0.48</v>
      </c>
      <c r="P4623">
        <v>6</v>
      </c>
      <c r="Q4623">
        <v>15</v>
      </c>
      <c r="R4623">
        <v>0</v>
      </c>
      <c r="S4623">
        <v>4</v>
      </c>
      <c r="T4623">
        <v>15</v>
      </c>
      <c r="U4623">
        <v>5</v>
      </c>
      <c r="V4623">
        <v>1</v>
      </c>
      <c r="W4623">
        <v>2</v>
      </c>
      <c r="X4623">
        <v>0</v>
      </c>
      <c r="Y4623">
        <v>0</v>
      </c>
      <c r="Z4623">
        <v>0</v>
      </c>
    </row>
    <row r="4624" spans="1:26" x14ac:dyDescent="0.2">
      <c r="A4624" t="s">
        <v>4742</v>
      </c>
      <c r="B4624" t="s">
        <v>84</v>
      </c>
      <c r="C4624">
        <v>2021</v>
      </c>
      <c r="D4624" t="s">
        <v>33</v>
      </c>
      <c r="E4624" t="s">
        <v>85</v>
      </c>
      <c r="F4624" t="s">
        <v>33</v>
      </c>
      <c r="G4624">
        <v>37645</v>
      </c>
      <c r="H4624">
        <v>30116</v>
      </c>
      <c r="I4624" s="13">
        <v>1</v>
      </c>
      <c r="J4624" t="s">
        <v>6208</v>
      </c>
      <c r="K4624">
        <v>1</v>
      </c>
      <c r="L4624">
        <v>0</v>
      </c>
      <c r="M4624" t="s">
        <v>0</v>
      </c>
      <c r="N4624" s="2">
        <v>0.67</v>
      </c>
      <c r="O4624" s="2">
        <v>0.33</v>
      </c>
      <c r="P4624">
        <v>14</v>
      </c>
      <c r="Q4624">
        <v>10</v>
      </c>
      <c r="R4624">
        <v>6</v>
      </c>
      <c r="S4624">
        <v>3</v>
      </c>
      <c r="T4624">
        <v>10</v>
      </c>
      <c r="U4624">
        <v>16</v>
      </c>
      <c r="V4624">
        <v>0</v>
      </c>
      <c r="W4624">
        <v>3</v>
      </c>
      <c r="X4624">
        <v>0</v>
      </c>
      <c r="Y4624">
        <v>0</v>
      </c>
      <c r="Z4624">
        <v>0</v>
      </c>
    </row>
    <row r="4625" spans="1:26" x14ac:dyDescent="0.2">
      <c r="A4625" t="s">
        <v>4743</v>
      </c>
      <c r="B4625" t="s">
        <v>32</v>
      </c>
      <c r="C4625">
        <v>2021</v>
      </c>
      <c r="D4625" t="s">
        <v>18</v>
      </c>
      <c r="E4625" t="s">
        <v>73</v>
      </c>
      <c r="F4625" t="s">
        <v>20</v>
      </c>
      <c r="G4625">
        <v>40341</v>
      </c>
      <c r="H4625">
        <v>32272.800000000003</v>
      </c>
      <c r="I4625" s="13">
        <v>0.66666666666666663</v>
      </c>
      <c r="J4625" t="s">
        <v>6207</v>
      </c>
      <c r="K4625">
        <v>3</v>
      </c>
      <c r="L4625">
        <v>1</v>
      </c>
      <c r="M4625" t="s">
        <v>0</v>
      </c>
      <c r="N4625" s="2">
        <v>0.62</v>
      </c>
      <c r="O4625" s="2">
        <v>0.38</v>
      </c>
      <c r="P4625">
        <v>11</v>
      </c>
      <c r="Q4625">
        <v>12</v>
      </c>
      <c r="R4625">
        <v>7</v>
      </c>
      <c r="S4625">
        <v>2</v>
      </c>
      <c r="T4625">
        <v>11</v>
      </c>
      <c r="U4625">
        <v>13</v>
      </c>
      <c r="V4625">
        <v>2</v>
      </c>
      <c r="W4625">
        <v>3</v>
      </c>
      <c r="X4625">
        <v>0</v>
      </c>
      <c r="Y4625">
        <v>1</v>
      </c>
      <c r="Z4625">
        <v>1</v>
      </c>
    </row>
    <row r="4626" spans="1:26" x14ac:dyDescent="0.2">
      <c r="A4626" t="s">
        <v>4744</v>
      </c>
      <c r="B4626" t="s">
        <v>60</v>
      </c>
      <c r="C4626">
        <v>2021</v>
      </c>
      <c r="D4626" t="s">
        <v>28</v>
      </c>
      <c r="E4626" t="s">
        <v>69</v>
      </c>
      <c r="F4626" t="s">
        <v>28</v>
      </c>
      <c r="G4626">
        <v>21944</v>
      </c>
      <c r="H4626">
        <v>17555.2</v>
      </c>
      <c r="I4626" s="13">
        <v>0.42857142857142855</v>
      </c>
      <c r="J4626" t="s">
        <v>6208</v>
      </c>
      <c r="K4626">
        <v>0</v>
      </c>
      <c r="L4626">
        <v>0</v>
      </c>
      <c r="M4626" t="s">
        <v>58</v>
      </c>
      <c r="N4626" s="2">
        <v>0.56000000000000005</v>
      </c>
      <c r="O4626" s="2">
        <v>0.44</v>
      </c>
      <c r="P4626">
        <v>3</v>
      </c>
      <c r="Q4626">
        <v>12</v>
      </c>
      <c r="R4626">
        <v>9</v>
      </c>
      <c r="S4626">
        <v>5</v>
      </c>
      <c r="T4626">
        <v>13</v>
      </c>
      <c r="U4626">
        <v>3</v>
      </c>
      <c r="V4626">
        <v>5</v>
      </c>
      <c r="W4626">
        <v>2</v>
      </c>
      <c r="X4626">
        <v>0</v>
      </c>
      <c r="Y4626">
        <v>0</v>
      </c>
      <c r="Z4626">
        <v>0</v>
      </c>
    </row>
    <row r="4627" spans="1:26" x14ac:dyDescent="0.2">
      <c r="A4627" t="s">
        <v>4745</v>
      </c>
      <c r="B4627" t="s">
        <v>68</v>
      </c>
      <c r="C4627">
        <v>2021</v>
      </c>
      <c r="D4627" t="s">
        <v>90</v>
      </c>
      <c r="E4627" t="s">
        <v>46</v>
      </c>
      <c r="F4627" t="s">
        <v>91</v>
      </c>
      <c r="G4627">
        <v>31876</v>
      </c>
      <c r="H4627">
        <v>25500.800000000003</v>
      </c>
      <c r="I4627" s="13">
        <v>1</v>
      </c>
      <c r="J4627" t="s">
        <v>6207</v>
      </c>
      <c r="K4627">
        <v>0</v>
      </c>
      <c r="L4627">
        <v>0</v>
      </c>
      <c r="M4627" t="s">
        <v>58</v>
      </c>
      <c r="N4627" s="2">
        <v>0.57999999999999996</v>
      </c>
      <c r="O4627" s="2">
        <v>0.42</v>
      </c>
      <c r="P4627">
        <v>5</v>
      </c>
      <c r="Q4627">
        <v>9</v>
      </c>
      <c r="R4627">
        <v>8</v>
      </c>
      <c r="S4627">
        <v>5</v>
      </c>
      <c r="T4627">
        <v>8</v>
      </c>
      <c r="U4627">
        <v>5</v>
      </c>
      <c r="V4627">
        <v>2</v>
      </c>
      <c r="W4627">
        <v>1</v>
      </c>
      <c r="X4627">
        <v>0</v>
      </c>
      <c r="Y4627">
        <v>0</v>
      </c>
      <c r="Z4627">
        <v>0</v>
      </c>
    </row>
    <row r="4628" spans="1:26" x14ac:dyDescent="0.2">
      <c r="A4628" t="s">
        <v>4746</v>
      </c>
      <c r="B4628" t="s">
        <v>97</v>
      </c>
      <c r="C4628">
        <v>2021</v>
      </c>
      <c r="D4628" t="s">
        <v>23</v>
      </c>
      <c r="E4628" t="s">
        <v>101</v>
      </c>
      <c r="F4628" t="s">
        <v>20</v>
      </c>
      <c r="G4628">
        <v>62500</v>
      </c>
      <c r="H4628">
        <v>50000</v>
      </c>
      <c r="I4628" s="13">
        <v>0.8</v>
      </c>
      <c r="J4628" t="s">
        <v>6207</v>
      </c>
      <c r="K4628">
        <v>1</v>
      </c>
      <c r="L4628">
        <v>2</v>
      </c>
      <c r="M4628" t="s">
        <v>1</v>
      </c>
      <c r="N4628" s="2">
        <v>0.6</v>
      </c>
      <c r="O4628" s="2">
        <v>0.4</v>
      </c>
      <c r="P4628">
        <v>11</v>
      </c>
      <c r="Q4628">
        <v>14</v>
      </c>
      <c r="R4628">
        <v>10</v>
      </c>
      <c r="S4628">
        <v>6</v>
      </c>
      <c r="T4628">
        <v>16</v>
      </c>
      <c r="U4628">
        <v>13</v>
      </c>
      <c r="V4628">
        <v>2</v>
      </c>
      <c r="W4628">
        <v>3</v>
      </c>
      <c r="X4628">
        <v>0</v>
      </c>
      <c r="Y4628">
        <v>0</v>
      </c>
      <c r="Z4628">
        <v>0</v>
      </c>
    </row>
    <row r="4629" spans="1:26" x14ac:dyDescent="0.2">
      <c r="A4629" t="s">
        <v>4747</v>
      </c>
      <c r="B4629" t="s">
        <v>88</v>
      </c>
      <c r="C4629">
        <v>2021</v>
      </c>
      <c r="D4629" t="s">
        <v>51</v>
      </c>
      <c r="E4629" t="s">
        <v>42</v>
      </c>
      <c r="F4629" t="s">
        <v>20</v>
      </c>
      <c r="G4629">
        <v>36284</v>
      </c>
      <c r="H4629">
        <v>29027.200000000001</v>
      </c>
      <c r="I4629" s="13">
        <v>0.33333333333333331</v>
      </c>
      <c r="J4629" t="s">
        <v>6207</v>
      </c>
      <c r="K4629">
        <v>2</v>
      </c>
      <c r="L4629">
        <v>1</v>
      </c>
      <c r="M4629" t="s">
        <v>0</v>
      </c>
      <c r="N4629" s="2">
        <v>0.56000000000000005</v>
      </c>
      <c r="O4629" s="2">
        <v>0.44</v>
      </c>
      <c r="P4629">
        <v>12</v>
      </c>
      <c r="Q4629">
        <v>11</v>
      </c>
      <c r="R4629">
        <v>5</v>
      </c>
      <c r="S4629">
        <v>8</v>
      </c>
      <c r="T4629">
        <v>11</v>
      </c>
      <c r="U4629">
        <v>14</v>
      </c>
      <c r="V4629">
        <v>2</v>
      </c>
      <c r="W4629">
        <v>1</v>
      </c>
      <c r="X4629">
        <v>0</v>
      </c>
      <c r="Y4629">
        <v>0</v>
      </c>
      <c r="Z4629">
        <v>0</v>
      </c>
    </row>
    <row r="4630" spans="1:26" x14ac:dyDescent="0.2">
      <c r="A4630" t="s">
        <v>4748</v>
      </c>
      <c r="B4630" t="s">
        <v>61</v>
      </c>
      <c r="C4630">
        <v>2021</v>
      </c>
      <c r="D4630" t="s">
        <v>79</v>
      </c>
      <c r="E4630" t="s">
        <v>80</v>
      </c>
      <c r="F4630" t="s">
        <v>20</v>
      </c>
      <c r="G4630">
        <v>25486</v>
      </c>
      <c r="H4630">
        <v>20388.800000000003</v>
      </c>
      <c r="I4630" s="13">
        <v>0.4</v>
      </c>
      <c r="J4630" t="s">
        <v>6207</v>
      </c>
      <c r="K4630">
        <v>2</v>
      </c>
      <c r="L4630">
        <v>2</v>
      </c>
      <c r="M4630" t="s">
        <v>58</v>
      </c>
      <c r="N4630" s="2">
        <v>0.6</v>
      </c>
      <c r="O4630" s="2">
        <v>0.4</v>
      </c>
      <c r="P4630">
        <v>14</v>
      </c>
      <c r="Q4630">
        <v>18</v>
      </c>
      <c r="R4630">
        <v>1</v>
      </c>
      <c r="S4630">
        <v>3</v>
      </c>
      <c r="T4630">
        <v>15</v>
      </c>
      <c r="U4630">
        <v>11</v>
      </c>
      <c r="V4630">
        <v>2</v>
      </c>
      <c r="W4630">
        <v>3</v>
      </c>
      <c r="X4630">
        <v>0</v>
      </c>
      <c r="Y4630">
        <v>0</v>
      </c>
      <c r="Z4630">
        <v>0</v>
      </c>
    </row>
    <row r="4631" spans="1:26" x14ac:dyDescent="0.2">
      <c r="A4631" t="s">
        <v>4749</v>
      </c>
      <c r="B4631" t="s">
        <v>81</v>
      </c>
      <c r="C4631">
        <v>2021</v>
      </c>
      <c r="D4631" t="s">
        <v>26</v>
      </c>
      <c r="E4631" t="s">
        <v>40</v>
      </c>
      <c r="F4631" t="s">
        <v>26</v>
      </c>
      <c r="G4631">
        <v>61276</v>
      </c>
      <c r="H4631">
        <v>49020.800000000003</v>
      </c>
      <c r="I4631" s="13">
        <v>0.83333333333333337</v>
      </c>
      <c r="J4631" t="s">
        <v>6207</v>
      </c>
      <c r="K4631">
        <v>2</v>
      </c>
      <c r="L4631">
        <v>2</v>
      </c>
      <c r="M4631" t="s">
        <v>58</v>
      </c>
      <c r="N4631" s="2">
        <v>0.48</v>
      </c>
      <c r="O4631" s="2">
        <v>0.52</v>
      </c>
      <c r="P4631">
        <v>16</v>
      </c>
      <c r="Q4631">
        <v>9</v>
      </c>
      <c r="R4631">
        <v>3</v>
      </c>
      <c r="S4631">
        <v>4</v>
      </c>
      <c r="T4631">
        <v>10</v>
      </c>
      <c r="U4631">
        <v>12</v>
      </c>
      <c r="V4631">
        <v>3</v>
      </c>
      <c r="W4631">
        <v>3</v>
      </c>
      <c r="X4631">
        <v>0</v>
      </c>
      <c r="Y4631">
        <v>0</v>
      </c>
      <c r="Z4631">
        <v>0</v>
      </c>
    </row>
    <row r="4632" spans="1:26" x14ac:dyDescent="0.2">
      <c r="A4632" t="s">
        <v>4750</v>
      </c>
      <c r="B4632" t="s">
        <v>68</v>
      </c>
      <c r="C4632">
        <v>2021</v>
      </c>
      <c r="D4632" t="s">
        <v>85</v>
      </c>
      <c r="E4632" t="s">
        <v>26</v>
      </c>
      <c r="F4632" t="s">
        <v>85</v>
      </c>
      <c r="G4632">
        <v>22220</v>
      </c>
      <c r="H4632">
        <v>17776</v>
      </c>
      <c r="I4632" s="13">
        <v>0</v>
      </c>
      <c r="J4632" t="s">
        <v>6207</v>
      </c>
      <c r="K4632">
        <v>0</v>
      </c>
      <c r="L4632">
        <v>5</v>
      </c>
      <c r="M4632" t="s">
        <v>1</v>
      </c>
      <c r="N4632" s="2">
        <v>0.23</v>
      </c>
      <c r="O4632" s="2">
        <v>0.77</v>
      </c>
      <c r="P4632">
        <v>12</v>
      </c>
      <c r="Q4632">
        <v>12</v>
      </c>
      <c r="R4632">
        <v>1</v>
      </c>
      <c r="S4632">
        <v>9</v>
      </c>
      <c r="T4632">
        <v>4</v>
      </c>
      <c r="U4632">
        <v>10</v>
      </c>
      <c r="V4632">
        <v>0</v>
      </c>
      <c r="W4632">
        <v>0</v>
      </c>
      <c r="X4632">
        <v>0</v>
      </c>
      <c r="Y4632">
        <v>0</v>
      </c>
      <c r="Z4632">
        <v>0</v>
      </c>
    </row>
    <row r="4633" spans="1:26" x14ac:dyDescent="0.2">
      <c r="A4633" t="s">
        <v>4751</v>
      </c>
      <c r="B4633" t="s">
        <v>93</v>
      </c>
      <c r="C4633">
        <v>2021</v>
      </c>
      <c r="D4633" t="s">
        <v>73</v>
      </c>
      <c r="E4633" t="s">
        <v>33</v>
      </c>
      <c r="F4633" t="s">
        <v>73</v>
      </c>
      <c r="G4633">
        <v>32384</v>
      </c>
      <c r="H4633">
        <v>25907.200000000001</v>
      </c>
      <c r="I4633" s="13">
        <v>0.6</v>
      </c>
      <c r="J4633" t="s">
        <v>6206</v>
      </c>
      <c r="K4633">
        <v>1</v>
      </c>
      <c r="L4633">
        <v>0</v>
      </c>
      <c r="M4633" t="s">
        <v>0</v>
      </c>
      <c r="N4633" s="2">
        <v>0.45</v>
      </c>
      <c r="O4633" s="2">
        <v>0.55000000000000004</v>
      </c>
      <c r="P4633">
        <v>14</v>
      </c>
      <c r="Q4633">
        <v>17</v>
      </c>
      <c r="R4633">
        <v>8</v>
      </c>
      <c r="S4633">
        <v>1</v>
      </c>
      <c r="T4633">
        <v>16</v>
      </c>
      <c r="U4633">
        <v>14</v>
      </c>
      <c r="V4633">
        <v>2</v>
      </c>
      <c r="W4633">
        <v>3</v>
      </c>
      <c r="X4633">
        <v>0</v>
      </c>
      <c r="Y4633">
        <v>0</v>
      </c>
      <c r="Z4633">
        <v>0</v>
      </c>
    </row>
    <row r="4634" spans="1:26" x14ac:dyDescent="0.2">
      <c r="A4634" t="s">
        <v>4752</v>
      </c>
      <c r="B4634" t="s">
        <v>97</v>
      </c>
      <c r="C4634">
        <v>2021</v>
      </c>
      <c r="D4634" t="s">
        <v>69</v>
      </c>
      <c r="E4634" t="s">
        <v>90</v>
      </c>
      <c r="F4634" t="s">
        <v>69</v>
      </c>
      <c r="G4634">
        <v>27359</v>
      </c>
      <c r="H4634">
        <v>21887.200000000001</v>
      </c>
      <c r="I4634" s="13">
        <v>0.75</v>
      </c>
      <c r="J4634" t="s">
        <v>6207</v>
      </c>
      <c r="K4634">
        <v>0</v>
      </c>
      <c r="L4634">
        <v>0</v>
      </c>
      <c r="M4634" t="s">
        <v>58</v>
      </c>
      <c r="N4634" s="2">
        <v>0.35</v>
      </c>
      <c r="O4634" s="2">
        <v>0.65</v>
      </c>
      <c r="P4634">
        <v>12</v>
      </c>
      <c r="Q4634">
        <v>6</v>
      </c>
      <c r="R4634">
        <v>8</v>
      </c>
      <c r="S4634">
        <v>4</v>
      </c>
      <c r="T4634">
        <v>5</v>
      </c>
      <c r="U4634">
        <v>14</v>
      </c>
      <c r="V4634">
        <v>3</v>
      </c>
      <c r="W4634">
        <v>5</v>
      </c>
      <c r="X4634">
        <v>0</v>
      </c>
      <c r="Y4634">
        <v>0</v>
      </c>
      <c r="Z4634">
        <v>0</v>
      </c>
    </row>
    <row r="4635" spans="1:26" x14ac:dyDescent="0.2">
      <c r="A4635" t="s">
        <v>4753</v>
      </c>
      <c r="B4635" t="s">
        <v>32</v>
      </c>
      <c r="C4635">
        <v>2021</v>
      </c>
      <c r="D4635" t="s">
        <v>40</v>
      </c>
      <c r="E4635" t="s">
        <v>28</v>
      </c>
      <c r="F4635" t="s">
        <v>49</v>
      </c>
      <c r="G4635">
        <v>53400</v>
      </c>
      <c r="H4635">
        <v>42720</v>
      </c>
      <c r="I4635" s="13">
        <v>1</v>
      </c>
      <c r="J4635" t="s">
        <v>6207</v>
      </c>
      <c r="K4635">
        <v>2</v>
      </c>
      <c r="L4635">
        <v>0</v>
      </c>
      <c r="M4635" t="s">
        <v>0</v>
      </c>
      <c r="N4635" s="2">
        <v>0.71</v>
      </c>
      <c r="O4635" s="2">
        <v>0.28999999999999998</v>
      </c>
      <c r="P4635">
        <v>8</v>
      </c>
      <c r="Q4635">
        <v>11</v>
      </c>
      <c r="R4635">
        <v>6</v>
      </c>
      <c r="S4635">
        <v>2</v>
      </c>
      <c r="T4635">
        <v>11</v>
      </c>
      <c r="U4635">
        <v>5</v>
      </c>
      <c r="V4635">
        <v>1</v>
      </c>
      <c r="W4635">
        <v>0</v>
      </c>
      <c r="X4635">
        <v>0</v>
      </c>
      <c r="Y4635">
        <v>0</v>
      </c>
      <c r="Z4635">
        <v>0</v>
      </c>
    </row>
    <row r="4636" spans="1:26" x14ac:dyDescent="0.2">
      <c r="A4636" t="s">
        <v>4754</v>
      </c>
      <c r="B4636" t="s">
        <v>76</v>
      </c>
      <c r="C4636">
        <v>2021</v>
      </c>
      <c r="D4636" t="s">
        <v>80</v>
      </c>
      <c r="E4636" t="s">
        <v>48</v>
      </c>
      <c r="F4636" t="s">
        <v>80</v>
      </c>
      <c r="G4636">
        <v>32261</v>
      </c>
      <c r="H4636">
        <v>25808.800000000003</v>
      </c>
      <c r="I4636" s="13">
        <v>1</v>
      </c>
      <c r="J4636" t="s">
        <v>6207</v>
      </c>
      <c r="K4636">
        <v>4</v>
      </c>
      <c r="L4636">
        <v>2</v>
      </c>
      <c r="M4636" t="s">
        <v>0</v>
      </c>
      <c r="N4636" s="2">
        <v>0.49</v>
      </c>
      <c r="O4636" s="2">
        <v>0.51</v>
      </c>
      <c r="P4636">
        <v>19</v>
      </c>
      <c r="Q4636">
        <v>7</v>
      </c>
      <c r="R4636">
        <v>4</v>
      </c>
      <c r="S4636">
        <v>3</v>
      </c>
      <c r="T4636">
        <v>5</v>
      </c>
      <c r="U4636">
        <v>17</v>
      </c>
      <c r="V4636">
        <v>0</v>
      </c>
      <c r="W4636">
        <v>3</v>
      </c>
      <c r="X4636">
        <v>0</v>
      </c>
      <c r="Y4636">
        <v>0</v>
      </c>
      <c r="Z4636">
        <v>0</v>
      </c>
    </row>
    <row r="4637" spans="1:26" x14ac:dyDescent="0.2">
      <c r="A4637" t="s">
        <v>4755</v>
      </c>
      <c r="B4637" t="s">
        <v>66</v>
      </c>
      <c r="C4637">
        <v>2021</v>
      </c>
      <c r="D4637" t="s">
        <v>42</v>
      </c>
      <c r="E4637" t="s">
        <v>22</v>
      </c>
      <c r="F4637" t="s">
        <v>38</v>
      </c>
      <c r="G4637">
        <v>42918</v>
      </c>
      <c r="H4637">
        <v>34334.400000000001</v>
      </c>
      <c r="I4637" s="13">
        <v>0.4</v>
      </c>
      <c r="J4637" t="s">
        <v>6207</v>
      </c>
      <c r="K4637">
        <v>2</v>
      </c>
      <c r="L4637">
        <v>3</v>
      </c>
      <c r="M4637" t="s">
        <v>1</v>
      </c>
      <c r="N4637" s="2">
        <v>0.48</v>
      </c>
      <c r="O4637" s="2">
        <v>0.52</v>
      </c>
      <c r="P4637">
        <v>18</v>
      </c>
      <c r="Q4637">
        <v>8</v>
      </c>
      <c r="R4637">
        <v>6</v>
      </c>
      <c r="S4637">
        <v>7</v>
      </c>
      <c r="T4637">
        <v>8</v>
      </c>
      <c r="U4637">
        <v>17</v>
      </c>
      <c r="V4637">
        <v>2</v>
      </c>
      <c r="W4637">
        <v>3</v>
      </c>
      <c r="X4637">
        <v>0</v>
      </c>
      <c r="Y4637">
        <v>0</v>
      </c>
      <c r="Z4637">
        <v>0</v>
      </c>
    </row>
    <row r="4638" spans="1:26" x14ac:dyDescent="0.2">
      <c r="A4638" t="s">
        <v>4756</v>
      </c>
      <c r="B4638" t="s">
        <v>61</v>
      </c>
      <c r="C4638">
        <v>2021</v>
      </c>
      <c r="D4638" t="s">
        <v>101</v>
      </c>
      <c r="E4638" t="s">
        <v>18</v>
      </c>
      <c r="F4638" t="s">
        <v>101</v>
      </c>
      <c r="G4638">
        <v>17250</v>
      </c>
      <c r="H4638">
        <v>13800</v>
      </c>
      <c r="I4638" s="13">
        <v>1</v>
      </c>
      <c r="J4638" t="s">
        <v>6207</v>
      </c>
      <c r="K4638">
        <v>0</v>
      </c>
      <c r="L4638">
        <v>1</v>
      </c>
      <c r="M4638" t="s">
        <v>1</v>
      </c>
      <c r="N4638" s="2">
        <v>0.44</v>
      </c>
      <c r="O4638" s="2">
        <v>0.56000000000000005</v>
      </c>
      <c r="P4638">
        <v>11</v>
      </c>
      <c r="Q4638">
        <v>12</v>
      </c>
      <c r="R4638">
        <v>5</v>
      </c>
      <c r="S4638">
        <v>5</v>
      </c>
      <c r="T4638">
        <v>13</v>
      </c>
      <c r="U4638">
        <v>8</v>
      </c>
      <c r="V4638">
        <v>1</v>
      </c>
      <c r="W4638">
        <v>1</v>
      </c>
      <c r="X4638">
        <v>0</v>
      </c>
      <c r="Y4638">
        <v>0</v>
      </c>
      <c r="Z4638">
        <v>0</v>
      </c>
    </row>
    <row r="4639" spans="1:26" x14ac:dyDescent="0.2">
      <c r="A4639" t="s">
        <v>4757</v>
      </c>
      <c r="B4639" t="s">
        <v>59</v>
      </c>
      <c r="C4639">
        <v>2021</v>
      </c>
      <c r="D4639" t="s">
        <v>45</v>
      </c>
      <c r="E4639" t="s">
        <v>23</v>
      </c>
      <c r="F4639" t="s">
        <v>26</v>
      </c>
      <c r="G4639">
        <v>39572</v>
      </c>
      <c r="H4639">
        <v>31657.600000000002</v>
      </c>
      <c r="I4639" s="13">
        <v>1</v>
      </c>
      <c r="J4639" t="s">
        <v>6206</v>
      </c>
      <c r="K4639">
        <v>0</v>
      </c>
      <c r="L4639">
        <v>1</v>
      </c>
      <c r="M4639" t="s">
        <v>1</v>
      </c>
      <c r="N4639" s="2">
        <v>0.39</v>
      </c>
      <c r="O4639" s="2">
        <v>0.61</v>
      </c>
      <c r="P4639">
        <v>5</v>
      </c>
      <c r="Q4639">
        <v>3</v>
      </c>
      <c r="R4639">
        <v>7</v>
      </c>
      <c r="S4639">
        <v>9</v>
      </c>
      <c r="T4639">
        <v>3</v>
      </c>
      <c r="U4639">
        <v>3</v>
      </c>
      <c r="V4639">
        <v>0</v>
      </c>
      <c r="W4639">
        <v>2</v>
      </c>
      <c r="X4639">
        <v>0</v>
      </c>
      <c r="Y4639">
        <v>0</v>
      </c>
      <c r="Z4639">
        <v>0</v>
      </c>
    </row>
    <row r="4640" spans="1:26" x14ac:dyDescent="0.2">
      <c r="A4640" t="s">
        <v>4758</v>
      </c>
      <c r="B4640" t="s">
        <v>37</v>
      </c>
      <c r="C4640">
        <v>2021</v>
      </c>
      <c r="D4640" t="s">
        <v>64</v>
      </c>
      <c r="E4640" t="s">
        <v>51</v>
      </c>
      <c r="F4640" t="s">
        <v>64</v>
      </c>
      <c r="G4640">
        <v>52264</v>
      </c>
      <c r="H4640">
        <v>41811.200000000004</v>
      </c>
      <c r="I4640" s="13">
        <v>0.42857142857142855</v>
      </c>
      <c r="J4640" t="s">
        <v>6206</v>
      </c>
      <c r="K4640">
        <v>2</v>
      </c>
      <c r="L4640">
        <v>3</v>
      </c>
      <c r="M4640" t="s">
        <v>1</v>
      </c>
      <c r="N4640" s="2">
        <v>0.36</v>
      </c>
      <c r="O4640" s="2">
        <v>0.64</v>
      </c>
      <c r="P4640">
        <v>5</v>
      </c>
      <c r="Q4640">
        <v>13</v>
      </c>
      <c r="R4640">
        <v>2</v>
      </c>
      <c r="S4640">
        <v>9</v>
      </c>
      <c r="T4640">
        <v>13</v>
      </c>
      <c r="U4640">
        <v>4</v>
      </c>
      <c r="V4640">
        <v>5</v>
      </c>
      <c r="W4640">
        <v>1</v>
      </c>
      <c r="X4640">
        <v>1</v>
      </c>
      <c r="Y4640">
        <v>0</v>
      </c>
      <c r="Z4640">
        <v>0</v>
      </c>
    </row>
    <row r="4641" spans="1:26" x14ac:dyDescent="0.2">
      <c r="A4641" t="s">
        <v>4759</v>
      </c>
      <c r="B4641" t="s">
        <v>41</v>
      </c>
      <c r="C4641">
        <v>2021</v>
      </c>
      <c r="D4641" t="s">
        <v>46</v>
      </c>
      <c r="E4641" t="s">
        <v>79</v>
      </c>
      <c r="F4641" t="s">
        <v>20</v>
      </c>
      <c r="G4641">
        <v>60704</v>
      </c>
      <c r="H4641">
        <v>48563.200000000004</v>
      </c>
      <c r="I4641" s="13">
        <v>0</v>
      </c>
      <c r="J4641" t="s">
        <v>6207</v>
      </c>
      <c r="K4641">
        <v>2</v>
      </c>
      <c r="L4641">
        <v>2</v>
      </c>
      <c r="M4641" t="s">
        <v>58</v>
      </c>
      <c r="N4641" s="2">
        <v>0.54</v>
      </c>
      <c r="O4641" s="2">
        <v>0.46</v>
      </c>
      <c r="P4641">
        <v>6</v>
      </c>
      <c r="Q4641">
        <v>6</v>
      </c>
      <c r="R4641">
        <v>6</v>
      </c>
      <c r="S4641">
        <v>3</v>
      </c>
      <c r="T4641">
        <v>7</v>
      </c>
      <c r="U4641">
        <v>4</v>
      </c>
      <c r="V4641">
        <v>1</v>
      </c>
      <c r="W4641">
        <v>1</v>
      </c>
      <c r="X4641">
        <v>0</v>
      </c>
      <c r="Y4641">
        <v>0</v>
      </c>
      <c r="Z4641">
        <v>0</v>
      </c>
    </row>
    <row r="4642" spans="1:26" x14ac:dyDescent="0.2">
      <c r="A4642" t="s">
        <v>4760</v>
      </c>
      <c r="B4642" t="s">
        <v>76</v>
      </c>
      <c r="C4642">
        <v>2021</v>
      </c>
      <c r="D4642" t="s">
        <v>46</v>
      </c>
      <c r="E4642" t="s">
        <v>42</v>
      </c>
      <c r="F4642" t="s">
        <v>20</v>
      </c>
      <c r="G4642">
        <v>60704</v>
      </c>
      <c r="H4642">
        <v>48563.200000000004</v>
      </c>
      <c r="I4642" s="13">
        <v>0.42857142857142855</v>
      </c>
      <c r="J4642" t="s">
        <v>6207</v>
      </c>
      <c r="K4642">
        <v>3</v>
      </c>
      <c r="L4642">
        <v>1</v>
      </c>
      <c r="M4642" t="s">
        <v>0</v>
      </c>
      <c r="N4642" s="2">
        <v>0.54</v>
      </c>
      <c r="O4642" s="2">
        <v>0.46</v>
      </c>
      <c r="P4642">
        <v>9</v>
      </c>
      <c r="Q4642">
        <v>19</v>
      </c>
      <c r="R4642">
        <v>7</v>
      </c>
      <c r="S4642">
        <v>4</v>
      </c>
      <c r="T4642">
        <v>17</v>
      </c>
      <c r="U4642">
        <v>10</v>
      </c>
      <c r="V4642">
        <v>2</v>
      </c>
      <c r="W4642">
        <v>5</v>
      </c>
      <c r="X4642">
        <v>0</v>
      </c>
      <c r="Y4642">
        <v>0</v>
      </c>
      <c r="Z4642">
        <v>1</v>
      </c>
    </row>
    <row r="4643" spans="1:26" x14ac:dyDescent="0.2">
      <c r="A4643" t="s">
        <v>4761</v>
      </c>
      <c r="B4643" t="s">
        <v>92</v>
      </c>
      <c r="C4643">
        <v>2021</v>
      </c>
      <c r="D4643" t="s">
        <v>18</v>
      </c>
      <c r="E4643" t="s">
        <v>69</v>
      </c>
      <c r="F4643" t="s">
        <v>20</v>
      </c>
      <c r="G4643">
        <v>40341</v>
      </c>
      <c r="H4643">
        <v>32272.800000000003</v>
      </c>
      <c r="I4643" s="13">
        <v>0.5</v>
      </c>
      <c r="J4643" t="s">
        <v>6207</v>
      </c>
      <c r="K4643">
        <v>7</v>
      </c>
      <c r="L4643">
        <v>0</v>
      </c>
      <c r="M4643" t="s">
        <v>0</v>
      </c>
      <c r="N4643" s="2">
        <v>0.62</v>
      </c>
      <c r="O4643" s="2">
        <v>0.38</v>
      </c>
      <c r="P4643">
        <v>15</v>
      </c>
      <c r="Q4643">
        <v>15</v>
      </c>
      <c r="R4643">
        <v>5</v>
      </c>
      <c r="S4643">
        <v>0</v>
      </c>
      <c r="T4643">
        <v>14</v>
      </c>
      <c r="U4643">
        <v>16</v>
      </c>
      <c r="V4643">
        <v>0</v>
      </c>
      <c r="W4643">
        <v>3</v>
      </c>
      <c r="X4643">
        <v>0</v>
      </c>
      <c r="Y4643">
        <v>1</v>
      </c>
      <c r="Z4643">
        <v>1</v>
      </c>
    </row>
    <row r="4644" spans="1:26" x14ac:dyDescent="0.2">
      <c r="A4644" t="s">
        <v>4762</v>
      </c>
      <c r="B4644" t="s">
        <v>88</v>
      </c>
      <c r="C4644">
        <v>2021</v>
      </c>
      <c r="D4644" t="s">
        <v>73</v>
      </c>
      <c r="E4644" t="s">
        <v>28</v>
      </c>
      <c r="F4644" t="s">
        <v>73</v>
      </c>
      <c r="G4644">
        <v>32384</v>
      </c>
      <c r="H4644">
        <v>25907.200000000001</v>
      </c>
      <c r="I4644" s="13">
        <v>0.5</v>
      </c>
      <c r="J4644" t="s">
        <v>6207</v>
      </c>
      <c r="K4644">
        <v>2</v>
      </c>
      <c r="L4644">
        <v>2</v>
      </c>
      <c r="M4644" t="s">
        <v>58</v>
      </c>
      <c r="N4644" s="2">
        <v>0.61</v>
      </c>
      <c r="O4644" s="2">
        <v>0.39</v>
      </c>
      <c r="P4644">
        <v>11</v>
      </c>
      <c r="Q4644">
        <v>11</v>
      </c>
      <c r="R4644">
        <v>6</v>
      </c>
      <c r="S4644">
        <v>2</v>
      </c>
      <c r="T4644">
        <v>10</v>
      </c>
      <c r="U4644">
        <v>11</v>
      </c>
      <c r="V4644">
        <v>1</v>
      </c>
      <c r="W4644">
        <v>3</v>
      </c>
      <c r="X4644">
        <v>0</v>
      </c>
      <c r="Y4644">
        <v>0</v>
      </c>
      <c r="Z4644">
        <v>0</v>
      </c>
    </row>
    <row r="4645" spans="1:26" x14ac:dyDescent="0.2">
      <c r="A4645" t="s">
        <v>4763</v>
      </c>
      <c r="B4645" t="s">
        <v>99</v>
      </c>
      <c r="C4645">
        <v>2021</v>
      </c>
      <c r="D4645" t="s">
        <v>33</v>
      </c>
      <c r="E4645" t="s">
        <v>22</v>
      </c>
      <c r="F4645" t="s">
        <v>33</v>
      </c>
      <c r="G4645">
        <v>37645</v>
      </c>
      <c r="H4645">
        <v>30116</v>
      </c>
      <c r="I4645" s="13">
        <v>0.6</v>
      </c>
      <c r="J4645" t="s">
        <v>6207</v>
      </c>
      <c r="K4645">
        <v>1</v>
      </c>
      <c r="L4645">
        <v>1</v>
      </c>
      <c r="M4645" t="s">
        <v>58</v>
      </c>
      <c r="N4645" s="2">
        <v>0.63</v>
      </c>
      <c r="O4645" s="2">
        <v>0.37</v>
      </c>
      <c r="P4645">
        <v>12</v>
      </c>
      <c r="Q4645">
        <v>15</v>
      </c>
      <c r="R4645">
        <v>6</v>
      </c>
      <c r="S4645">
        <v>3</v>
      </c>
      <c r="T4645">
        <v>15</v>
      </c>
      <c r="U4645">
        <v>14</v>
      </c>
      <c r="V4645">
        <v>2</v>
      </c>
      <c r="W4645">
        <v>3</v>
      </c>
      <c r="X4645">
        <v>0</v>
      </c>
      <c r="Y4645">
        <v>0</v>
      </c>
      <c r="Z4645">
        <v>1</v>
      </c>
    </row>
    <row r="4646" spans="1:26" x14ac:dyDescent="0.2">
      <c r="A4646" t="s">
        <v>4764</v>
      </c>
      <c r="B4646" t="s">
        <v>83</v>
      </c>
      <c r="C4646">
        <v>2021</v>
      </c>
      <c r="D4646" t="s">
        <v>45</v>
      </c>
      <c r="E4646" t="s">
        <v>85</v>
      </c>
      <c r="F4646" t="s">
        <v>26</v>
      </c>
      <c r="G4646">
        <v>39572</v>
      </c>
      <c r="H4646">
        <v>31657.600000000002</v>
      </c>
      <c r="I4646" s="13">
        <v>1</v>
      </c>
      <c r="J4646" t="s">
        <v>6208</v>
      </c>
      <c r="K4646">
        <v>2</v>
      </c>
      <c r="L4646">
        <v>5</v>
      </c>
      <c r="M4646" t="s">
        <v>1</v>
      </c>
      <c r="N4646" s="2">
        <v>0.5</v>
      </c>
      <c r="O4646" s="2">
        <v>0.5</v>
      </c>
      <c r="P4646">
        <v>13</v>
      </c>
      <c r="Q4646">
        <v>9</v>
      </c>
      <c r="R4646">
        <v>3</v>
      </c>
      <c r="S4646">
        <v>5</v>
      </c>
      <c r="T4646">
        <v>9</v>
      </c>
      <c r="U4646">
        <v>13</v>
      </c>
      <c r="V4646">
        <v>4</v>
      </c>
      <c r="W4646">
        <v>3</v>
      </c>
      <c r="X4646">
        <v>0</v>
      </c>
      <c r="Y4646">
        <v>0</v>
      </c>
      <c r="Z4646">
        <v>0</v>
      </c>
    </row>
    <row r="4647" spans="1:26" x14ac:dyDescent="0.2">
      <c r="A4647" t="s">
        <v>4765</v>
      </c>
      <c r="B4647" t="s">
        <v>100</v>
      </c>
      <c r="C4647">
        <v>2021</v>
      </c>
      <c r="D4647" t="s">
        <v>79</v>
      </c>
      <c r="E4647" t="s">
        <v>64</v>
      </c>
      <c r="F4647" t="s">
        <v>20</v>
      </c>
      <c r="G4647">
        <v>25486</v>
      </c>
      <c r="H4647">
        <v>20388.800000000003</v>
      </c>
      <c r="I4647" s="13">
        <v>0.42857142857142855</v>
      </c>
      <c r="J4647" t="s">
        <v>6207</v>
      </c>
      <c r="K4647">
        <v>1</v>
      </c>
      <c r="L4647">
        <v>1</v>
      </c>
      <c r="M4647" t="s">
        <v>58</v>
      </c>
      <c r="N4647" s="2">
        <v>0.75</v>
      </c>
      <c r="O4647" s="2">
        <v>0.25</v>
      </c>
      <c r="P4647">
        <v>9</v>
      </c>
      <c r="Q4647">
        <v>15</v>
      </c>
      <c r="R4647">
        <v>3</v>
      </c>
      <c r="S4647">
        <v>7</v>
      </c>
      <c r="T4647">
        <v>13</v>
      </c>
      <c r="U4647">
        <v>9</v>
      </c>
      <c r="V4647">
        <v>3</v>
      </c>
      <c r="W4647">
        <v>4</v>
      </c>
      <c r="X4647">
        <v>0</v>
      </c>
      <c r="Y4647">
        <v>0</v>
      </c>
      <c r="Z4647">
        <v>0</v>
      </c>
    </row>
    <row r="4648" spans="1:26" x14ac:dyDescent="0.2">
      <c r="A4648" t="s">
        <v>4766</v>
      </c>
      <c r="B4648" t="s">
        <v>60</v>
      </c>
      <c r="C4648">
        <v>2021</v>
      </c>
      <c r="D4648" t="s">
        <v>90</v>
      </c>
      <c r="E4648" t="s">
        <v>40</v>
      </c>
      <c r="F4648" t="s">
        <v>91</v>
      </c>
      <c r="G4648">
        <v>31876</v>
      </c>
      <c r="H4648">
        <v>25500.800000000003</v>
      </c>
      <c r="I4648" s="13">
        <v>0.6</v>
      </c>
      <c r="J4648" t="s">
        <v>6208</v>
      </c>
      <c r="K4648">
        <v>1</v>
      </c>
      <c r="L4648">
        <v>4</v>
      </c>
      <c r="M4648" t="s">
        <v>1</v>
      </c>
      <c r="N4648" s="2">
        <v>0.48</v>
      </c>
      <c r="O4648" s="2">
        <v>0.52</v>
      </c>
      <c r="P4648">
        <v>5</v>
      </c>
      <c r="Q4648">
        <v>11</v>
      </c>
      <c r="R4648">
        <v>7</v>
      </c>
      <c r="S4648">
        <v>6</v>
      </c>
      <c r="T4648">
        <v>10</v>
      </c>
      <c r="U4648">
        <v>6</v>
      </c>
      <c r="V4648">
        <v>2</v>
      </c>
      <c r="W4648">
        <v>3</v>
      </c>
      <c r="X4648">
        <v>0</v>
      </c>
      <c r="Y4648">
        <v>0</v>
      </c>
      <c r="Z4648">
        <v>1</v>
      </c>
    </row>
    <row r="4649" spans="1:26" x14ac:dyDescent="0.2">
      <c r="A4649" t="s">
        <v>4767</v>
      </c>
      <c r="B4649" t="s">
        <v>81</v>
      </c>
      <c r="C4649">
        <v>2021</v>
      </c>
      <c r="D4649" t="s">
        <v>23</v>
      </c>
      <c r="E4649" t="s">
        <v>51</v>
      </c>
      <c r="F4649" t="s">
        <v>20</v>
      </c>
      <c r="G4649">
        <v>62500</v>
      </c>
      <c r="H4649">
        <v>50000</v>
      </c>
      <c r="I4649" s="13">
        <v>1</v>
      </c>
      <c r="J4649" t="s">
        <v>6207</v>
      </c>
      <c r="K4649">
        <v>1</v>
      </c>
      <c r="L4649">
        <v>0</v>
      </c>
      <c r="M4649" t="s">
        <v>0</v>
      </c>
      <c r="N4649" s="2">
        <v>0.38</v>
      </c>
      <c r="O4649" s="2">
        <v>0.62</v>
      </c>
      <c r="P4649">
        <v>3</v>
      </c>
      <c r="Q4649">
        <v>12</v>
      </c>
      <c r="R4649">
        <v>2</v>
      </c>
      <c r="S4649">
        <v>4</v>
      </c>
      <c r="T4649">
        <v>11</v>
      </c>
      <c r="U4649">
        <v>4</v>
      </c>
      <c r="V4649">
        <v>2</v>
      </c>
      <c r="W4649">
        <v>1</v>
      </c>
      <c r="X4649">
        <v>0</v>
      </c>
      <c r="Y4649">
        <v>0</v>
      </c>
      <c r="Z4649">
        <v>0</v>
      </c>
    </row>
    <row r="4650" spans="1:26" x14ac:dyDescent="0.2">
      <c r="A4650" t="s">
        <v>4768</v>
      </c>
      <c r="B4650" t="s">
        <v>84</v>
      </c>
      <c r="C4650">
        <v>2021</v>
      </c>
      <c r="D4650" t="s">
        <v>101</v>
      </c>
      <c r="E4650" t="s">
        <v>80</v>
      </c>
      <c r="F4650" t="s">
        <v>101</v>
      </c>
      <c r="G4650">
        <v>17250</v>
      </c>
      <c r="H4650">
        <v>13800</v>
      </c>
      <c r="I4650" s="13">
        <v>1</v>
      </c>
      <c r="J4650" t="s">
        <v>6208</v>
      </c>
      <c r="K4650">
        <v>1</v>
      </c>
      <c r="L4650">
        <v>2</v>
      </c>
      <c r="M4650" t="s">
        <v>1</v>
      </c>
      <c r="N4650" s="2">
        <v>0.54</v>
      </c>
      <c r="O4650" s="2">
        <v>0.46</v>
      </c>
      <c r="P4650">
        <v>8</v>
      </c>
      <c r="Q4650">
        <v>16</v>
      </c>
      <c r="R4650">
        <v>9</v>
      </c>
      <c r="S4650">
        <v>2</v>
      </c>
      <c r="T4650">
        <v>13</v>
      </c>
      <c r="U4650">
        <v>7</v>
      </c>
      <c r="V4650">
        <v>1</v>
      </c>
      <c r="W4650">
        <v>1</v>
      </c>
      <c r="X4650">
        <v>0</v>
      </c>
      <c r="Y4650">
        <v>0</v>
      </c>
      <c r="Z4650">
        <v>0</v>
      </c>
    </row>
    <row r="4651" spans="1:26" x14ac:dyDescent="0.2">
      <c r="A4651" t="s">
        <v>4769</v>
      </c>
      <c r="B4651" t="s">
        <v>61</v>
      </c>
      <c r="C4651">
        <v>2021</v>
      </c>
      <c r="D4651" t="s">
        <v>48</v>
      </c>
      <c r="E4651" t="s">
        <v>26</v>
      </c>
      <c r="F4651" t="s">
        <v>49</v>
      </c>
      <c r="G4651">
        <v>74197</v>
      </c>
      <c r="H4651">
        <v>59357.600000000006</v>
      </c>
      <c r="I4651" s="13">
        <v>0.7142857142857143</v>
      </c>
      <c r="J4651" t="s">
        <v>6207</v>
      </c>
      <c r="K4651">
        <v>0</v>
      </c>
      <c r="L4651">
        <v>5</v>
      </c>
      <c r="M4651" t="s">
        <v>1</v>
      </c>
      <c r="N4651" s="2">
        <v>0.37</v>
      </c>
      <c r="O4651" s="2">
        <v>0.63</v>
      </c>
      <c r="P4651">
        <v>9</v>
      </c>
      <c r="Q4651">
        <v>17</v>
      </c>
      <c r="R4651">
        <v>6</v>
      </c>
      <c r="S4651">
        <v>3</v>
      </c>
      <c r="T4651">
        <v>10</v>
      </c>
      <c r="U4651">
        <v>8</v>
      </c>
      <c r="V4651">
        <v>6</v>
      </c>
      <c r="W4651">
        <v>0</v>
      </c>
      <c r="X4651">
        <v>1</v>
      </c>
      <c r="Y4651">
        <v>0</v>
      </c>
      <c r="Z4651">
        <v>0</v>
      </c>
    </row>
    <row r="4652" spans="1:26" x14ac:dyDescent="0.2">
      <c r="A4652" t="s">
        <v>4770</v>
      </c>
      <c r="B4652" t="s">
        <v>66</v>
      </c>
      <c r="C4652">
        <v>2021</v>
      </c>
      <c r="D4652" t="s">
        <v>80</v>
      </c>
      <c r="E4652" t="s">
        <v>46</v>
      </c>
      <c r="F4652" t="s">
        <v>80</v>
      </c>
      <c r="G4652">
        <v>32261</v>
      </c>
      <c r="H4652">
        <v>25808.800000000003</v>
      </c>
      <c r="I4652" s="13">
        <v>0</v>
      </c>
      <c r="J4652" t="s">
        <v>6207</v>
      </c>
      <c r="K4652">
        <v>0</v>
      </c>
      <c r="L4652">
        <v>2</v>
      </c>
      <c r="M4652" t="s">
        <v>1</v>
      </c>
      <c r="N4652" s="2">
        <v>0.64</v>
      </c>
      <c r="O4652" s="2">
        <v>0.36</v>
      </c>
      <c r="P4652">
        <v>10</v>
      </c>
      <c r="Q4652">
        <v>10</v>
      </c>
      <c r="R4652">
        <v>7</v>
      </c>
      <c r="S4652">
        <v>6</v>
      </c>
      <c r="T4652">
        <v>8</v>
      </c>
      <c r="U4652">
        <v>11</v>
      </c>
      <c r="V4652">
        <v>2</v>
      </c>
      <c r="W4652">
        <v>0</v>
      </c>
      <c r="X4652">
        <v>0</v>
      </c>
      <c r="Y4652">
        <v>0</v>
      </c>
      <c r="Z4652">
        <v>0</v>
      </c>
    </row>
    <row r="4653" spans="1:26" x14ac:dyDescent="0.2">
      <c r="A4653" t="s">
        <v>4771</v>
      </c>
      <c r="B4653" t="s">
        <v>97</v>
      </c>
      <c r="C4653">
        <v>2021</v>
      </c>
      <c r="D4653" t="s">
        <v>85</v>
      </c>
      <c r="E4653" t="s">
        <v>73</v>
      </c>
      <c r="F4653" t="s">
        <v>85</v>
      </c>
      <c r="G4653">
        <v>22220</v>
      </c>
      <c r="H4653">
        <v>17776</v>
      </c>
      <c r="I4653" s="13">
        <v>0.75</v>
      </c>
      <c r="J4653" t="s">
        <v>6207</v>
      </c>
      <c r="K4653">
        <v>0</v>
      </c>
      <c r="L4653">
        <v>1</v>
      </c>
      <c r="M4653" t="s">
        <v>1</v>
      </c>
      <c r="N4653" s="2">
        <v>0.39</v>
      </c>
      <c r="O4653" s="2">
        <v>0.61</v>
      </c>
      <c r="P4653">
        <v>4</v>
      </c>
      <c r="Q4653">
        <v>17</v>
      </c>
      <c r="R4653">
        <v>5</v>
      </c>
      <c r="S4653">
        <v>8</v>
      </c>
      <c r="T4653">
        <v>16</v>
      </c>
      <c r="U4653">
        <v>6</v>
      </c>
      <c r="V4653">
        <v>2</v>
      </c>
      <c r="W4653">
        <v>2</v>
      </c>
      <c r="X4653">
        <v>0</v>
      </c>
      <c r="Y4653">
        <v>0</v>
      </c>
      <c r="Z4653">
        <v>0</v>
      </c>
    </row>
    <row r="4654" spans="1:26" x14ac:dyDescent="0.2">
      <c r="A4654" t="s">
        <v>4772</v>
      </c>
      <c r="B4654" t="s">
        <v>81</v>
      </c>
      <c r="C4654">
        <v>2021</v>
      </c>
      <c r="D4654" t="s">
        <v>64</v>
      </c>
      <c r="E4654" t="s">
        <v>18</v>
      </c>
      <c r="F4654" t="s">
        <v>64</v>
      </c>
      <c r="G4654">
        <v>52264</v>
      </c>
      <c r="H4654">
        <v>41811.200000000004</v>
      </c>
      <c r="I4654" s="13">
        <v>0.6</v>
      </c>
      <c r="J4654" t="s">
        <v>6207</v>
      </c>
      <c r="K4654">
        <v>0</v>
      </c>
      <c r="L4654">
        <v>3</v>
      </c>
      <c r="M4654" t="s">
        <v>1</v>
      </c>
      <c r="N4654" s="2">
        <v>0.21</v>
      </c>
      <c r="O4654" s="2">
        <v>0.79</v>
      </c>
      <c r="P4654">
        <v>16</v>
      </c>
      <c r="Q4654">
        <v>13</v>
      </c>
      <c r="R4654">
        <v>0</v>
      </c>
      <c r="S4654">
        <v>2</v>
      </c>
      <c r="T4654">
        <v>14</v>
      </c>
      <c r="U4654">
        <v>12</v>
      </c>
      <c r="V4654">
        <v>3</v>
      </c>
      <c r="W4654">
        <v>2</v>
      </c>
      <c r="X4654">
        <v>0</v>
      </c>
      <c r="Y4654">
        <v>0</v>
      </c>
      <c r="Z4654">
        <v>1</v>
      </c>
    </row>
    <row r="4655" spans="1:26" x14ac:dyDescent="0.2">
      <c r="A4655" t="s">
        <v>4773</v>
      </c>
      <c r="B4655" t="s">
        <v>37</v>
      </c>
      <c r="C4655">
        <v>2021</v>
      </c>
      <c r="D4655" t="s">
        <v>40</v>
      </c>
      <c r="E4655" t="s">
        <v>79</v>
      </c>
      <c r="F4655" t="s">
        <v>49</v>
      </c>
      <c r="G4655">
        <v>53400</v>
      </c>
      <c r="H4655">
        <v>42720</v>
      </c>
      <c r="I4655" s="13">
        <v>0.83333333333333337</v>
      </c>
      <c r="J4655" t="s">
        <v>6206</v>
      </c>
      <c r="K4655">
        <v>0</v>
      </c>
      <c r="L4655">
        <v>2</v>
      </c>
      <c r="M4655" t="s">
        <v>1</v>
      </c>
      <c r="N4655" s="2">
        <v>0.68</v>
      </c>
      <c r="O4655" s="2">
        <v>0.32</v>
      </c>
      <c r="P4655">
        <v>16</v>
      </c>
      <c r="Q4655">
        <v>13</v>
      </c>
      <c r="R4655">
        <v>7</v>
      </c>
      <c r="S4655">
        <v>1</v>
      </c>
      <c r="T4655">
        <v>11</v>
      </c>
      <c r="U4655">
        <v>11</v>
      </c>
      <c r="V4655">
        <v>2</v>
      </c>
      <c r="W4655">
        <v>3</v>
      </c>
      <c r="X4655">
        <v>1</v>
      </c>
      <c r="Y4655">
        <v>0</v>
      </c>
      <c r="Z4655">
        <v>0</v>
      </c>
    </row>
    <row r="4656" spans="1:26" x14ac:dyDescent="0.2">
      <c r="A4656" t="s">
        <v>4774</v>
      </c>
      <c r="B4656" t="s">
        <v>41</v>
      </c>
      <c r="C4656">
        <v>2021</v>
      </c>
      <c r="D4656" t="s">
        <v>26</v>
      </c>
      <c r="E4656" t="s">
        <v>90</v>
      </c>
      <c r="F4656" t="s">
        <v>26</v>
      </c>
      <c r="G4656">
        <v>61276</v>
      </c>
      <c r="H4656">
        <v>49020.800000000003</v>
      </c>
      <c r="I4656" s="13">
        <v>0.75</v>
      </c>
      <c r="J4656" t="s">
        <v>6207</v>
      </c>
      <c r="K4656">
        <v>2</v>
      </c>
      <c r="L4656">
        <v>2</v>
      </c>
      <c r="M4656" t="s">
        <v>58</v>
      </c>
      <c r="N4656" s="2">
        <v>0.57999999999999996</v>
      </c>
      <c r="O4656" s="2">
        <v>0.42</v>
      </c>
      <c r="P4656">
        <v>8</v>
      </c>
      <c r="Q4656">
        <v>8</v>
      </c>
      <c r="R4656">
        <v>5</v>
      </c>
      <c r="S4656">
        <v>3</v>
      </c>
      <c r="T4656">
        <v>8</v>
      </c>
      <c r="U4656">
        <v>5</v>
      </c>
      <c r="V4656">
        <v>2</v>
      </c>
      <c r="W4656">
        <v>2</v>
      </c>
      <c r="X4656">
        <v>0</v>
      </c>
      <c r="Y4656">
        <v>0</v>
      </c>
      <c r="Z4656">
        <v>0</v>
      </c>
    </row>
    <row r="4657" spans="1:26" x14ac:dyDescent="0.2">
      <c r="A4657" t="s">
        <v>4775</v>
      </c>
      <c r="B4657" t="s">
        <v>68</v>
      </c>
      <c r="C4657">
        <v>2021</v>
      </c>
      <c r="D4657" t="s">
        <v>28</v>
      </c>
      <c r="E4657" t="s">
        <v>101</v>
      </c>
      <c r="F4657" t="s">
        <v>28</v>
      </c>
      <c r="G4657">
        <v>21944</v>
      </c>
      <c r="H4657">
        <v>17555.2</v>
      </c>
      <c r="I4657" s="13">
        <v>0.5</v>
      </c>
      <c r="J4657" t="s">
        <v>6207</v>
      </c>
      <c r="K4657">
        <v>3</v>
      </c>
      <c r="L4657">
        <v>1</v>
      </c>
      <c r="M4657" t="s">
        <v>0</v>
      </c>
      <c r="N4657" s="2">
        <v>0.41</v>
      </c>
      <c r="O4657" s="2">
        <v>0.59</v>
      </c>
      <c r="P4657">
        <v>12</v>
      </c>
      <c r="Q4657">
        <v>10</v>
      </c>
      <c r="R4657">
        <v>4</v>
      </c>
      <c r="S4657">
        <v>2</v>
      </c>
      <c r="T4657">
        <v>7</v>
      </c>
      <c r="U4657">
        <v>10</v>
      </c>
      <c r="V4657">
        <v>1</v>
      </c>
      <c r="W4657">
        <v>1</v>
      </c>
      <c r="X4657">
        <v>0</v>
      </c>
      <c r="Y4657">
        <v>0</v>
      </c>
      <c r="Z4657">
        <v>0</v>
      </c>
    </row>
    <row r="4658" spans="1:26" x14ac:dyDescent="0.2">
      <c r="A4658" t="s">
        <v>4776</v>
      </c>
      <c r="B4658" t="s">
        <v>59</v>
      </c>
      <c r="C4658">
        <v>2021</v>
      </c>
      <c r="D4658" t="s">
        <v>51</v>
      </c>
      <c r="E4658" t="s">
        <v>48</v>
      </c>
      <c r="F4658" t="s">
        <v>20</v>
      </c>
      <c r="G4658">
        <v>36284</v>
      </c>
      <c r="H4658">
        <v>29027.200000000001</v>
      </c>
      <c r="I4658" s="13">
        <v>0.4</v>
      </c>
      <c r="J4658" t="s">
        <v>6206</v>
      </c>
      <c r="K4658">
        <v>0</v>
      </c>
      <c r="L4658">
        <v>3</v>
      </c>
      <c r="M4658" t="s">
        <v>1</v>
      </c>
      <c r="N4658" s="2">
        <v>0.57999999999999996</v>
      </c>
      <c r="O4658" s="2">
        <v>0.42</v>
      </c>
      <c r="P4658">
        <v>14</v>
      </c>
      <c r="Q4658">
        <v>15</v>
      </c>
      <c r="R4658">
        <v>10</v>
      </c>
      <c r="S4658">
        <v>1</v>
      </c>
      <c r="T4658">
        <v>12</v>
      </c>
      <c r="U4658">
        <v>14</v>
      </c>
      <c r="V4658">
        <v>2</v>
      </c>
      <c r="W4658">
        <v>3</v>
      </c>
      <c r="X4658">
        <v>0</v>
      </c>
      <c r="Y4658">
        <v>0</v>
      </c>
      <c r="Z4658">
        <v>0</v>
      </c>
    </row>
    <row r="4659" spans="1:26" x14ac:dyDescent="0.2">
      <c r="A4659" t="s">
        <v>4777</v>
      </c>
      <c r="B4659" t="s">
        <v>61</v>
      </c>
      <c r="C4659">
        <v>2021</v>
      </c>
      <c r="D4659" t="s">
        <v>69</v>
      </c>
      <c r="E4659" t="s">
        <v>33</v>
      </c>
      <c r="F4659" t="s">
        <v>69</v>
      </c>
      <c r="G4659">
        <v>27359</v>
      </c>
      <c r="H4659">
        <v>21887.200000000001</v>
      </c>
      <c r="I4659" s="13">
        <v>0.2</v>
      </c>
      <c r="J4659" t="s">
        <v>6207</v>
      </c>
      <c r="K4659">
        <v>1</v>
      </c>
      <c r="L4659">
        <v>2</v>
      </c>
      <c r="M4659" t="s">
        <v>1</v>
      </c>
      <c r="N4659" s="2">
        <v>0.48</v>
      </c>
      <c r="O4659" s="2">
        <v>0.52</v>
      </c>
      <c r="P4659">
        <v>23</v>
      </c>
      <c r="Q4659">
        <v>13</v>
      </c>
      <c r="R4659">
        <v>5</v>
      </c>
      <c r="S4659">
        <v>0</v>
      </c>
      <c r="T4659">
        <v>14</v>
      </c>
      <c r="U4659">
        <v>23</v>
      </c>
      <c r="V4659">
        <v>1</v>
      </c>
      <c r="W4659">
        <v>4</v>
      </c>
      <c r="X4659">
        <v>0</v>
      </c>
      <c r="Y4659">
        <v>0</v>
      </c>
      <c r="Z4659">
        <v>0</v>
      </c>
    </row>
    <row r="4660" spans="1:26" x14ac:dyDescent="0.2">
      <c r="A4660" t="s">
        <v>4778</v>
      </c>
      <c r="B4660" t="s">
        <v>88</v>
      </c>
      <c r="C4660">
        <v>2021</v>
      </c>
      <c r="D4660" t="s">
        <v>42</v>
      </c>
      <c r="E4660" t="s">
        <v>23</v>
      </c>
      <c r="F4660" t="s">
        <v>38</v>
      </c>
      <c r="G4660">
        <v>42918</v>
      </c>
      <c r="H4660">
        <v>34334.400000000001</v>
      </c>
      <c r="I4660" s="13">
        <v>0.25</v>
      </c>
      <c r="J4660" t="s">
        <v>6207</v>
      </c>
      <c r="K4660">
        <v>1</v>
      </c>
      <c r="L4660">
        <v>4</v>
      </c>
      <c r="M4660" t="s">
        <v>1</v>
      </c>
      <c r="N4660" s="2">
        <v>0.42</v>
      </c>
      <c r="O4660" s="2">
        <v>0.57999999999999996</v>
      </c>
      <c r="P4660">
        <v>13</v>
      </c>
      <c r="Q4660">
        <v>9</v>
      </c>
      <c r="R4660">
        <v>3</v>
      </c>
      <c r="S4660">
        <v>6</v>
      </c>
      <c r="T4660">
        <v>7</v>
      </c>
      <c r="U4660">
        <v>13</v>
      </c>
      <c r="V4660">
        <v>1</v>
      </c>
      <c r="W4660">
        <v>2</v>
      </c>
      <c r="X4660">
        <v>1</v>
      </c>
      <c r="Y4660">
        <v>0</v>
      </c>
      <c r="Z4660">
        <v>0</v>
      </c>
    </row>
    <row r="4661" spans="1:26" x14ac:dyDescent="0.2">
      <c r="A4661" t="s">
        <v>4779</v>
      </c>
      <c r="B4661" t="s">
        <v>32</v>
      </c>
      <c r="C4661">
        <v>2021</v>
      </c>
      <c r="D4661" t="s">
        <v>22</v>
      </c>
      <c r="E4661" t="s">
        <v>45</v>
      </c>
      <c r="F4661" t="s">
        <v>24</v>
      </c>
      <c r="G4661">
        <v>31750</v>
      </c>
      <c r="H4661">
        <v>25400</v>
      </c>
      <c r="I4661" s="13">
        <v>1</v>
      </c>
      <c r="J4661" t="s">
        <v>6207</v>
      </c>
      <c r="K4661">
        <v>2</v>
      </c>
      <c r="L4661">
        <v>1</v>
      </c>
      <c r="M4661" t="s">
        <v>0</v>
      </c>
      <c r="N4661" s="2">
        <v>0.62</v>
      </c>
      <c r="O4661" s="2">
        <v>0.38</v>
      </c>
      <c r="P4661">
        <v>8</v>
      </c>
      <c r="Q4661">
        <v>10</v>
      </c>
      <c r="R4661">
        <v>4</v>
      </c>
      <c r="S4661">
        <v>3</v>
      </c>
      <c r="T4661">
        <v>10</v>
      </c>
      <c r="U4661">
        <v>8</v>
      </c>
      <c r="V4661">
        <v>1</v>
      </c>
      <c r="W4661">
        <v>1</v>
      </c>
      <c r="X4661">
        <v>0</v>
      </c>
      <c r="Y4661">
        <v>0</v>
      </c>
      <c r="Z4661">
        <v>0</v>
      </c>
    </row>
    <row r="4662" spans="1:26" x14ac:dyDescent="0.2">
      <c r="A4662" t="s">
        <v>4780</v>
      </c>
      <c r="B4662" t="s">
        <v>92</v>
      </c>
      <c r="C4662">
        <v>2021</v>
      </c>
      <c r="D4662" t="s">
        <v>73</v>
      </c>
      <c r="E4662" t="s">
        <v>42</v>
      </c>
      <c r="F4662" t="s">
        <v>73</v>
      </c>
      <c r="G4662">
        <v>32384</v>
      </c>
      <c r="H4662">
        <v>25907.200000000001</v>
      </c>
      <c r="I4662" s="13">
        <v>0.75</v>
      </c>
      <c r="J4662" t="s">
        <v>6207</v>
      </c>
      <c r="K4662">
        <v>1</v>
      </c>
      <c r="L4662">
        <v>0</v>
      </c>
      <c r="M4662" t="s">
        <v>0</v>
      </c>
      <c r="N4662" s="2">
        <v>0.56000000000000005</v>
      </c>
      <c r="O4662" s="2">
        <v>0.44</v>
      </c>
      <c r="P4662">
        <v>13</v>
      </c>
      <c r="Q4662">
        <v>12</v>
      </c>
      <c r="R4662">
        <v>10</v>
      </c>
      <c r="S4662">
        <v>8</v>
      </c>
      <c r="T4662">
        <v>12</v>
      </c>
      <c r="U4662">
        <v>12</v>
      </c>
      <c r="V4662">
        <v>2</v>
      </c>
      <c r="W4662">
        <v>2</v>
      </c>
      <c r="X4662">
        <v>0</v>
      </c>
      <c r="Y4662">
        <v>0</v>
      </c>
      <c r="Z4662">
        <v>0</v>
      </c>
    </row>
    <row r="4663" spans="1:26" x14ac:dyDescent="0.2">
      <c r="A4663" t="s">
        <v>4781</v>
      </c>
      <c r="B4663" t="s">
        <v>66</v>
      </c>
      <c r="C4663">
        <v>2021</v>
      </c>
      <c r="D4663" t="s">
        <v>48</v>
      </c>
      <c r="E4663" t="s">
        <v>40</v>
      </c>
      <c r="F4663" t="s">
        <v>49</v>
      </c>
      <c r="G4663">
        <v>74197</v>
      </c>
      <c r="H4663">
        <v>59357.600000000006</v>
      </c>
      <c r="I4663" s="13">
        <v>1</v>
      </c>
      <c r="J4663" t="s">
        <v>6207</v>
      </c>
      <c r="K4663">
        <v>0</v>
      </c>
      <c r="L4663">
        <v>2</v>
      </c>
      <c r="M4663" t="s">
        <v>1</v>
      </c>
      <c r="N4663" s="2">
        <v>0.33</v>
      </c>
      <c r="O4663" s="2">
        <v>0.67</v>
      </c>
      <c r="P4663">
        <v>14</v>
      </c>
      <c r="Q4663">
        <v>14</v>
      </c>
      <c r="R4663">
        <v>1</v>
      </c>
      <c r="S4663">
        <v>9</v>
      </c>
      <c r="T4663">
        <v>9</v>
      </c>
      <c r="U4663">
        <v>12</v>
      </c>
      <c r="V4663">
        <v>1</v>
      </c>
      <c r="W4663">
        <v>2</v>
      </c>
      <c r="X4663">
        <v>0</v>
      </c>
      <c r="Y4663">
        <v>0</v>
      </c>
      <c r="Z4663">
        <v>0</v>
      </c>
    </row>
    <row r="4664" spans="1:26" x14ac:dyDescent="0.2">
      <c r="A4664" t="s">
        <v>4782</v>
      </c>
      <c r="B4664" t="s">
        <v>83</v>
      </c>
      <c r="C4664">
        <v>2021</v>
      </c>
      <c r="D4664" t="s">
        <v>79</v>
      </c>
      <c r="E4664" t="s">
        <v>22</v>
      </c>
      <c r="F4664" t="s">
        <v>20</v>
      </c>
      <c r="G4664">
        <v>25486</v>
      </c>
      <c r="H4664">
        <v>20388.800000000003</v>
      </c>
      <c r="I4664" s="13">
        <v>0.66666666666666663</v>
      </c>
      <c r="J4664" t="s">
        <v>6208</v>
      </c>
      <c r="K4664">
        <v>2</v>
      </c>
      <c r="L4664">
        <v>0</v>
      </c>
      <c r="M4664" t="s">
        <v>0</v>
      </c>
      <c r="N4664" s="2">
        <v>0.6</v>
      </c>
      <c r="O4664" s="2">
        <v>0.4</v>
      </c>
      <c r="P4664">
        <v>15</v>
      </c>
      <c r="Q4664">
        <v>16</v>
      </c>
      <c r="R4664">
        <v>4</v>
      </c>
      <c r="S4664">
        <v>6</v>
      </c>
      <c r="T4664">
        <v>14</v>
      </c>
      <c r="U4664">
        <v>13</v>
      </c>
      <c r="V4664">
        <v>2</v>
      </c>
      <c r="W4664">
        <v>1</v>
      </c>
      <c r="X4664">
        <v>0</v>
      </c>
      <c r="Y4664">
        <v>0</v>
      </c>
      <c r="Z4664">
        <v>0</v>
      </c>
    </row>
    <row r="4665" spans="1:26" x14ac:dyDescent="0.2">
      <c r="A4665" t="s">
        <v>4783</v>
      </c>
      <c r="B4665" t="s">
        <v>37</v>
      </c>
      <c r="C4665">
        <v>2021</v>
      </c>
      <c r="D4665" t="s">
        <v>18</v>
      </c>
      <c r="E4665" t="s">
        <v>28</v>
      </c>
      <c r="F4665" t="s">
        <v>20</v>
      </c>
      <c r="G4665">
        <v>40341</v>
      </c>
      <c r="H4665">
        <v>32272.800000000003</v>
      </c>
      <c r="I4665" s="13">
        <v>0.2</v>
      </c>
      <c r="J4665" t="s">
        <v>6206</v>
      </c>
      <c r="K4665">
        <v>1</v>
      </c>
      <c r="L4665">
        <v>1</v>
      </c>
      <c r="M4665" t="s">
        <v>58</v>
      </c>
      <c r="N4665" s="2">
        <v>0.7</v>
      </c>
      <c r="O4665" s="2">
        <v>0.3</v>
      </c>
      <c r="P4665">
        <v>13</v>
      </c>
      <c r="Q4665">
        <v>7</v>
      </c>
      <c r="R4665">
        <v>14</v>
      </c>
      <c r="S4665">
        <v>2</v>
      </c>
      <c r="T4665">
        <v>6</v>
      </c>
      <c r="U4665">
        <v>9</v>
      </c>
      <c r="V4665">
        <v>1</v>
      </c>
      <c r="W4665">
        <v>4</v>
      </c>
      <c r="X4665">
        <v>0</v>
      </c>
      <c r="Y4665">
        <v>0</v>
      </c>
      <c r="Z4665">
        <v>0</v>
      </c>
    </row>
    <row r="4666" spans="1:26" x14ac:dyDescent="0.2">
      <c r="A4666" t="s">
        <v>4784</v>
      </c>
      <c r="B4666" t="s">
        <v>102</v>
      </c>
      <c r="C4666">
        <v>2021</v>
      </c>
      <c r="D4666" t="s">
        <v>101</v>
      </c>
      <c r="E4666" t="s">
        <v>69</v>
      </c>
      <c r="F4666" t="s">
        <v>101</v>
      </c>
      <c r="G4666">
        <v>17250</v>
      </c>
      <c r="H4666">
        <v>13800</v>
      </c>
      <c r="I4666" s="13">
        <v>0.4</v>
      </c>
      <c r="J4666" t="s">
        <v>6209</v>
      </c>
      <c r="K4666">
        <v>1</v>
      </c>
      <c r="L4666">
        <v>2</v>
      </c>
      <c r="M4666" t="s">
        <v>1</v>
      </c>
      <c r="N4666" s="2">
        <v>0.64</v>
      </c>
      <c r="O4666" s="2">
        <v>0.36</v>
      </c>
      <c r="P4666">
        <v>16</v>
      </c>
      <c r="Q4666">
        <v>13</v>
      </c>
      <c r="R4666">
        <v>6</v>
      </c>
      <c r="S4666">
        <v>2</v>
      </c>
      <c r="T4666">
        <v>12</v>
      </c>
      <c r="U4666">
        <v>13</v>
      </c>
      <c r="V4666">
        <v>2</v>
      </c>
      <c r="W4666">
        <v>3</v>
      </c>
      <c r="X4666">
        <v>0</v>
      </c>
      <c r="Y4666">
        <v>0</v>
      </c>
      <c r="Z4666">
        <v>1</v>
      </c>
    </row>
    <row r="4667" spans="1:26" x14ac:dyDescent="0.2">
      <c r="A4667" t="s">
        <v>4785</v>
      </c>
      <c r="B4667" t="s">
        <v>93</v>
      </c>
      <c r="C4667">
        <v>2021</v>
      </c>
      <c r="D4667" t="s">
        <v>90</v>
      </c>
      <c r="E4667" t="s">
        <v>64</v>
      </c>
      <c r="F4667" t="s">
        <v>91</v>
      </c>
      <c r="G4667">
        <v>31876</v>
      </c>
      <c r="H4667">
        <v>25500.800000000003</v>
      </c>
      <c r="I4667" s="13">
        <v>0.5</v>
      </c>
      <c r="J4667" t="s">
        <v>6206</v>
      </c>
      <c r="K4667">
        <v>1</v>
      </c>
      <c r="L4667">
        <v>1</v>
      </c>
      <c r="M4667" t="s">
        <v>58</v>
      </c>
      <c r="N4667" s="2">
        <v>0.66</v>
      </c>
      <c r="O4667" s="2">
        <v>0.34</v>
      </c>
      <c r="P4667">
        <v>11</v>
      </c>
      <c r="Q4667">
        <v>17</v>
      </c>
      <c r="R4667">
        <v>2</v>
      </c>
      <c r="S4667">
        <v>5</v>
      </c>
      <c r="T4667">
        <v>16</v>
      </c>
      <c r="U4667">
        <v>10</v>
      </c>
      <c r="V4667">
        <v>3</v>
      </c>
      <c r="W4667">
        <v>4</v>
      </c>
      <c r="X4667">
        <v>1</v>
      </c>
      <c r="Y4667">
        <v>0</v>
      </c>
      <c r="Z4667">
        <v>1</v>
      </c>
    </row>
    <row r="4668" spans="1:26" x14ac:dyDescent="0.2">
      <c r="A4668" t="s">
        <v>4786</v>
      </c>
      <c r="B4668" t="s">
        <v>100</v>
      </c>
      <c r="C4668">
        <v>2021</v>
      </c>
      <c r="D4668" t="s">
        <v>33</v>
      </c>
      <c r="E4668" t="s">
        <v>80</v>
      </c>
      <c r="F4668" t="s">
        <v>33</v>
      </c>
      <c r="G4668">
        <v>37645</v>
      </c>
      <c r="H4668">
        <v>30116</v>
      </c>
      <c r="I4668" s="13">
        <v>1</v>
      </c>
      <c r="J4668" t="s">
        <v>6207</v>
      </c>
      <c r="K4668">
        <v>1</v>
      </c>
      <c r="L4668">
        <v>1</v>
      </c>
      <c r="M4668" t="s">
        <v>58</v>
      </c>
      <c r="N4668" s="2">
        <v>0.56000000000000005</v>
      </c>
      <c r="O4668" s="2">
        <v>0.44</v>
      </c>
      <c r="P4668">
        <v>6</v>
      </c>
      <c r="Q4668">
        <v>12</v>
      </c>
      <c r="R4668">
        <v>10</v>
      </c>
      <c r="S4668">
        <v>5</v>
      </c>
      <c r="T4668">
        <v>12</v>
      </c>
      <c r="U4668">
        <v>5</v>
      </c>
      <c r="V4668">
        <v>1</v>
      </c>
      <c r="W4668">
        <v>1</v>
      </c>
      <c r="X4668">
        <v>0</v>
      </c>
      <c r="Y4668">
        <v>0</v>
      </c>
      <c r="Z4668">
        <v>0</v>
      </c>
    </row>
    <row r="4669" spans="1:26" x14ac:dyDescent="0.2">
      <c r="A4669" t="s">
        <v>4787</v>
      </c>
      <c r="B4669" t="s">
        <v>88</v>
      </c>
      <c r="C4669">
        <v>2021</v>
      </c>
      <c r="D4669" t="s">
        <v>45</v>
      </c>
      <c r="E4669" t="s">
        <v>51</v>
      </c>
      <c r="F4669" t="s">
        <v>26</v>
      </c>
      <c r="G4669">
        <v>39572</v>
      </c>
      <c r="H4669">
        <v>31657.600000000002</v>
      </c>
      <c r="I4669" s="13">
        <v>0.7142857142857143</v>
      </c>
      <c r="J4669" t="s">
        <v>6207</v>
      </c>
      <c r="K4669">
        <v>0</v>
      </c>
      <c r="L4669">
        <v>0</v>
      </c>
      <c r="M4669" t="s">
        <v>58</v>
      </c>
      <c r="N4669" s="2">
        <v>0.45</v>
      </c>
      <c r="O4669" s="2">
        <v>0.55000000000000004</v>
      </c>
      <c r="P4669">
        <v>18</v>
      </c>
      <c r="Q4669">
        <v>13</v>
      </c>
      <c r="R4669">
        <v>4</v>
      </c>
      <c r="S4669">
        <v>2</v>
      </c>
      <c r="T4669">
        <v>13</v>
      </c>
      <c r="U4669">
        <v>17</v>
      </c>
      <c r="V4669">
        <v>2</v>
      </c>
      <c r="W4669">
        <v>4</v>
      </c>
      <c r="X4669">
        <v>1</v>
      </c>
      <c r="Y4669">
        <v>0</v>
      </c>
      <c r="Z4669">
        <v>0</v>
      </c>
    </row>
    <row r="4670" spans="1:26" x14ac:dyDescent="0.2">
      <c r="A4670" t="s">
        <v>4788</v>
      </c>
      <c r="B4670" t="s">
        <v>60</v>
      </c>
      <c r="C4670">
        <v>2021</v>
      </c>
      <c r="D4670" t="s">
        <v>46</v>
      </c>
      <c r="E4670" t="s">
        <v>85</v>
      </c>
      <c r="F4670" t="s">
        <v>20</v>
      </c>
      <c r="G4670">
        <v>60704</v>
      </c>
      <c r="H4670">
        <v>48563.200000000004</v>
      </c>
      <c r="I4670" s="13">
        <v>0.875</v>
      </c>
      <c r="J4670" t="s">
        <v>6208</v>
      </c>
      <c r="K4670">
        <v>1</v>
      </c>
      <c r="L4670">
        <v>0</v>
      </c>
      <c r="M4670" t="s">
        <v>0</v>
      </c>
      <c r="N4670" s="2">
        <v>0.61</v>
      </c>
      <c r="O4670" s="2">
        <v>0.39</v>
      </c>
      <c r="P4670">
        <v>17</v>
      </c>
      <c r="Q4670">
        <v>8</v>
      </c>
      <c r="R4670">
        <v>4</v>
      </c>
      <c r="S4670">
        <v>2</v>
      </c>
      <c r="T4670">
        <v>6</v>
      </c>
      <c r="U4670">
        <v>19</v>
      </c>
      <c r="V4670">
        <v>4</v>
      </c>
      <c r="W4670">
        <v>3</v>
      </c>
      <c r="X4670">
        <v>0</v>
      </c>
      <c r="Y4670">
        <v>1</v>
      </c>
      <c r="Z4670">
        <v>1</v>
      </c>
    </row>
    <row r="4671" spans="1:26" x14ac:dyDescent="0.2">
      <c r="A4671" t="s">
        <v>4789</v>
      </c>
      <c r="B4671" t="s">
        <v>76</v>
      </c>
      <c r="C4671">
        <v>2021</v>
      </c>
      <c r="D4671" t="s">
        <v>23</v>
      </c>
      <c r="E4671" t="s">
        <v>26</v>
      </c>
      <c r="F4671" t="s">
        <v>20</v>
      </c>
      <c r="G4671">
        <v>62500</v>
      </c>
      <c r="H4671">
        <v>50000</v>
      </c>
      <c r="I4671" s="13">
        <v>0.5</v>
      </c>
      <c r="J4671" t="s">
        <v>6207</v>
      </c>
      <c r="K4671">
        <v>3</v>
      </c>
      <c r="L4671">
        <v>2</v>
      </c>
      <c r="M4671" t="s">
        <v>0</v>
      </c>
      <c r="N4671" s="2">
        <v>0.31</v>
      </c>
      <c r="O4671" s="2">
        <v>0.69</v>
      </c>
      <c r="P4671">
        <v>6</v>
      </c>
      <c r="Q4671">
        <v>9</v>
      </c>
      <c r="R4671">
        <v>3</v>
      </c>
      <c r="S4671">
        <v>2</v>
      </c>
      <c r="T4671">
        <v>11</v>
      </c>
      <c r="U4671">
        <v>6</v>
      </c>
      <c r="V4671">
        <v>1</v>
      </c>
      <c r="W4671">
        <v>1</v>
      </c>
      <c r="X4671">
        <v>0</v>
      </c>
      <c r="Y4671">
        <v>0</v>
      </c>
      <c r="Z4671">
        <v>0</v>
      </c>
    </row>
    <row r="4672" spans="1:26" x14ac:dyDescent="0.2">
      <c r="A4672" t="s">
        <v>4790</v>
      </c>
      <c r="B4672" t="s">
        <v>81</v>
      </c>
      <c r="C4672">
        <v>2021</v>
      </c>
      <c r="D4672" t="s">
        <v>80</v>
      </c>
      <c r="E4672" t="s">
        <v>18</v>
      </c>
      <c r="F4672" t="s">
        <v>80</v>
      </c>
      <c r="G4672">
        <v>32261</v>
      </c>
      <c r="H4672">
        <v>25808.800000000003</v>
      </c>
      <c r="I4672" s="13">
        <v>0.75</v>
      </c>
      <c r="J4672" t="s">
        <v>6207</v>
      </c>
      <c r="K4672">
        <v>0</v>
      </c>
      <c r="L4672">
        <v>3</v>
      </c>
      <c r="M4672" t="s">
        <v>1</v>
      </c>
      <c r="N4672" s="2">
        <v>0.38</v>
      </c>
      <c r="O4672" s="2">
        <v>0.62</v>
      </c>
      <c r="P4672">
        <v>12</v>
      </c>
      <c r="Q4672">
        <v>16</v>
      </c>
      <c r="R4672">
        <v>3</v>
      </c>
      <c r="S4672">
        <v>5</v>
      </c>
      <c r="T4672">
        <v>15</v>
      </c>
      <c r="U4672">
        <v>8</v>
      </c>
      <c r="V4672">
        <v>3</v>
      </c>
      <c r="W4672">
        <v>1</v>
      </c>
      <c r="X4672">
        <v>0</v>
      </c>
      <c r="Y4672">
        <v>0</v>
      </c>
      <c r="Z4672">
        <v>0</v>
      </c>
    </row>
    <row r="4673" spans="1:26" x14ac:dyDescent="0.2">
      <c r="A4673" t="s">
        <v>4791</v>
      </c>
      <c r="B4673" t="s">
        <v>41</v>
      </c>
      <c r="C4673">
        <v>2021</v>
      </c>
      <c r="D4673" t="s">
        <v>22</v>
      </c>
      <c r="E4673" t="s">
        <v>23</v>
      </c>
      <c r="F4673" t="s">
        <v>24</v>
      </c>
      <c r="G4673">
        <v>31750</v>
      </c>
      <c r="H4673">
        <v>25400</v>
      </c>
      <c r="I4673" s="13">
        <v>0.5</v>
      </c>
      <c r="J4673" t="s">
        <v>6207</v>
      </c>
      <c r="K4673">
        <v>1</v>
      </c>
      <c r="L4673">
        <v>0</v>
      </c>
      <c r="M4673" t="s">
        <v>0</v>
      </c>
      <c r="N4673" s="2">
        <v>0.53</v>
      </c>
      <c r="O4673" s="2">
        <v>0.47</v>
      </c>
      <c r="P4673">
        <v>9</v>
      </c>
      <c r="Q4673">
        <v>5</v>
      </c>
      <c r="R4673">
        <v>7</v>
      </c>
      <c r="S4673">
        <v>3</v>
      </c>
      <c r="T4673">
        <v>6</v>
      </c>
      <c r="U4673">
        <v>9</v>
      </c>
      <c r="V4673">
        <v>1</v>
      </c>
      <c r="W4673">
        <v>1</v>
      </c>
      <c r="X4673">
        <v>0</v>
      </c>
      <c r="Y4673">
        <v>0</v>
      </c>
      <c r="Z4673">
        <v>0</v>
      </c>
    </row>
    <row r="4674" spans="1:26" x14ac:dyDescent="0.2">
      <c r="A4674" t="s">
        <v>4792</v>
      </c>
      <c r="B4674" t="s">
        <v>68</v>
      </c>
      <c r="C4674">
        <v>2021</v>
      </c>
      <c r="D4674" t="s">
        <v>85</v>
      </c>
      <c r="E4674" t="s">
        <v>48</v>
      </c>
      <c r="F4674" t="s">
        <v>85</v>
      </c>
      <c r="G4674">
        <v>22220</v>
      </c>
      <c r="H4674">
        <v>17776</v>
      </c>
      <c r="I4674" s="13">
        <v>0.4</v>
      </c>
      <c r="J4674" t="s">
        <v>6207</v>
      </c>
      <c r="K4674">
        <v>4</v>
      </c>
      <c r="L4674">
        <v>1</v>
      </c>
      <c r="M4674" t="s">
        <v>0</v>
      </c>
      <c r="N4674" s="2">
        <v>0.39</v>
      </c>
      <c r="O4674" s="2">
        <v>0.61</v>
      </c>
      <c r="P4674">
        <v>8</v>
      </c>
      <c r="Q4674">
        <v>7</v>
      </c>
      <c r="R4674">
        <v>8</v>
      </c>
      <c r="S4674">
        <v>3</v>
      </c>
      <c r="T4674">
        <v>7</v>
      </c>
      <c r="U4674">
        <v>5</v>
      </c>
      <c r="V4674">
        <v>2</v>
      </c>
      <c r="W4674">
        <v>2</v>
      </c>
      <c r="X4674">
        <v>0</v>
      </c>
      <c r="Y4674">
        <v>1</v>
      </c>
      <c r="Z4674">
        <v>1</v>
      </c>
    </row>
    <row r="4675" spans="1:26" x14ac:dyDescent="0.2">
      <c r="A4675" t="s">
        <v>4793</v>
      </c>
      <c r="B4675" t="s">
        <v>32</v>
      </c>
      <c r="C4675">
        <v>2021</v>
      </c>
      <c r="D4675" t="s">
        <v>69</v>
      </c>
      <c r="E4675" t="s">
        <v>73</v>
      </c>
      <c r="F4675" t="s">
        <v>69</v>
      </c>
      <c r="G4675">
        <v>27359</v>
      </c>
      <c r="H4675">
        <v>21887.200000000001</v>
      </c>
      <c r="I4675" s="13">
        <v>0.6</v>
      </c>
      <c r="J4675" t="s">
        <v>6207</v>
      </c>
      <c r="K4675">
        <v>2</v>
      </c>
      <c r="L4675">
        <v>1</v>
      </c>
      <c r="M4675" t="s">
        <v>0</v>
      </c>
      <c r="N4675" s="2">
        <v>0.37</v>
      </c>
      <c r="O4675" s="2">
        <v>0.63</v>
      </c>
      <c r="P4675">
        <v>10</v>
      </c>
      <c r="Q4675">
        <v>9</v>
      </c>
      <c r="R4675">
        <v>5</v>
      </c>
      <c r="S4675">
        <v>7</v>
      </c>
      <c r="T4675">
        <v>8</v>
      </c>
      <c r="U4675">
        <v>9</v>
      </c>
      <c r="V4675">
        <v>3</v>
      </c>
      <c r="W4675">
        <v>2</v>
      </c>
      <c r="X4675">
        <v>0</v>
      </c>
      <c r="Y4675">
        <v>0</v>
      </c>
      <c r="Z4675">
        <v>0</v>
      </c>
    </row>
    <row r="4676" spans="1:26" x14ac:dyDescent="0.2">
      <c r="A4676" t="s">
        <v>4794</v>
      </c>
      <c r="B4676" t="s">
        <v>99</v>
      </c>
      <c r="C4676">
        <v>2021</v>
      </c>
      <c r="D4676" t="s">
        <v>64</v>
      </c>
      <c r="E4676" t="s">
        <v>101</v>
      </c>
      <c r="F4676" t="s">
        <v>64</v>
      </c>
      <c r="G4676">
        <v>52264</v>
      </c>
      <c r="H4676">
        <v>41811.200000000004</v>
      </c>
      <c r="I4676" s="13">
        <v>0.75</v>
      </c>
      <c r="J4676" t="s">
        <v>6207</v>
      </c>
      <c r="K4676">
        <v>3</v>
      </c>
      <c r="L4676">
        <v>3</v>
      </c>
      <c r="M4676" t="s">
        <v>58</v>
      </c>
      <c r="N4676" s="2">
        <v>0.52</v>
      </c>
      <c r="O4676" s="2">
        <v>0.48</v>
      </c>
      <c r="P4676">
        <v>14</v>
      </c>
      <c r="Q4676">
        <v>15</v>
      </c>
      <c r="R4676">
        <v>8</v>
      </c>
      <c r="S4676">
        <v>2</v>
      </c>
      <c r="T4676">
        <v>13</v>
      </c>
      <c r="U4676">
        <v>11</v>
      </c>
      <c r="V4676">
        <v>2</v>
      </c>
      <c r="W4676">
        <v>2</v>
      </c>
      <c r="X4676">
        <v>0</v>
      </c>
      <c r="Y4676">
        <v>0</v>
      </c>
      <c r="Z4676">
        <v>0</v>
      </c>
    </row>
    <row r="4677" spans="1:26" x14ac:dyDescent="0.2">
      <c r="A4677" t="s">
        <v>4795</v>
      </c>
      <c r="B4677" t="s">
        <v>84</v>
      </c>
      <c r="C4677">
        <v>2021</v>
      </c>
      <c r="D4677" t="s">
        <v>28</v>
      </c>
      <c r="E4677" t="s">
        <v>79</v>
      </c>
      <c r="F4677" t="s">
        <v>28</v>
      </c>
      <c r="G4677">
        <v>21944</v>
      </c>
      <c r="H4677">
        <v>17555.2</v>
      </c>
      <c r="I4677" s="13">
        <v>0.6</v>
      </c>
      <c r="J4677" t="s">
        <v>6208</v>
      </c>
      <c r="K4677">
        <v>3</v>
      </c>
      <c r="L4677">
        <v>3</v>
      </c>
      <c r="M4677" t="s">
        <v>58</v>
      </c>
      <c r="N4677" s="2">
        <v>0.4</v>
      </c>
      <c r="O4677" s="2">
        <v>0.6</v>
      </c>
      <c r="P4677">
        <v>15</v>
      </c>
      <c r="Q4677">
        <v>15</v>
      </c>
      <c r="R4677">
        <v>3</v>
      </c>
      <c r="S4677">
        <v>6</v>
      </c>
      <c r="T4677">
        <v>14</v>
      </c>
      <c r="U4677">
        <v>15</v>
      </c>
      <c r="V4677">
        <v>2</v>
      </c>
      <c r="W4677">
        <v>3</v>
      </c>
      <c r="X4677">
        <v>0</v>
      </c>
      <c r="Y4677">
        <v>0</v>
      </c>
      <c r="Z4677">
        <v>0</v>
      </c>
    </row>
    <row r="4678" spans="1:26" x14ac:dyDescent="0.2">
      <c r="A4678" t="s">
        <v>4796</v>
      </c>
      <c r="B4678" t="s">
        <v>61</v>
      </c>
      <c r="C4678">
        <v>2021</v>
      </c>
      <c r="D4678" t="s">
        <v>42</v>
      </c>
      <c r="E4678" t="s">
        <v>90</v>
      </c>
      <c r="F4678" t="s">
        <v>38</v>
      </c>
      <c r="G4678">
        <v>42918</v>
      </c>
      <c r="H4678">
        <v>34334.400000000001</v>
      </c>
      <c r="I4678" s="13">
        <v>0.66666666666666663</v>
      </c>
      <c r="J4678" t="s">
        <v>6207</v>
      </c>
      <c r="K4678">
        <v>2</v>
      </c>
      <c r="L4678">
        <v>0</v>
      </c>
      <c r="M4678" t="s">
        <v>0</v>
      </c>
      <c r="N4678" s="2">
        <v>0.37</v>
      </c>
      <c r="O4678" s="2">
        <v>0.63</v>
      </c>
      <c r="P4678">
        <v>13</v>
      </c>
      <c r="Q4678">
        <v>8</v>
      </c>
      <c r="R4678">
        <v>5</v>
      </c>
      <c r="S4678">
        <v>6</v>
      </c>
      <c r="T4678">
        <v>7</v>
      </c>
      <c r="U4678">
        <v>13</v>
      </c>
      <c r="V4678">
        <v>3</v>
      </c>
      <c r="W4678">
        <v>3</v>
      </c>
      <c r="X4678">
        <v>0</v>
      </c>
      <c r="Y4678">
        <v>0</v>
      </c>
      <c r="Z4678">
        <v>0</v>
      </c>
    </row>
    <row r="4679" spans="1:26" x14ac:dyDescent="0.2">
      <c r="A4679" t="s">
        <v>4797</v>
      </c>
      <c r="B4679" t="s">
        <v>66</v>
      </c>
      <c r="C4679">
        <v>2021</v>
      </c>
      <c r="D4679" t="s">
        <v>26</v>
      </c>
      <c r="E4679" t="s">
        <v>46</v>
      </c>
      <c r="F4679" t="s">
        <v>26</v>
      </c>
      <c r="G4679">
        <v>61276</v>
      </c>
      <c r="H4679">
        <v>49020.800000000003</v>
      </c>
      <c r="I4679" s="13">
        <v>0.75</v>
      </c>
      <c r="J4679" t="s">
        <v>6207</v>
      </c>
      <c r="K4679">
        <v>4</v>
      </c>
      <c r="L4679">
        <v>0</v>
      </c>
      <c r="M4679" t="s">
        <v>0</v>
      </c>
      <c r="N4679" s="2">
        <v>0.63</v>
      </c>
      <c r="O4679" s="2">
        <v>0.37</v>
      </c>
      <c r="P4679">
        <v>20</v>
      </c>
      <c r="Q4679">
        <v>18</v>
      </c>
      <c r="R4679">
        <v>6</v>
      </c>
      <c r="S4679">
        <v>1</v>
      </c>
      <c r="T4679">
        <v>15</v>
      </c>
      <c r="U4679">
        <v>12</v>
      </c>
      <c r="V4679">
        <v>3</v>
      </c>
      <c r="W4679">
        <v>1</v>
      </c>
      <c r="X4679">
        <v>0</v>
      </c>
      <c r="Y4679">
        <v>0</v>
      </c>
      <c r="Z4679">
        <v>0</v>
      </c>
    </row>
    <row r="4680" spans="1:26" x14ac:dyDescent="0.2">
      <c r="A4680" t="s">
        <v>4798</v>
      </c>
      <c r="B4680" t="s">
        <v>59</v>
      </c>
      <c r="C4680">
        <v>2021</v>
      </c>
      <c r="D4680" t="s">
        <v>40</v>
      </c>
      <c r="E4680" t="s">
        <v>45</v>
      </c>
      <c r="F4680" t="s">
        <v>49</v>
      </c>
      <c r="G4680">
        <v>53400</v>
      </c>
      <c r="H4680">
        <v>42720</v>
      </c>
      <c r="I4680" s="13">
        <v>1</v>
      </c>
      <c r="J4680" t="s">
        <v>6206</v>
      </c>
      <c r="K4680">
        <v>3</v>
      </c>
      <c r="L4680">
        <v>0</v>
      </c>
      <c r="M4680" t="s">
        <v>0</v>
      </c>
      <c r="N4680" s="2">
        <v>0.77</v>
      </c>
      <c r="O4680" s="2">
        <v>0.23</v>
      </c>
      <c r="P4680">
        <v>8</v>
      </c>
      <c r="Q4680">
        <v>3</v>
      </c>
      <c r="R4680">
        <v>7</v>
      </c>
      <c r="S4680">
        <v>1</v>
      </c>
      <c r="T4680">
        <v>5</v>
      </c>
      <c r="U4680">
        <v>7</v>
      </c>
      <c r="V4680">
        <v>1</v>
      </c>
      <c r="W4680">
        <v>1</v>
      </c>
      <c r="X4680">
        <v>0</v>
      </c>
      <c r="Y4680">
        <v>0</v>
      </c>
      <c r="Z4680">
        <v>0</v>
      </c>
    </row>
    <row r="4681" spans="1:26" x14ac:dyDescent="0.2">
      <c r="A4681" t="s">
        <v>4799</v>
      </c>
      <c r="B4681" t="s">
        <v>37</v>
      </c>
      <c r="C4681">
        <v>2021</v>
      </c>
      <c r="D4681" t="s">
        <v>51</v>
      </c>
      <c r="E4681" t="s">
        <v>33</v>
      </c>
      <c r="F4681" t="s">
        <v>20</v>
      </c>
      <c r="G4681">
        <v>36284</v>
      </c>
      <c r="H4681">
        <v>29027.200000000001</v>
      </c>
      <c r="I4681" s="13">
        <v>0</v>
      </c>
      <c r="J4681" t="s">
        <v>6206</v>
      </c>
      <c r="K4681">
        <v>2</v>
      </c>
      <c r="L4681">
        <v>1</v>
      </c>
      <c r="M4681" t="s">
        <v>0</v>
      </c>
      <c r="N4681" s="2">
        <v>0.43</v>
      </c>
      <c r="O4681" s="2">
        <v>0.56999999999999995</v>
      </c>
      <c r="P4681">
        <v>13</v>
      </c>
      <c r="Q4681">
        <v>15</v>
      </c>
      <c r="R4681">
        <v>4</v>
      </c>
      <c r="S4681">
        <v>8</v>
      </c>
      <c r="T4681">
        <v>11</v>
      </c>
      <c r="U4681">
        <v>12</v>
      </c>
      <c r="V4681">
        <v>1</v>
      </c>
      <c r="W4681">
        <v>4</v>
      </c>
      <c r="X4681">
        <v>0</v>
      </c>
      <c r="Y4681">
        <v>0</v>
      </c>
      <c r="Z4681">
        <v>0</v>
      </c>
    </row>
    <row r="4682" spans="1:26" x14ac:dyDescent="0.2">
      <c r="A4682" t="s">
        <v>4800</v>
      </c>
      <c r="B4682" t="s">
        <v>59</v>
      </c>
      <c r="C4682">
        <v>2021</v>
      </c>
      <c r="D4682" t="s">
        <v>46</v>
      </c>
      <c r="E4682" t="s">
        <v>64</v>
      </c>
      <c r="F4682" t="s">
        <v>20</v>
      </c>
      <c r="G4682">
        <v>60704</v>
      </c>
      <c r="H4682">
        <v>48563.200000000004</v>
      </c>
      <c r="I4682" s="13">
        <v>0.5</v>
      </c>
      <c r="J4682" t="s">
        <v>6206</v>
      </c>
      <c r="K4682">
        <v>2</v>
      </c>
      <c r="L4682">
        <v>0</v>
      </c>
      <c r="M4682" t="s">
        <v>0</v>
      </c>
      <c r="N4682" s="2">
        <v>0.66</v>
      </c>
      <c r="O4682" s="2">
        <v>0.34</v>
      </c>
      <c r="P4682">
        <v>13</v>
      </c>
      <c r="Q4682">
        <v>6</v>
      </c>
      <c r="R4682">
        <v>4</v>
      </c>
      <c r="S4682">
        <v>4</v>
      </c>
      <c r="T4682">
        <v>6</v>
      </c>
      <c r="U4682">
        <v>12</v>
      </c>
      <c r="V4682">
        <v>1</v>
      </c>
      <c r="W4682">
        <v>3</v>
      </c>
      <c r="X4682">
        <v>0</v>
      </c>
      <c r="Y4682">
        <v>0</v>
      </c>
      <c r="Z4682">
        <v>0</v>
      </c>
    </row>
    <row r="4683" spans="1:26" x14ac:dyDescent="0.2">
      <c r="A4683" t="s">
        <v>4801</v>
      </c>
      <c r="B4683" t="s">
        <v>84</v>
      </c>
      <c r="C4683">
        <v>2021</v>
      </c>
      <c r="D4683" t="s">
        <v>69</v>
      </c>
      <c r="E4683" t="s">
        <v>22</v>
      </c>
      <c r="F4683" t="s">
        <v>69</v>
      </c>
      <c r="G4683">
        <v>27359</v>
      </c>
      <c r="H4683">
        <v>21887.200000000001</v>
      </c>
      <c r="I4683" s="13">
        <v>0.5</v>
      </c>
      <c r="J4683" t="s">
        <v>6208</v>
      </c>
      <c r="K4683">
        <v>0</v>
      </c>
      <c r="L4683">
        <v>0</v>
      </c>
      <c r="M4683" t="s">
        <v>58</v>
      </c>
      <c r="N4683" s="2">
        <v>0.44</v>
      </c>
      <c r="O4683" s="2">
        <v>0.56000000000000005</v>
      </c>
      <c r="P4683">
        <v>7</v>
      </c>
      <c r="Q4683">
        <v>11</v>
      </c>
      <c r="R4683">
        <v>4</v>
      </c>
      <c r="S4683">
        <v>3</v>
      </c>
      <c r="T4683">
        <v>10</v>
      </c>
      <c r="U4683">
        <v>10</v>
      </c>
      <c r="V4683">
        <v>2</v>
      </c>
      <c r="W4683">
        <v>2</v>
      </c>
      <c r="X4683">
        <v>0</v>
      </c>
      <c r="Y4683">
        <v>0</v>
      </c>
      <c r="Z4683">
        <v>0</v>
      </c>
    </row>
    <row r="4684" spans="1:26" x14ac:dyDescent="0.2">
      <c r="A4684" t="s">
        <v>4802</v>
      </c>
      <c r="B4684" t="s">
        <v>37</v>
      </c>
      <c r="C4684">
        <v>2021</v>
      </c>
      <c r="D4684" t="s">
        <v>26</v>
      </c>
      <c r="E4684" t="s">
        <v>73</v>
      </c>
      <c r="F4684" t="s">
        <v>26</v>
      </c>
      <c r="G4684">
        <v>61276</v>
      </c>
      <c r="H4684">
        <v>49020.800000000003</v>
      </c>
      <c r="I4684" s="13">
        <v>1</v>
      </c>
      <c r="J4684" t="s">
        <v>6206</v>
      </c>
      <c r="K4684">
        <v>4</v>
      </c>
      <c r="L4684">
        <v>0</v>
      </c>
      <c r="M4684" t="s">
        <v>0</v>
      </c>
      <c r="N4684" s="2">
        <v>0.64</v>
      </c>
      <c r="O4684" s="2">
        <v>0.36</v>
      </c>
      <c r="P4684">
        <v>15</v>
      </c>
      <c r="Q4684">
        <v>9</v>
      </c>
      <c r="R4684">
        <v>5</v>
      </c>
      <c r="S4684">
        <v>7</v>
      </c>
      <c r="T4684">
        <v>7</v>
      </c>
      <c r="U4684">
        <v>14</v>
      </c>
      <c r="V4684">
        <v>0</v>
      </c>
      <c r="W4684">
        <v>1</v>
      </c>
      <c r="X4684">
        <v>0</v>
      </c>
      <c r="Y4684">
        <v>0</v>
      </c>
      <c r="Z4684">
        <v>0</v>
      </c>
    </row>
    <row r="4685" spans="1:26" x14ac:dyDescent="0.2">
      <c r="A4685" t="s">
        <v>4803</v>
      </c>
      <c r="B4685" t="s">
        <v>103</v>
      </c>
      <c r="C4685">
        <v>2021</v>
      </c>
      <c r="D4685" t="s">
        <v>79</v>
      </c>
      <c r="E4685" t="s">
        <v>42</v>
      </c>
      <c r="F4685" t="s">
        <v>20</v>
      </c>
      <c r="G4685">
        <v>25486</v>
      </c>
      <c r="H4685">
        <v>20388.800000000003</v>
      </c>
      <c r="I4685" s="13">
        <v>0.83333333333333337</v>
      </c>
      <c r="J4685" t="s">
        <v>6207</v>
      </c>
      <c r="K4685">
        <v>1</v>
      </c>
      <c r="L4685">
        <v>2</v>
      </c>
      <c r="M4685" t="s">
        <v>1</v>
      </c>
      <c r="N4685" s="2">
        <v>0.63</v>
      </c>
      <c r="O4685" s="2">
        <v>0.37</v>
      </c>
      <c r="P4685">
        <v>8</v>
      </c>
      <c r="Q4685">
        <v>10</v>
      </c>
      <c r="R4685">
        <v>7</v>
      </c>
      <c r="S4685">
        <v>3</v>
      </c>
      <c r="T4685">
        <v>12</v>
      </c>
      <c r="U4685">
        <v>10</v>
      </c>
      <c r="V4685">
        <v>3</v>
      </c>
      <c r="W4685">
        <v>3</v>
      </c>
      <c r="X4685">
        <v>0</v>
      </c>
      <c r="Y4685">
        <v>0</v>
      </c>
      <c r="Z4685">
        <v>0</v>
      </c>
    </row>
    <row r="4686" spans="1:26" x14ac:dyDescent="0.2">
      <c r="A4686" t="s">
        <v>4804</v>
      </c>
      <c r="B4686" t="s">
        <v>76</v>
      </c>
      <c r="C4686">
        <v>2021</v>
      </c>
      <c r="D4686" t="s">
        <v>90</v>
      </c>
      <c r="E4686" t="s">
        <v>33</v>
      </c>
      <c r="F4686" t="s">
        <v>91</v>
      </c>
      <c r="G4686">
        <v>31876</v>
      </c>
      <c r="H4686">
        <v>25500.800000000003</v>
      </c>
      <c r="I4686" s="13">
        <v>0.75</v>
      </c>
      <c r="J4686" t="s">
        <v>6207</v>
      </c>
      <c r="K4686">
        <v>0</v>
      </c>
      <c r="L4686">
        <v>0</v>
      </c>
      <c r="M4686" t="s">
        <v>58</v>
      </c>
      <c r="N4686" s="2">
        <v>0.56999999999999995</v>
      </c>
      <c r="O4686" s="2">
        <v>0.43</v>
      </c>
      <c r="P4686">
        <v>14</v>
      </c>
      <c r="Q4686">
        <v>12</v>
      </c>
      <c r="R4686">
        <v>6</v>
      </c>
      <c r="S4686">
        <v>1</v>
      </c>
      <c r="T4686">
        <v>12</v>
      </c>
      <c r="U4686">
        <v>14</v>
      </c>
      <c r="V4686">
        <v>1</v>
      </c>
      <c r="W4686">
        <v>3</v>
      </c>
      <c r="X4686">
        <v>0</v>
      </c>
      <c r="Y4686">
        <v>0</v>
      </c>
      <c r="Z4686">
        <v>0</v>
      </c>
    </row>
    <row r="4687" spans="1:26" x14ac:dyDescent="0.2">
      <c r="A4687" t="s">
        <v>4805</v>
      </c>
      <c r="B4687" t="s">
        <v>66</v>
      </c>
      <c r="C4687">
        <v>2021</v>
      </c>
      <c r="D4687" t="s">
        <v>40</v>
      </c>
      <c r="E4687" t="s">
        <v>23</v>
      </c>
      <c r="F4687" t="s">
        <v>49</v>
      </c>
      <c r="G4687">
        <v>53400</v>
      </c>
      <c r="H4687">
        <v>42720</v>
      </c>
      <c r="I4687" s="13">
        <v>1</v>
      </c>
      <c r="J4687" t="s">
        <v>6207</v>
      </c>
      <c r="K4687">
        <v>2</v>
      </c>
      <c r="L4687">
        <v>1</v>
      </c>
      <c r="M4687" t="s">
        <v>0</v>
      </c>
      <c r="N4687" s="2">
        <v>0.69</v>
      </c>
      <c r="O4687" s="2">
        <v>0.31</v>
      </c>
      <c r="P4687">
        <v>11</v>
      </c>
      <c r="Q4687">
        <v>12</v>
      </c>
      <c r="R4687">
        <v>8</v>
      </c>
      <c r="S4687">
        <v>4</v>
      </c>
      <c r="T4687">
        <v>7</v>
      </c>
      <c r="U4687">
        <v>6</v>
      </c>
      <c r="V4687">
        <v>2</v>
      </c>
      <c r="W4687">
        <v>0</v>
      </c>
      <c r="X4687">
        <v>0</v>
      </c>
      <c r="Y4687">
        <v>0</v>
      </c>
      <c r="Z4687">
        <v>0</v>
      </c>
    </row>
    <row r="4688" spans="1:26" x14ac:dyDescent="0.2">
      <c r="A4688" t="s">
        <v>4806</v>
      </c>
      <c r="B4688" t="s">
        <v>92</v>
      </c>
      <c r="C4688">
        <v>2021</v>
      </c>
      <c r="D4688" t="s">
        <v>80</v>
      </c>
      <c r="E4688" t="s">
        <v>85</v>
      </c>
      <c r="F4688" t="s">
        <v>80</v>
      </c>
      <c r="G4688">
        <v>32261</v>
      </c>
      <c r="H4688">
        <v>25808.800000000003</v>
      </c>
      <c r="I4688" s="13">
        <v>0</v>
      </c>
      <c r="J4688" t="s">
        <v>6207</v>
      </c>
      <c r="K4688">
        <v>4</v>
      </c>
      <c r="L4688">
        <v>2</v>
      </c>
      <c r="M4688" t="s">
        <v>0</v>
      </c>
      <c r="N4688" s="2">
        <v>0.56999999999999995</v>
      </c>
      <c r="O4688" s="2">
        <v>0.43</v>
      </c>
      <c r="P4688">
        <v>22</v>
      </c>
      <c r="Q4688">
        <v>9</v>
      </c>
      <c r="R4688">
        <v>8</v>
      </c>
      <c r="S4688">
        <v>6</v>
      </c>
      <c r="T4688">
        <v>5</v>
      </c>
      <c r="U4688">
        <v>20</v>
      </c>
      <c r="V4688">
        <v>0</v>
      </c>
      <c r="W4688">
        <v>0</v>
      </c>
      <c r="X4688">
        <v>0</v>
      </c>
      <c r="Y4688">
        <v>0</v>
      </c>
      <c r="Z4688">
        <v>1</v>
      </c>
    </row>
    <row r="4689" spans="1:26" x14ac:dyDescent="0.2">
      <c r="A4689" t="s">
        <v>4807</v>
      </c>
      <c r="B4689" t="s">
        <v>100</v>
      </c>
      <c r="C4689">
        <v>2021</v>
      </c>
      <c r="D4689" t="s">
        <v>101</v>
      </c>
      <c r="E4689" t="s">
        <v>45</v>
      </c>
      <c r="F4689" t="s">
        <v>101</v>
      </c>
      <c r="G4689">
        <v>17250</v>
      </c>
      <c r="H4689">
        <v>13800</v>
      </c>
      <c r="I4689" s="13">
        <v>0.8571428571428571</v>
      </c>
      <c r="J4689" t="s">
        <v>6207</v>
      </c>
      <c r="K4689">
        <v>1</v>
      </c>
      <c r="L4689">
        <v>0</v>
      </c>
      <c r="M4689" t="s">
        <v>0</v>
      </c>
      <c r="N4689" s="2">
        <v>0.4</v>
      </c>
      <c r="O4689" s="2">
        <v>0.6</v>
      </c>
      <c r="P4689">
        <v>13</v>
      </c>
      <c r="Q4689">
        <v>8</v>
      </c>
      <c r="R4689">
        <v>3</v>
      </c>
      <c r="S4689">
        <v>3</v>
      </c>
      <c r="T4689">
        <v>8</v>
      </c>
      <c r="U4689">
        <v>11</v>
      </c>
      <c r="V4689">
        <v>4</v>
      </c>
      <c r="W4689">
        <v>3</v>
      </c>
      <c r="X4689">
        <v>0</v>
      </c>
      <c r="Y4689">
        <v>0</v>
      </c>
      <c r="Z4689">
        <v>1</v>
      </c>
    </row>
    <row r="4690" spans="1:26" x14ac:dyDescent="0.2">
      <c r="A4690" t="s">
        <v>4808</v>
      </c>
      <c r="B4690" t="s">
        <v>61</v>
      </c>
      <c r="C4690">
        <v>2021</v>
      </c>
      <c r="D4690" t="s">
        <v>18</v>
      </c>
      <c r="E4690" t="s">
        <v>48</v>
      </c>
      <c r="F4690" t="s">
        <v>20</v>
      </c>
      <c r="G4690">
        <v>40341</v>
      </c>
      <c r="H4690">
        <v>32272.800000000003</v>
      </c>
      <c r="I4690" s="13">
        <v>0.5</v>
      </c>
      <c r="J4690" t="s">
        <v>6207</v>
      </c>
      <c r="K4690">
        <v>1</v>
      </c>
      <c r="L4690">
        <v>1</v>
      </c>
      <c r="M4690" t="s">
        <v>58</v>
      </c>
      <c r="N4690" s="2">
        <v>0.66</v>
      </c>
      <c r="O4690" s="2">
        <v>0.34</v>
      </c>
      <c r="P4690">
        <v>14</v>
      </c>
      <c r="Q4690">
        <v>15</v>
      </c>
      <c r="R4690">
        <v>15</v>
      </c>
      <c r="S4690">
        <v>2</v>
      </c>
      <c r="T4690">
        <v>13</v>
      </c>
      <c r="U4690">
        <v>14</v>
      </c>
      <c r="V4690">
        <v>3</v>
      </c>
      <c r="W4690">
        <v>5</v>
      </c>
      <c r="X4690">
        <v>0</v>
      </c>
      <c r="Y4690">
        <v>0</v>
      </c>
      <c r="Z4690">
        <v>1</v>
      </c>
    </row>
    <row r="4691" spans="1:26" x14ac:dyDescent="0.2">
      <c r="A4691" t="s">
        <v>4809</v>
      </c>
      <c r="B4691" t="s">
        <v>92</v>
      </c>
      <c r="C4691">
        <v>2021</v>
      </c>
      <c r="D4691" t="s">
        <v>64</v>
      </c>
      <c r="E4691" t="s">
        <v>69</v>
      </c>
      <c r="F4691" t="s">
        <v>64</v>
      </c>
      <c r="G4691">
        <v>52264</v>
      </c>
      <c r="H4691">
        <v>41811.200000000004</v>
      </c>
      <c r="I4691" s="13">
        <v>1</v>
      </c>
      <c r="J4691" t="s">
        <v>6207</v>
      </c>
      <c r="K4691">
        <v>1</v>
      </c>
      <c r="L4691">
        <v>1</v>
      </c>
      <c r="M4691" t="s">
        <v>58</v>
      </c>
      <c r="N4691" s="2">
        <v>0.31</v>
      </c>
      <c r="O4691" s="2">
        <v>0.69</v>
      </c>
      <c r="P4691">
        <v>12</v>
      </c>
      <c r="Q4691">
        <v>5</v>
      </c>
      <c r="R4691">
        <v>2</v>
      </c>
      <c r="S4691">
        <v>5</v>
      </c>
      <c r="T4691">
        <v>8</v>
      </c>
      <c r="U4691">
        <v>11</v>
      </c>
      <c r="V4691">
        <v>0</v>
      </c>
      <c r="W4691">
        <v>0</v>
      </c>
      <c r="X4691">
        <v>1</v>
      </c>
      <c r="Y4691">
        <v>0</v>
      </c>
      <c r="Z4691">
        <v>1</v>
      </c>
    </row>
    <row r="4692" spans="1:26" x14ac:dyDescent="0.2">
      <c r="A4692" t="s">
        <v>4810</v>
      </c>
      <c r="B4692" t="s">
        <v>60</v>
      </c>
      <c r="C4692">
        <v>2021</v>
      </c>
      <c r="D4692" t="s">
        <v>33</v>
      </c>
      <c r="E4692" t="s">
        <v>79</v>
      </c>
      <c r="F4692" t="s">
        <v>33</v>
      </c>
      <c r="G4692">
        <v>37645</v>
      </c>
      <c r="H4692">
        <v>30116</v>
      </c>
      <c r="I4692" s="13">
        <v>0.25</v>
      </c>
      <c r="J4692" t="s">
        <v>6208</v>
      </c>
      <c r="K4692">
        <v>1</v>
      </c>
      <c r="L4692">
        <v>0</v>
      </c>
      <c r="M4692" t="s">
        <v>0</v>
      </c>
      <c r="N4692" s="2">
        <v>0.62</v>
      </c>
      <c r="O4692" s="2">
        <v>0.38</v>
      </c>
      <c r="P4692">
        <v>13</v>
      </c>
      <c r="Q4692">
        <v>13</v>
      </c>
      <c r="R4692">
        <v>7</v>
      </c>
      <c r="S4692">
        <v>4</v>
      </c>
      <c r="T4692">
        <v>15</v>
      </c>
      <c r="U4692">
        <v>15</v>
      </c>
      <c r="V4692">
        <v>5</v>
      </c>
      <c r="W4692">
        <v>3</v>
      </c>
      <c r="X4692">
        <v>0</v>
      </c>
      <c r="Y4692">
        <v>0</v>
      </c>
      <c r="Z4692">
        <v>1</v>
      </c>
    </row>
    <row r="4693" spans="1:26" x14ac:dyDescent="0.2">
      <c r="A4693" t="s">
        <v>4811</v>
      </c>
      <c r="B4693" t="s">
        <v>104</v>
      </c>
      <c r="C4693">
        <v>2021</v>
      </c>
      <c r="D4693" t="s">
        <v>22</v>
      </c>
      <c r="E4693" t="s">
        <v>28</v>
      </c>
      <c r="F4693" t="s">
        <v>24</v>
      </c>
      <c r="G4693">
        <v>31750</v>
      </c>
      <c r="H4693">
        <v>25400</v>
      </c>
      <c r="I4693" s="13">
        <v>0.2</v>
      </c>
      <c r="J4693" t="s">
        <v>6206</v>
      </c>
      <c r="K4693">
        <v>0</v>
      </c>
      <c r="L4693">
        <v>0</v>
      </c>
      <c r="M4693" t="s">
        <v>58</v>
      </c>
      <c r="N4693" s="2">
        <v>0.65</v>
      </c>
      <c r="O4693" s="2">
        <v>0.35</v>
      </c>
      <c r="P4693">
        <v>10</v>
      </c>
      <c r="Q4693">
        <v>6</v>
      </c>
      <c r="R4693">
        <v>5</v>
      </c>
      <c r="S4693">
        <v>5</v>
      </c>
      <c r="T4693">
        <v>5</v>
      </c>
      <c r="U4693">
        <v>7</v>
      </c>
      <c r="V4693">
        <v>2</v>
      </c>
      <c r="W4693">
        <v>3</v>
      </c>
      <c r="X4693">
        <v>0</v>
      </c>
      <c r="Y4693">
        <v>0</v>
      </c>
      <c r="Z4693">
        <v>0</v>
      </c>
    </row>
    <row r="4694" spans="1:26" x14ac:dyDescent="0.2">
      <c r="A4694" t="s">
        <v>4812</v>
      </c>
      <c r="B4694" t="s">
        <v>88</v>
      </c>
      <c r="C4694">
        <v>2021</v>
      </c>
      <c r="D4694" t="s">
        <v>23</v>
      </c>
      <c r="E4694" t="s">
        <v>90</v>
      </c>
      <c r="F4694" t="s">
        <v>20</v>
      </c>
      <c r="G4694">
        <v>62500</v>
      </c>
      <c r="H4694">
        <v>50000</v>
      </c>
      <c r="I4694" s="13">
        <v>1</v>
      </c>
      <c r="J4694" t="s">
        <v>6207</v>
      </c>
      <c r="K4694">
        <v>1</v>
      </c>
      <c r="L4694">
        <v>1</v>
      </c>
      <c r="M4694" t="s">
        <v>58</v>
      </c>
      <c r="N4694" s="2">
        <v>0.34</v>
      </c>
      <c r="O4694" s="2">
        <v>0.66</v>
      </c>
      <c r="P4694">
        <v>8</v>
      </c>
      <c r="Q4694">
        <v>11</v>
      </c>
      <c r="R4694">
        <v>9</v>
      </c>
      <c r="S4694">
        <v>5</v>
      </c>
      <c r="T4694">
        <v>10</v>
      </c>
      <c r="U4694">
        <v>8</v>
      </c>
      <c r="V4694">
        <v>1</v>
      </c>
      <c r="W4694">
        <v>1</v>
      </c>
      <c r="X4694">
        <v>0</v>
      </c>
      <c r="Y4694">
        <v>0</v>
      </c>
      <c r="Z4694">
        <v>0</v>
      </c>
    </row>
    <row r="4695" spans="1:26" x14ac:dyDescent="0.2">
      <c r="A4695" t="s">
        <v>4813</v>
      </c>
      <c r="B4695" t="s">
        <v>93</v>
      </c>
      <c r="C4695">
        <v>2021</v>
      </c>
      <c r="D4695" t="s">
        <v>85</v>
      </c>
      <c r="E4695" t="s">
        <v>18</v>
      </c>
      <c r="F4695" t="s">
        <v>85</v>
      </c>
      <c r="G4695">
        <v>22220</v>
      </c>
      <c r="H4695">
        <v>17776</v>
      </c>
      <c r="I4695" s="13">
        <v>0.7142857142857143</v>
      </c>
      <c r="J4695" t="s">
        <v>6206</v>
      </c>
      <c r="K4695">
        <v>1</v>
      </c>
      <c r="L4695">
        <v>2</v>
      </c>
      <c r="M4695" t="s">
        <v>1</v>
      </c>
      <c r="N4695" s="2">
        <v>0.5</v>
      </c>
      <c r="O4695" s="2">
        <v>0.5</v>
      </c>
      <c r="P4695">
        <v>21</v>
      </c>
      <c r="Q4695">
        <v>21</v>
      </c>
      <c r="R4695">
        <v>6</v>
      </c>
      <c r="S4695">
        <v>0</v>
      </c>
      <c r="T4695">
        <v>18</v>
      </c>
      <c r="U4695">
        <v>16</v>
      </c>
      <c r="V4695">
        <v>4</v>
      </c>
      <c r="W4695">
        <v>3</v>
      </c>
      <c r="X4695">
        <v>0</v>
      </c>
      <c r="Y4695">
        <v>0</v>
      </c>
      <c r="Z4695">
        <v>0</v>
      </c>
    </row>
    <row r="4696" spans="1:26" x14ac:dyDescent="0.2">
      <c r="A4696" t="s">
        <v>4814</v>
      </c>
      <c r="B4696" t="s">
        <v>99</v>
      </c>
      <c r="C4696">
        <v>2021</v>
      </c>
      <c r="D4696" t="s">
        <v>73</v>
      </c>
      <c r="E4696" t="s">
        <v>80</v>
      </c>
      <c r="F4696" t="s">
        <v>73</v>
      </c>
      <c r="G4696">
        <v>32384</v>
      </c>
      <c r="H4696">
        <v>25907.200000000001</v>
      </c>
      <c r="I4696" s="13">
        <v>0.75</v>
      </c>
      <c r="J4696" t="s">
        <v>6207</v>
      </c>
      <c r="K4696">
        <v>2</v>
      </c>
      <c r="L4696">
        <v>2</v>
      </c>
      <c r="M4696" t="s">
        <v>58</v>
      </c>
      <c r="N4696" s="2">
        <v>0.45</v>
      </c>
      <c r="O4696" s="2">
        <v>0.55000000000000004</v>
      </c>
      <c r="P4696">
        <v>14</v>
      </c>
      <c r="Q4696">
        <v>15</v>
      </c>
      <c r="R4696">
        <v>2</v>
      </c>
      <c r="S4696">
        <v>4</v>
      </c>
      <c r="T4696">
        <v>14</v>
      </c>
      <c r="U4696">
        <v>11</v>
      </c>
      <c r="V4696">
        <v>1</v>
      </c>
      <c r="W4696">
        <v>3</v>
      </c>
      <c r="X4696">
        <v>0</v>
      </c>
      <c r="Y4696">
        <v>0</v>
      </c>
      <c r="Z4696">
        <v>0</v>
      </c>
    </row>
    <row r="4697" spans="1:26" x14ac:dyDescent="0.2">
      <c r="A4697" t="s">
        <v>4815</v>
      </c>
      <c r="B4697" t="s">
        <v>81</v>
      </c>
      <c r="C4697">
        <v>2021</v>
      </c>
      <c r="D4697" t="s">
        <v>45</v>
      </c>
      <c r="E4697" t="s">
        <v>26</v>
      </c>
      <c r="F4697" t="s">
        <v>26</v>
      </c>
      <c r="G4697">
        <v>39572</v>
      </c>
      <c r="H4697">
        <v>31657.600000000002</v>
      </c>
      <c r="I4697" s="13">
        <v>0.7142857142857143</v>
      </c>
      <c r="J4697" t="s">
        <v>6207</v>
      </c>
      <c r="K4697">
        <v>1</v>
      </c>
      <c r="L4697">
        <v>4</v>
      </c>
      <c r="M4697" t="s">
        <v>1</v>
      </c>
      <c r="N4697" s="2">
        <v>0.31</v>
      </c>
      <c r="O4697" s="2">
        <v>0.69</v>
      </c>
      <c r="P4697">
        <v>18</v>
      </c>
      <c r="Q4697">
        <v>12</v>
      </c>
      <c r="R4697">
        <v>3</v>
      </c>
      <c r="S4697">
        <v>11</v>
      </c>
      <c r="T4697">
        <v>8</v>
      </c>
      <c r="U4697">
        <v>16</v>
      </c>
      <c r="V4697">
        <v>4</v>
      </c>
      <c r="W4697">
        <v>3</v>
      </c>
      <c r="X4697">
        <v>0</v>
      </c>
      <c r="Y4697">
        <v>0</v>
      </c>
      <c r="Z4697">
        <v>0</v>
      </c>
    </row>
    <row r="4698" spans="1:26" x14ac:dyDescent="0.2">
      <c r="A4698" t="s">
        <v>4816</v>
      </c>
      <c r="B4698" t="s">
        <v>41</v>
      </c>
      <c r="C4698">
        <v>2021</v>
      </c>
      <c r="D4698" t="s">
        <v>42</v>
      </c>
      <c r="E4698" t="s">
        <v>40</v>
      </c>
      <c r="F4698" t="s">
        <v>38</v>
      </c>
      <c r="G4698">
        <v>42918</v>
      </c>
      <c r="H4698">
        <v>34334.400000000001</v>
      </c>
      <c r="I4698" s="13">
        <v>0</v>
      </c>
      <c r="J4698" t="s">
        <v>6207</v>
      </c>
      <c r="K4698">
        <v>1</v>
      </c>
      <c r="L4698">
        <v>2</v>
      </c>
      <c r="M4698" t="s">
        <v>1</v>
      </c>
      <c r="N4698" s="2">
        <v>0.36</v>
      </c>
      <c r="O4698" s="2">
        <v>0.64</v>
      </c>
      <c r="P4698">
        <v>12</v>
      </c>
      <c r="Q4698">
        <v>9</v>
      </c>
      <c r="R4698">
        <v>4</v>
      </c>
      <c r="S4698">
        <v>10</v>
      </c>
      <c r="T4698">
        <v>8</v>
      </c>
      <c r="U4698">
        <v>12</v>
      </c>
      <c r="V4698">
        <v>0</v>
      </c>
      <c r="W4698">
        <v>0</v>
      </c>
      <c r="X4698">
        <v>0</v>
      </c>
      <c r="Y4698">
        <v>0</v>
      </c>
      <c r="Z4698">
        <v>0</v>
      </c>
    </row>
    <row r="4699" spans="1:26" x14ac:dyDescent="0.2">
      <c r="A4699" t="s">
        <v>4817</v>
      </c>
      <c r="B4699" t="s">
        <v>68</v>
      </c>
      <c r="C4699">
        <v>2021</v>
      </c>
      <c r="D4699" t="s">
        <v>51</v>
      </c>
      <c r="E4699" t="s">
        <v>101</v>
      </c>
      <c r="F4699" t="s">
        <v>20</v>
      </c>
      <c r="G4699">
        <v>36284</v>
      </c>
      <c r="H4699">
        <v>29027.200000000001</v>
      </c>
      <c r="I4699" s="13">
        <v>0</v>
      </c>
      <c r="J4699" t="s">
        <v>6207</v>
      </c>
      <c r="K4699">
        <v>2</v>
      </c>
      <c r="L4699">
        <v>0</v>
      </c>
      <c r="M4699" t="s">
        <v>0</v>
      </c>
      <c r="N4699" s="2">
        <v>0.47</v>
      </c>
      <c r="O4699" s="2">
        <v>0.53</v>
      </c>
      <c r="P4699">
        <v>11</v>
      </c>
      <c r="Q4699">
        <v>12</v>
      </c>
      <c r="R4699">
        <v>10</v>
      </c>
      <c r="S4699">
        <v>5</v>
      </c>
      <c r="T4699">
        <v>13</v>
      </c>
      <c r="U4699">
        <v>11</v>
      </c>
      <c r="V4699">
        <v>0</v>
      </c>
      <c r="W4699">
        <v>0</v>
      </c>
      <c r="X4699">
        <v>0</v>
      </c>
      <c r="Y4699">
        <v>0</v>
      </c>
      <c r="Z4699">
        <v>0</v>
      </c>
    </row>
    <row r="4700" spans="1:26" x14ac:dyDescent="0.2">
      <c r="A4700" t="s">
        <v>4818</v>
      </c>
      <c r="B4700" t="s">
        <v>32</v>
      </c>
      <c r="C4700">
        <v>2021</v>
      </c>
      <c r="D4700" t="s">
        <v>48</v>
      </c>
      <c r="E4700" t="s">
        <v>46</v>
      </c>
      <c r="F4700" t="s">
        <v>49</v>
      </c>
      <c r="G4700">
        <v>74197</v>
      </c>
      <c r="H4700">
        <v>59357.600000000006</v>
      </c>
      <c r="I4700" s="13">
        <v>0</v>
      </c>
      <c r="J4700" t="s">
        <v>6207</v>
      </c>
      <c r="K4700">
        <v>3</v>
      </c>
      <c r="L4700">
        <v>2</v>
      </c>
      <c r="M4700" t="s">
        <v>0</v>
      </c>
      <c r="N4700" s="2">
        <v>0.45</v>
      </c>
      <c r="O4700" s="2">
        <v>0.55000000000000004</v>
      </c>
      <c r="P4700">
        <v>11</v>
      </c>
      <c r="Q4700">
        <v>9</v>
      </c>
      <c r="R4700">
        <v>3</v>
      </c>
      <c r="S4700">
        <v>8</v>
      </c>
      <c r="T4700">
        <v>9</v>
      </c>
      <c r="U4700">
        <v>10</v>
      </c>
      <c r="V4700">
        <v>1</v>
      </c>
      <c r="W4700">
        <v>0</v>
      </c>
      <c r="X4700">
        <v>0</v>
      </c>
      <c r="Y4700">
        <v>0</v>
      </c>
      <c r="Z4700">
        <v>1</v>
      </c>
    </row>
    <row r="4701" spans="1:26" x14ac:dyDescent="0.2">
      <c r="A4701" t="s">
        <v>4819</v>
      </c>
      <c r="B4701" t="s">
        <v>37</v>
      </c>
      <c r="C4701">
        <v>2021</v>
      </c>
      <c r="D4701" t="s">
        <v>23</v>
      </c>
      <c r="E4701" t="s">
        <v>18</v>
      </c>
      <c r="F4701" t="s">
        <v>20</v>
      </c>
      <c r="G4701">
        <v>62500</v>
      </c>
      <c r="H4701">
        <v>50000</v>
      </c>
      <c r="I4701" s="13">
        <v>0.75</v>
      </c>
      <c r="J4701" t="s">
        <v>6206</v>
      </c>
      <c r="K4701">
        <v>3</v>
      </c>
      <c r="L4701">
        <v>2</v>
      </c>
      <c r="M4701" t="s">
        <v>0</v>
      </c>
      <c r="N4701" s="2">
        <v>0.36</v>
      </c>
      <c r="O4701" s="2">
        <v>0.64</v>
      </c>
      <c r="P4701">
        <v>10</v>
      </c>
      <c r="Q4701">
        <v>14</v>
      </c>
      <c r="R4701">
        <v>1</v>
      </c>
      <c r="S4701">
        <v>9</v>
      </c>
      <c r="T4701">
        <v>10</v>
      </c>
      <c r="U4701">
        <v>10</v>
      </c>
      <c r="V4701">
        <v>1</v>
      </c>
      <c r="W4701">
        <v>3</v>
      </c>
      <c r="X4701">
        <v>0</v>
      </c>
      <c r="Y4701">
        <v>0</v>
      </c>
      <c r="Z4701">
        <v>1</v>
      </c>
    </row>
    <row r="4702" spans="1:26" x14ac:dyDescent="0.2">
      <c r="A4702" t="s">
        <v>4820</v>
      </c>
      <c r="B4702" t="s">
        <v>88</v>
      </c>
      <c r="C4702">
        <v>2021</v>
      </c>
      <c r="D4702" t="s">
        <v>22</v>
      </c>
      <c r="E4702" t="s">
        <v>26</v>
      </c>
      <c r="F4702" t="s">
        <v>24</v>
      </c>
      <c r="G4702">
        <v>31750</v>
      </c>
      <c r="H4702">
        <v>25400</v>
      </c>
      <c r="I4702" s="13">
        <v>0.75</v>
      </c>
      <c r="J4702" t="s">
        <v>6207</v>
      </c>
      <c r="K4702">
        <v>0</v>
      </c>
      <c r="L4702">
        <v>1</v>
      </c>
      <c r="M4702" t="s">
        <v>1</v>
      </c>
      <c r="N4702" s="2">
        <v>0.33</v>
      </c>
      <c r="O4702" s="2">
        <v>0.67</v>
      </c>
      <c r="P4702">
        <v>8</v>
      </c>
      <c r="Q4702">
        <v>12</v>
      </c>
      <c r="R4702">
        <v>2</v>
      </c>
      <c r="S4702">
        <v>8</v>
      </c>
      <c r="T4702">
        <v>4</v>
      </c>
      <c r="U4702">
        <v>7</v>
      </c>
      <c r="V4702">
        <v>2</v>
      </c>
      <c r="W4702">
        <v>2</v>
      </c>
      <c r="X4702">
        <v>0</v>
      </c>
      <c r="Y4702">
        <v>0</v>
      </c>
      <c r="Z4702">
        <v>0</v>
      </c>
    </row>
    <row r="4703" spans="1:26" x14ac:dyDescent="0.2">
      <c r="A4703" t="s">
        <v>4821</v>
      </c>
      <c r="B4703" t="s">
        <v>61</v>
      </c>
      <c r="C4703">
        <v>2021</v>
      </c>
      <c r="D4703" t="s">
        <v>73</v>
      </c>
      <c r="E4703" t="s">
        <v>90</v>
      </c>
      <c r="F4703" t="s">
        <v>73</v>
      </c>
      <c r="G4703">
        <v>32384</v>
      </c>
      <c r="H4703">
        <v>25907.200000000001</v>
      </c>
      <c r="I4703" s="13">
        <v>1</v>
      </c>
      <c r="J4703" t="s">
        <v>6207</v>
      </c>
      <c r="K4703">
        <v>1</v>
      </c>
      <c r="L4703">
        <v>1</v>
      </c>
      <c r="M4703" t="s">
        <v>58</v>
      </c>
      <c r="N4703" s="2">
        <v>0.44</v>
      </c>
      <c r="O4703" s="2">
        <v>0.56000000000000005</v>
      </c>
      <c r="P4703">
        <v>10</v>
      </c>
      <c r="Q4703">
        <v>14</v>
      </c>
      <c r="R4703">
        <v>6</v>
      </c>
      <c r="S4703">
        <v>2</v>
      </c>
      <c r="T4703">
        <v>15</v>
      </c>
      <c r="U4703">
        <v>12</v>
      </c>
      <c r="V4703">
        <v>4</v>
      </c>
      <c r="W4703">
        <v>2</v>
      </c>
      <c r="X4703">
        <v>0</v>
      </c>
      <c r="Y4703">
        <v>0</v>
      </c>
      <c r="Z4703">
        <v>0</v>
      </c>
    </row>
    <row r="4704" spans="1:26" x14ac:dyDescent="0.2">
      <c r="A4704" t="s">
        <v>4822</v>
      </c>
      <c r="B4704" t="s">
        <v>81</v>
      </c>
      <c r="C4704">
        <v>2021</v>
      </c>
      <c r="D4704" t="s">
        <v>64</v>
      </c>
      <c r="E4704" t="s">
        <v>28</v>
      </c>
      <c r="F4704" t="s">
        <v>64</v>
      </c>
      <c r="G4704">
        <v>52264</v>
      </c>
      <c r="H4704">
        <v>41811.200000000004</v>
      </c>
      <c r="I4704" s="13">
        <v>1</v>
      </c>
      <c r="J4704" t="s">
        <v>6207</v>
      </c>
      <c r="K4704">
        <v>1</v>
      </c>
      <c r="L4704">
        <v>0</v>
      </c>
      <c r="M4704" t="s">
        <v>0</v>
      </c>
      <c r="N4704" s="2">
        <v>0.48</v>
      </c>
      <c r="O4704" s="2">
        <v>0.52</v>
      </c>
      <c r="P4704">
        <v>10</v>
      </c>
      <c r="Q4704">
        <v>6</v>
      </c>
      <c r="R4704">
        <v>10</v>
      </c>
      <c r="S4704">
        <v>3</v>
      </c>
      <c r="T4704">
        <v>11</v>
      </c>
      <c r="U4704">
        <v>9</v>
      </c>
      <c r="V4704">
        <v>1</v>
      </c>
      <c r="W4704">
        <v>1</v>
      </c>
      <c r="X4704">
        <v>0</v>
      </c>
      <c r="Y4704">
        <v>0</v>
      </c>
      <c r="Z4704">
        <v>0</v>
      </c>
    </row>
    <row r="4705" spans="1:26" x14ac:dyDescent="0.2">
      <c r="A4705" t="s">
        <v>4823</v>
      </c>
      <c r="B4705" t="s">
        <v>84</v>
      </c>
      <c r="C4705">
        <v>2021</v>
      </c>
      <c r="D4705" t="s">
        <v>85</v>
      </c>
      <c r="E4705" t="s">
        <v>40</v>
      </c>
      <c r="F4705" t="s">
        <v>85</v>
      </c>
      <c r="G4705">
        <v>22220</v>
      </c>
      <c r="H4705">
        <v>17776</v>
      </c>
      <c r="I4705" s="13">
        <v>0.33333333333333331</v>
      </c>
      <c r="J4705" t="s">
        <v>6208</v>
      </c>
      <c r="K4705">
        <v>1</v>
      </c>
      <c r="L4705">
        <v>3</v>
      </c>
      <c r="M4705" t="s">
        <v>1</v>
      </c>
      <c r="N4705" s="2">
        <v>0.23</v>
      </c>
      <c r="O4705" s="2">
        <v>0.77</v>
      </c>
      <c r="P4705">
        <v>4</v>
      </c>
      <c r="Q4705">
        <v>7</v>
      </c>
      <c r="R4705">
        <v>5</v>
      </c>
      <c r="S4705">
        <v>11</v>
      </c>
      <c r="T4705">
        <v>11</v>
      </c>
      <c r="U4705">
        <v>7</v>
      </c>
      <c r="V4705">
        <v>3</v>
      </c>
      <c r="W4705">
        <v>0</v>
      </c>
      <c r="X4705">
        <v>0</v>
      </c>
      <c r="Y4705">
        <v>0</v>
      </c>
      <c r="Z4705">
        <v>0</v>
      </c>
    </row>
    <row r="4706" spans="1:26" x14ac:dyDescent="0.2">
      <c r="A4706" t="s">
        <v>4824</v>
      </c>
      <c r="B4706" t="s">
        <v>102</v>
      </c>
      <c r="C4706">
        <v>2021</v>
      </c>
      <c r="D4706" t="s">
        <v>51</v>
      </c>
      <c r="E4706" t="s">
        <v>69</v>
      </c>
      <c r="F4706" t="s">
        <v>20</v>
      </c>
      <c r="G4706">
        <v>36284</v>
      </c>
      <c r="H4706">
        <v>29027.200000000001</v>
      </c>
      <c r="I4706" s="13">
        <v>0.66666666666666663</v>
      </c>
      <c r="J4706" t="s">
        <v>6209</v>
      </c>
      <c r="K4706">
        <v>3</v>
      </c>
      <c r="L4706">
        <v>0</v>
      </c>
      <c r="M4706" t="s">
        <v>0</v>
      </c>
      <c r="N4706" s="2">
        <v>0.41</v>
      </c>
      <c r="O4706" s="2">
        <v>0.59</v>
      </c>
      <c r="P4706">
        <v>8</v>
      </c>
      <c r="Q4706">
        <v>13</v>
      </c>
      <c r="R4706">
        <v>6</v>
      </c>
      <c r="S4706">
        <v>4</v>
      </c>
      <c r="T4706">
        <v>11</v>
      </c>
      <c r="U4706">
        <v>4</v>
      </c>
      <c r="V4706">
        <v>1</v>
      </c>
      <c r="W4706">
        <v>2</v>
      </c>
      <c r="X4706">
        <v>0</v>
      </c>
      <c r="Y4706">
        <v>0</v>
      </c>
      <c r="Z4706">
        <v>0</v>
      </c>
    </row>
    <row r="4707" spans="1:26" x14ac:dyDescent="0.2">
      <c r="A4707" t="s">
        <v>4825</v>
      </c>
      <c r="B4707" t="s">
        <v>76</v>
      </c>
      <c r="C4707">
        <v>2021</v>
      </c>
      <c r="D4707" t="s">
        <v>48</v>
      </c>
      <c r="E4707" t="s">
        <v>79</v>
      </c>
      <c r="F4707" t="s">
        <v>49</v>
      </c>
      <c r="G4707">
        <v>74197</v>
      </c>
      <c r="H4707">
        <v>59357.600000000006</v>
      </c>
      <c r="I4707" s="13">
        <v>0.25</v>
      </c>
      <c r="J4707" t="s">
        <v>6207</v>
      </c>
      <c r="K4707">
        <v>1</v>
      </c>
      <c r="L4707">
        <v>0</v>
      </c>
      <c r="M4707" t="s">
        <v>0</v>
      </c>
      <c r="N4707" s="2">
        <v>0.61</v>
      </c>
      <c r="O4707" s="2">
        <v>0.39</v>
      </c>
      <c r="P4707">
        <v>9</v>
      </c>
      <c r="Q4707">
        <v>20</v>
      </c>
      <c r="R4707">
        <v>9</v>
      </c>
      <c r="S4707">
        <v>6</v>
      </c>
      <c r="T4707">
        <v>16</v>
      </c>
      <c r="U4707">
        <v>9</v>
      </c>
      <c r="V4707">
        <v>2</v>
      </c>
      <c r="W4707">
        <v>2</v>
      </c>
      <c r="X4707">
        <v>0</v>
      </c>
      <c r="Y4707">
        <v>0</v>
      </c>
      <c r="Z4707">
        <v>0</v>
      </c>
    </row>
    <row r="4708" spans="1:26" x14ac:dyDescent="0.2">
      <c r="A4708" t="s">
        <v>4826</v>
      </c>
      <c r="B4708" t="s">
        <v>93</v>
      </c>
      <c r="C4708">
        <v>2021</v>
      </c>
      <c r="D4708" t="s">
        <v>33</v>
      </c>
      <c r="E4708" t="s">
        <v>101</v>
      </c>
      <c r="F4708" t="s">
        <v>33</v>
      </c>
      <c r="G4708">
        <v>37645</v>
      </c>
      <c r="H4708">
        <v>30116</v>
      </c>
      <c r="I4708" s="13">
        <v>0.375</v>
      </c>
      <c r="J4708" t="s">
        <v>6206</v>
      </c>
      <c r="K4708">
        <v>2</v>
      </c>
      <c r="L4708">
        <v>2</v>
      </c>
      <c r="M4708" t="s">
        <v>58</v>
      </c>
      <c r="N4708" s="2">
        <v>0.63</v>
      </c>
      <c r="O4708" s="2">
        <v>0.37</v>
      </c>
      <c r="P4708">
        <v>10</v>
      </c>
      <c r="Q4708">
        <v>18</v>
      </c>
      <c r="R4708">
        <v>5</v>
      </c>
      <c r="S4708">
        <v>1</v>
      </c>
      <c r="T4708">
        <v>11</v>
      </c>
      <c r="U4708">
        <v>9</v>
      </c>
      <c r="V4708">
        <v>5</v>
      </c>
      <c r="W4708">
        <v>3</v>
      </c>
      <c r="X4708">
        <v>0</v>
      </c>
      <c r="Y4708">
        <v>0</v>
      </c>
      <c r="Z4708">
        <v>0</v>
      </c>
    </row>
    <row r="4709" spans="1:26" x14ac:dyDescent="0.2">
      <c r="A4709" t="s">
        <v>4827</v>
      </c>
      <c r="B4709" t="s">
        <v>66</v>
      </c>
      <c r="C4709">
        <v>2021</v>
      </c>
      <c r="D4709" t="s">
        <v>42</v>
      </c>
      <c r="E4709" t="s">
        <v>80</v>
      </c>
      <c r="F4709" t="s">
        <v>38</v>
      </c>
      <c r="G4709">
        <v>42918</v>
      </c>
      <c r="H4709">
        <v>34334.400000000001</v>
      </c>
      <c r="I4709" s="13">
        <v>0.5</v>
      </c>
      <c r="J4709" t="s">
        <v>6207</v>
      </c>
      <c r="K4709">
        <v>2</v>
      </c>
      <c r="L4709">
        <v>1</v>
      </c>
      <c r="M4709" t="s">
        <v>0</v>
      </c>
      <c r="N4709" s="2">
        <v>0.41</v>
      </c>
      <c r="O4709" s="2">
        <v>0.59</v>
      </c>
      <c r="P4709">
        <v>24</v>
      </c>
      <c r="Q4709">
        <v>9</v>
      </c>
      <c r="R4709">
        <v>3</v>
      </c>
      <c r="S4709">
        <v>6</v>
      </c>
      <c r="T4709">
        <v>8</v>
      </c>
      <c r="U4709">
        <v>25</v>
      </c>
      <c r="V4709">
        <v>1</v>
      </c>
      <c r="W4709">
        <v>1</v>
      </c>
      <c r="X4709">
        <v>0</v>
      </c>
      <c r="Y4709">
        <v>0</v>
      </c>
      <c r="Z4709">
        <v>0</v>
      </c>
    </row>
    <row r="4710" spans="1:26" x14ac:dyDescent="0.2">
      <c r="A4710" t="s">
        <v>4828</v>
      </c>
      <c r="B4710" t="s">
        <v>41</v>
      </c>
      <c r="C4710">
        <v>2021</v>
      </c>
      <c r="D4710" t="s">
        <v>45</v>
      </c>
      <c r="E4710" t="s">
        <v>46</v>
      </c>
      <c r="F4710" t="s">
        <v>26</v>
      </c>
      <c r="G4710">
        <v>39572</v>
      </c>
      <c r="H4710">
        <v>31657.600000000002</v>
      </c>
      <c r="I4710" s="13">
        <v>0.75</v>
      </c>
      <c r="J4710" t="s">
        <v>6207</v>
      </c>
      <c r="K4710">
        <v>2</v>
      </c>
      <c r="L4710">
        <v>1</v>
      </c>
      <c r="M4710" t="s">
        <v>0</v>
      </c>
      <c r="N4710" s="2">
        <v>0.36</v>
      </c>
      <c r="O4710" s="2">
        <v>0.64</v>
      </c>
      <c r="P4710">
        <v>13</v>
      </c>
      <c r="Q4710">
        <v>12</v>
      </c>
      <c r="R4710">
        <v>3</v>
      </c>
      <c r="S4710">
        <v>3</v>
      </c>
      <c r="T4710">
        <v>8</v>
      </c>
      <c r="U4710">
        <v>12</v>
      </c>
      <c r="V4710">
        <v>2</v>
      </c>
      <c r="W4710">
        <v>2</v>
      </c>
      <c r="X4710">
        <v>0</v>
      </c>
      <c r="Y4710">
        <v>0</v>
      </c>
      <c r="Z4710">
        <v>0</v>
      </c>
    </row>
    <row r="4711" spans="1:26" x14ac:dyDescent="0.2">
      <c r="A4711" t="s">
        <v>4829</v>
      </c>
      <c r="B4711" t="s">
        <v>66</v>
      </c>
      <c r="C4711">
        <v>2021</v>
      </c>
      <c r="D4711" t="s">
        <v>101</v>
      </c>
      <c r="E4711" t="s">
        <v>85</v>
      </c>
      <c r="F4711" t="s">
        <v>101</v>
      </c>
      <c r="G4711">
        <v>17250</v>
      </c>
      <c r="H4711">
        <v>13800</v>
      </c>
      <c r="I4711" s="13">
        <v>0.75</v>
      </c>
      <c r="J4711" t="s">
        <v>6207</v>
      </c>
      <c r="K4711">
        <v>2</v>
      </c>
      <c r="L4711">
        <v>1</v>
      </c>
      <c r="M4711" t="s">
        <v>0</v>
      </c>
      <c r="N4711" s="2">
        <v>0.63</v>
      </c>
      <c r="O4711" s="2">
        <v>0.37</v>
      </c>
      <c r="P4711">
        <v>15</v>
      </c>
      <c r="Q4711">
        <v>12</v>
      </c>
      <c r="R4711">
        <v>8</v>
      </c>
      <c r="S4711">
        <v>2</v>
      </c>
      <c r="T4711">
        <v>12</v>
      </c>
      <c r="U4711">
        <v>18</v>
      </c>
      <c r="V4711">
        <v>4</v>
      </c>
      <c r="W4711">
        <v>0</v>
      </c>
      <c r="X4711">
        <v>0</v>
      </c>
      <c r="Y4711">
        <v>0</v>
      </c>
      <c r="Z4711">
        <v>1</v>
      </c>
    </row>
    <row r="4712" spans="1:26" x14ac:dyDescent="0.2">
      <c r="A4712" t="s">
        <v>4830</v>
      </c>
      <c r="B4712" t="s">
        <v>68</v>
      </c>
      <c r="C4712">
        <v>2021</v>
      </c>
      <c r="D4712" t="s">
        <v>40</v>
      </c>
      <c r="E4712" t="s">
        <v>22</v>
      </c>
      <c r="F4712" t="s">
        <v>49</v>
      </c>
      <c r="G4712">
        <v>53400</v>
      </c>
      <c r="H4712">
        <v>42720</v>
      </c>
      <c r="I4712" s="13">
        <v>0.8571428571428571</v>
      </c>
      <c r="J4712" t="s">
        <v>6207</v>
      </c>
      <c r="K4712">
        <v>1</v>
      </c>
      <c r="L4712">
        <v>0</v>
      </c>
      <c r="M4712" t="s">
        <v>0</v>
      </c>
      <c r="N4712" s="2">
        <v>0.71</v>
      </c>
      <c r="O4712" s="2">
        <v>0.28999999999999998</v>
      </c>
      <c r="P4712">
        <v>4</v>
      </c>
      <c r="Q4712">
        <v>12</v>
      </c>
      <c r="R4712">
        <v>14</v>
      </c>
      <c r="S4712">
        <v>1</v>
      </c>
      <c r="T4712">
        <v>12</v>
      </c>
      <c r="U4712">
        <v>5</v>
      </c>
      <c r="V4712">
        <v>3</v>
      </c>
      <c r="W4712">
        <v>3</v>
      </c>
      <c r="X4712">
        <v>0</v>
      </c>
      <c r="Y4712">
        <v>1</v>
      </c>
      <c r="Z4712">
        <v>1</v>
      </c>
    </row>
    <row r="4713" spans="1:26" x14ac:dyDescent="0.2">
      <c r="A4713" t="s">
        <v>4831</v>
      </c>
      <c r="B4713" t="s">
        <v>59</v>
      </c>
      <c r="C4713">
        <v>2021</v>
      </c>
      <c r="D4713" t="s">
        <v>26</v>
      </c>
      <c r="E4713" t="s">
        <v>42</v>
      </c>
      <c r="F4713" t="s">
        <v>26</v>
      </c>
      <c r="G4713">
        <v>61276</v>
      </c>
      <c r="H4713">
        <v>49020.800000000003</v>
      </c>
      <c r="I4713" s="13">
        <v>0.33333333333333331</v>
      </c>
      <c r="J4713" t="s">
        <v>6206</v>
      </c>
      <c r="K4713">
        <v>1</v>
      </c>
      <c r="L4713">
        <v>0</v>
      </c>
      <c r="M4713" t="s">
        <v>0</v>
      </c>
      <c r="N4713" s="2">
        <v>0.63</v>
      </c>
      <c r="O4713" s="2">
        <v>0.37</v>
      </c>
      <c r="P4713">
        <v>6</v>
      </c>
      <c r="Q4713">
        <v>15</v>
      </c>
      <c r="R4713">
        <v>11</v>
      </c>
      <c r="S4713">
        <v>3</v>
      </c>
      <c r="T4713">
        <v>13</v>
      </c>
      <c r="U4713">
        <v>6</v>
      </c>
      <c r="V4713">
        <v>1</v>
      </c>
      <c r="W4713">
        <v>2</v>
      </c>
      <c r="X4713">
        <v>0</v>
      </c>
      <c r="Y4713">
        <v>0</v>
      </c>
      <c r="Z4713">
        <v>1</v>
      </c>
    </row>
    <row r="4714" spans="1:26" x14ac:dyDescent="0.2">
      <c r="A4714" t="s">
        <v>4832</v>
      </c>
      <c r="B4714" t="s">
        <v>88</v>
      </c>
      <c r="C4714">
        <v>2021</v>
      </c>
      <c r="D4714" t="s">
        <v>18</v>
      </c>
      <c r="E4714" t="s">
        <v>33</v>
      </c>
      <c r="F4714" t="s">
        <v>20</v>
      </c>
      <c r="G4714">
        <v>40341</v>
      </c>
      <c r="H4714">
        <v>32272.800000000003</v>
      </c>
      <c r="I4714" s="13">
        <v>0.5714285714285714</v>
      </c>
      <c r="J4714" t="s">
        <v>6207</v>
      </c>
      <c r="K4714">
        <v>3</v>
      </c>
      <c r="L4714">
        <v>2</v>
      </c>
      <c r="M4714" t="s">
        <v>0</v>
      </c>
      <c r="N4714" s="2">
        <v>0.57999999999999996</v>
      </c>
      <c r="O4714" s="2">
        <v>0.42</v>
      </c>
      <c r="P4714">
        <v>18</v>
      </c>
      <c r="Q4714">
        <v>8</v>
      </c>
      <c r="R4714">
        <v>5</v>
      </c>
      <c r="S4714">
        <v>2</v>
      </c>
      <c r="T4714">
        <v>9</v>
      </c>
      <c r="U4714">
        <v>15</v>
      </c>
      <c r="V4714">
        <v>2</v>
      </c>
      <c r="W4714">
        <v>5</v>
      </c>
      <c r="X4714">
        <v>0</v>
      </c>
      <c r="Y4714">
        <v>0</v>
      </c>
      <c r="Z4714">
        <v>3</v>
      </c>
    </row>
    <row r="4715" spans="1:26" x14ac:dyDescent="0.2">
      <c r="A4715" t="s">
        <v>4833</v>
      </c>
      <c r="B4715" t="s">
        <v>102</v>
      </c>
      <c r="C4715">
        <v>2021</v>
      </c>
      <c r="D4715" t="s">
        <v>46</v>
      </c>
      <c r="E4715" t="s">
        <v>73</v>
      </c>
      <c r="F4715" t="s">
        <v>20</v>
      </c>
      <c r="G4715">
        <v>60704</v>
      </c>
      <c r="H4715">
        <v>48563.200000000004</v>
      </c>
      <c r="I4715" s="13">
        <v>0.5</v>
      </c>
      <c r="J4715" t="s">
        <v>6209</v>
      </c>
      <c r="K4715">
        <v>3</v>
      </c>
      <c r="L4715">
        <v>0</v>
      </c>
      <c r="M4715" t="s">
        <v>0</v>
      </c>
      <c r="N4715" s="2">
        <v>0.62</v>
      </c>
      <c r="O4715" s="2">
        <v>0.38</v>
      </c>
      <c r="P4715">
        <v>10</v>
      </c>
      <c r="Q4715">
        <v>8</v>
      </c>
      <c r="R4715">
        <v>9</v>
      </c>
      <c r="S4715">
        <v>8</v>
      </c>
      <c r="T4715">
        <v>5</v>
      </c>
      <c r="U4715">
        <v>9</v>
      </c>
      <c r="V4715">
        <v>2</v>
      </c>
      <c r="W4715">
        <v>0</v>
      </c>
      <c r="X4715">
        <v>0</v>
      </c>
      <c r="Y4715">
        <v>0</v>
      </c>
      <c r="Z4715">
        <v>0</v>
      </c>
    </row>
    <row r="4716" spans="1:26" x14ac:dyDescent="0.2">
      <c r="A4716" t="s">
        <v>4834</v>
      </c>
      <c r="B4716" t="s">
        <v>100</v>
      </c>
      <c r="C4716">
        <v>2021</v>
      </c>
      <c r="D4716" t="s">
        <v>69</v>
      </c>
      <c r="E4716" t="s">
        <v>48</v>
      </c>
      <c r="F4716" t="s">
        <v>69</v>
      </c>
      <c r="G4716">
        <v>27359</v>
      </c>
      <c r="H4716">
        <v>21887.200000000001</v>
      </c>
      <c r="I4716" s="13">
        <v>1</v>
      </c>
      <c r="J4716" t="s">
        <v>6207</v>
      </c>
      <c r="K4716">
        <v>0</v>
      </c>
      <c r="L4716">
        <v>1</v>
      </c>
      <c r="M4716" t="s">
        <v>1</v>
      </c>
      <c r="N4716" s="2">
        <v>0.47</v>
      </c>
      <c r="O4716" s="2">
        <v>0.53</v>
      </c>
      <c r="P4716">
        <v>17</v>
      </c>
      <c r="Q4716">
        <v>1</v>
      </c>
      <c r="R4716">
        <v>8</v>
      </c>
      <c r="S4716">
        <v>6</v>
      </c>
      <c r="T4716">
        <v>6</v>
      </c>
      <c r="U4716">
        <v>17</v>
      </c>
      <c r="V4716">
        <v>1</v>
      </c>
      <c r="W4716">
        <v>1</v>
      </c>
      <c r="X4716">
        <v>0</v>
      </c>
      <c r="Y4716">
        <v>0</v>
      </c>
      <c r="Z4716">
        <v>1</v>
      </c>
    </row>
    <row r="4717" spans="1:26" x14ac:dyDescent="0.2">
      <c r="A4717" t="s">
        <v>4835</v>
      </c>
      <c r="B4717" t="s">
        <v>97</v>
      </c>
      <c r="C4717">
        <v>2021</v>
      </c>
      <c r="D4717" t="s">
        <v>80</v>
      </c>
      <c r="E4717" t="s">
        <v>64</v>
      </c>
      <c r="F4717" t="s">
        <v>80</v>
      </c>
      <c r="G4717">
        <v>32261</v>
      </c>
      <c r="H4717">
        <v>25808.800000000003</v>
      </c>
      <c r="I4717" s="13">
        <v>0.8</v>
      </c>
      <c r="J4717" t="s">
        <v>6207</v>
      </c>
      <c r="K4717">
        <v>4</v>
      </c>
      <c r="L4717">
        <v>0</v>
      </c>
      <c r="M4717" t="s">
        <v>0</v>
      </c>
      <c r="N4717" s="2">
        <v>0.47</v>
      </c>
      <c r="O4717" s="2">
        <v>0.53</v>
      </c>
      <c r="P4717">
        <v>16</v>
      </c>
      <c r="Q4717">
        <v>9</v>
      </c>
      <c r="R4717">
        <v>4</v>
      </c>
      <c r="S4717">
        <v>6</v>
      </c>
      <c r="T4717">
        <v>9</v>
      </c>
      <c r="U4717">
        <v>16</v>
      </c>
      <c r="V4717">
        <v>2</v>
      </c>
      <c r="W4717">
        <v>3</v>
      </c>
      <c r="X4717">
        <v>0</v>
      </c>
      <c r="Y4717">
        <v>0</v>
      </c>
      <c r="Z4717">
        <v>1</v>
      </c>
    </row>
    <row r="4718" spans="1:26" x14ac:dyDescent="0.2">
      <c r="A4718" t="s">
        <v>4836</v>
      </c>
      <c r="B4718" t="s">
        <v>83</v>
      </c>
      <c r="C4718">
        <v>2021</v>
      </c>
      <c r="D4718" t="s">
        <v>28</v>
      </c>
      <c r="E4718" t="s">
        <v>23</v>
      </c>
      <c r="F4718" t="s">
        <v>28</v>
      </c>
      <c r="G4718">
        <v>21944</v>
      </c>
      <c r="H4718">
        <v>17555.2</v>
      </c>
      <c r="I4718" s="13">
        <v>0</v>
      </c>
      <c r="J4718" t="s">
        <v>6208</v>
      </c>
      <c r="K4718">
        <v>0</v>
      </c>
      <c r="L4718">
        <v>0</v>
      </c>
      <c r="M4718" t="s">
        <v>58</v>
      </c>
      <c r="N4718" s="2">
        <v>0.4</v>
      </c>
      <c r="O4718" s="2">
        <v>0.6</v>
      </c>
      <c r="P4718">
        <v>10</v>
      </c>
      <c r="Q4718">
        <v>12</v>
      </c>
      <c r="R4718">
        <v>6</v>
      </c>
      <c r="S4718">
        <v>14</v>
      </c>
      <c r="T4718">
        <v>13</v>
      </c>
      <c r="U4718">
        <v>11</v>
      </c>
      <c r="V4718">
        <v>2</v>
      </c>
      <c r="W4718">
        <v>1</v>
      </c>
      <c r="X4718">
        <v>0</v>
      </c>
      <c r="Y4718">
        <v>0</v>
      </c>
      <c r="Z4718">
        <v>0</v>
      </c>
    </row>
    <row r="4719" spans="1:26" x14ac:dyDescent="0.2">
      <c r="A4719" t="s">
        <v>4837</v>
      </c>
      <c r="B4719" t="s">
        <v>92</v>
      </c>
      <c r="C4719">
        <v>2021</v>
      </c>
      <c r="D4719" t="s">
        <v>79</v>
      </c>
      <c r="E4719" t="s">
        <v>45</v>
      </c>
      <c r="F4719" t="s">
        <v>20</v>
      </c>
      <c r="G4719">
        <v>25486</v>
      </c>
      <c r="H4719">
        <v>20388.800000000003</v>
      </c>
      <c r="I4719" s="13">
        <v>1</v>
      </c>
      <c r="J4719" t="s">
        <v>6207</v>
      </c>
      <c r="K4719">
        <v>3</v>
      </c>
      <c r="L4719">
        <v>1</v>
      </c>
      <c r="M4719" t="s">
        <v>0</v>
      </c>
      <c r="N4719" s="2">
        <v>0.61</v>
      </c>
      <c r="O4719" s="2">
        <v>0.39</v>
      </c>
      <c r="P4719">
        <v>11</v>
      </c>
      <c r="Q4719">
        <v>14</v>
      </c>
      <c r="R4719">
        <v>8</v>
      </c>
      <c r="S4719">
        <v>2</v>
      </c>
      <c r="T4719">
        <v>15</v>
      </c>
      <c r="U4719">
        <v>14</v>
      </c>
      <c r="V4719">
        <v>0</v>
      </c>
      <c r="W4719">
        <v>2</v>
      </c>
      <c r="X4719">
        <v>0</v>
      </c>
      <c r="Y4719">
        <v>0</v>
      </c>
      <c r="Z4719">
        <v>0</v>
      </c>
    </row>
    <row r="4720" spans="1:26" x14ac:dyDescent="0.2">
      <c r="A4720" t="s">
        <v>4838</v>
      </c>
      <c r="B4720" t="s">
        <v>93</v>
      </c>
      <c r="C4720">
        <v>2021</v>
      </c>
      <c r="D4720" t="s">
        <v>69</v>
      </c>
      <c r="E4720" t="s">
        <v>42</v>
      </c>
      <c r="F4720" t="s">
        <v>69</v>
      </c>
      <c r="G4720">
        <v>27359</v>
      </c>
      <c r="H4720">
        <v>21887.200000000001</v>
      </c>
      <c r="I4720" s="13">
        <v>0</v>
      </c>
      <c r="J4720" t="s">
        <v>6206</v>
      </c>
      <c r="K4720">
        <v>0</v>
      </c>
      <c r="L4720">
        <v>2</v>
      </c>
      <c r="M4720" t="s">
        <v>1</v>
      </c>
      <c r="N4720" s="2">
        <v>0.5</v>
      </c>
      <c r="O4720" s="2">
        <v>0.5</v>
      </c>
      <c r="P4720">
        <v>8</v>
      </c>
      <c r="Q4720">
        <v>10</v>
      </c>
      <c r="R4720">
        <v>7</v>
      </c>
      <c r="S4720">
        <v>10</v>
      </c>
      <c r="T4720">
        <v>12</v>
      </c>
      <c r="U4720">
        <v>9</v>
      </c>
      <c r="V4720">
        <v>3</v>
      </c>
      <c r="W4720">
        <v>1</v>
      </c>
      <c r="X4720">
        <v>0</v>
      </c>
      <c r="Y4720">
        <v>0</v>
      </c>
      <c r="Z4720">
        <v>0</v>
      </c>
    </row>
    <row r="4721" spans="1:26" x14ac:dyDescent="0.2">
      <c r="A4721" t="s">
        <v>4839</v>
      </c>
      <c r="B4721" t="s">
        <v>81</v>
      </c>
      <c r="C4721">
        <v>2021</v>
      </c>
      <c r="D4721" t="s">
        <v>40</v>
      </c>
      <c r="E4721" t="s">
        <v>33</v>
      </c>
      <c r="F4721" t="s">
        <v>49</v>
      </c>
      <c r="G4721">
        <v>53400</v>
      </c>
      <c r="H4721">
        <v>42720</v>
      </c>
      <c r="I4721" s="13">
        <v>1</v>
      </c>
      <c r="J4721" t="s">
        <v>6207</v>
      </c>
      <c r="K4721">
        <v>7</v>
      </c>
      <c r="L4721">
        <v>0</v>
      </c>
      <c r="M4721" t="s">
        <v>0</v>
      </c>
      <c r="N4721" s="2">
        <v>0.64</v>
      </c>
      <c r="O4721" s="2">
        <v>0.36</v>
      </c>
      <c r="P4721">
        <v>7</v>
      </c>
      <c r="Q4721">
        <v>6</v>
      </c>
      <c r="R4721">
        <v>6</v>
      </c>
      <c r="S4721">
        <v>2</v>
      </c>
      <c r="T4721">
        <v>5</v>
      </c>
      <c r="U4721">
        <v>9</v>
      </c>
      <c r="V4721">
        <v>1</v>
      </c>
      <c r="W4721">
        <v>1</v>
      </c>
      <c r="X4721">
        <v>0</v>
      </c>
      <c r="Y4721">
        <v>0</v>
      </c>
      <c r="Z4721">
        <v>0</v>
      </c>
    </row>
    <row r="4722" spans="1:26" x14ac:dyDescent="0.2">
      <c r="A4722" t="s">
        <v>4840</v>
      </c>
      <c r="B4722" t="s">
        <v>84</v>
      </c>
      <c r="C4722">
        <v>2021</v>
      </c>
      <c r="D4722" t="s">
        <v>79</v>
      </c>
      <c r="E4722" t="s">
        <v>73</v>
      </c>
      <c r="F4722" t="s">
        <v>20</v>
      </c>
      <c r="G4722">
        <v>25486</v>
      </c>
      <c r="H4722">
        <v>20388.800000000003</v>
      </c>
      <c r="I4722" s="13">
        <v>0.5</v>
      </c>
      <c r="J4722" t="s">
        <v>6208</v>
      </c>
      <c r="K4722">
        <v>2</v>
      </c>
      <c r="L4722">
        <v>2</v>
      </c>
      <c r="M4722" t="s">
        <v>58</v>
      </c>
      <c r="N4722" s="2">
        <v>0.6</v>
      </c>
      <c r="O4722" s="2">
        <v>0.4</v>
      </c>
      <c r="P4722">
        <v>23</v>
      </c>
      <c r="Q4722">
        <v>17</v>
      </c>
      <c r="R4722">
        <v>4</v>
      </c>
      <c r="S4722">
        <v>6</v>
      </c>
      <c r="T4722">
        <v>16</v>
      </c>
      <c r="U4722">
        <v>20</v>
      </c>
      <c r="V4722">
        <v>2</v>
      </c>
      <c r="W4722">
        <v>4</v>
      </c>
      <c r="X4722">
        <v>0</v>
      </c>
      <c r="Y4722">
        <v>0</v>
      </c>
      <c r="Z4722">
        <v>0</v>
      </c>
    </row>
    <row r="4723" spans="1:26" x14ac:dyDescent="0.2">
      <c r="A4723" t="s">
        <v>4841</v>
      </c>
      <c r="B4723" t="s">
        <v>105</v>
      </c>
      <c r="C4723">
        <v>2021</v>
      </c>
      <c r="D4723" t="s">
        <v>90</v>
      </c>
      <c r="E4723" t="s">
        <v>22</v>
      </c>
      <c r="F4723" t="s">
        <v>91</v>
      </c>
      <c r="G4723">
        <v>31876</v>
      </c>
      <c r="H4723">
        <v>25500.800000000003</v>
      </c>
      <c r="I4723" s="13">
        <v>0.5</v>
      </c>
      <c r="J4723" t="s">
        <v>6207</v>
      </c>
      <c r="K4723">
        <v>0</v>
      </c>
      <c r="L4723">
        <v>1</v>
      </c>
      <c r="M4723" t="s">
        <v>1</v>
      </c>
      <c r="N4723" s="2">
        <v>0.59</v>
      </c>
      <c r="O4723" s="2">
        <v>0.41</v>
      </c>
      <c r="P4723">
        <v>16</v>
      </c>
      <c r="Q4723">
        <v>12</v>
      </c>
      <c r="R4723">
        <v>7</v>
      </c>
      <c r="S4723">
        <v>4</v>
      </c>
      <c r="T4723">
        <v>11</v>
      </c>
      <c r="U4723">
        <v>15</v>
      </c>
      <c r="V4723">
        <v>2</v>
      </c>
      <c r="W4723">
        <v>0</v>
      </c>
      <c r="X4723">
        <v>0</v>
      </c>
      <c r="Y4723">
        <v>0</v>
      </c>
      <c r="Z4723">
        <v>0</v>
      </c>
    </row>
    <row r="4724" spans="1:26" x14ac:dyDescent="0.2">
      <c r="A4724" t="s">
        <v>4842</v>
      </c>
      <c r="B4724" t="s">
        <v>61</v>
      </c>
      <c r="C4724">
        <v>2021</v>
      </c>
      <c r="D4724" t="s">
        <v>46</v>
      </c>
      <c r="E4724" t="s">
        <v>23</v>
      </c>
      <c r="F4724" t="s">
        <v>20</v>
      </c>
      <c r="G4724">
        <v>60704</v>
      </c>
      <c r="H4724">
        <v>48563.200000000004</v>
      </c>
      <c r="I4724" s="13">
        <v>0.5</v>
      </c>
      <c r="J4724" t="s">
        <v>6207</v>
      </c>
      <c r="K4724">
        <v>2</v>
      </c>
      <c r="L4724">
        <v>0</v>
      </c>
      <c r="M4724" t="s">
        <v>0</v>
      </c>
      <c r="N4724" s="2">
        <v>0.56000000000000005</v>
      </c>
      <c r="O4724" s="2">
        <v>0.44</v>
      </c>
      <c r="P4724">
        <v>8</v>
      </c>
      <c r="Q4724">
        <v>8</v>
      </c>
      <c r="R4724">
        <v>5</v>
      </c>
      <c r="S4724">
        <v>2</v>
      </c>
      <c r="T4724">
        <v>9</v>
      </c>
      <c r="U4724">
        <v>9</v>
      </c>
      <c r="V4724">
        <v>2</v>
      </c>
      <c r="W4724">
        <v>1</v>
      </c>
      <c r="X4724">
        <v>0</v>
      </c>
      <c r="Y4724">
        <v>1</v>
      </c>
      <c r="Z4724">
        <v>1</v>
      </c>
    </row>
    <row r="4725" spans="1:26" x14ac:dyDescent="0.2">
      <c r="A4725" t="s">
        <v>4843</v>
      </c>
      <c r="B4725" t="s">
        <v>66</v>
      </c>
      <c r="C4725">
        <v>2021</v>
      </c>
      <c r="D4725" t="s">
        <v>18</v>
      </c>
      <c r="E4725" t="s">
        <v>45</v>
      </c>
      <c r="F4725" t="s">
        <v>20</v>
      </c>
      <c r="G4725">
        <v>40341</v>
      </c>
      <c r="H4725">
        <v>32272.800000000003</v>
      </c>
      <c r="I4725" s="13">
        <v>0.6</v>
      </c>
      <c r="J4725" t="s">
        <v>6207</v>
      </c>
      <c r="K4725">
        <v>1</v>
      </c>
      <c r="L4725">
        <v>1</v>
      </c>
      <c r="M4725" t="s">
        <v>58</v>
      </c>
      <c r="N4725" s="2">
        <v>0.8</v>
      </c>
      <c r="O4725" s="2">
        <v>0.2</v>
      </c>
      <c r="P4725">
        <v>7</v>
      </c>
      <c r="Q4725">
        <v>10</v>
      </c>
      <c r="R4725">
        <v>7</v>
      </c>
      <c r="S4725">
        <v>1</v>
      </c>
      <c r="T4725">
        <v>11</v>
      </c>
      <c r="U4725">
        <v>11</v>
      </c>
      <c r="V4725">
        <v>2</v>
      </c>
      <c r="W4725">
        <v>3</v>
      </c>
      <c r="X4725">
        <v>0</v>
      </c>
      <c r="Y4725">
        <v>0</v>
      </c>
      <c r="Z4725">
        <v>0</v>
      </c>
    </row>
    <row r="4726" spans="1:26" x14ac:dyDescent="0.2">
      <c r="A4726" t="s">
        <v>4844</v>
      </c>
      <c r="B4726" t="s">
        <v>41</v>
      </c>
      <c r="C4726">
        <v>2021</v>
      </c>
      <c r="D4726" t="s">
        <v>26</v>
      </c>
      <c r="E4726" t="s">
        <v>64</v>
      </c>
      <c r="F4726" t="s">
        <v>26</v>
      </c>
      <c r="G4726">
        <v>61276</v>
      </c>
      <c r="H4726">
        <v>49020.800000000003</v>
      </c>
      <c r="I4726" s="13">
        <v>0.5</v>
      </c>
      <c r="J4726" t="s">
        <v>6207</v>
      </c>
      <c r="K4726">
        <v>3</v>
      </c>
      <c r="L4726">
        <v>1</v>
      </c>
      <c r="M4726" t="s">
        <v>0</v>
      </c>
      <c r="N4726" s="2">
        <v>0.74</v>
      </c>
      <c r="O4726" s="2">
        <v>0.26</v>
      </c>
      <c r="P4726">
        <v>5</v>
      </c>
      <c r="Q4726">
        <v>10</v>
      </c>
      <c r="R4726">
        <v>11</v>
      </c>
      <c r="S4726">
        <v>0</v>
      </c>
      <c r="T4726">
        <v>9</v>
      </c>
      <c r="U4726">
        <v>4</v>
      </c>
      <c r="V4726">
        <v>1</v>
      </c>
      <c r="W4726">
        <v>3</v>
      </c>
      <c r="X4726">
        <v>0</v>
      </c>
      <c r="Y4726">
        <v>0</v>
      </c>
      <c r="Z4726">
        <v>0</v>
      </c>
    </row>
    <row r="4727" spans="1:26" x14ac:dyDescent="0.2">
      <c r="A4727" t="s">
        <v>4845</v>
      </c>
      <c r="B4727" t="s">
        <v>37</v>
      </c>
      <c r="C4727">
        <v>2021</v>
      </c>
      <c r="D4727" t="s">
        <v>33</v>
      </c>
      <c r="E4727" t="s">
        <v>46</v>
      </c>
      <c r="F4727" t="s">
        <v>33</v>
      </c>
      <c r="G4727">
        <v>37645</v>
      </c>
      <c r="H4727">
        <v>30116</v>
      </c>
      <c r="I4727" s="13">
        <v>0.5</v>
      </c>
      <c r="J4727" t="s">
        <v>6206</v>
      </c>
      <c r="K4727">
        <v>1</v>
      </c>
      <c r="L4727">
        <v>4</v>
      </c>
      <c r="M4727" t="s">
        <v>1</v>
      </c>
      <c r="N4727" s="2">
        <v>0.51</v>
      </c>
      <c r="O4727" s="2">
        <v>0.49</v>
      </c>
      <c r="P4727">
        <v>7</v>
      </c>
      <c r="Q4727">
        <v>10</v>
      </c>
      <c r="R4727">
        <v>1</v>
      </c>
      <c r="S4727">
        <v>4</v>
      </c>
      <c r="T4727">
        <v>11</v>
      </c>
      <c r="U4727">
        <v>7</v>
      </c>
      <c r="V4727">
        <v>3</v>
      </c>
      <c r="W4727">
        <v>1</v>
      </c>
      <c r="X4727">
        <v>0</v>
      </c>
      <c r="Y4727">
        <v>0</v>
      </c>
      <c r="Z4727">
        <v>1</v>
      </c>
    </row>
    <row r="4728" spans="1:26" x14ac:dyDescent="0.2">
      <c r="A4728" t="s">
        <v>4846</v>
      </c>
      <c r="B4728" t="s">
        <v>93</v>
      </c>
      <c r="C4728">
        <v>2021</v>
      </c>
      <c r="D4728" t="s">
        <v>22</v>
      </c>
      <c r="E4728" t="s">
        <v>18</v>
      </c>
      <c r="F4728" t="s">
        <v>24</v>
      </c>
      <c r="G4728">
        <v>31750</v>
      </c>
      <c r="H4728">
        <v>25400</v>
      </c>
      <c r="I4728" s="13">
        <v>0.5</v>
      </c>
      <c r="J4728" t="s">
        <v>6206</v>
      </c>
      <c r="K4728">
        <v>0</v>
      </c>
      <c r="L4728">
        <v>0</v>
      </c>
      <c r="M4728" t="s">
        <v>58</v>
      </c>
      <c r="N4728" s="2">
        <v>0.37</v>
      </c>
      <c r="O4728" s="2">
        <v>0.63</v>
      </c>
      <c r="P4728">
        <v>11</v>
      </c>
      <c r="Q4728">
        <v>11</v>
      </c>
      <c r="R4728">
        <v>4</v>
      </c>
      <c r="S4728">
        <v>9</v>
      </c>
      <c r="T4728">
        <v>9</v>
      </c>
      <c r="U4728">
        <v>7</v>
      </c>
      <c r="V4728">
        <v>0</v>
      </c>
      <c r="W4728">
        <v>2</v>
      </c>
      <c r="X4728">
        <v>0</v>
      </c>
      <c r="Y4728">
        <v>0</v>
      </c>
      <c r="Z4728">
        <v>0</v>
      </c>
    </row>
    <row r="4729" spans="1:26" x14ac:dyDescent="0.2">
      <c r="A4729" t="s">
        <v>4847</v>
      </c>
      <c r="B4729" t="s">
        <v>32</v>
      </c>
      <c r="C4729">
        <v>2021</v>
      </c>
      <c r="D4729" t="s">
        <v>64</v>
      </c>
      <c r="E4729" t="s">
        <v>40</v>
      </c>
      <c r="F4729" t="s">
        <v>64</v>
      </c>
      <c r="G4729">
        <v>52264</v>
      </c>
      <c r="H4729">
        <v>41811.200000000004</v>
      </c>
      <c r="I4729" s="13">
        <v>1</v>
      </c>
      <c r="J4729" t="s">
        <v>6207</v>
      </c>
      <c r="K4729">
        <v>0</v>
      </c>
      <c r="L4729">
        <v>4</v>
      </c>
      <c r="M4729" t="s">
        <v>1</v>
      </c>
      <c r="N4729" s="2">
        <v>0.28000000000000003</v>
      </c>
      <c r="O4729" s="2">
        <v>0.72</v>
      </c>
      <c r="P4729">
        <v>6</v>
      </c>
      <c r="Q4729">
        <v>13</v>
      </c>
      <c r="R4729">
        <v>3</v>
      </c>
      <c r="S4729">
        <v>6</v>
      </c>
      <c r="T4729">
        <v>9</v>
      </c>
      <c r="U4729">
        <v>6</v>
      </c>
      <c r="V4729">
        <v>1</v>
      </c>
      <c r="W4729">
        <v>2</v>
      </c>
      <c r="X4729">
        <v>0</v>
      </c>
      <c r="Y4729">
        <v>0</v>
      </c>
      <c r="Z4729">
        <v>0</v>
      </c>
    </row>
    <row r="4730" spans="1:26" x14ac:dyDescent="0.2">
      <c r="A4730" t="s">
        <v>4848</v>
      </c>
      <c r="B4730" t="s">
        <v>81</v>
      </c>
      <c r="C4730">
        <v>2021</v>
      </c>
      <c r="D4730" t="s">
        <v>51</v>
      </c>
      <c r="E4730" t="s">
        <v>26</v>
      </c>
      <c r="F4730" t="s">
        <v>20</v>
      </c>
      <c r="G4730">
        <v>36284</v>
      </c>
      <c r="H4730">
        <v>29027.200000000001</v>
      </c>
      <c r="I4730" s="13">
        <v>0.3</v>
      </c>
      <c r="J4730" t="s">
        <v>6207</v>
      </c>
      <c r="K4730">
        <v>2</v>
      </c>
      <c r="L4730">
        <v>2</v>
      </c>
      <c r="M4730" t="s">
        <v>58</v>
      </c>
      <c r="N4730" s="2">
        <v>0.43</v>
      </c>
      <c r="O4730" s="2">
        <v>0.56999999999999995</v>
      </c>
      <c r="P4730">
        <v>12</v>
      </c>
      <c r="Q4730">
        <v>11</v>
      </c>
      <c r="R4730">
        <v>6</v>
      </c>
      <c r="S4730">
        <v>4</v>
      </c>
      <c r="T4730">
        <v>12</v>
      </c>
      <c r="U4730">
        <v>11</v>
      </c>
      <c r="V4730">
        <v>4</v>
      </c>
      <c r="W4730">
        <v>5</v>
      </c>
      <c r="X4730">
        <v>0</v>
      </c>
      <c r="Y4730">
        <v>1</v>
      </c>
      <c r="Z4730">
        <v>0</v>
      </c>
    </row>
    <row r="4731" spans="1:26" x14ac:dyDescent="0.2">
      <c r="A4731" t="s">
        <v>4849</v>
      </c>
      <c r="B4731" t="s">
        <v>60</v>
      </c>
      <c r="C4731">
        <v>2021</v>
      </c>
      <c r="D4731" t="s">
        <v>23</v>
      </c>
      <c r="E4731" t="s">
        <v>73</v>
      </c>
      <c r="F4731" t="s">
        <v>20</v>
      </c>
      <c r="G4731">
        <v>62500</v>
      </c>
      <c r="H4731">
        <v>50000</v>
      </c>
      <c r="I4731" s="13">
        <v>0.33333333333333331</v>
      </c>
      <c r="J4731" t="s">
        <v>6208</v>
      </c>
      <c r="K4731">
        <v>2</v>
      </c>
      <c r="L4731">
        <v>3</v>
      </c>
      <c r="M4731" t="s">
        <v>1</v>
      </c>
      <c r="N4731" s="2">
        <v>0.56000000000000005</v>
      </c>
      <c r="O4731" s="2">
        <v>0.44</v>
      </c>
      <c r="P4731">
        <v>10</v>
      </c>
      <c r="Q4731">
        <v>11</v>
      </c>
      <c r="R4731">
        <v>10</v>
      </c>
      <c r="S4731">
        <v>2</v>
      </c>
      <c r="T4731">
        <v>10</v>
      </c>
      <c r="U4731">
        <v>9</v>
      </c>
      <c r="V4731">
        <v>3</v>
      </c>
      <c r="W4731">
        <v>3</v>
      </c>
      <c r="X4731">
        <v>0</v>
      </c>
      <c r="Y4731">
        <v>0</v>
      </c>
      <c r="Z4731">
        <v>1</v>
      </c>
    </row>
    <row r="4732" spans="1:26" x14ac:dyDescent="0.2">
      <c r="A4732" t="s">
        <v>4850</v>
      </c>
      <c r="B4732" t="s">
        <v>68</v>
      </c>
      <c r="C4732">
        <v>2021</v>
      </c>
      <c r="D4732" t="s">
        <v>51</v>
      </c>
      <c r="E4732" t="s">
        <v>79</v>
      </c>
      <c r="F4732" t="s">
        <v>20</v>
      </c>
      <c r="G4732">
        <v>36284</v>
      </c>
      <c r="H4732">
        <v>29027.200000000001</v>
      </c>
      <c r="I4732" s="13">
        <v>0.5</v>
      </c>
      <c r="J4732" t="s">
        <v>6207</v>
      </c>
      <c r="K4732">
        <v>3</v>
      </c>
      <c r="L4732">
        <v>0</v>
      </c>
      <c r="M4732" t="s">
        <v>0</v>
      </c>
      <c r="N4732" s="2">
        <v>0.6</v>
      </c>
      <c r="O4732" s="2">
        <v>0.4</v>
      </c>
      <c r="P4732">
        <v>10</v>
      </c>
      <c r="Q4732">
        <v>16</v>
      </c>
      <c r="R4732">
        <v>4</v>
      </c>
      <c r="S4732">
        <v>2</v>
      </c>
      <c r="T4732">
        <v>16</v>
      </c>
      <c r="U4732">
        <v>9</v>
      </c>
      <c r="V4732">
        <v>1</v>
      </c>
      <c r="W4732">
        <v>2</v>
      </c>
      <c r="X4732">
        <v>0</v>
      </c>
      <c r="Y4732">
        <v>1</v>
      </c>
      <c r="Z4732">
        <v>0</v>
      </c>
    </row>
    <row r="4733" spans="1:26" x14ac:dyDescent="0.2">
      <c r="A4733" t="s">
        <v>4851</v>
      </c>
      <c r="B4733" t="s">
        <v>83</v>
      </c>
      <c r="C4733">
        <v>2021</v>
      </c>
      <c r="D4733" t="s">
        <v>69</v>
      </c>
      <c r="E4733" t="s">
        <v>46</v>
      </c>
      <c r="F4733" t="s">
        <v>69</v>
      </c>
      <c r="G4733">
        <v>27359</v>
      </c>
      <c r="H4733">
        <v>21887.200000000001</v>
      </c>
      <c r="I4733" s="13">
        <v>1</v>
      </c>
      <c r="J4733" t="s">
        <v>6208</v>
      </c>
      <c r="K4733">
        <v>0</v>
      </c>
      <c r="L4733">
        <v>5</v>
      </c>
      <c r="M4733" t="s">
        <v>1</v>
      </c>
      <c r="N4733" s="2">
        <v>0.35</v>
      </c>
      <c r="O4733" s="2">
        <v>0.65</v>
      </c>
      <c r="P4733">
        <v>9</v>
      </c>
      <c r="Q4733">
        <v>14</v>
      </c>
      <c r="R4733">
        <v>3</v>
      </c>
      <c r="S4733">
        <v>4</v>
      </c>
      <c r="T4733">
        <v>13</v>
      </c>
      <c r="U4733">
        <v>7</v>
      </c>
      <c r="V4733">
        <v>1</v>
      </c>
      <c r="W4733">
        <v>2</v>
      </c>
      <c r="X4733">
        <v>0</v>
      </c>
      <c r="Y4733">
        <v>0</v>
      </c>
      <c r="Z4733">
        <v>1</v>
      </c>
    </row>
    <row r="4734" spans="1:26" x14ac:dyDescent="0.2">
      <c r="A4734" t="s">
        <v>4852</v>
      </c>
      <c r="B4734" t="s">
        <v>88</v>
      </c>
      <c r="C4734">
        <v>2021</v>
      </c>
      <c r="D4734" t="s">
        <v>40</v>
      </c>
      <c r="E4734" t="s">
        <v>80</v>
      </c>
      <c r="F4734" t="s">
        <v>49</v>
      </c>
      <c r="G4734">
        <v>53400</v>
      </c>
      <c r="H4734">
        <v>42720</v>
      </c>
      <c r="I4734" s="13">
        <v>0.66666666666666663</v>
      </c>
      <c r="J4734" t="s">
        <v>6207</v>
      </c>
      <c r="K4734">
        <v>6</v>
      </c>
      <c r="L4734">
        <v>3</v>
      </c>
      <c r="M4734" t="s">
        <v>0</v>
      </c>
      <c r="N4734" s="2">
        <v>0.72</v>
      </c>
      <c r="O4734" s="2">
        <v>0.28000000000000003</v>
      </c>
      <c r="P4734">
        <v>6</v>
      </c>
      <c r="Q4734">
        <v>12</v>
      </c>
      <c r="R4734">
        <v>14</v>
      </c>
      <c r="S4734">
        <v>4</v>
      </c>
      <c r="T4734">
        <v>11</v>
      </c>
      <c r="U4734">
        <v>9</v>
      </c>
      <c r="V4734">
        <v>1</v>
      </c>
      <c r="W4734">
        <v>2</v>
      </c>
      <c r="X4734">
        <v>0</v>
      </c>
      <c r="Y4734">
        <v>0</v>
      </c>
      <c r="Z4734">
        <v>2</v>
      </c>
    </row>
    <row r="4735" spans="1:26" x14ac:dyDescent="0.2">
      <c r="A4735" t="s">
        <v>4853</v>
      </c>
      <c r="B4735" t="s">
        <v>32</v>
      </c>
      <c r="C4735">
        <v>2021</v>
      </c>
      <c r="D4735" t="s">
        <v>42</v>
      </c>
      <c r="E4735" t="s">
        <v>18</v>
      </c>
      <c r="F4735" t="s">
        <v>38</v>
      </c>
      <c r="G4735">
        <v>42918</v>
      </c>
      <c r="H4735">
        <v>34334.400000000001</v>
      </c>
      <c r="I4735" s="13">
        <v>0.5</v>
      </c>
      <c r="J4735" t="s">
        <v>6207</v>
      </c>
      <c r="K4735">
        <v>1</v>
      </c>
      <c r="L4735">
        <v>3</v>
      </c>
      <c r="M4735" t="s">
        <v>1</v>
      </c>
      <c r="N4735" s="2">
        <v>0.42</v>
      </c>
      <c r="O4735" s="2">
        <v>0.57999999999999996</v>
      </c>
      <c r="P4735">
        <v>12</v>
      </c>
      <c r="Q4735">
        <v>6</v>
      </c>
      <c r="R4735">
        <v>2</v>
      </c>
      <c r="S4735">
        <v>5</v>
      </c>
      <c r="T4735">
        <v>8</v>
      </c>
      <c r="U4735">
        <v>11</v>
      </c>
      <c r="V4735">
        <v>3</v>
      </c>
      <c r="W4735">
        <v>1</v>
      </c>
      <c r="X4735">
        <v>0</v>
      </c>
      <c r="Y4735">
        <v>0</v>
      </c>
      <c r="Z4735">
        <v>2</v>
      </c>
    </row>
    <row r="4736" spans="1:26" x14ac:dyDescent="0.2">
      <c r="A4736" t="s">
        <v>4854</v>
      </c>
      <c r="B4736" t="s">
        <v>100</v>
      </c>
      <c r="C4736">
        <v>2021</v>
      </c>
      <c r="D4736" t="s">
        <v>90</v>
      </c>
      <c r="E4736" t="s">
        <v>101</v>
      </c>
      <c r="F4736" t="s">
        <v>91</v>
      </c>
      <c r="G4736">
        <v>31876</v>
      </c>
      <c r="H4736">
        <v>25500.800000000003</v>
      </c>
      <c r="I4736" s="13">
        <v>0.5</v>
      </c>
      <c r="J4736" t="s">
        <v>6207</v>
      </c>
      <c r="K4736">
        <v>2</v>
      </c>
      <c r="L4736">
        <v>0</v>
      </c>
      <c r="M4736" t="s">
        <v>0</v>
      </c>
      <c r="N4736" s="2">
        <v>0.5</v>
      </c>
      <c r="O4736" s="2">
        <v>0.5</v>
      </c>
      <c r="P4736">
        <v>10</v>
      </c>
      <c r="Q4736">
        <v>9</v>
      </c>
      <c r="R4736">
        <v>6</v>
      </c>
      <c r="S4736">
        <v>9</v>
      </c>
      <c r="T4736">
        <v>8</v>
      </c>
      <c r="U4736">
        <v>10</v>
      </c>
      <c r="V4736">
        <v>1</v>
      </c>
      <c r="W4736">
        <v>3</v>
      </c>
      <c r="X4736">
        <v>0</v>
      </c>
      <c r="Y4736">
        <v>0</v>
      </c>
      <c r="Z4736">
        <v>0</v>
      </c>
    </row>
    <row r="4737" spans="1:26" x14ac:dyDescent="0.2">
      <c r="A4737" t="s">
        <v>4855</v>
      </c>
      <c r="B4737" t="s">
        <v>76</v>
      </c>
      <c r="C4737">
        <v>2021</v>
      </c>
      <c r="D4737" t="s">
        <v>64</v>
      </c>
      <c r="E4737" t="s">
        <v>48</v>
      </c>
      <c r="F4737" t="s">
        <v>64</v>
      </c>
      <c r="G4737">
        <v>52264</v>
      </c>
      <c r="H4737">
        <v>41811.200000000004</v>
      </c>
      <c r="I4737" s="13">
        <v>0.83333333333333337</v>
      </c>
      <c r="J4737" t="s">
        <v>6207</v>
      </c>
      <c r="K4737">
        <v>1</v>
      </c>
      <c r="L4737">
        <v>1</v>
      </c>
      <c r="M4737" t="s">
        <v>58</v>
      </c>
      <c r="N4737" s="2">
        <v>0.3</v>
      </c>
      <c r="O4737" s="2">
        <v>0.7</v>
      </c>
      <c r="P4737">
        <v>8</v>
      </c>
      <c r="Q4737">
        <v>11</v>
      </c>
      <c r="R4737">
        <v>2</v>
      </c>
      <c r="S4737">
        <v>3</v>
      </c>
      <c r="T4737">
        <v>11</v>
      </c>
      <c r="U4737">
        <v>8</v>
      </c>
      <c r="V4737">
        <v>3</v>
      </c>
      <c r="W4737">
        <v>3</v>
      </c>
      <c r="X4737">
        <v>0</v>
      </c>
      <c r="Y4737">
        <v>0</v>
      </c>
      <c r="Z4737">
        <v>0</v>
      </c>
    </row>
    <row r="4738" spans="1:26" x14ac:dyDescent="0.2">
      <c r="A4738" t="s">
        <v>4856</v>
      </c>
      <c r="B4738" t="s">
        <v>100</v>
      </c>
      <c r="C4738">
        <v>2021</v>
      </c>
      <c r="D4738" t="s">
        <v>85</v>
      </c>
      <c r="E4738" t="s">
        <v>23</v>
      </c>
      <c r="F4738" t="s">
        <v>85</v>
      </c>
      <c r="G4738">
        <v>22220</v>
      </c>
      <c r="H4738">
        <v>17776</v>
      </c>
      <c r="I4738" s="13">
        <v>0</v>
      </c>
      <c r="J4738" t="s">
        <v>6207</v>
      </c>
      <c r="K4738">
        <v>1</v>
      </c>
      <c r="L4738">
        <v>4</v>
      </c>
      <c r="M4738" t="s">
        <v>1</v>
      </c>
      <c r="N4738" s="2">
        <v>0.43</v>
      </c>
      <c r="O4738" s="2">
        <v>0.56999999999999995</v>
      </c>
      <c r="P4738">
        <v>12</v>
      </c>
      <c r="Q4738">
        <v>11</v>
      </c>
      <c r="R4738">
        <v>4</v>
      </c>
      <c r="S4738">
        <v>5</v>
      </c>
      <c r="T4738">
        <v>12</v>
      </c>
      <c r="U4738">
        <v>12</v>
      </c>
      <c r="V4738">
        <v>0</v>
      </c>
      <c r="W4738">
        <v>1</v>
      </c>
      <c r="X4738">
        <v>0</v>
      </c>
      <c r="Y4738">
        <v>0</v>
      </c>
      <c r="Z4738">
        <v>1</v>
      </c>
    </row>
    <row r="4739" spans="1:26" x14ac:dyDescent="0.2">
      <c r="A4739" t="s">
        <v>4857</v>
      </c>
      <c r="B4739" t="s">
        <v>61</v>
      </c>
      <c r="C4739">
        <v>2021</v>
      </c>
      <c r="D4739" t="s">
        <v>73</v>
      </c>
      <c r="E4739" t="s">
        <v>51</v>
      </c>
      <c r="F4739" t="s">
        <v>73</v>
      </c>
      <c r="G4739">
        <v>32384</v>
      </c>
      <c r="H4739">
        <v>25907.200000000001</v>
      </c>
      <c r="I4739" s="13">
        <v>0.2857142857142857</v>
      </c>
      <c r="J4739" t="s">
        <v>6207</v>
      </c>
      <c r="K4739">
        <v>1</v>
      </c>
      <c r="L4739">
        <v>1</v>
      </c>
      <c r="M4739" t="s">
        <v>58</v>
      </c>
      <c r="N4739" s="2">
        <v>0.35</v>
      </c>
      <c r="O4739" s="2">
        <v>0.65</v>
      </c>
      <c r="P4739">
        <v>8</v>
      </c>
      <c r="Q4739">
        <v>17</v>
      </c>
      <c r="R4739">
        <v>3</v>
      </c>
      <c r="S4739">
        <v>7</v>
      </c>
      <c r="T4739">
        <v>15</v>
      </c>
      <c r="U4739">
        <v>5</v>
      </c>
      <c r="V4739">
        <v>4</v>
      </c>
      <c r="W4739">
        <v>2</v>
      </c>
      <c r="X4739">
        <v>1</v>
      </c>
      <c r="Y4739">
        <v>0</v>
      </c>
      <c r="Z4739">
        <v>1</v>
      </c>
    </row>
    <row r="4740" spans="1:26" x14ac:dyDescent="0.2">
      <c r="A4740" t="s">
        <v>4858</v>
      </c>
      <c r="B4740" t="s">
        <v>81</v>
      </c>
      <c r="C4740">
        <v>2021</v>
      </c>
      <c r="D4740" t="s">
        <v>79</v>
      </c>
      <c r="E4740" t="s">
        <v>69</v>
      </c>
      <c r="F4740" t="s">
        <v>20</v>
      </c>
      <c r="G4740">
        <v>25486</v>
      </c>
      <c r="H4740">
        <v>20388.800000000003</v>
      </c>
      <c r="I4740" s="13">
        <v>0.33333333333333331</v>
      </c>
      <c r="J4740" t="s">
        <v>6207</v>
      </c>
      <c r="K4740">
        <v>3</v>
      </c>
      <c r="L4740">
        <v>0</v>
      </c>
      <c r="M4740" t="s">
        <v>0</v>
      </c>
      <c r="N4740" s="2">
        <v>0.51</v>
      </c>
      <c r="O4740" s="2">
        <v>0.49</v>
      </c>
      <c r="P4740">
        <v>13</v>
      </c>
      <c r="Q4740">
        <v>8</v>
      </c>
      <c r="R4740">
        <v>8</v>
      </c>
      <c r="S4740">
        <v>8</v>
      </c>
      <c r="T4740">
        <v>9</v>
      </c>
      <c r="U4740">
        <v>13</v>
      </c>
      <c r="V4740">
        <v>1</v>
      </c>
      <c r="W4740">
        <v>2</v>
      </c>
      <c r="X4740">
        <v>0</v>
      </c>
      <c r="Y4740">
        <v>0</v>
      </c>
      <c r="Z4740">
        <v>1</v>
      </c>
    </row>
    <row r="4741" spans="1:26" x14ac:dyDescent="0.2">
      <c r="A4741" t="s">
        <v>4859</v>
      </c>
      <c r="B4741" t="s">
        <v>66</v>
      </c>
      <c r="C4741">
        <v>2021</v>
      </c>
      <c r="D4741" t="s">
        <v>80</v>
      </c>
      <c r="E4741" t="s">
        <v>26</v>
      </c>
      <c r="F4741" t="s">
        <v>80</v>
      </c>
      <c r="G4741">
        <v>32261</v>
      </c>
      <c r="H4741">
        <v>25808.800000000003</v>
      </c>
      <c r="I4741" s="13">
        <v>1</v>
      </c>
      <c r="J4741" t="s">
        <v>6207</v>
      </c>
      <c r="K4741">
        <v>1</v>
      </c>
      <c r="L4741">
        <v>0</v>
      </c>
      <c r="M4741" t="s">
        <v>0</v>
      </c>
      <c r="N4741" s="2">
        <v>0.37</v>
      </c>
      <c r="O4741" s="2">
        <v>0.63</v>
      </c>
      <c r="P4741">
        <v>12</v>
      </c>
      <c r="Q4741">
        <v>8</v>
      </c>
      <c r="R4741">
        <v>1</v>
      </c>
      <c r="S4741">
        <v>12</v>
      </c>
      <c r="T4741">
        <v>8</v>
      </c>
      <c r="U4741">
        <v>11</v>
      </c>
      <c r="V4741">
        <v>0</v>
      </c>
      <c r="W4741">
        <v>1</v>
      </c>
      <c r="X4741">
        <v>0</v>
      </c>
      <c r="Y4741">
        <v>0</v>
      </c>
      <c r="Z4741">
        <v>1</v>
      </c>
    </row>
    <row r="4742" spans="1:26" x14ac:dyDescent="0.2">
      <c r="A4742" t="s">
        <v>4860</v>
      </c>
      <c r="B4742" t="s">
        <v>41</v>
      </c>
      <c r="C4742">
        <v>2021</v>
      </c>
      <c r="D4742" t="s">
        <v>18</v>
      </c>
      <c r="E4742" t="s">
        <v>90</v>
      </c>
      <c r="F4742" t="s">
        <v>20</v>
      </c>
      <c r="G4742">
        <v>40341</v>
      </c>
      <c r="H4742">
        <v>32272.800000000003</v>
      </c>
      <c r="I4742" s="13">
        <v>0.6</v>
      </c>
      <c r="J4742" t="s">
        <v>6207</v>
      </c>
      <c r="K4742">
        <v>1</v>
      </c>
      <c r="L4742">
        <v>1</v>
      </c>
      <c r="M4742" t="s">
        <v>58</v>
      </c>
      <c r="N4742" s="2">
        <v>0.48</v>
      </c>
      <c r="O4742" s="2">
        <v>0.52</v>
      </c>
      <c r="P4742">
        <v>6</v>
      </c>
      <c r="Q4742">
        <v>12</v>
      </c>
      <c r="R4742">
        <v>10</v>
      </c>
      <c r="S4742">
        <v>8</v>
      </c>
      <c r="T4742">
        <v>14</v>
      </c>
      <c r="U4742">
        <v>7</v>
      </c>
      <c r="V4742">
        <v>4</v>
      </c>
      <c r="W4742">
        <v>1</v>
      </c>
      <c r="X4742">
        <v>0</v>
      </c>
      <c r="Y4742">
        <v>0</v>
      </c>
      <c r="Z4742">
        <v>0</v>
      </c>
    </row>
    <row r="4743" spans="1:26" x14ac:dyDescent="0.2">
      <c r="A4743" t="s">
        <v>4861</v>
      </c>
      <c r="B4743" t="s">
        <v>93</v>
      </c>
      <c r="C4743">
        <v>2021</v>
      </c>
      <c r="D4743" t="s">
        <v>101</v>
      </c>
      <c r="E4743" t="s">
        <v>40</v>
      </c>
      <c r="F4743" t="s">
        <v>101</v>
      </c>
      <c r="G4743">
        <v>17250</v>
      </c>
      <c r="H4743">
        <v>13800</v>
      </c>
      <c r="I4743" s="13">
        <v>0</v>
      </c>
      <c r="J4743" t="s">
        <v>6206</v>
      </c>
      <c r="K4743">
        <v>0</v>
      </c>
      <c r="L4743">
        <v>1</v>
      </c>
      <c r="M4743" t="s">
        <v>1</v>
      </c>
      <c r="N4743" s="2">
        <v>0.24</v>
      </c>
      <c r="O4743" s="2">
        <v>0.76</v>
      </c>
      <c r="P4743">
        <v>13</v>
      </c>
      <c r="Q4743">
        <v>12</v>
      </c>
      <c r="R4743">
        <v>3</v>
      </c>
      <c r="S4743">
        <v>5</v>
      </c>
      <c r="T4743">
        <v>12</v>
      </c>
      <c r="U4743">
        <v>10</v>
      </c>
      <c r="V4743">
        <v>0</v>
      </c>
      <c r="W4743">
        <v>0</v>
      </c>
      <c r="X4743">
        <v>0</v>
      </c>
      <c r="Y4743">
        <v>0</v>
      </c>
      <c r="Z4743">
        <v>0</v>
      </c>
    </row>
    <row r="4744" spans="1:26" x14ac:dyDescent="0.2">
      <c r="A4744" t="s">
        <v>4862</v>
      </c>
      <c r="B4744" t="s">
        <v>68</v>
      </c>
      <c r="C4744">
        <v>2021</v>
      </c>
      <c r="D4744" t="s">
        <v>48</v>
      </c>
      <c r="E4744" t="s">
        <v>28</v>
      </c>
      <c r="F4744" t="s">
        <v>49</v>
      </c>
      <c r="G4744">
        <v>74197</v>
      </c>
      <c r="H4744">
        <v>59357.600000000006</v>
      </c>
      <c r="I4744" s="13">
        <v>0</v>
      </c>
      <c r="J4744" t="s">
        <v>6207</v>
      </c>
      <c r="K4744">
        <v>3</v>
      </c>
      <c r="L4744">
        <v>1</v>
      </c>
      <c r="M4744" t="s">
        <v>0</v>
      </c>
      <c r="N4744" s="2">
        <v>0.56999999999999995</v>
      </c>
      <c r="O4744" s="2">
        <v>0.43</v>
      </c>
      <c r="P4744">
        <v>13</v>
      </c>
      <c r="Q4744">
        <v>6</v>
      </c>
      <c r="R4744">
        <v>7</v>
      </c>
      <c r="S4744">
        <v>5</v>
      </c>
      <c r="T4744">
        <v>5</v>
      </c>
      <c r="U4744">
        <v>10</v>
      </c>
      <c r="V4744">
        <v>0</v>
      </c>
      <c r="W4744">
        <v>0</v>
      </c>
      <c r="X4744">
        <v>0</v>
      </c>
      <c r="Y4744">
        <v>0</v>
      </c>
      <c r="Z4744">
        <v>0</v>
      </c>
    </row>
    <row r="4745" spans="1:26" x14ac:dyDescent="0.2">
      <c r="A4745" t="s">
        <v>4863</v>
      </c>
      <c r="B4745" t="s">
        <v>59</v>
      </c>
      <c r="C4745">
        <v>2021</v>
      </c>
      <c r="D4745" t="s">
        <v>46</v>
      </c>
      <c r="E4745" t="s">
        <v>40</v>
      </c>
      <c r="F4745" t="s">
        <v>20</v>
      </c>
      <c r="G4745">
        <v>60704</v>
      </c>
      <c r="H4745">
        <v>48563.200000000004</v>
      </c>
      <c r="I4745" s="13">
        <v>0.5714285714285714</v>
      </c>
      <c r="J4745" t="s">
        <v>6206</v>
      </c>
      <c r="K4745">
        <v>1</v>
      </c>
      <c r="L4745">
        <v>2</v>
      </c>
      <c r="M4745" t="s">
        <v>1</v>
      </c>
      <c r="N4745" s="2">
        <v>0.28999999999999998</v>
      </c>
      <c r="O4745" s="2">
        <v>0.71</v>
      </c>
      <c r="P4745">
        <v>8</v>
      </c>
      <c r="Q4745">
        <v>12</v>
      </c>
      <c r="R4745">
        <v>5</v>
      </c>
      <c r="S4745">
        <v>5</v>
      </c>
      <c r="T4745">
        <v>13</v>
      </c>
      <c r="U4745">
        <v>5</v>
      </c>
      <c r="V4745">
        <v>4</v>
      </c>
      <c r="W4745">
        <v>2</v>
      </c>
      <c r="X4745">
        <v>1</v>
      </c>
      <c r="Y4745">
        <v>0</v>
      </c>
      <c r="Z4745">
        <v>1</v>
      </c>
    </row>
    <row r="4746" spans="1:26" x14ac:dyDescent="0.2">
      <c r="A4746" t="s">
        <v>4864</v>
      </c>
      <c r="B4746" t="s">
        <v>99</v>
      </c>
      <c r="C4746">
        <v>2021</v>
      </c>
      <c r="D4746" t="s">
        <v>85</v>
      </c>
      <c r="E4746" t="s">
        <v>51</v>
      </c>
      <c r="F4746" t="s">
        <v>85</v>
      </c>
      <c r="G4746">
        <v>22220</v>
      </c>
      <c r="H4746">
        <v>17776</v>
      </c>
      <c r="I4746" s="13">
        <v>0</v>
      </c>
      <c r="J4746" t="s">
        <v>6207</v>
      </c>
      <c r="K4746">
        <v>0</v>
      </c>
      <c r="L4746">
        <v>1</v>
      </c>
      <c r="M4746" t="s">
        <v>1</v>
      </c>
      <c r="N4746" s="2">
        <v>0.26</v>
      </c>
      <c r="O4746" s="2">
        <v>0.74</v>
      </c>
      <c r="P4746">
        <v>11</v>
      </c>
      <c r="Q4746">
        <v>5</v>
      </c>
      <c r="R4746">
        <v>3</v>
      </c>
      <c r="S4746">
        <v>7</v>
      </c>
      <c r="T4746">
        <v>6</v>
      </c>
      <c r="U4746">
        <v>9</v>
      </c>
      <c r="V4746">
        <v>0</v>
      </c>
      <c r="W4746">
        <v>1</v>
      </c>
      <c r="X4746">
        <v>0</v>
      </c>
      <c r="Y4746">
        <v>0</v>
      </c>
      <c r="Z4746">
        <v>0</v>
      </c>
    </row>
    <row r="4747" spans="1:26" x14ac:dyDescent="0.2">
      <c r="A4747" t="s">
        <v>4865</v>
      </c>
      <c r="B4747" t="s">
        <v>100</v>
      </c>
      <c r="C4747">
        <v>2021</v>
      </c>
      <c r="D4747" t="s">
        <v>79</v>
      </c>
      <c r="E4747" t="s">
        <v>23</v>
      </c>
      <c r="F4747" t="s">
        <v>20</v>
      </c>
      <c r="G4747">
        <v>25486</v>
      </c>
      <c r="H4747">
        <v>20388.800000000003</v>
      </c>
      <c r="I4747" s="13">
        <v>0.66666666666666663</v>
      </c>
      <c r="J4747" t="s">
        <v>6207</v>
      </c>
      <c r="K4747">
        <v>2</v>
      </c>
      <c r="L4747">
        <v>3</v>
      </c>
      <c r="M4747" t="s">
        <v>1</v>
      </c>
      <c r="N4747" s="2">
        <v>0.63</v>
      </c>
      <c r="O4747" s="2">
        <v>0.37</v>
      </c>
      <c r="P4747">
        <v>18</v>
      </c>
      <c r="Q4747">
        <v>5</v>
      </c>
      <c r="R4747">
        <v>9</v>
      </c>
      <c r="S4747">
        <v>1</v>
      </c>
      <c r="T4747">
        <v>6</v>
      </c>
      <c r="U4747">
        <v>16</v>
      </c>
      <c r="V4747">
        <v>1</v>
      </c>
      <c r="W4747">
        <v>2</v>
      </c>
      <c r="X4747">
        <v>0</v>
      </c>
      <c r="Y4747">
        <v>0</v>
      </c>
      <c r="Z4747">
        <v>1</v>
      </c>
    </row>
    <row r="4748" spans="1:26" x14ac:dyDescent="0.2">
      <c r="A4748" t="s">
        <v>4866</v>
      </c>
      <c r="B4748" t="s">
        <v>81</v>
      </c>
      <c r="C4748">
        <v>2021</v>
      </c>
      <c r="D4748" t="s">
        <v>33</v>
      </c>
      <c r="E4748" t="s">
        <v>28</v>
      </c>
      <c r="F4748" t="s">
        <v>33</v>
      </c>
      <c r="G4748">
        <v>37645</v>
      </c>
      <c r="H4748">
        <v>30116</v>
      </c>
      <c r="I4748" s="13">
        <v>0.33333333333333331</v>
      </c>
      <c r="J4748" t="s">
        <v>6207</v>
      </c>
      <c r="K4748">
        <v>3</v>
      </c>
      <c r="L4748">
        <v>1</v>
      </c>
      <c r="M4748" t="s">
        <v>0</v>
      </c>
      <c r="N4748" s="2">
        <v>0.55000000000000004</v>
      </c>
      <c r="O4748" s="2">
        <v>0.45</v>
      </c>
      <c r="P4748">
        <v>8</v>
      </c>
      <c r="Q4748">
        <v>15</v>
      </c>
      <c r="R4748">
        <v>9</v>
      </c>
      <c r="S4748">
        <v>3</v>
      </c>
      <c r="T4748">
        <v>11</v>
      </c>
      <c r="U4748">
        <v>7</v>
      </c>
      <c r="V4748">
        <v>2</v>
      </c>
      <c r="W4748">
        <v>1</v>
      </c>
      <c r="X4748">
        <v>0</v>
      </c>
      <c r="Y4748">
        <v>0</v>
      </c>
      <c r="Z4748">
        <v>0</v>
      </c>
    </row>
    <row r="4749" spans="1:26" x14ac:dyDescent="0.2">
      <c r="A4749" t="s">
        <v>4867</v>
      </c>
      <c r="B4749" t="s">
        <v>104</v>
      </c>
      <c r="C4749">
        <v>2021</v>
      </c>
      <c r="D4749" t="s">
        <v>45</v>
      </c>
      <c r="E4749" t="s">
        <v>90</v>
      </c>
      <c r="F4749" t="s">
        <v>26</v>
      </c>
      <c r="G4749">
        <v>39572</v>
      </c>
      <c r="H4749">
        <v>31657.600000000002</v>
      </c>
      <c r="I4749" s="13">
        <v>0</v>
      </c>
      <c r="J4749" t="s">
        <v>6206</v>
      </c>
      <c r="K4749">
        <v>2</v>
      </c>
      <c r="L4749">
        <v>3</v>
      </c>
      <c r="M4749" t="s">
        <v>1</v>
      </c>
      <c r="N4749" s="2">
        <v>0.5</v>
      </c>
      <c r="O4749" s="2">
        <v>0.5</v>
      </c>
      <c r="P4749">
        <v>10</v>
      </c>
      <c r="Q4749">
        <v>6</v>
      </c>
      <c r="R4749">
        <v>8</v>
      </c>
      <c r="S4749">
        <v>5</v>
      </c>
      <c r="T4749">
        <v>5</v>
      </c>
      <c r="U4749">
        <v>12</v>
      </c>
      <c r="V4749">
        <v>1</v>
      </c>
      <c r="W4749">
        <v>1</v>
      </c>
      <c r="X4749">
        <v>0</v>
      </c>
      <c r="Y4749">
        <v>0</v>
      </c>
      <c r="Z4749">
        <v>1</v>
      </c>
    </row>
    <row r="4750" spans="1:26" x14ac:dyDescent="0.2">
      <c r="A4750" t="s">
        <v>4868</v>
      </c>
      <c r="B4750" t="s">
        <v>76</v>
      </c>
      <c r="C4750">
        <v>2021</v>
      </c>
      <c r="D4750" t="s">
        <v>101</v>
      </c>
      <c r="E4750" t="s">
        <v>42</v>
      </c>
      <c r="F4750" t="s">
        <v>101</v>
      </c>
      <c r="G4750">
        <v>17250</v>
      </c>
      <c r="H4750">
        <v>13800</v>
      </c>
      <c r="I4750" s="13">
        <v>0.25</v>
      </c>
      <c r="J4750" t="s">
        <v>6207</v>
      </c>
      <c r="K4750">
        <v>2</v>
      </c>
      <c r="L4750">
        <v>1</v>
      </c>
      <c r="M4750" t="s">
        <v>0</v>
      </c>
      <c r="N4750" s="2">
        <v>0.45</v>
      </c>
      <c r="O4750" s="2">
        <v>0.55000000000000004</v>
      </c>
      <c r="P4750">
        <v>15</v>
      </c>
      <c r="Q4750">
        <v>16</v>
      </c>
      <c r="R4750">
        <v>3</v>
      </c>
      <c r="S4750">
        <v>7</v>
      </c>
      <c r="T4750">
        <v>17</v>
      </c>
      <c r="U4750">
        <v>11</v>
      </c>
      <c r="V4750">
        <v>2</v>
      </c>
      <c r="W4750">
        <v>2</v>
      </c>
      <c r="X4750">
        <v>0</v>
      </c>
      <c r="Y4750">
        <v>0</v>
      </c>
      <c r="Z4750">
        <v>0</v>
      </c>
    </row>
    <row r="4751" spans="1:26" x14ac:dyDescent="0.2">
      <c r="A4751" t="s">
        <v>4869</v>
      </c>
      <c r="B4751" t="s">
        <v>61</v>
      </c>
      <c r="C4751">
        <v>2021</v>
      </c>
      <c r="D4751" t="s">
        <v>18</v>
      </c>
      <c r="E4751" t="s">
        <v>26</v>
      </c>
      <c r="F4751" t="s">
        <v>20</v>
      </c>
      <c r="G4751">
        <v>40341</v>
      </c>
      <c r="H4751">
        <v>32272.800000000003</v>
      </c>
      <c r="I4751" s="13">
        <v>1</v>
      </c>
      <c r="J4751" t="s">
        <v>6207</v>
      </c>
      <c r="K4751">
        <v>2</v>
      </c>
      <c r="L4751">
        <v>2</v>
      </c>
      <c r="M4751" t="s">
        <v>58</v>
      </c>
      <c r="N4751" s="2">
        <v>0.55000000000000004</v>
      </c>
      <c r="O4751" s="2">
        <v>0.45</v>
      </c>
      <c r="P4751">
        <v>16</v>
      </c>
      <c r="Q4751">
        <v>6</v>
      </c>
      <c r="R4751">
        <v>6</v>
      </c>
      <c r="S4751">
        <v>7</v>
      </c>
      <c r="T4751">
        <v>5</v>
      </c>
      <c r="U4751">
        <v>13</v>
      </c>
      <c r="V4751">
        <v>1</v>
      </c>
      <c r="W4751">
        <v>2</v>
      </c>
      <c r="X4751">
        <v>0</v>
      </c>
      <c r="Y4751">
        <v>0</v>
      </c>
      <c r="Z4751">
        <v>0</v>
      </c>
    </row>
    <row r="4752" spans="1:26" x14ac:dyDescent="0.2">
      <c r="A4752" t="s">
        <v>4870</v>
      </c>
      <c r="B4752" t="s">
        <v>41</v>
      </c>
      <c r="C4752">
        <v>2021</v>
      </c>
      <c r="D4752" t="s">
        <v>48</v>
      </c>
      <c r="E4752" t="s">
        <v>22</v>
      </c>
      <c r="F4752" t="s">
        <v>49</v>
      </c>
      <c r="G4752">
        <v>74197</v>
      </c>
      <c r="H4752">
        <v>59357.600000000006</v>
      </c>
      <c r="I4752" s="13">
        <v>0.5</v>
      </c>
      <c r="J4752" t="s">
        <v>6207</v>
      </c>
      <c r="K4752">
        <v>0</v>
      </c>
      <c r="L4752">
        <v>1</v>
      </c>
      <c r="M4752" t="s">
        <v>1</v>
      </c>
      <c r="N4752" s="2">
        <v>0.51</v>
      </c>
      <c r="O4752" s="2">
        <v>0.49</v>
      </c>
      <c r="P4752">
        <v>11</v>
      </c>
      <c r="Q4752">
        <v>11</v>
      </c>
      <c r="R4752">
        <v>3</v>
      </c>
      <c r="S4752">
        <v>8</v>
      </c>
      <c r="T4752">
        <v>9</v>
      </c>
      <c r="U4752">
        <v>8</v>
      </c>
      <c r="V4752">
        <v>3</v>
      </c>
      <c r="W4752">
        <v>1</v>
      </c>
      <c r="X4752">
        <v>0</v>
      </c>
      <c r="Y4752">
        <v>0</v>
      </c>
      <c r="Z4752">
        <v>0</v>
      </c>
    </row>
    <row r="4753" spans="1:26" x14ac:dyDescent="0.2">
      <c r="A4753" t="s">
        <v>4871</v>
      </c>
      <c r="B4753" t="s">
        <v>59</v>
      </c>
      <c r="C4753">
        <v>2021</v>
      </c>
      <c r="D4753" t="s">
        <v>73</v>
      </c>
      <c r="E4753" t="s">
        <v>101</v>
      </c>
      <c r="F4753" t="s">
        <v>73</v>
      </c>
      <c r="G4753">
        <v>32384</v>
      </c>
      <c r="H4753">
        <v>25907.200000000001</v>
      </c>
      <c r="I4753" s="13">
        <v>0</v>
      </c>
      <c r="J4753" t="s">
        <v>6206</v>
      </c>
      <c r="K4753">
        <v>4</v>
      </c>
      <c r="L4753">
        <v>1</v>
      </c>
      <c r="M4753" t="s">
        <v>0</v>
      </c>
      <c r="N4753" s="2">
        <v>0.49</v>
      </c>
      <c r="O4753" s="2">
        <v>0.51</v>
      </c>
      <c r="P4753">
        <v>8</v>
      </c>
      <c r="Q4753">
        <v>8</v>
      </c>
      <c r="R4753">
        <v>5</v>
      </c>
      <c r="S4753">
        <v>2</v>
      </c>
      <c r="T4753">
        <v>9</v>
      </c>
      <c r="U4753">
        <v>8</v>
      </c>
      <c r="V4753">
        <v>0</v>
      </c>
      <c r="W4753">
        <v>1</v>
      </c>
      <c r="X4753">
        <v>0</v>
      </c>
      <c r="Y4753">
        <v>0</v>
      </c>
      <c r="Z4753">
        <v>0</v>
      </c>
    </row>
    <row r="4754" spans="1:26" x14ac:dyDescent="0.2">
      <c r="A4754" t="s">
        <v>4872</v>
      </c>
      <c r="B4754" t="s">
        <v>84</v>
      </c>
      <c r="C4754">
        <v>2021</v>
      </c>
      <c r="D4754" t="s">
        <v>23</v>
      </c>
      <c r="E4754" t="s">
        <v>69</v>
      </c>
      <c r="F4754" t="s">
        <v>20</v>
      </c>
      <c r="G4754">
        <v>62500</v>
      </c>
      <c r="H4754">
        <v>50000</v>
      </c>
      <c r="I4754" s="13">
        <v>0</v>
      </c>
      <c r="J4754" t="s">
        <v>6208</v>
      </c>
      <c r="K4754">
        <v>2</v>
      </c>
      <c r="L4754">
        <v>0</v>
      </c>
      <c r="M4754" t="s">
        <v>0</v>
      </c>
      <c r="N4754" s="2">
        <v>0.62</v>
      </c>
      <c r="O4754" s="2">
        <v>0.38</v>
      </c>
      <c r="P4754">
        <v>9</v>
      </c>
      <c r="Q4754">
        <v>12</v>
      </c>
      <c r="R4754">
        <v>11</v>
      </c>
      <c r="S4754">
        <v>2</v>
      </c>
      <c r="T4754">
        <v>9</v>
      </c>
      <c r="U4754">
        <v>8</v>
      </c>
      <c r="V4754">
        <v>0</v>
      </c>
      <c r="W4754">
        <v>0</v>
      </c>
      <c r="X4754">
        <v>0</v>
      </c>
      <c r="Y4754">
        <v>0</v>
      </c>
      <c r="Z4754">
        <v>0</v>
      </c>
    </row>
    <row r="4755" spans="1:26" x14ac:dyDescent="0.2">
      <c r="A4755" t="s">
        <v>4873</v>
      </c>
      <c r="B4755" t="s">
        <v>99</v>
      </c>
      <c r="C4755">
        <v>2021</v>
      </c>
      <c r="D4755" t="s">
        <v>90</v>
      </c>
      <c r="E4755" t="s">
        <v>79</v>
      </c>
      <c r="F4755" t="s">
        <v>91</v>
      </c>
      <c r="G4755">
        <v>31876</v>
      </c>
      <c r="H4755">
        <v>25500.800000000003</v>
      </c>
      <c r="I4755" s="13">
        <v>0</v>
      </c>
      <c r="J4755" t="s">
        <v>6207</v>
      </c>
      <c r="K4755">
        <v>1</v>
      </c>
      <c r="L4755">
        <v>1</v>
      </c>
      <c r="M4755" t="s">
        <v>58</v>
      </c>
      <c r="N4755" s="2">
        <v>0.64</v>
      </c>
      <c r="O4755" s="2">
        <v>0.36</v>
      </c>
      <c r="P4755">
        <v>8</v>
      </c>
      <c r="Q4755">
        <v>12</v>
      </c>
      <c r="R4755">
        <v>9</v>
      </c>
      <c r="S4755">
        <v>0</v>
      </c>
      <c r="T4755">
        <v>11</v>
      </c>
      <c r="U4755">
        <v>7</v>
      </c>
      <c r="V4755">
        <v>0</v>
      </c>
      <c r="W4755">
        <v>2</v>
      </c>
      <c r="X4755">
        <v>0</v>
      </c>
      <c r="Y4755">
        <v>0</v>
      </c>
      <c r="Z4755">
        <v>1</v>
      </c>
    </row>
    <row r="4756" spans="1:26" x14ac:dyDescent="0.2">
      <c r="A4756" t="s">
        <v>4874</v>
      </c>
      <c r="B4756" t="s">
        <v>76</v>
      </c>
      <c r="C4756">
        <v>2021</v>
      </c>
      <c r="D4756" t="s">
        <v>40</v>
      </c>
      <c r="E4756" t="s">
        <v>18</v>
      </c>
      <c r="F4756" t="s">
        <v>49</v>
      </c>
      <c r="G4756">
        <v>53400</v>
      </c>
      <c r="H4756">
        <v>42720</v>
      </c>
      <c r="I4756" s="13">
        <v>1</v>
      </c>
      <c r="J4756" t="s">
        <v>6207</v>
      </c>
      <c r="K4756">
        <v>1</v>
      </c>
      <c r="L4756">
        <v>0</v>
      </c>
      <c r="M4756" t="s">
        <v>0</v>
      </c>
      <c r="N4756" s="2">
        <v>0.56000000000000005</v>
      </c>
      <c r="O4756" s="2">
        <v>0.44</v>
      </c>
      <c r="P4756">
        <v>5</v>
      </c>
      <c r="Q4756">
        <v>13</v>
      </c>
      <c r="R4756">
        <v>9</v>
      </c>
      <c r="S4756">
        <v>1</v>
      </c>
      <c r="T4756">
        <v>11</v>
      </c>
      <c r="U4756">
        <v>6</v>
      </c>
      <c r="V4756">
        <v>0</v>
      </c>
      <c r="W4756">
        <v>2</v>
      </c>
      <c r="X4756">
        <v>0</v>
      </c>
      <c r="Y4756">
        <v>0</v>
      </c>
      <c r="Z4756">
        <v>0</v>
      </c>
    </row>
    <row r="4757" spans="1:26" x14ac:dyDescent="0.2">
      <c r="A4757" t="s">
        <v>4875</v>
      </c>
      <c r="B4757" t="s">
        <v>103</v>
      </c>
      <c r="C4757">
        <v>2021</v>
      </c>
      <c r="D4757" t="s">
        <v>22</v>
      </c>
      <c r="E4757" t="s">
        <v>73</v>
      </c>
      <c r="F4757" t="s">
        <v>24</v>
      </c>
      <c r="G4757">
        <v>31750</v>
      </c>
      <c r="H4757">
        <v>25400</v>
      </c>
      <c r="I4757" s="13">
        <v>0.8</v>
      </c>
      <c r="J4757" t="s">
        <v>6207</v>
      </c>
      <c r="K4757">
        <v>3</v>
      </c>
      <c r="L4757">
        <v>1</v>
      </c>
      <c r="M4757" t="s">
        <v>0</v>
      </c>
      <c r="N4757" s="2">
        <v>0.41</v>
      </c>
      <c r="O4757" s="2">
        <v>0.59</v>
      </c>
      <c r="P4757">
        <v>14</v>
      </c>
      <c r="Q4757">
        <v>15</v>
      </c>
      <c r="R4757">
        <v>2</v>
      </c>
      <c r="S4757">
        <v>10</v>
      </c>
      <c r="T4757">
        <v>13</v>
      </c>
      <c r="U4757">
        <v>13</v>
      </c>
      <c r="V4757">
        <v>2</v>
      </c>
      <c r="W4757">
        <v>3</v>
      </c>
      <c r="X4757">
        <v>0</v>
      </c>
      <c r="Y4757">
        <v>0</v>
      </c>
      <c r="Z4757">
        <v>1</v>
      </c>
    </row>
    <row r="4758" spans="1:26" x14ac:dyDescent="0.2">
      <c r="A4758" t="s">
        <v>4876</v>
      </c>
      <c r="B4758" t="s">
        <v>92</v>
      </c>
      <c r="C4758">
        <v>2021</v>
      </c>
      <c r="D4758" t="s">
        <v>69</v>
      </c>
      <c r="E4758" t="s">
        <v>45</v>
      </c>
      <c r="F4758" t="s">
        <v>69</v>
      </c>
      <c r="G4758">
        <v>27359</v>
      </c>
      <c r="H4758">
        <v>21887.200000000001</v>
      </c>
      <c r="I4758" s="13">
        <v>0.5</v>
      </c>
      <c r="J4758" t="s">
        <v>6207</v>
      </c>
      <c r="K4758">
        <v>2</v>
      </c>
      <c r="L4758">
        <v>1</v>
      </c>
      <c r="M4758" t="s">
        <v>0</v>
      </c>
      <c r="N4758" s="2">
        <v>0.4</v>
      </c>
      <c r="O4758" s="2">
        <v>0.6</v>
      </c>
      <c r="P4758">
        <v>16</v>
      </c>
      <c r="Q4758">
        <v>15</v>
      </c>
      <c r="R4758">
        <v>8</v>
      </c>
      <c r="S4758">
        <v>8</v>
      </c>
      <c r="T4758">
        <v>12</v>
      </c>
      <c r="U4758">
        <v>14</v>
      </c>
      <c r="V4758">
        <v>3</v>
      </c>
      <c r="W4758">
        <v>1</v>
      </c>
      <c r="X4758">
        <v>0</v>
      </c>
      <c r="Y4758">
        <v>0</v>
      </c>
      <c r="Z4758">
        <v>0</v>
      </c>
    </row>
    <row r="4759" spans="1:26" x14ac:dyDescent="0.2">
      <c r="A4759" t="s">
        <v>4877</v>
      </c>
      <c r="B4759" t="s">
        <v>81</v>
      </c>
      <c r="C4759">
        <v>2021</v>
      </c>
      <c r="D4759" t="s">
        <v>64</v>
      </c>
      <c r="E4759" t="s">
        <v>85</v>
      </c>
      <c r="F4759" t="s">
        <v>64</v>
      </c>
      <c r="G4759">
        <v>52264</v>
      </c>
      <c r="H4759">
        <v>41811.200000000004</v>
      </c>
      <c r="I4759" s="13">
        <v>0.2</v>
      </c>
      <c r="J4759" t="s">
        <v>6207</v>
      </c>
      <c r="K4759">
        <v>1</v>
      </c>
      <c r="L4759">
        <v>1</v>
      </c>
      <c r="M4759" t="s">
        <v>58</v>
      </c>
      <c r="N4759" s="2">
        <v>0.52</v>
      </c>
      <c r="O4759" s="2">
        <v>0.48</v>
      </c>
      <c r="P4759">
        <v>14</v>
      </c>
      <c r="Q4759">
        <v>14</v>
      </c>
      <c r="R4759">
        <v>4</v>
      </c>
      <c r="S4759">
        <v>6</v>
      </c>
      <c r="T4759">
        <v>13</v>
      </c>
      <c r="U4759">
        <v>13</v>
      </c>
      <c r="V4759">
        <v>3</v>
      </c>
      <c r="W4759">
        <v>2</v>
      </c>
      <c r="X4759">
        <v>0</v>
      </c>
      <c r="Y4759">
        <v>0</v>
      </c>
      <c r="Z4759">
        <v>0</v>
      </c>
    </row>
    <row r="4760" spans="1:26" x14ac:dyDescent="0.2">
      <c r="A4760" t="s">
        <v>4878</v>
      </c>
      <c r="B4760" t="s">
        <v>93</v>
      </c>
      <c r="C4760">
        <v>2021</v>
      </c>
      <c r="D4760" t="s">
        <v>42</v>
      </c>
      <c r="E4760" t="s">
        <v>48</v>
      </c>
      <c r="F4760" t="s">
        <v>38</v>
      </c>
      <c r="G4760">
        <v>42918</v>
      </c>
      <c r="H4760">
        <v>34334.400000000001</v>
      </c>
      <c r="I4760" s="13">
        <v>1</v>
      </c>
      <c r="J4760" t="s">
        <v>6206</v>
      </c>
      <c r="K4760">
        <v>2</v>
      </c>
      <c r="L4760">
        <v>2</v>
      </c>
      <c r="M4760" t="s">
        <v>58</v>
      </c>
      <c r="N4760" s="2">
        <v>0.55000000000000004</v>
      </c>
      <c r="O4760" s="2">
        <v>0.45</v>
      </c>
      <c r="P4760">
        <v>14</v>
      </c>
      <c r="Q4760">
        <v>7</v>
      </c>
      <c r="R4760">
        <v>3</v>
      </c>
      <c r="S4760">
        <v>6</v>
      </c>
      <c r="T4760">
        <v>8</v>
      </c>
      <c r="U4760">
        <v>13</v>
      </c>
      <c r="V4760">
        <v>1</v>
      </c>
      <c r="W4760">
        <v>2</v>
      </c>
      <c r="X4760">
        <v>0</v>
      </c>
      <c r="Y4760">
        <v>0</v>
      </c>
      <c r="Z4760">
        <v>0</v>
      </c>
    </row>
    <row r="4761" spans="1:26" x14ac:dyDescent="0.2">
      <c r="A4761" t="s">
        <v>4879</v>
      </c>
      <c r="B4761" t="s">
        <v>41</v>
      </c>
      <c r="C4761">
        <v>2021</v>
      </c>
      <c r="D4761" t="s">
        <v>23</v>
      </c>
      <c r="E4761" t="s">
        <v>33</v>
      </c>
      <c r="F4761" t="s">
        <v>20</v>
      </c>
      <c r="G4761">
        <v>62500</v>
      </c>
      <c r="H4761">
        <v>50000</v>
      </c>
      <c r="I4761" s="13">
        <v>0.8</v>
      </c>
      <c r="J4761" t="s">
        <v>6207</v>
      </c>
      <c r="K4761">
        <v>2</v>
      </c>
      <c r="L4761">
        <v>3</v>
      </c>
      <c r="M4761" t="s">
        <v>1</v>
      </c>
      <c r="N4761" s="2">
        <v>0.48</v>
      </c>
      <c r="O4761" s="2">
        <v>0.52</v>
      </c>
      <c r="P4761">
        <v>9</v>
      </c>
      <c r="Q4761">
        <v>4</v>
      </c>
      <c r="R4761">
        <v>4</v>
      </c>
      <c r="S4761">
        <v>3</v>
      </c>
      <c r="T4761">
        <v>6</v>
      </c>
      <c r="U4761">
        <v>9</v>
      </c>
      <c r="V4761">
        <v>3</v>
      </c>
      <c r="W4761">
        <v>2</v>
      </c>
      <c r="X4761">
        <v>0</v>
      </c>
      <c r="Y4761">
        <v>0</v>
      </c>
      <c r="Z4761">
        <v>0</v>
      </c>
    </row>
    <row r="4762" spans="1:26" x14ac:dyDescent="0.2">
      <c r="A4762" t="s">
        <v>4880</v>
      </c>
      <c r="B4762" t="s">
        <v>68</v>
      </c>
      <c r="C4762">
        <v>2021</v>
      </c>
      <c r="D4762" t="s">
        <v>26</v>
      </c>
      <c r="E4762" t="s">
        <v>101</v>
      </c>
      <c r="F4762" t="s">
        <v>26</v>
      </c>
      <c r="G4762">
        <v>61276</v>
      </c>
      <c r="H4762">
        <v>49020.800000000003</v>
      </c>
      <c r="I4762" s="13">
        <v>1</v>
      </c>
      <c r="J4762" t="s">
        <v>6207</v>
      </c>
      <c r="K4762">
        <v>3</v>
      </c>
      <c r="L4762">
        <v>0</v>
      </c>
      <c r="M4762" t="s">
        <v>0</v>
      </c>
      <c r="N4762" s="2">
        <v>0.68</v>
      </c>
      <c r="O4762" s="2">
        <v>0.32</v>
      </c>
      <c r="P4762">
        <v>13</v>
      </c>
      <c r="Q4762">
        <v>8</v>
      </c>
      <c r="R4762">
        <v>9</v>
      </c>
      <c r="S4762">
        <v>0</v>
      </c>
      <c r="T4762">
        <v>6</v>
      </c>
      <c r="U4762">
        <v>6</v>
      </c>
      <c r="V4762">
        <v>0</v>
      </c>
      <c r="W4762">
        <v>1</v>
      </c>
      <c r="X4762">
        <v>0</v>
      </c>
      <c r="Y4762">
        <v>0</v>
      </c>
      <c r="Z4762">
        <v>0</v>
      </c>
    </row>
    <row r="4763" spans="1:26" x14ac:dyDescent="0.2">
      <c r="A4763" t="s">
        <v>4881</v>
      </c>
      <c r="B4763" t="s">
        <v>60</v>
      </c>
      <c r="C4763">
        <v>2021</v>
      </c>
      <c r="D4763" t="s">
        <v>90</v>
      </c>
      <c r="E4763" t="s">
        <v>18</v>
      </c>
      <c r="F4763" t="s">
        <v>91</v>
      </c>
      <c r="G4763">
        <v>31876</v>
      </c>
      <c r="H4763">
        <v>25500.800000000003</v>
      </c>
      <c r="I4763" s="13">
        <v>0.66666666666666663</v>
      </c>
      <c r="J4763" t="s">
        <v>6208</v>
      </c>
      <c r="K4763">
        <v>1</v>
      </c>
      <c r="L4763">
        <v>1</v>
      </c>
      <c r="M4763" t="s">
        <v>58</v>
      </c>
      <c r="N4763" s="2">
        <v>0.43</v>
      </c>
      <c r="O4763" s="2">
        <v>0.56999999999999995</v>
      </c>
      <c r="P4763">
        <v>6</v>
      </c>
      <c r="Q4763">
        <v>9</v>
      </c>
      <c r="R4763">
        <v>5</v>
      </c>
      <c r="S4763">
        <v>7</v>
      </c>
      <c r="T4763">
        <v>8</v>
      </c>
      <c r="U4763">
        <v>5</v>
      </c>
      <c r="V4763">
        <v>1</v>
      </c>
      <c r="W4763">
        <v>2</v>
      </c>
      <c r="X4763">
        <v>0</v>
      </c>
      <c r="Y4763">
        <v>0</v>
      </c>
      <c r="Z4763">
        <v>0</v>
      </c>
    </row>
    <row r="4764" spans="1:26" x14ac:dyDescent="0.2">
      <c r="A4764" t="s">
        <v>4882</v>
      </c>
      <c r="B4764" t="s">
        <v>68</v>
      </c>
      <c r="C4764">
        <v>2021</v>
      </c>
      <c r="D4764" t="s">
        <v>80</v>
      </c>
      <c r="E4764" t="s">
        <v>51</v>
      </c>
      <c r="F4764" t="s">
        <v>80</v>
      </c>
      <c r="G4764">
        <v>32261</v>
      </c>
      <c r="H4764">
        <v>25808.800000000003</v>
      </c>
      <c r="I4764" s="13">
        <v>1</v>
      </c>
      <c r="J4764" t="s">
        <v>6207</v>
      </c>
      <c r="K4764">
        <v>2</v>
      </c>
      <c r="L4764">
        <v>3</v>
      </c>
      <c r="M4764" t="s">
        <v>1</v>
      </c>
      <c r="N4764" s="2">
        <v>0.49</v>
      </c>
      <c r="O4764" s="2">
        <v>0.51</v>
      </c>
      <c r="P4764">
        <v>10</v>
      </c>
      <c r="Q4764">
        <v>6</v>
      </c>
      <c r="R4764">
        <v>3</v>
      </c>
      <c r="S4764">
        <v>8</v>
      </c>
      <c r="T4764">
        <v>6</v>
      </c>
      <c r="U4764">
        <v>12</v>
      </c>
      <c r="V4764">
        <v>1</v>
      </c>
      <c r="W4764">
        <v>2</v>
      </c>
      <c r="X4764">
        <v>0</v>
      </c>
      <c r="Y4764">
        <v>0</v>
      </c>
      <c r="Z4764">
        <v>0</v>
      </c>
    </row>
    <row r="4765" spans="1:26" x14ac:dyDescent="0.2">
      <c r="A4765" t="s">
        <v>4883</v>
      </c>
      <c r="B4765" t="s">
        <v>37</v>
      </c>
      <c r="C4765">
        <v>2021</v>
      </c>
      <c r="D4765" t="s">
        <v>101</v>
      </c>
      <c r="E4765" t="s">
        <v>48</v>
      </c>
      <c r="F4765" t="s">
        <v>101</v>
      </c>
      <c r="G4765">
        <v>17250</v>
      </c>
      <c r="H4765">
        <v>13800</v>
      </c>
      <c r="I4765" s="13">
        <v>0</v>
      </c>
      <c r="J4765" t="s">
        <v>6206</v>
      </c>
      <c r="K4765">
        <v>1</v>
      </c>
      <c r="L4765">
        <v>3</v>
      </c>
      <c r="M4765" t="s">
        <v>1</v>
      </c>
      <c r="N4765" s="2">
        <v>0.44</v>
      </c>
      <c r="O4765" s="2">
        <v>0.56000000000000005</v>
      </c>
      <c r="P4765">
        <v>9</v>
      </c>
      <c r="Q4765">
        <v>8</v>
      </c>
      <c r="R4765">
        <v>6</v>
      </c>
      <c r="S4765">
        <v>9</v>
      </c>
      <c r="T4765">
        <v>7</v>
      </c>
      <c r="U4765">
        <v>9</v>
      </c>
      <c r="V4765">
        <v>0</v>
      </c>
      <c r="W4765">
        <v>0</v>
      </c>
      <c r="X4765">
        <v>0</v>
      </c>
      <c r="Y4765">
        <v>0</v>
      </c>
      <c r="Z4765">
        <v>0</v>
      </c>
    </row>
    <row r="4766" spans="1:26" x14ac:dyDescent="0.2">
      <c r="A4766" t="s">
        <v>4884</v>
      </c>
      <c r="B4766" t="s">
        <v>41</v>
      </c>
      <c r="C4766">
        <v>2021</v>
      </c>
      <c r="D4766" t="s">
        <v>85</v>
      </c>
      <c r="E4766" t="s">
        <v>69</v>
      </c>
      <c r="F4766" t="s">
        <v>85</v>
      </c>
      <c r="G4766">
        <v>22220</v>
      </c>
      <c r="H4766">
        <v>17776</v>
      </c>
      <c r="I4766" s="13">
        <v>0.33333333333333331</v>
      </c>
      <c r="J4766" t="s">
        <v>6207</v>
      </c>
      <c r="K4766">
        <v>0</v>
      </c>
      <c r="L4766">
        <v>3</v>
      </c>
      <c r="M4766" t="s">
        <v>1</v>
      </c>
      <c r="N4766" s="2">
        <v>0.68</v>
      </c>
      <c r="O4766" s="2">
        <v>0.32</v>
      </c>
      <c r="P4766">
        <v>11</v>
      </c>
      <c r="Q4766">
        <v>16</v>
      </c>
      <c r="R4766">
        <v>5</v>
      </c>
      <c r="S4766">
        <v>1</v>
      </c>
      <c r="T4766">
        <v>16</v>
      </c>
      <c r="U4766">
        <v>11</v>
      </c>
      <c r="V4766">
        <v>1</v>
      </c>
      <c r="W4766">
        <v>1</v>
      </c>
      <c r="X4766">
        <v>1</v>
      </c>
      <c r="Y4766">
        <v>0</v>
      </c>
      <c r="Z4766">
        <v>0</v>
      </c>
    </row>
    <row r="4767" spans="1:26" x14ac:dyDescent="0.2">
      <c r="A4767" t="s">
        <v>4885</v>
      </c>
      <c r="B4767" t="s">
        <v>76</v>
      </c>
      <c r="C4767">
        <v>2021</v>
      </c>
      <c r="D4767" t="s">
        <v>45</v>
      </c>
      <c r="E4767" t="s">
        <v>42</v>
      </c>
      <c r="F4767" t="s">
        <v>26</v>
      </c>
      <c r="G4767">
        <v>39572</v>
      </c>
      <c r="H4767">
        <v>31657.600000000002</v>
      </c>
      <c r="I4767" s="13">
        <v>0.55555555555555558</v>
      </c>
      <c r="J4767" t="s">
        <v>6207</v>
      </c>
      <c r="K4767">
        <v>0</v>
      </c>
      <c r="L4767">
        <v>1</v>
      </c>
      <c r="M4767" t="s">
        <v>1</v>
      </c>
      <c r="N4767" s="2">
        <v>0.49</v>
      </c>
      <c r="O4767" s="2">
        <v>0.51</v>
      </c>
      <c r="P4767">
        <v>13</v>
      </c>
      <c r="Q4767">
        <v>13</v>
      </c>
      <c r="R4767">
        <v>9</v>
      </c>
      <c r="S4767">
        <v>2</v>
      </c>
      <c r="T4767">
        <v>14</v>
      </c>
      <c r="U4767">
        <v>16</v>
      </c>
      <c r="V4767">
        <v>5</v>
      </c>
      <c r="W4767">
        <v>4</v>
      </c>
      <c r="X4767">
        <v>0</v>
      </c>
      <c r="Y4767">
        <v>0</v>
      </c>
      <c r="Z4767">
        <v>0</v>
      </c>
    </row>
    <row r="4768" spans="1:26" x14ac:dyDescent="0.2">
      <c r="A4768" t="s">
        <v>4886</v>
      </c>
      <c r="B4768" t="s">
        <v>68</v>
      </c>
      <c r="C4768">
        <v>2021</v>
      </c>
      <c r="D4768" t="s">
        <v>48</v>
      </c>
      <c r="E4768" t="s">
        <v>23</v>
      </c>
      <c r="F4768" t="s">
        <v>49</v>
      </c>
      <c r="G4768">
        <v>74197</v>
      </c>
      <c r="H4768">
        <v>59357.600000000006</v>
      </c>
      <c r="I4768" s="13">
        <v>0</v>
      </c>
      <c r="J4768" t="s">
        <v>6207</v>
      </c>
      <c r="K4768">
        <v>1</v>
      </c>
      <c r="L4768">
        <v>0</v>
      </c>
      <c r="M4768" t="s">
        <v>0</v>
      </c>
      <c r="N4768" s="2">
        <v>0.56999999999999995</v>
      </c>
      <c r="O4768" s="2">
        <v>0.43</v>
      </c>
      <c r="P4768">
        <v>8</v>
      </c>
      <c r="Q4768">
        <v>12</v>
      </c>
      <c r="R4768">
        <v>3</v>
      </c>
      <c r="S4768">
        <v>3</v>
      </c>
      <c r="T4768">
        <v>9</v>
      </c>
      <c r="U4768">
        <v>8</v>
      </c>
      <c r="V4768">
        <v>1</v>
      </c>
      <c r="W4768">
        <v>1</v>
      </c>
      <c r="X4768">
        <v>0</v>
      </c>
      <c r="Y4768">
        <v>0</v>
      </c>
      <c r="Z4768">
        <v>0</v>
      </c>
    </row>
    <row r="4769" spans="1:26" x14ac:dyDescent="0.2">
      <c r="A4769" t="s">
        <v>4887</v>
      </c>
      <c r="B4769" t="s">
        <v>88</v>
      </c>
      <c r="C4769">
        <v>2021</v>
      </c>
      <c r="D4769" t="s">
        <v>33</v>
      </c>
      <c r="E4769" t="s">
        <v>64</v>
      </c>
      <c r="F4769" t="s">
        <v>33</v>
      </c>
      <c r="G4769">
        <v>37645</v>
      </c>
      <c r="H4769">
        <v>30116</v>
      </c>
      <c r="I4769" s="13">
        <v>0.5</v>
      </c>
      <c r="J4769" t="s">
        <v>6207</v>
      </c>
      <c r="K4769">
        <v>0</v>
      </c>
      <c r="L4769">
        <v>1</v>
      </c>
      <c r="M4769" t="s">
        <v>1</v>
      </c>
      <c r="N4769" s="2">
        <v>0.63</v>
      </c>
      <c r="O4769" s="2">
        <v>0.37</v>
      </c>
      <c r="P4769">
        <v>9</v>
      </c>
      <c r="Q4769">
        <v>8</v>
      </c>
      <c r="R4769">
        <v>6</v>
      </c>
      <c r="S4769">
        <v>7</v>
      </c>
      <c r="T4769">
        <v>9</v>
      </c>
      <c r="U4769">
        <v>8</v>
      </c>
      <c r="V4769">
        <v>4</v>
      </c>
      <c r="W4769">
        <v>2</v>
      </c>
      <c r="X4769">
        <v>0</v>
      </c>
      <c r="Y4769">
        <v>0</v>
      </c>
      <c r="Z4769">
        <v>0</v>
      </c>
    </row>
    <row r="4770" spans="1:26" x14ac:dyDescent="0.2">
      <c r="A4770" t="s">
        <v>4888</v>
      </c>
      <c r="B4770" t="s">
        <v>97</v>
      </c>
      <c r="C4770">
        <v>2021</v>
      </c>
      <c r="D4770" t="s">
        <v>101</v>
      </c>
      <c r="E4770" t="s">
        <v>22</v>
      </c>
      <c r="F4770" t="s">
        <v>101</v>
      </c>
      <c r="G4770">
        <v>17250</v>
      </c>
      <c r="H4770">
        <v>13800</v>
      </c>
      <c r="I4770" s="13">
        <v>0.7142857142857143</v>
      </c>
      <c r="J4770" t="s">
        <v>6207</v>
      </c>
      <c r="K4770">
        <v>1</v>
      </c>
      <c r="L4770">
        <v>2</v>
      </c>
      <c r="M4770" t="s">
        <v>1</v>
      </c>
      <c r="N4770" s="2">
        <v>0.5</v>
      </c>
      <c r="O4770" s="2">
        <v>0.5</v>
      </c>
      <c r="P4770">
        <v>7</v>
      </c>
      <c r="Q4770">
        <v>4</v>
      </c>
      <c r="R4770">
        <v>6</v>
      </c>
      <c r="S4770">
        <v>3</v>
      </c>
      <c r="T4770">
        <v>6</v>
      </c>
      <c r="U4770">
        <v>7</v>
      </c>
      <c r="V4770">
        <v>3</v>
      </c>
      <c r="W4770">
        <v>3</v>
      </c>
      <c r="X4770">
        <v>1</v>
      </c>
      <c r="Y4770">
        <v>0</v>
      </c>
      <c r="Z4770">
        <v>0</v>
      </c>
    </row>
    <row r="4771" spans="1:26" x14ac:dyDescent="0.2">
      <c r="A4771" t="s">
        <v>4889</v>
      </c>
      <c r="B4771" t="s">
        <v>84</v>
      </c>
      <c r="C4771">
        <v>2021</v>
      </c>
      <c r="D4771" t="s">
        <v>73</v>
      </c>
      <c r="E4771" t="s">
        <v>40</v>
      </c>
      <c r="F4771" t="s">
        <v>73</v>
      </c>
      <c r="G4771">
        <v>32384</v>
      </c>
      <c r="H4771">
        <v>25907.200000000001</v>
      </c>
      <c r="I4771" s="13">
        <v>0.66666666666666663</v>
      </c>
      <c r="J4771" t="s">
        <v>6208</v>
      </c>
      <c r="K4771">
        <v>1</v>
      </c>
      <c r="L4771">
        <v>1</v>
      </c>
      <c r="M4771" t="s">
        <v>58</v>
      </c>
      <c r="N4771" s="2">
        <v>0.26</v>
      </c>
      <c r="O4771" s="2">
        <v>0.74</v>
      </c>
      <c r="P4771">
        <v>5</v>
      </c>
      <c r="Q4771">
        <v>12</v>
      </c>
      <c r="R4771">
        <v>2</v>
      </c>
      <c r="S4771">
        <v>11</v>
      </c>
      <c r="T4771">
        <v>13</v>
      </c>
      <c r="U4771">
        <v>5</v>
      </c>
      <c r="V4771">
        <v>3</v>
      </c>
      <c r="W4771">
        <v>0</v>
      </c>
      <c r="X4771">
        <v>0</v>
      </c>
      <c r="Y4771">
        <v>0</v>
      </c>
      <c r="Z4771">
        <v>0</v>
      </c>
    </row>
    <row r="4772" spans="1:26" x14ac:dyDescent="0.2">
      <c r="A4772" t="s">
        <v>4890</v>
      </c>
      <c r="B4772" t="s">
        <v>32</v>
      </c>
      <c r="C4772">
        <v>2021</v>
      </c>
      <c r="D4772" t="s">
        <v>80</v>
      </c>
      <c r="E4772" t="s">
        <v>90</v>
      </c>
      <c r="F4772" t="s">
        <v>80</v>
      </c>
      <c r="G4772">
        <v>32261</v>
      </c>
      <c r="H4772">
        <v>25808.800000000003</v>
      </c>
      <c r="I4772" s="13">
        <v>0</v>
      </c>
      <c r="J4772" t="s">
        <v>6207</v>
      </c>
      <c r="K4772">
        <v>1</v>
      </c>
      <c r="L4772">
        <v>1</v>
      </c>
      <c r="M4772" t="s">
        <v>58</v>
      </c>
      <c r="N4772" s="2">
        <v>0.43</v>
      </c>
      <c r="O4772" s="2">
        <v>0.56999999999999995</v>
      </c>
      <c r="P4772">
        <v>9</v>
      </c>
      <c r="Q4772">
        <v>9</v>
      </c>
      <c r="R4772">
        <v>4</v>
      </c>
      <c r="S4772">
        <v>5</v>
      </c>
      <c r="T4772">
        <v>6</v>
      </c>
      <c r="U4772">
        <v>8</v>
      </c>
      <c r="V4772">
        <v>0</v>
      </c>
      <c r="W4772">
        <v>1</v>
      </c>
      <c r="X4772">
        <v>0</v>
      </c>
      <c r="Y4772">
        <v>0</v>
      </c>
      <c r="Z4772">
        <v>0</v>
      </c>
    </row>
    <row r="4773" spans="1:26" x14ac:dyDescent="0.2">
      <c r="A4773" t="s">
        <v>4891</v>
      </c>
      <c r="B4773" t="s">
        <v>60</v>
      </c>
      <c r="C4773">
        <v>2021</v>
      </c>
      <c r="D4773" t="s">
        <v>79</v>
      </c>
      <c r="E4773" t="s">
        <v>26</v>
      </c>
      <c r="F4773" t="s">
        <v>20</v>
      </c>
      <c r="G4773">
        <v>25486</v>
      </c>
      <c r="H4773">
        <v>20388.800000000003</v>
      </c>
      <c r="I4773" s="13">
        <v>0.4</v>
      </c>
      <c r="J4773" t="s">
        <v>6208</v>
      </c>
      <c r="K4773">
        <v>1</v>
      </c>
      <c r="L4773">
        <v>3</v>
      </c>
      <c r="M4773" t="s">
        <v>1</v>
      </c>
      <c r="N4773" s="2">
        <v>0.43</v>
      </c>
      <c r="O4773" s="2">
        <v>0.56999999999999995</v>
      </c>
      <c r="P4773">
        <v>12</v>
      </c>
      <c r="Q4773">
        <v>16</v>
      </c>
      <c r="R4773">
        <v>2</v>
      </c>
      <c r="S4773">
        <v>5</v>
      </c>
      <c r="T4773">
        <v>12</v>
      </c>
      <c r="U4773">
        <v>10</v>
      </c>
      <c r="V4773">
        <v>4</v>
      </c>
      <c r="W4773">
        <v>1</v>
      </c>
      <c r="X4773">
        <v>0</v>
      </c>
      <c r="Y4773">
        <v>0</v>
      </c>
      <c r="Z4773">
        <v>1</v>
      </c>
    </row>
    <row r="4774" spans="1:26" x14ac:dyDescent="0.2">
      <c r="A4774" t="s">
        <v>4892</v>
      </c>
      <c r="B4774" t="s">
        <v>93</v>
      </c>
      <c r="C4774">
        <v>2021</v>
      </c>
      <c r="D4774" t="s">
        <v>46</v>
      </c>
      <c r="E4774" t="s">
        <v>28</v>
      </c>
      <c r="F4774" t="s">
        <v>20</v>
      </c>
      <c r="G4774">
        <v>60704</v>
      </c>
      <c r="H4774">
        <v>48563.200000000004</v>
      </c>
      <c r="I4774" s="13">
        <v>0</v>
      </c>
      <c r="J4774" t="s">
        <v>6206</v>
      </c>
      <c r="K4774">
        <v>0</v>
      </c>
      <c r="L4774">
        <v>0</v>
      </c>
      <c r="M4774" t="s">
        <v>58</v>
      </c>
      <c r="N4774" s="2">
        <v>0.76</v>
      </c>
      <c r="O4774" s="2">
        <v>0.24</v>
      </c>
      <c r="P4774">
        <v>15</v>
      </c>
      <c r="Q4774">
        <v>9</v>
      </c>
      <c r="R4774">
        <v>12</v>
      </c>
      <c r="S4774">
        <v>4</v>
      </c>
      <c r="T4774">
        <v>9</v>
      </c>
      <c r="U4774">
        <v>13</v>
      </c>
      <c r="V4774">
        <v>0</v>
      </c>
      <c r="W4774">
        <v>2</v>
      </c>
      <c r="X4774">
        <v>0</v>
      </c>
      <c r="Y4774">
        <v>0</v>
      </c>
      <c r="Z4774">
        <v>0</v>
      </c>
    </row>
    <row r="4775" spans="1:26" x14ac:dyDescent="0.2">
      <c r="A4775" t="s">
        <v>4893</v>
      </c>
      <c r="B4775" t="s">
        <v>81</v>
      </c>
      <c r="C4775">
        <v>2021</v>
      </c>
      <c r="D4775" t="s">
        <v>18</v>
      </c>
      <c r="E4775" t="s">
        <v>51</v>
      </c>
      <c r="F4775" t="s">
        <v>20</v>
      </c>
      <c r="G4775">
        <v>40341</v>
      </c>
      <c r="H4775">
        <v>32272.800000000003</v>
      </c>
      <c r="I4775" s="13">
        <v>0.66666666666666663</v>
      </c>
      <c r="J4775" t="s">
        <v>6207</v>
      </c>
      <c r="K4775">
        <v>2</v>
      </c>
      <c r="L4775">
        <v>0</v>
      </c>
      <c r="M4775" t="s">
        <v>0</v>
      </c>
      <c r="N4775" s="2">
        <v>0.65</v>
      </c>
      <c r="O4775" s="2">
        <v>0.35</v>
      </c>
      <c r="P4775">
        <v>15</v>
      </c>
      <c r="Q4775">
        <v>17</v>
      </c>
      <c r="R4775">
        <v>10</v>
      </c>
      <c r="S4775">
        <v>3</v>
      </c>
      <c r="T4775">
        <v>17</v>
      </c>
      <c r="U4775">
        <v>14</v>
      </c>
      <c r="V4775">
        <v>2</v>
      </c>
      <c r="W4775">
        <v>1</v>
      </c>
      <c r="X4775">
        <v>0</v>
      </c>
      <c r="Y4775">
        <v>0</v>
      </c>
      <c r="Z4775">
        <v>0</v>
      </c>
    </row>
    <row r="4776" spans="1:26" x14ac:dyDescent="0.2">
      <c r="A4776" t="s">
        <v>4894</v>
      </c>
      <c r="B4776" t="s">
        <v>76</v>
      </c>
      <c r="C4776">
        <v>2021</v>
      </c>
      <c r="D4776" t="s">
        <v>28</v>
      </c>
      <c r="E4776" t="s">
        <v>85</v>
      </c>
      <c r="F4776" t="s">
        <v>28</v>
      </c>
      <c r="G4776">
        <v>21944</v>
      </c>
      <c r="H4776">
        <v>17555.2</v>
      </c>
      <c r="I4776" s="13">
        <v>0.33333333333333331</v>
      </c>
      <c r="J4776" t="s">
        <v>6207</v>
      </c>
      <c r="K4776">
        <v>0</v>
      </c>
      <c r="L4776">
        <v>0</v>
      </c>
      <c r="M4776" t="s">
        <v>58</v>
      </c>
      <c r="N4776" s="2">
        <v>0.52</v>
      </c>
      <c r="O4776" s="2">
        <v>0.48</v>
      </c>
      <c r="P4776">
        <v>6</v>
      </c>
      <c r="Q4776">
        <v>19</v>
      </c>
      <c r="R4776">
        <v>4</v>
      </c>
      <c r="S4776">
        <v>7</v>
      </c>
      <c r="T4776">
        <v>16</v>
      </c>
      <c r="U4776">
        <v>9</v>
      </c>
      <c r="V4776">
        <v>1</v>
      </c>
      <c r="W4776">
        <v>2</v>
      </c>
      <c r="X4776">
        <v>0</v>
      </c>
      <c r="Y4776">
        <v>0</v>
      </c>
      <c r="Z4776">
        <v>0</v>
      </c>
    </row>
    <row r="4777" spans="1:26" x14ac:dyDescent="0.2">
      <c r="A4777" t="s">
        <v>4895</v>
      </c>
      <c r="B4777" t="s">
        <v>32</v>
      </c>
      <c r="C4777">
        <v>2021</v>
      </c>
      <c r="D4777" t="s">
        <v>23</v>
      </c>
      <c r="E4777" t="s">
        <v>85</v>
      </c>
      <c r="F4777" t="s">
        <v>20</v>
      </c>
      <c r="G4777">
        <v>62500</v>
      </c>
      <c r="H4777">
        <v>50000</v>
      </c>
      <c r="I4777" s="13">
        <v>1</v>
      </c>
      <c r="J4777" t="s">
        <v>6207</v>
      </c>
      <c r="K4777">
        <v>1</v>
      </c>
      <c r="L4777">
        <v>0</v>
      </c>
      <c r="M4777" t="s">
        <v>0</v>
      </c>
      <c r="N4777" s="2">
        <v>0.65</v>
      </c>
      <c r="O4777" s="2">
        <v>0.35</v>
      </c>
      <c r="P4777">
        <v>7</v>
      </c>
      <c r="Q4777">
        <v>4</v>
      </c>
      <c r="R4777">
        <v>5</v>
      </c>
      <c r="S4777">
        <v>6</v>
      </c>
      <c r="T4777">
        <v>1</v>
      </c>
      <c r="U4777">
        <v>6</v>
      </c>
      <c r="V4777">
        <v>1</v>
      </c>
      <c r="W4777">
        <v>0</v>
      </c>
      <c r="X4777">
        <v>0</v>
      </c>
      <c r="Y4777">
        <v>0</v>
      </c>
      <c r="Z4777">
        <v>0</v>
      </c>
    </row>
    <row r="4778" spans="1:26" x14ac:dyDescent="0.2">
      <c r="A4778" t="s">
        <v>4896</v>
      </c>
      <c r="B4778" t="s">
        <v>61</v>
      </c>
      <c r="C4778">
        <v>2021</v>
      </c>
      <c r="D4778" t="s">
        <v>64</v>
      </c>
      <c r="E4778" t="s">
        <v>45</v>
      </c>
      <c r="F4778" t="s">
        <v>64</v>
      </c>
      <c r="G4778">
        <v>52264</v>
      </c>
      <c r="H4778">
        <v>41811.200000000004</v>
      </c>
      <c r="I4778" s="13">
        <v>0.8</v>
      </c>
      <c r="J4778" t="s">
        <v>6207</v>
      </c>
      <c r="K4778">
        <v>3</v>
      </c>
      <c r="L4778">
        <v>1</v>
      </c>
      <c r="M4778" t="s">
        <v>0</v>
      </c>
      <c r="N4778" s="2">
        <v>0.39</v>
      </c>
      <c r="O4778" s="2">
        <v>0.61</v>
      </c>
      <c r="P4778">
        <v>14</v>
      </c>
      <c r="Q4778">
        <v>13</v>
      </c>
      <c r="R4778">
        <v>6</v>
      </c>
      <c r="S4778">
        <v>2</v>
      </c>
      <c r="T4778">
        <v>13</v>
      </c>
      <c r="U4778">
        <v>13</v>
      </c>
      <c r="V4778">
        <v>2</v>
      </c>
      <c r="W4778">
        <v>3</v>
      </c>
      <c r="X4778">
        <v>0</v>
      </c>
      <c r="Y4778">
        <v>0</v>
      </c>
      <c r="Z4778">
        <v>0</v>
      </c>
    </row>
    <row r="4779" spans="1:26" x14ac:dyDescent="0.2">
      <c r="A4779" t="s">
        <v>4897</v>
      </c>
      <c r="B4779" t="s">
        <v>41</v>
      </c>
      <c r="C4779">
        <v>2021</v>
      </c>
      <c r="D4779" t="s">
        <v>28</v>
      </c>
      <c r="E4779" t="s">
        <v>48</v>
      </c>
      <c r="F4779" t="s">
        <v>28</v>
      </c>
      <c r="G4779">
        <v>21944</v>
      </c>
      <c r="H4779">
        <v>17555.2</v>
      </c>
      <c r="I4779" s="13">
        <v>0.33333333333333331</v>
      </c>
      <c r="J4779" t="s">
        <v>6207</v>
      </c>
      <c r="K4779">
        <v>1</v>
      </c>
      <c r="L4779">
        <v>1</v>
      </c>
      <c r="M4779" t="s">
        <v>58</v>
      </c>
      <c r="N4779" s="2">
        <v>0.36</v>
      </c>
      <c r="O4779" s="2">
        <v>0.64</v>
      </c>
      <c r="P4779">
        <v>11</v>
      </c>
      <c r="Q4779">
        <v>13</v>
      </c>
      <c r="R4779">
        <v>2</v>
      </c>
      <c r="S4779">
        <v>10</v>
      </c>
      <c r="T4779">
        <v>11</v>
      </c>
      <c r="U4779">
        <v>10</v>
      </c>
      <c r="V4779">
        <v>2</v>
      </c>
      <c r="W4779">
        <v>1</v>
      </c>
      <c r="X4779">
        <v>0</v>
      </c>
      <c r="Y4779">
        <v>0</v>
      </c>
      <c r="Z4779">
        <v>0</v>
      </c>
    </row>
    <row r="4780" spans="1:26" x14ac:dyDescent="0.2">
      <c r="A4780" t="s">
        <v>4898</v>
      </c>
      <c r="B4780" t="s">
        <v>93</v>
      </c>
      <c r="C4780">
        <v>2021</v>
      </c>
      <c r="D4780" t="s">
        <v>51</v>
      </c>
      <c r="E4780" t="s">
        <v>73</v>
      </c>
      <c r="F4780" t="s">
        <v>20</v>
      </c>
      <c r="G4780">
        <v>36284</v>
      </c>
      <c r="H4780">
        <v>29027.200000000001</v>
      </c>
      <c r="I4780" s="13">
        <v>0.8</v>
      </c>
      <c r="J4780" t="s">
        <v>6206</v>
      </c>
      <c r="K4780">
        <v>2</v>
      </c>
      <c r="L4780">
        <v>3</v>
      </c>
      <c r="M4780" t="s">
        <v>1</v>
      </c>
      <c r="N4780" s="2">
        <v>0.47</v>
      </c>
      <c r="O4780" s="2">
        <v>0.53</v>
      </c>
      <c r="P4780">
        <v>16</v>
      </c>
      <c r="Q4780">
        <v>9</v>
      </c>
      <c r="R4780">
        <v>2</v>
      </c>
      <c r="S4780">
        <v>8</v>
      </c>
      <c r="T4780">
        <v>7</v>
      </c>
      <c r="U4780">
        <v>13</v>
      </c>
      <c r="V4780">
        <v>2</v>
      </c>
      <c r="W4780">
        <v>3</v>
      </c>
      <c r="X4780">
        <v>0</v>
      </c>
      <c r="Y4780">
        <v>0</v>
      </c>
      <c r="Z4780">
        <v>0</v>
      </c>
    </row>
    <row r="4781" spans="1:26" x14ac:dyDescent="0.2">
      <c r="A4781" t="s">
        <v>4899</v>
      </c>
      <c r="B4781" t="s">
        <v>81</v>
      </c>
      <c r="C4781">
        <v>2021</v>
      </c>
      <c r="D4781" t="s">
        <v>69</v>
      </c>
      <c r="E4781" t="s">
        <v>79</v>
      </c>
      <c r="F4781" t="s">
        <v>69</v>
      </c>
      <c r="G4781">
        <v>27359</v>
      </c>
      <c r="H4781">
        <v>21887.200000000001</v>
      </c>
      <c r="I4781" s="13">
        <v>0.33333333333333331</v>
      </c>
      <c r="J4781" t="s">
        <v>6207</v>
      </c>
      <c r="K4781">
        <v>1</v>
      </c>
      <c r="L4781">
        <v>1</v>
      </c>
      <c r="M4781" t="s">
        <v>58</v>
      </c>
      <c r="N4781" s="2">
        <v>0.28000000000000003</v>
      </c>
      <c r="O4781" s="2">
        <v>0.72</v>
      </c>
      <c r="P4781">
        <v>18</v>
      </c>
      <c r="Q4781">
        <v>12</v>
      </c>
      <c r="R4781">
        <v>4</v>
      </c>
      <c r="S4781">
        <v>6</v>
      </c>
      <c r="T4781">
        <v>11</v>
      </c>
      <c r="U4781">
        <v>15</v>
      </c>
      <c r="V4781">
        <v>1</v>
      </c>
      <c r="W4781">
        <v>2</v>
      </c>
      <c r="X4781">
        <v>0</v>
      </c>
      <c r="Y4781">
        <v>0</v>
      </c>
      <c r="Z4781">
        <v>1</v>
      </c>
    </row>
    <row r="4782" spans="1:26" x14ac:dyDescent="0.2">
      <c r="A4782" t="s">
        <v>4900</v>
      </c>
      <c r="B4782" t="s">
        <v>100</v>
      </c>
      <c r="C4782">
        <v>2021</v>
      </c>
      <c r="D4782" t="s">
        <v>40</v>
      </c>
      <c r="E4782" t="s">
        <v>101</v>
      </c>
      <c r="F4782" t="s">
        <v>49</v>
      </c>
      <c r="G4782">
        <v>53400</v>
      </c>
      <c r="H4782">
        <v>42720</v>
      </c>
      <c r="I4782" s="13">
        <v>0</v>
      </c>
      <c r="J4782" t="s">
        <v>6207</v>
      </c>
      <c r="K4782">
        <v>2</v>
      </c>
      <c r="L4782">
        <v>0</v>
      </c>
      <c r="M4782" t="s">
        <v>0</v>
      </c>
      <c r="N4782" s="2">
        <v>0.75</v>
      </c>
      <c r="O4782" s="2">
        <v>0.25</v>
      </c>
      <c r="P4782">
        <v>22</v>
      </c>
      <c r="Q4782">
        <v>8</v>
      </c>
      <c r="R4782">
        <v>9</v>
      </c>
      <c r="S4782">
        <v>3</v>
      </c>
      <c r="T4782">
        <v>7</v>
      </c>
      <c r="U4782">
        <v>13</v>
      </c>
      <c r="V4782">
        <v>0</v>
      </c>
      <c r="W4782">
        <v>0</v>
      </c>
      <c r="X4782">
        <v>0</v>
      </c>
      <c r="Y4782">
        <v>0</v>
      </c>
      <c r="Z4782">
        <v>1</v>
      </c>
    </row>
    <row r="4783" spans="1:26" x14ac:dyDescent="0.2">
      <c r="A4783" t="s">
        <v>4901</v>
      </c>
      <c r="B4783" t="s">
        <v>102</v>
      </c>
      <c r="C4783">
        <v>2021</v>
      </c>
      <c r="D4783" t="s">
        <v>42</v>
      </c>
      <c r="E4783" t="s">
        <v>33</v>
      </c>
      <c r="F4783" t="s">
        <v>38</v>
      </c>
      <c r="G4783">
        <v>42918</v>
      </c>
      <c r="H4783">
        <v>34334.400000000001</v>
      </c>
      <c r="I4783" s="13">
        <v>0.33333333333333331</v>
      </c>
      <c r="J4783" t="s">
        <v>6209</v>
      </c>
      <c r="K4783">
        <v>3</v>
      </c>
      <c r="L4783">
        <v>3</v>
      </c>
      <c r="M4783" t="s">
        <v>58</v>
      </c>
      <c r="N4783" s="2">
        <v>0.4</v>
      </c>
      <c r="O4783" s="2">
        <v>0.6</v>
      </c>
      <c r="P4783">
        <v>11</v>
      </c>
      <c r="Q4783">
        <v>12</v>
      </c>
      <c r="R4783">
        <v>6</v>
      </c>
      <c r="S4783">
        <v>11</v>
      </c>
      <c r="T4783">
        <v>11</v>
      </c>
      <c r="U4783">
        <v>9</v>
      </c>
      <c r="V4783">
        <v>2</v>
      </c>
      <c r="W4783">
        <v>3</v>
      </c>
      <c r="X4783">
        <v>1</v>
      </c>
      <c r="Y4783">
        <v>0</v>
      </c>
      <c r="Z4783">
        <v>0</v>
      </c>
    </row>
    <row r="4784" spans="1:26" x14ac:dyDescent="0.2">
      <c r="A4784" t="s">
        <v>4902</v>
      </c>
      <c r="B4784" t="s">
        <v>66</v>
      </c>
      <c r="C4784">
        <v>2021</v>
      </c>
      <c r="D4784" t="s">
        <v>22</v>
      </c>
      <c r="E4784" t="s">
        <v>46</v>
      </c>
      <c r="F4784" t="s">
        <v>24</v>
      </c>
      <c r="G4784">
        <v>31750</v>
      </c>
      <c r="H4784">
        <v>25400</v>
      </c>
      <c r="I4784" s="13">
        <v>0.8571428571428571</v>
      </c>
      <c r="J4784" t="s">
        <v>6207</v>
      </c>
      <c r="K4784">
        <v>0</v>
      </c>
      <c r="L4784">
        <v>1</v>
      </c>
      <c r="M4784" t="s">
        <v>1</v>
      </c>
      <c r="N4784" s="2">
        <v>0.57999999999999996</v>
      </c>
      <c r="O4784" s="2">
        <v>0.42</v>
      </c>
      <c r="P4784">
        <v>13</v>
      </c>
      <c r="Q4784">
        <v>13</v>
      </c>
      <c r="R4784">
        <v>7</v>
      </c>
      <c r="S4784">
        <v>4</v>
      </c>
      <c r="T4784">
        <v>12</v>
      </c>
      <c r="U4784">
        <v>13</v>
      </c>
      <c r="V4784">
        <v>2</v>
      </c>
      <c r="W4784">
        <v>4</v>
      </c>
      <c r="X4784">
        <v>0</v>
      </c>
      <c r="Y4784">
        <v>1</v>
      </c>
      <c r="Z4784">
        <v>0</v>
      </c>
    </row>
    <row r="4785" spans="1:26" x14ac:dyDescent="0.2">
      <c r="A4785" t="s">
        <v>4903</v>
      </c>
      <c r="B4785" t="s">
        <v>88</v>
      </c>
      <c r="C4785">
        <v>2021</v>
      </c>
      <c r="D4785" t="s">
        <v>26</v>
      </c>
      <c r="E4785" t="s">
        <v>80</v>
      </c>
      <c r="F4785" t="s">
        <v>26</v>
      </c>
      <c r="G4785">
        <v>61276</v>
      </c>
      <c r="H4785">
        <v>49020.800000000003</v>
      </c>
      <c r="I4785" s="13">
        <v>1</v>
      </c>
      <c r="J4785" t="s">
        <v>6207</v>
      </c>
      <c r="K4785">
        <v>2</v>
      </c>
      <c r="L4785">
        <v>0</v>
      </c>
      <c r="M4785" t="s">
        <v>0</v>
      </c>
      <c r="N4785" s="2">
        <v>0.65</v>
      </c>
      <c r="O4785" s="2">
        <v>0.35</v>
      </c>
      <c r="P4785">
        <v>10</v>
      </c>
      <c r="Q4785">
        <v>13</v>
      </c>
      <c r="R4785">
        <v>7</v>
      </c>
      <c r="S4785">
        <v>6</v>
      </c>
      <c r="T4785">
        <v>11</v>
      </c>
      <c r="U4785">
        <v>7</v>
      </c>
      <c r="V4785">
        <v>1</v>
      </c>
      <c r="W4785">
        <v>0</v>
      </c>
      <c r="X4785">
        <v>0</v>
      </c>
      <c r="Y4785">
        <v>0</v>
      </c>
      <c r="Z4785">
        <v>0</v>
      </c>
    </row>
    <row r="4786" spans="1:26" x14ac:dyDescent="0.2">
      <c r="A4786" t="s">
        <v>4904</v>
      </c>
      <c r="B4786" t="s">
        <v>59</v>
      </c>
      <c r="C4786">
        <v>2021</v>
      </c>
      <c r="D4786" t="s">
        <v>48</v>
      </c>
      <c r="E4786" t="s">
        <v>73</v>
      </c>
      <c r="F4786" t="s">
        <v>49</v>
      </c>
      <c r="G4786">
        <v>74197</v>
      </c>
      <c r="H4786">
        <v>59357.600000000006</v>
      </c>
      <c r="I4786" s="13">
        <v>0.25</v>
      </c>
      <c r="J4786" t="s">
        <v>6206</v>
      </c>
      <c r="K4786">
        <v>1</v>
      </c>
      <c r="L4786">
        <v>1</v>
      </c>
      <c r="M4786" t="s">
        <v>58</v>
      </c>
      <c r="N4786" s="2">
        <v>0.52</v>
      </c>
      <c r="O4786" s="2">
        <v>0.48</v>
      </c>
      <c r="P4786">
        <v>14</v>
      </c>
      <c r="Q4786">
        <v>19</v>
      </c>
      <c r="R4786">
        <v>1</v>
      </c>
      <c r="S4786">
        <v>4</v>
      </c>
      <c r="T4786">
        <v>12</v>
      </c>
      <c r="U4786">
        <v>13</v>
      </c>
      <c r="V4786">
        <v>4</v>
      </c>
      <c r="W4786">
        <v>0</v>
      </c>
      <c r="X4786">
        <v>0</v>
      </c>
      <c r="Y4786">
        <v>0</v>
      </c>
      <c r="Z4786">
        <v>0</v>
      </c>
    </row>
    <row r="4787" spans="1:26" x14ac:dyDescent="0.2">
      <c r="A4787" t="s">
        <v>4905</v>
      </c>
      <c r="B4787" t="s">
        <v>68</v>
      </c>
      <c r="C4787">
        <v>2021</v>
      </c>
      <c r="D4787" t="s">
        <v>85</v>
      </c>
      <c r="E4787" t="s">
        <v>90</v>
      </c>
      <c r="F4787" t="s">
        <v>85</v>
      </c>
      <c r="G4787">
        <v>22220</v>
      </c>
      <c r="H4787">
        <v>17776</v>
      </c>
      <c r="I4787" s="13">
        <v>0.8</v>
      </c>
      <c r="J4787" t="s">
        <v>6207</v>
      </c>
      <c r="K4787">
        <v>0</v>
      </c>
      <c r="L4787">
        <v>2</v>
      </c>
      <c r="M4787" t="s">
        <v>1</v>
      </c>
      <c r="N4787" s="2">
        <v>0.35</v>
      </c>
      <c r="O4787" s="2">
        <v>0.65</v>
      </c>
      <c r="P4787">
        <v>10</v>
      </c>
      <c r="Q4787">
        <v>17</v>
      </c>
      <c r="R4787">
        <v>4</v>
      </c>
      <c r="S4787">
        <v>5</v>
      </c>
      <c r="T4787">
        <v>16</v>
      </c>
      <c r="U4787">
        <v>9</v>
      </c>
      <c r="V4787">
        <v>3</v>
      </c>
      <c r="W4787">
        <v>2</v>
      </c>
      <c r="X4787">
        <v>0</v>
      </c>
      <c r="Y4787">
        <v>0</v>
      </c>
      <c r="Z4787">
        <v>0</v>
      </c>
    </row>
    <row r="4788" spans="1:26" x14ac:dyDescent="0.2">
      <c r="A4788" t="s">
        <v>4906</v>
      </c>
      <c r="B4788" t="s">
        <v>83</v>
      </c>
      <c r="C4788">
        <v>2021</v>
      </c>
      <c r="D4788" t="s">
        <v>45</v>
      </c>
      <c r="E4788" t="s">
        <v>33</v>
      </c>
      <c r="F4788" t="s">
        <v>26</v>
      </c>
      <c r="G4788">
        <v>39572</v>
      </c>
      <c r="H4788">
        <v>31657.600000000002</v>
      </c>
      <c r="I4788" s="13">
        <v>0.5</v>
      </c>
      <c r="J4788" t="s">
        <v>6208</v>
      </c>
      <c r="K4788">
        <v>3</v>
      </c>
      <c r="L4788">
        <v>0</v>
      </c>
      <c r="M4788" t="s">
        <v>0</v>
      </c>
      <c r="N4788" s="2">
        <v>0.42</v>
      </c>
      <c r="O4788" s="2">
        <v>0.57999999999999996</v>
      </c>
      <c r="P4788">
        <v>9</v>
      </c>
      <c r="Q4788">
        <v>9</v>
      </c>
      <c r="R4788">
        <v>5</v>
      </c>
      <c r="S4788">
        <v>3</v>
      </c>
      <c r="T4788">
        <v>8</v>
      </c>
      <c r="U4788">
        <v>9</v>
      </c>
      <c r="V4788">
        <v>1</v>
      </c>
      <c r="W4788">
        <v>1</v>
      </c>
      <c r="X4788">
        <v>0</v>
      </c>
      <c r="Y4788">
        <v>0</v>
      </c>
      <c r="Z4788">
        <v>0</v>
      </c>
    </row>
    <row r="4789" spans="1:26" x14ac:dyDescent="0.2">
      <c r="A4789" t="s">
        <v>4907</v>
      </c>
      <c r="B4789" t="s">
        <v>84</v>
      </c>
      <c r="C4789">
        <v>2021</v>
      </c>
      <c r="D4789" t="s">
        <v>101</v>
      </c>
      <c r="E4789" t="s">
        <v>79</v>
      </c>
      <c r="F4789" t="s">
        <v>101</v>
      </c>
      <c r="G4789">
        <v>17250</v>
      </c>
      <c r="H4789">
        <v>13800</v>
      </c>
      <c r="I4789" s="13">
        <v>1</v>
      </c>
      <c r="J4789" t="s">
        <v>6208</v>
      </c>
      <c r="K4789">
        <v>0</v>
      </c>
      <c r="L4789">
        <v>0</v>
      </c>
      <c r="M4789" t="s">
        <v>58</v>
      </c>
      <c r="N4789" s="2">
        <v>0.43</v>
      </c>
      <c r="O4789" s="2">
        <v>0.56999999999999995</v>
      </c>
      <c r="P4789">
        <v>10</v>
      </c>
      <c r="Q4789">
        <v>11</v>
      </c>
      <c r="R4789">
        <v>3</v>
      </c>
      <c r="S4789">
        <v>9</v>
      </c>
      <c r="T4789">
        <v>10</v>
      </c>
      <c r="U4789">
        <v>10</v>
      </c>
      <c r="V4789">
        <v>1</v>
      </c>
      <c r="W4789">
        <v>0</v>
      </c>
      <c r="X4789">
        <v>0</v>
      </c>
      <c r="Y4789">
        <v>0</v>
      </c>
      <c r="Z4789">
        <v>0</v>
      </c>
    </row>
    <row r="4790" spans="1:26" x14ac:dyDescent="0.2">
      <c r="A4790" t="s">
        <v>4908</v>
      </c>
      <c r="B4790" t="s">
        <v>37</v>
      </c>
      <c r="C4790">
        <v>2021</v>
      </c>
      <c r="D4790" t="s">
        <v>69</v>
      </c>
      <c r="E4790" t="s">
        <v>40</v>
      </c>
      <c r="F4790" t="s">
        <v>69</v>
      </c>
      <c r="G4790">
        <v>27359</v>
      </c>
      <c r="H4790">
        <v>21887.200000000001</v>
      </c>
      <c r="I4790" s="13">
        <v>0.5</v>
      </c>
      <c r="J4790" t="s">
        <v>6206</v>
      </c>
      <c r="K4790">
        <v>0</v>
      </c>
      <c r="L4790">
        <v>4</v>
      </c>
      <c r="M4790" t="s">
        <v>1</v>
      </c>
      <c r="N4790" s="2">
        <v>0.28000000000000003</v>
      </c>
      <c r="O4790" s="2">
        <v>0.72</v>
      </c>
      <c r="P4790">
        <v>10</v>
      </c>
      <c r="Q4790">
        <v>8</v>
      </c>
      <c r="R4790">
        <v>4</v>
      </c>
      <c r="S4790">
        <v>12</v>
      </c>
      <c r="T4790">
        <v>7</v>
      </c>
      <c r="U4790">
        <v>8</v>
      </c>
      <c r="V4790">
        <v>0</v>
      </c>
      <c r="W4790">
        <v>2</v>
      </c>
      <c r="X4790">
        <v>0</v>
      </c>
      <c r="Y4790">
        <v>0</v>
      </c>
      <c r="Z4790">
        <v>1</v>
      </c>
    </row>
    <row r="4791" spans="1:26" x14ac:dyDescent="0.2">
      <c r="A4791" t="s">
        <v>4909</v>
      </c>
      <c r="B4791" t="s">
        <v>60</v>
      </c>
      <c r="C4791">
        <v>2021</v>
      </c>
      <c r="D4791" t="s">
        <v>51</v>
      </c>
      <c r="E4791" t="s">
        <v>22</v>
      </c>
      <c r="F4791" t="s">
        <v>20</v>
      </c>
      <c r="G4791">
        <v>36284</v>
      </c>
      <c r="H4791">
        <v>29027.200000000001</v>
      </c>
      <c r="I4791" s="13">
        <v>1</v>
      </c>
      <c r="J4791" t="s">
        <v>6208</v>
      </c>
      <c r="K4791">
        <v>0</v>
      </c>
      <c r="L4791">
        <v>2</v>
      </c>
      <c r="M4791" t="s">
        <v>1</v>
      </c>
      <c r="N4791" s="2">
        <v>0.59</v>
      </c>
      <c r="O4791" s="2">
        <v>0.41</v>
      </c>
      <c r="P4791">
        <v>11</v>
      </c>
      <c r="Q4791">
        <v>15</v>
      </c>
      <c r="R4791">
        <v>7</v>
      </c>
      <c r="S4791">
        <v>3</v>
      </c>
      <c r="T4791">
        <v>13</v>
      </c>
      <c r="U4791">
        <v>13</v>
      </c>
      <c r="V4791">
        <v>3</v>
      </c>
      <c r="W4791">
        <v>1</v>
      </c>
      <c r="X4791">
        <v>0</v>
      </c>
      <c r="Y4791">
        <v>0</v>
      </c>
      <c r="Z4791">
        <v>0</v>
      </c>
    </row>
    <row r="4792" spans="1:26" x14ac:dyDescent="0.2">
      <c r="A4792" t="s">
        <v>4910</v>
      </c>
      <c r="B4792" t="s">
        <v>76</v>
      </c>
      <c r="C4792">
        <v>2021</v>
      </c>
      <c r="D4792" t="s">
        <v>64</v>
      </c>
      <c r="E4792" t="s">
        <v>42</v>
      </c>
      <c r="F4792" t="s">
        <v>64</v>
      </c>
      <c r="G4792">
        <v>52264</v>
      </c>
      <c r="H4792">
        <v>41811.200000000004</v>
      </c>
      <c r="I4792" s="13">
        <v>0.42857142857142855</v>
      </c>
      <c r="J4792" t="s">
        <v>6207</v>
      </c>
      <c r="K4792">
        <v>1</v>
      </c>
      <c r="L4792">
        <v>0</v>
      </c>
      <c r="M4792" t="s">
        <v>0</v>
      </c>
      <c r="N4792" s="2">
        <v>0.37</v>
      </c>
      <c r="O4792" s="2">
        <v>0.63</v>
      </c>
      <c r="P4792">
        <v>16</v>
      </c>
      <c r="Q4792">
        <v>19</v>
      </c>
      <c r="R4792">
        <v>3</v>
      </c>
      <c r="S4792">
        <v>6</v>
      </c>
      <c r="T4792">
        <v>22</v>
      </c>
      <c r="U4792">
        <v>15</v>
      </c>
      <c r="V4792">
        <v>3</v>
      </c>
      <c r="W4792">
        <v>4</v>
      </c>
      <c r="X4792">
        <v>0</v>
      </c>
      <c r="Y4792">
        <v>0</v>
      </c>
      <c r="Z4792">
        <v>0</v>
      </c>
    </row>
    <row r="4793" spans="1:26" x14ac:dyDescent="0.2">
      <c r="A4793" t="s">
        <v>4911</v>
      </c>
      <c r="B4793" t="s">
        <v>32</v>
      </c>
      <c r="C4793">
        <v>2021</v>
      </c>
      <c r="D4793" t="s">
        <v>28</v>
      </c>
      <c r="E4793" t="s">
        <v>26</v>
      </c>
      <c r="F4793" t="s">
        <v>28</v>
      </c>
      <c r="G4793">
        <v>21944</v>
      </c>
      <c r="H4793">
        <v>17555.2</v>
      </c>
      <c r="I4793" s="13">
        <v>0</v>
      </c>
      <c r="J4793" t="s">
        <v>6207</v>
      </c>
      <c r="K4793">
        <v>0</v>
      </c>
      <c r="L4793">
        <v>1</v>
      </c>
      <c r="M4793" t="s">
        <v>1</v>
      </c>
      <c r="N4793" s="2">
        <v>0.33</v>
      </c>
      <c r="O4793" s="2">
        <v>0.67</v>
      </c>
      <c r="P4793">
        <v>9</v>
      </c>
      <c r="Q4793">
        <v>13</v>
      </c>
      <c r="R4793">
        <v>5</v>
      </c>
      <c r="S4793">
        <v>8</v>
      </c>
      <c r="T4793">
        <v>7</v>
      </c>
      <c r="U4793">
        <v>6</v>
      </c>
      <c r="V4793">
        <v>0</v>
      </c>
      <c r="W4793">
        <v>1</v>
      </c>
      <c r="X4793">
        <v>0</v>
      </c>
      <c r="Y4793">
        <v>0</v>
      </c>
      <c r="Z4793">
        <v>0</v>
      </c>
    </row>
    <row r="4794" spans="1:26" x14ac:dyDescent="0.2">
      <c r="A4794" t="s">
        <v>4912</v>
      </c>
      <c r="B4794" t="s">
        <v>66</v>
      </c>
      <c r="C4794">
        <v>2021</v>
      </c>
      <c r="D4794" t="s">
        <v>80</v>
      </c>
      <c r="E4794" t="s">
        <v>23</v>
      </c>
      <c r="F4794" t="s">
        <v>80</v>
      </c>
      <c r="G4794">
        <v>32261</v>
      </c>
      <c r="H4794">
        <v>25808.800000000003</v>
      </c>
      <c r="I4794" s="13">
        <v>0.33333333333333331</v>
      </c>
      <c r="J4794" t="s">
        <v>6207</v>
      </c>
      <c r="K4794">
        <v>2</v>
      </c>
      <c r="L4794">
        <v>2</v>
      </c>
      <c r="M4794" t="s">
        <v>58</v>
      </c>
      <c r="N4794" s="2">
        <v>0.55000000000000004</v>
      </c>
      <c r="O4794" s="2">
        <v>0.45</v>
      </c>
      <c r="P4794">
        <v>8</v>
      </c>
      <c r="Q4794">
        <v>10</v>
      </c>
      <c r="R4794">
        <v>5</v>
      </c>
      <c r="S4794">
        <v>4</v>
      </c>
      <c r="T4794">
        <v>10</v>
      </c>
      <c r="U4794">
        <v>9</v>
      </c>
      <c r="V4794">
        <v>1</v>
      </c>
      <c r="W4794">
        <v>2</v>
      </c>
      <c r="X4794">
        <v>0</v>
      </c>
      <c r="Y4794">
        <v>0</v>
      </c>
      <c r="Z4794">
        <v>1</v>
      </c>
    </row>
    <row r="4795" spans="1:26" x14ac:dyDescent="0.2">
      <c r="A4795" t="s">
        <v>4913</v>
      </c>
      <c r="B4795" t="s">
        <v>97</v>
      </c>
      <c r="C4795">
        <v>2021</v>
      </c>
      <c r="D4795" t="s">
        <v>48</v>
      </c>
      <c r="E4795" t="s">
        <v>90</v>
      </c>
      <c r="F4795" t="s">
        <v>49</v>
      </c>
      <c r="G4795">
        <v>74197</v>
      </c>
      <c r="H4795">
        <v>59357.600000000006</v>
      </c>
      <c r="I4795" s="13">
        <v>0.4</v>
      </c>
      <c r="J4795" t="s">
        <v>6207</v>
      </c>
      <c r="K4795">
        <v>2</v>
      </c>
      <c r="L4795">
        <v>0</v>
      </c>
      <c r="M4795" t="s">
        <v>0</v>
      </c>
      <c r="N4795" s="2">
        <v>0.5</v>
      </c>
      <c r="O4795" s="2">
        <v>0.5</v>
      </c>
      <c r="P4795">
        <v>9</v>
      </c>
      <c r="Q4795">
        <v>9</v>
      </c>
      <c r="R4795">
        <v>10</v>
      </c>
      <c r="S4795">
        <v>2</v>
      </c>
      <c r="T4795">
        <v>8</v>
      </c>
      <c r="U4795">
        <v>10</v>
      </c>
      <c r="V4795">
        <v>3</v>
      </c>
      <c r="W4795">
        <v>1</v>
      </c>
      <c r="X4795">
        <v>0</v>
      </c>
      <c r="Y4795">
        <v>1</v>
      </c>
      <c r="Z4795">
        <v>0</v>
      </c>
    </row>
    <row r="4796" spans="1:26" x14ac:dyDescent="0.2">
      <c r="A4796" t="s">
        <v>4914</v>
      </c>
      <c r="B4796" t="s">
        <v>88</v>
      </c>
      <c r="C4796">
        <v>2021</v>
      </c>
      <c r="D4796" t="s">
        <v>23</v>
      </c>
      <c r="E4796" t="s">
        <v>64</v>
      </c>
      <c r="F4796" t="s">
        <v>20</v>
      </c>
      <c r="G4796">
        <v>62500</v>
      </c>
      <c r="H4796">
        <v>50000</v>
      </c>
      <c r="I4796" s="13">
        <v>0.33333333333333331</v>
      </c>
      <c r="J4796" t="s">
        <v>6207</v>
      </c>
      <c r="K4796">
        <v>1</v>
      </c>
      <c r="L4796">
        <v>1</v>
      </c>
      <c r="M4796" t="s">
        <v>58</v>
      </c>
      <c r="N4796" s="2">
        <v>0.47</v>
      </c>
      <c r="O4796" s="2">
        <v>0.53</v>
      </c>
      <c r="P4796">
        <v>8</v>
      </c>
      <c r="Q4796">
        <v>5</v>
      </c>
      <c r="R4796">
        <v>3</v>
      </c>
      <c r="S4796">
        <v>7</v>
      </c>
      <c r="T4796">
        <v>3</v>
      </c>
      <c r="U4796">
        <v>7</v>
      </c>
      <c r="V4796">
        <v>3</v>
      </c>
      <c r="W4796">
        <v>3</v>
      </c>
      <c r="X4796">
        <v>0</v>
      </c>
      <c r="Y4796">
        <v>0</v>
      </c>
      <c r="Z4796">
        <v>0</v>
      </c>
    </row>
    <row r="4797" spans="1:26" x14ac:dyDescent="0.2">
      <c r="A4797" t="s">
        <v>4915</v>
      </c>
      <c r="B4797" t="s">
        <v>92</v>
      </c>
      <c r="C4797">
        <v>2021</v>
      </c>
      <c r="D4797" t="s">
        <v>73</v>
      </c>
      <c r="E4797" t="s">
        <v>45</v>
      </c>
      <c r="F4797" t="s">
        <v>73</v>
      </c>
      <c r="G4797">
        <v>32384</v>
      </c>
      <c r="H4797">
        <v>25907.200000000001</v>
      </c>
      <c r="I4797" s="13">
        <v>0.5</v>
      </c>
      <c r="J4797" t="s">
        <v>6207</v>
      </c>
      <c r="K4797">
        <v>2</v>
      </c>
      <c r="L4797">
        <v>0</v>
      </c>
      <c r="M4797" t="s">
        <v>0</v>
      </c>
      <c r="N4797" s="2">
        <v>0.56000000000000005</v>
      </c>
      <c r="O4797" s="2">
        <v>0.44</v>
      </c>
      <c r="P4797">
        <v>10</v>
      </c>
      <c r="Q4797">
        <v>9</v>
      </c>
      <c r="R4797">
        <v>4</v>
      </c>
      <c r="S4797">
        <v>4</v>
      </c>
      <c r="T4797">
        <v>6</v>
      </c>
      <c r="U4797">
        <v>9</v>
      </c>
      <c r="V4797">
        <v>0</v>
      </c>
      <c r="W4797">
        <v>2</v>
      </c>
      <c r="X4797">
        <v>0</v>
      </c>
      <c r="Y4797">
        <v>0</v>
      </c>
      <c r="Z4797">
        <v>0</v>
      </c>
    </row>
    <row r="4798" spans="1:26" x14ac:dyDescent="0.2">
      <c r="A4798" t="s">
        <v>4916</v>
      </c>
      <c r="B4798" t="s">
        <v>41</v>
      </c>
      <c r="C4798">
        <v>2021</v>
      </c>
      <c r="D4798" t="s">
        <v>26</v>
      </c>
      <c r="E4798" t="s">
        <v>69</v>
      </c>
      <c r="F4798" t="s">
        <v>26</v>
      </c>
      <c r="G4798">
        <v>61276</v>
      </c>
      <c r="H4798">
        <v>49020.800000000003</v>
      </c>
      <c r="I4798" s="13">
        <v>0</v>
      </c>
      <c r="J4798" t="s">
        <v>6207</v>
      </c>
      <c r="K4798">
        <v>3</v>
      </c>
      <c r="L4798">
        <v>1</v>
      </c>
      <c r="M4798" t="s">
        <v>0</v>
      </c>
      <c r="N4798" s="2">
        <v>0.7</v>
      </c>
      <c r="O4798" s="2">
        <v>0.3</v>
      </c>
      <c r="P4798">
        <v>12</v>
      </c>
      <c r="Q4798">
        <v>9</v>
      </c>
      <c r="R4798">
        <v>8</v>
      </c>
      <c r="S4798">
        <v>4</v>
      </c>
      <c r="T4798">
        <v>7</v>
      </c>
      <c r="U4798">
        <v>8</v>
      </c>
      <c r="V4798">
        <v>0</v>
      </c>
      <c r="W4798">
        <v>1</v>
      </c>
      <c r="X4798">
        <v>0</v>
      </c>
      <c r="Y4798">
        <v>0</v>
      </c>
      <c r="Z4798">
        <v>0</v>
      </c>
    </row>
    <row r="4799" spans="1:26" x14ac:dyDescent="0.2">
      <c r="A4799" t="s">
        <v>4917</v>
      </c>
      <c r="B4799" t="s">
        <v>93</v>
      </c>
      <c r="C4799">
        <v>2021</v>
      </c>
      <c r="D4799" t="s">
        <v>79</v>
      </c>
      <c r="E4799" t="s">
        <v>18</v>
      </c>
      <c r="F4799" t="s">
        <v>20</v>
      </c>
      <c r="G4799">
        <v>25486</v>
      </c>
      <c r="H4799">
        <v>20388.800000000003</v>
      </c>
      <c r="I4799" s="13">
        <v>1</v>
      </c>
      <c r="J4799" t="s">
        <v>6206</v>
      </c>
      <c r="K4799">
        <v>0</v>
      </c>
      <c r="L4799">
        <v>1</v>
      </c>
      <c r="M4799" t="s">
        <v>1</v>
      </c>
      <c r="N4799" s="2">
        <v>0.42</v>
      </c>
      <c r="O4799" s="2">
        <v>0.57999999999999996</v>
      </c>
      <c r="P4799">
        <v>20</v>
      </c>
      <c r="Q4799">
        <v>4</v>
      </c>
      <c r="R4799">
        <v>4</v>
      </c>
      <c r="S4799">
        <v>4</v>
      </c>
      <c r="T4799">
        <v>4</v>
      </c>
      <c r="U4799">
        <v>20</v>
      </c>
      <c r="V4799">
        <v>1</v>
      </c>
      <c r="W4799">
        <v>3</v>
      </c>
      <c r="X4799">
        <v>0</v>
      </c>
      <c r="Y4799">
        <v>0</v>
      </c>
      <c r="Z4799">
        <v>0</v>
      </c>
    </row>
    <row r="4800" spans="1:26" x14ac:dyDescent="0.2">
      <c r="A4800" t="s">
        <v>4918</v>
      </c>
      <c r="B4800" t="s">
        <v>60</v>
      </c>
      <c r="C4800">
        <v>2021</v>
      </c>
      <c r="D4800" t="s">
        <v>90</v>
      </c>
      <c r="E4800" t="s">
        <v>28</v>
      </c>
      <c r="F4800" t="s">
        <v>91</v>
      </c>
      <c r="G4800">
        <v>31876</v>
      </c>
      <c r="H4800">
        <v>25500.800000000003</v>
      </c>
      <c r="I4800" s="13">
        <v>0.2</v>
      </c>
      <c r="J4800" t="s">
        <v>6208</v>
      </c>
      <c r="K4800">
        <v>0</v>
      </c>
      <c r="L4800">
        <v>3</v>
      </c>
      <c r="M4800" t="s">
        <v>1</v>
      </c>
      <c r="N4800" s="2">
        <v>0.69</v>
      </c>
      <c r="O4800" s="2">
        <v>0.31</v>
      </c>
      <c r="P4800">
        <v>13</v>
      </c>
      <c r="Q4800">
        <v>12</v>
      </c>
      <c r="R4800">
        <v>4</v>
      </c>
      <c r="S4800">
        <v>4</v>
      </c>
      <c r="T4800">
        <v>12</v>
      </c>
      <c r="U4800">
        <v>12</v>
      </c>
      <c r="V4800">
        <v>1</v>
      </c>
      <c r="W4800">
        <v>4</v>
      </c>
      <c r="X4800">
        <v>0</v>
      </c>
      <c r="Y4800">
        <v>0</v>
      </c>
      <c r="Z4800">
        <v>0</v>
      </c>
    </row>
    <row r="4801" spans="1:26" x14ac:dyDescent="0.2">
      <c r="A4801" t="s">
        <v>4919</v>
      </c>
      <c r="B4801" t="s">
        <v>99</v>
      </c>
      <c r="C4801">
        <v>2021</v>
      </c>
      <c r="D4801" t="s">
        <v>42</v>
      </c>
      <c r="E4801" t="s">
        <v>85</v>
      </c>
      <c r="F4801" t="s">
        <v>38</v>
      </c>
      <c r="G4801">
        <v>42918</v>
      </c>
      <c r="H4801">
        <v>34334.400000000001</v>
      </c>
      <c r="I4801" s="13">
        <v>1</v>
      </c>
      <c r="J4801" t="s">
        <v>6207</v>
      </c>
      <c r="K4801">
        <v>0</v>
      </c>
      <c r="L4801">
        <v>1</v>
      </c>
      <c r="M4801" t="s">
        <v>1</v>
      </c>
      <c r="N4801" s="2">
        <v>0.6</v>
      </c>
      <c r="O4801" s="2">
        <v>0.4</v>
      </c>
      <c r="P4801">
        <v>5</v>
      </c>
      <c r="Q4801">
        <v>12</v>
      </c>
      <c r="R4801">
        <v>10</v>
      </c>
      <c r="S4801">
        <v>5</v>
      </c>
      <c r="T4801">
        <v>12</v>
      </c>
      <c r="U4801">
        <v>7</v>
      </c>
      <c r="V4801">
        <v>1</v>
      </c>
      <c r="W4801">
        <v>2</v>
      </c>
      <c r="X4801">
        <v>0</v>
      </c>
      <c r="Y4801">
        <v>0</v>
      </c>
      <c r="Z4801">
        <v>0</v>
      </c>
    </row>
    <row r="4802" spans="1:26" x14ac:dyDescent="0.2">
      <c r="A4802" t="s">
        <v>4920</v>
      </c>
      <c r="B4802" t="s">
        <v>68</v>
      </c>
      <c r="C4802">
        <v>2021</v>
      </c>
      <c r="D4802" t="s">
        <v>46</v>
      </c>
      <c r="E4802" t="s">
        <v>101</v>
      </c>
      <c r="F4802" t="s">
        <v>20</v>
      </c>
      <c r="G4802">
        <v>60704</v>
      </c>
      <c r="H4802">
        <v>48563.200000000004</v>
      </c>
      <c r="I4802" s="13">
        <v>1</v>
      </c>
      <c r="J4802" t="s">
        <v>6207</v>
      </c>
      <c r="K4802">
        <v>2</v>
      </c>
      <c r="L4802">
        <v>1</v>
      </c>
      <c r="M4802" t="s">
        <v>0</v>
      </c>
      <c r="N4802" s="2">
        <v>0.67</v>
      </c>
      <c r="O4802" s="2">
        <v>0.33</v>
      </c>
      <c r="P4802">
        <v>7</v>
      </c>
      <c r="Q4802">
        <v>11</v>
      </c>
      <c r="R4802">
        <v>14</v>
      </c>
      <c r="S4802">
        <v>0</v>
      </c>
      <c r="T4802">
        <v>10</v>
      </c>
      <c r="U4802">
        <v>5</v>
      </c>
      <c r="V4802">
        <v>1</v>
      </c>
      <c r="W4802">
        <v>1</v>
      </c>
      <c r="X4802">
        <v>0</v>
      </c>
      <c r="Y4802">
        <v>0</v>
      </c>
      <c r="Z4802">
        <v>0</v>
      </c>
    </row>
    <row r="4803" spans="1:26" x14ac:dyDescent="0.2">
      <c r="A4803" t="s">
        <v>4921</v>
      </c>
      <c r="B4803" t="s">
        <v>61</v>
      </c>
      <c r="C4803">
        <v>2021</v>
      </c>
      <c r="D4803" t="s">
        <v>40</v>
      </c>
      <c r="E4803" t="s">
        <v>51</v>
      </c>
      <c r="F4803" t="s">
        <v>49</v>
      </c>
      <c r="G4803">
        <v>53400</v>
      </c>
      <c r="H4803">
        <v>42720</v>
      </c>
      <c r="I4803" s="13">
        <v>1</v>
      </c>
      <c r="J4803" t="s">
        <v>6207</v>
      </c>
      <c r="K4803">
        <v>2</v>
      </c>
      <c r="L4803">
        <v>3</v>
      </c>
      <c r="M4803" t="s">
        <v>1</v>
      </c>
      <c r="N4803" s="2">
        <v>0.71</v>
      </c>
      <c r="O4803" s="2">
        <v>0.28999999999999998</v>
      </c>
      <c r="P4803">
        <v>8</v>
      </c>
      <c r="Q4803">
        <v>6</v>
      </c>
      <c r="R4803">
        <v>10</v>
      </c>
      <c r="S4803">
        <v>0</v>
      </c>
      <c r="T4803">
        <v>5</v>
      </c>
      <c r="U4803">
        <v>7</v>
      </c>
      <c r="V4803">
        <v>0</v>
      </c>
      <c r="W4803">
        <v>3</v>
      </c>
      <c r="X4803">
        <v>0</v>
      </c>
      <c r="Y4803">
        <v>0</v>
      </c>
      <c r="Z4803">
        <v>1</v>
      </c>
    </row>
    <row r="4804" spans="1:26" x14ac:dyDescent="0.2">
      <c r="A4804" t="s">
        <v>4922</v>
      </c>
      <c r="B4804" t="s">
        <v>81</v>
      </c>
      <c r="C4804">
        <v>2021</v>
      </c>
      <c r="D4804" t="s">
        <v>33</v>
      </c>
      <c r="E4804" t="s">
        <v>48</v>
      </c>
      <c r="F4804" t="s">
        <v>33</v>
      </c>
      <c r="G4804">
        <v>37645</v>
      </c>
      <c r="H4804">
        <v>30116</v>
      </c>
      <c r="I4804" s="13">
        <v>0.55555555555555558</v>
      </c>
      <c r="J4804" t="s">
        <v>6207</v>
      </c>
      <c r="K4804">
        <v>2</v>
      </c>
      <c r="L4804">
        <v>4</v>
      </c>
      <c r="M4804" t="s">
        <v>1</v>
      </c>
      <c r="N4804" s="2">
        <v>0.54</v>
      </c>
      <c r="O4804" s="2">
        <v>0.46</v>
      </c>
      <c r="P4804">
        <v>22</v>
      </c>
      <c r="Q4804">
        <v>16</v>
      </c>
      <c r="R4804">
        <v>3</v>
      </c>
      <c r="S4804">
        <v>3</v>
      </c>
      <c r="T4804">
        <v>13</v>
      </c>
      <c r="U4804">
        <v>19</v>
      </c>
      <c r="V4804">
        <v>6</v>
      </c>
      <c r="W4804">
        <v>3</v>
      </c>
      <c r="X4804">
        <v>0</v>
      </c>
      <c r="Y4804">
        <v>0</v>
      </c>
      <c r="Z4804">
        <v>0</v>
      </c>
    </row>
    <row r="4805" spans="1:26" x14ac:dyDescent="0.2">
      <c r="A4805" t="s">
        <v>4923</v>
      </c>
      <c r="B4805" t="s">
        <v>76</v>
      </c>
      <c r="C4805">
        <v>2021</v>
      </c>
      <c r="D4805" t="s">
        <v>22</v>
      </c>
      <c r="E4805" t="s">
        <v>80</v>
      </c>
      <c r="F4805" t="s">
        <v>24</v>
      </c>
      <c r="G4805">
        <v>31750</v>
      </c>
      <c r="H4805">
        <v>25400</v>
      </c>
      <c r="I4805" s="13">
        <v>0.875</v>
      </c>
      <c r="J4805" t="s">
        <v>6207</v>
      </c>
      <c r="K4805">
        <v>2</v>
      </c>
      <c r="L4805">
        <v>1</v>
      </c>
      <c r="M4805" t="s">
        <v>0</v>
      </c>
      <c r="N4805" s="2">
        <v>0.36</v>
      </c>
      <c r="O4805" s="2">
        <v>0.64</v>
      </c>
      <c r="P4805">
        <v>10</v>
      </c>
      <c r="Q4805">
        <v>11</v>
      </c>
      <c r="R4805">
        <v>7</v>
      </c>
      <c r="S4805">
        <v>10</v>
      </c>
      <c r="T4805">
        <v>12</v>
      </c>
      <c r="U4805">
        <v>9</v>
      </c>
      <c r="V4805">
        <v>4</v>
      </c>
      <c r="W4805">
        <v>4</v>
      </c>
      <c r="X4805">
        <v>0</v>
      </c>
      <c r="Y4805">
        <v>0</v>
      </c>
      <c r="Z4805">
        <v>0</v>
      </c>
    </row>
    <row r="4806" spans="1:26" x14ac:dyDescent="0.2">
      <c r="A4806" t="s">
        <v>4924</v>
      </c>
      <c r="B4806" t="s">
        <v>37</v>
      </c>
      <c r="C4806">
        <v>2021</v>
      </c>
      <c r="D4806" t="s">
        <v>85</v>
      </c>
      <c r="E4806" t="s">
        <v>79</v>
      </c>
      <c r="F4806" t="s">
        <v>85</v>
      </c>
      <c r="G4806">
        <v>22220</v>
      </c>
      <c r="H4806">
        <v>17776</v>
      </c>
      <c r="I4806" s="13">
        <v>0.66666666666666663</v>
      </c>
      <c r="J4806" t="s">
        <v>6206</v>
      </c>
      <c r="K4806">
        <v>1</v>
      </c>
      <c r="L4806">
        <v>4</v>
      </c>
      <c r="M4806" t="s">
        <v>1</v>
      </c>
      <c r="N4806" s="2">
        <v>0.45</v>
      </c>
      <c r="O4806" s="2">
        <v>0.55000000000000004</v>
      </c>
      <c r="P4806">
        <v>10</v>
      </c>
      <c r="Q4806">
        <v>14</v>
      </c>
      <c r="R4806">
        <v>6</v>
      </c>
      <c r="S4806">
        <v>4</v>
      </c>
      <c r="T4806">
        <v>12</v>
      </c>
      <c r="U4806">
        <v>9</v>
      </c>
      <c r="V4806">
        <v>2</v>
      </c>
      <c r="W4806">
        <v>1</v>
      </c>
      <c r="X4806">
        <v>0</v>
      </c>
      <c r="Y4806">
        <v>0</v>
      </c>
      <c r="Z4806">
        <v>0</v>
      </c>
    </row>
    <row r="4807" spans="1:26" x14ac:dyDescent="0.2">
      <c r="A4807" t="s">
        <v>4925</v>
      </c>
      <c r="B4807" t="s">
        <v>83</v>
      </c>
      <c r="C4807">
        <v>2021</v>
      </c>
      <c r="D4807" t="s">
        <v>28</v>
      </c>
      <c r="E4807" t="s">
        <v>51</v>
      </c>
      <c r="F4807" t="s">
        <v>28</v>
      </c>
      <c r="G4807">
        <v>21944</v>
      </c>
      <c r="H4807">
        <v>17555.2</v>
      </c>
      <c r="I4807" s="13">
        <v>0</v>
      </c>
      <c r="J4807" t="s">
        <v>6208</v>
      </c>
      <c r="K4807">
        <v>1</v>
      </c>
      <c r="L4807">
        <v>0</v>
      </c>
      <c r="M4807" t="s">
        <v>0</v>
      </c>
      <c r="N4807" s="2">
        <v>0.34</v>
      </c>
      <c r="O4807" s="2">
        <v>0.66</v>
      </c>
      <c r="P4807">
        <v>7</v>
      </c>
      <c r="Q4807">
        <v>9</v>
      </c>
      <c r="R4807">
        <v>3</v>
      </c>
      <c r="S4807">
        <v>7</v>
      </c>
      <c r="T4807">
        <v>8</v>
      </c>
      <c r="U4807">
        <v>8</v>
      </c>
      <c r="V4807">
        <v>0</v>
      </c>
      <c r="W4807">
        <v>0</v>
      </c>
      <c r="X4807">
        <v>0</v>
      </c>
      <c r="Y4807">
        <v>0</v>
      </c>
      <c r="Z4807">
        <v>0</v>
      </c>
    </row>
    <row r="4808" spans="1:26" x14ac:dyDescent="0.2">
      <c r="A4808" t="s">
        <v>4926</v>
      </c>
      <c r="B4808" t="s">
        <v>66</v>
      </c>
      <c r="C4808">
        <v>2021</v>
      </c>
      <c r="D4808" t="s">
        <v>26</v>
      </c>
      <c r="E4808" t="s">
        <v>33</v>
      </c>
      <c r="F4808" t="s">
        <v>26</v>
      </c>
      <c r="G4808">
        <v>61276</v>
      </c>
      <c r="H4808">
        <v>49020.800000000003</v>
      </c>
      <c r="I4808" s="13">
        <v>0.33333333333333331</v>
      </c>
      <c r="J4808" t="s">
        <v>6207</v>
      </c>
      <c r="K4808">
        <v>6</v>
      </c>
      <c r="L4808">
        <v>0</v>
      </c>
      <c r="M4808" t="s">
        <v>0</v>
      </c>
      <c r="N4808" s="2">
        <v>0.64</v>
      </c>
      <c r="O4808" s="2">
        <v>0.36</v>
      </c>
      <c r="P4808">
        <v>15</v>
      </c>
      <c r="Q4808">
        <v>6</v>
      </c>
      <c r="R4808">
        <v>4</v>
      </c>
      <c r="S4808">
        <v>0</v>
      </c>
      <c r="T4808">
        <v>5</v>
      </c>
      <c r="U4808">
        <v>11</v>
      </c>
      <c r="V4808">
        <v>0</v>
      </c>
      <c r="W4808">
        <v>3</v>
      </c>
      <c r="X4808">
        <v>0</v>
      </c>
      <c r="Y4808">
        <v>0</v>
      </c>
      <c r="Z4808">
        <v>2</v>
      </c>
    </row>
    <row r="4809" spans="1:26" x14ac:dyDescent="0.2">
      <c r="A4809" t="s">
        <v>4927</v>
      </c>
      <c r="B4809" t="s">
        <v>32</v>
      </c>
      <c r="C4809">
        <v>2021</v>
      </c>
      <c r="D4809" t="s">
        <v>46</v>
      </c>
      <c r="E4809" t="s">
        <v>22</v>
      </c>
      <c r="F4809" t="s">
        <v>20</v>
      </c>
      <c r="G4809">
        <v>60704</v>
      </c>
      <c r="H4809">
        <v>48563.200000000004</v>
      </c>
      <c r="I4809" s="13">
        <v>0.5</v>
      </c>
      <c r="J4809" t="s">
        <v>6207</v>
      </c>
      <c r="K4809">
        <v>2</v>
      </c>
      <c r="L4809">
        <v>1</v>
      </c>
      <c r="M4809" t="s">
        <v>0</v>
      </c>
      <c r="N4809" s="2">
        <v>0.55000000000000004</v>
      </c>
      <c r="O4809" s="2">
        <v>0.45</v>
      </c>
      <c r="P4809">
        <v>11</v>
      </c>
      <c r="Q4809">
        <v>10</v>
      </c>
      <c r="R4809">
        <v>5</v>
      </c>
      <c r="S4809">
        <v>4</v>
      </c>
      <c r="T4809">
        <v>8</v>
      </c>
      <c r="U4809">
        <v>9</v>
      </c>
      <c r="V4809">
        <v>1</v>
      </c>
      <c r="W4809">
        <v>1</v>
      </c>
      <c r="X4809">
        <v>0</v>
      </c>
      <c r="Y4809">
        <v>0</v>
      </c>
      <c r="Z4809">
        <v>0</v>
      </c>
    </row>
    <row r="4810" spans="1:26" x14ac:dyDescent="0.2">
      <c r="A4810" t="s">
        <v>4928</v>
      </c>
      <c r="B4810" t="s">
        <v>84</v>
      </c>
      <c r="C4810">
        <v>2021</v>
      </c>
      <c r="D4810" t="s">
        <v>73</v>
      </c>
      <c r="E4810" t="s">
        <v>69</v>
      </c>
      <c r="F4810" t="s">
        <v>73</v>
      </c>
      <c r="G4810">
        <v>32384</v>
      </c>
      <c r="H4810">
        <v>25907.200000000001</v>
      </c>
      <c r="I4810" s="13">
        <v>0.66666666666666663</v>
      </c>
      <c r="J4810" t="s">
        <v>6208</v>
      </c>
      <c r="K4810">
        <v>2</v>
      </c>
      <c r="L4810">
        <v>0</v>
      </c>
      <c r="M4810" t="s">
        <v>0</v>
      </c>
      <c r="N4810" s="2">
        <v>0.59</v>
      </c>
      <c r="O4810" s="2">
        <v>0.41</v>
      </c>
      <c r="P4810">
        <v>8</v>
      </c>
      <c r="Q4810">
        <v>14</v>
      </c>
      <c r="R4810">
        <v>13</v>
      </c>
      <c r="S4810">
        <v>6</v>
      </c>
      <c r="T4810">
        <v>12</v>
      </c>
      <c r="U4810">
        <v>9</v>
      </c>
      <c r="V4810">
        <v>1</v>
      </c>
      <c r="W4810">
        <v>2</v>
      </c>
      <c r="X4810">
        <v>0</v>
      </c>
      <c r="Y4810">
        <v>0</v>
      </c>
      <c r="Z4810">
        <v>0</v>
      </c>
    </row>
    <row r="4811" spans="1:26" x14ac:dyDescent="0.2">
      <c r="A4811" t="s">
        <v>4929</v>
      </c>
      <c r="B4811" t="s">
        <v>76</v>
      </c>
      <c r="C4811">
        <v>2021</v>
      </c>
      <c r="D4811" t="s">
        <v>33</v>
      </c>
      <c r="E4811" t="s">
        <v>51</v>
      </c>
      <c r="F4811" t="s">
        <v>33</v>
      </c>
      <c r="G4811">
        <v>37645</v>
      </c>
      <c r="H4811">
        <v>30116</v>
      </c>
      <c r="I4811" s="13">
        <v>0.42857142857142855</v>
      </c>
      <c r="J4811" t="s">
        <v>6207</v>
      </c>
      <c r="K4811">
        <v>0</v>
      </c>
      <c r="L4811">
        <v>4</v>
      </c>
      <c r="M4811" t="s">
        <v>1</v>
      </c>
      <c r="N4811" s="2">
        <v>0.5</v>
      </c>
      <c r="O4811" s="2">
        <v>0.5</v>
      </c>
      <c r="P4811">
        <v>10</v>
      </c>
      <c r="Q4811">
        <v>16</v>
      </c>
      <c r="R4811">
        <v>3</v>
      </c>
      <c r="S4811">
        <v>6</v>
      </c>
      <c r="T4811">
        <v>16</v>
      </c>
      <c r="U4811">
        <v>11</v>
      </c>
      <c r="V4811">
        <v>4</v>
      </c>
      <c r="W4811">
        <v>3</v>
      </c>
      <c r="X4811">
        <v>0</v>
      </c>
      <c r="Y4811">
        <v>0</v>
      </c>
      <c r="Z4811">
        <v>0</v>
      </c>
    </row>
    <row r="4812" spans="1:26" x14ac:dyDescent="0.2">
      <c r="A4812" t="s">
        <v>4930</v>
      </c>
      <c r="B4812" t="s">
        <v>60</v>
      </c>
      <c r="C4812">
        <v>2021</v>
      </c>
      <c r="D4812" t="s">
        <v>48</v>
      </c>
      <c r="E4812" t="s">
        <v>85</v>
      </c>
      <c r="F4812" t="s">
        <v>49</v>
      </c>
      <c r="G4812">
        <v>74197</v>
      </c>
      <c r="H4812">
        <v>59357.600000000006</v>
      </c>
      <c r="I4812" s="13">
        <v>0</v>
      </c>
      <c r="J4812" t="s">
        <v>6208</v>
      </c>
      <c r="K4812">
        <v>0</v>
      </c>
      <c r="L4812">
        <v>0</v>
      </c>
      <c r="M4812" t="s">
        <v>58</v>
      </c>
      <c r="N4812" s="2">
        <v>0.67</v>
      </c>
      <c r="O4812" s="2">
        <v>0.33</v>
      </c>
      <c r="P4812">
        <v>9</v>
      </c>
      <c r="Q4812">
        <v>4</v>
      </c>
      <c r="R4812">
        <v>4</v>
      </c>
      <c r="S4812">
        <v>3</v>
      </c>
      <c r="T4812">
        <v>2</v>
      </c>
      <c r="U4812">
        <v>7</v>
      </c>
      <c r="V4812">
        <v>0</v>
      </c>
      <c r="W4812">
        <v>0</v>
      </c>
      <c r="X4812">
        <v>0</v>
      </c>
      <c r="Y4812">
        <v>0</v>
      </c>
      <c r="Z4812">
        <v>0</v>
      </c>
    </row>
    <row r="4813" spans="1:26" x14ac:dyDescent="0.2">
      <c r="A4813" t="s">
        <v>4931</v>
      </c>
      <c r="B4813" t="s">
        <v>68</v>
      </c>
      <c r="C4813">
        <v>2021</v>
      </c>
      <c r="D4813" t="s">
        <v>79</v>
      </c>
      <c r="E4813" t="s">
        <v>28</v>
      </c>
      <c r="F4813" t="s">
        <v>20</v>
      </c>
      <c r="G4813">
        <v>25486</v>
      </c>
      <c r="H4813">
        <v>20388.800000000003</v>
      </c>
      <c r="I4813" s="13">
        <v>0</v>
      </c>
      <c r="J4813" t="s">
        <v>6207</v>
      </c>
      <c r="K4813">
        <v>1</v>
      </c>
      <c r="L4813">
        <v>1</v>
      </c>
      <c r="M4813" t="s">
        <v>58</v>
      </c>
      <c r="N4813" s="2">
        <v>0.57999999999999996</v>
      </c>
      <c r="O4813" s="2">
        <v>0.42</v>
      </c>
      <c r="P4813">
        <v>17</v>
      </c>
      <c r="Q4813">
        <v>5</v>
      </c>
      <c r="R4813">
        <v>5</v>
      </c>
      <c r="S4813">
        <v>4</v>
      </c>
      <c r="T4813">
        <v>5</v>
      </c>
      <c r="U4813">
        <v>17</v>
      </c>
      <c r="V4813">
        <v>0</v>
      </c>
      <c r="W4813">
        <v>2</v>
      </c>
      <c r="X4813">
        <v>0</v>
      </c>
      <c r="Y4813">
        <v>0</v>
      </c>
      <c r="Z4813">
        <v>0</v>
      </c>
    </row>
    <row r="4814" spans="1:26" x14ac:dyDescent="0.2">
      <c r="A4814" t="s">
        <v>4932</v>
      </c>
      <c r="B4814" t="s">
        <v>41</v>
      </c>
      <c r="C4814">
        <v>2021</v>
      </c>
      <c r="D4814" t="s">
        <v>101</v>
      </c>
      <c r="E4814" t="s">
        <v>64</v>
      </c>
      <c r="F4814" t="s">
        <v>101</v>
      </c>
      <c r="G4814">
        <v>17250</v>
      </c>
      <c r="H4814">
        <v>13800</v>
      </c>
      <c r="I4814" s="13">
        <v>0.8</v>
      </c>
      <c r="J4814" t="s">
        <v>6207</v>
      </c>
      <c r="K4814">
        <v>0</v>
      </c>
      <c r="L4814">
        <v>2</v>
      </c>
      <c r="M4814" t="s">
        <v>1</v>
      </c>
      <c r="N4814" s="2">
        <v>0.37</v>
      </c>
      <c r="O4814" s="2">
        <v>0.63</v>
      </c>
      <c r="P4814">
        <v>8</v>
      </c>
      <c r="Q4814">
        <v>9</v>
      </c>
      <c r="R4814">
        <v>6</v>
      </c>
      <c r="S4814">
        <v>6</v>
      </c>
      <c r="T4814">
        <v>9</v>
      </c>
      <c r="U4814">
        <v>7</v>
      </c>
      <c r="V4814">
        <v>3</v>
      </c>
      <c r="W4814">
        <v>1</v>
      </c>
      <c r="X4814">
        <v>1</v>
      </c>
      <c r="Y4814">
        <v>0</v>
      </c>
      <c r="Z4814">
        <v>0</v>
      </c>
    </row>
    <row r="4815" spans="1:26" x14ac:dyDescent="0.2">
      <c r="A4815" t="s">
        <v>4933</v>
      </c>
      <c r="B4815" t="s">
        <v>104</v>
      </c>
      <c r="C4815">
        <v>2021</v>
      </c>
      <c r="D4815" t="s">
        <v>90</v>
      </c>
      <c r="E4815" t="s">
        <v>42</v>
      </c>
      <c r="F4815" t="s">
        <v>91</v>
      </c>
      <c r="G4815">
        <v>31876</v>
      </c>
      <c r="H4815">
        <v>25500.800000000003</v>
      </c>
      <c r="I4815" s="13">
        <v>0.77777777777777779</v>
      </c>
      <c r="J4815" t="s">
        <v>6206</v>
      </c>
      <c r="K4815">
        <v>0</v>
      </c>
      <c r="L4815">
        <v>2</v>
      </c>
      <c r="M4815" t="s">
        <v>1</v>
      </c>
      <c r="N4815" s="2">
        <v>0.65</v>
      </c>
      <c r="O4815" s="2">
        <v>0.35</v>
      </c>
      <c r="P4815">
        <v>12</v>
      </c>
      <c r="Q4815">
        <v>17</v>
      </c>
      <c r="R4815">
        <v>7</v>
      </c>
      <c r="S4815">
        <v>2</v>
      </c>
      <c r="T4815">
        <v>17</v>
      </c>
      <c r="U4815">
        <v>11</v>
      </c>
      <c r="V4815">
        <v>4</v>
      </c>
      <c r="W4815">
        <v>5</v>
      </c>
      <c r="X4815">
        <v>0</v>
      </c>
      <c r="Y4815">
        <v>0</v>
      </c>
      <c r="Z4815">
        <v>0</v>
      </c>
    </row>
    <row r="4816" spans="1:26" x14ac:dyDescent="0.2">
      <c r="A4816" t="s">
        <v>4934</v>
      </c>
      <c r="B4816" t="s">
        <v>81</v>
      </c>
      <c r="C4816">
        <v>2021</v>
      </c>
      <c r="D4816" t="s">
        <v>45</v>
      </c>
      <c r="E4816" t="s">
        <v>40</v>
      </c>
      <c r="F4816" t="s">
        <v>26</v>
      </c>
      <c r="G4816">
        <v>39572</v>
      </c>
      <c r="H4816">
        <v>31657.600000000002</v>
      </c>
      <c r="I4816" s="13">
        <v>0.6</v>
      </c>
      <c r="J4816" t="s">
        <v>6207</v>
      </c>
      <c r="K4816">
        <v>0</v>
      </c>
      <c r="L4816">
        <v>1</v>
      </c>
      <c r="M4816" t="s">
        <v>1</v>
      </c>
      <c r="N4816" s="2">
        <v>0.33</v>
      </c>
      <c r="O4816" s="2">
        <v>0.67</v>
      </c>
      <c r="P4816">
        <v>14</v>
      </c>
      <c r="Q4816">
        <v>9</v>
      </c>
      <c r="R4816">
        <v>3</v>
      </c>
      <c r="S4816">
        <v>4</v>
      </c>
      <c r="T4816">
        <v>7</v>
      </c>
      <c r="U4816">
        <v>14</v>
      </c>
      <c r="V4816">
        <v>3</v>
      </c>
      <c r="W4816">
        <v>2</v>
      </c>
      <c r="X4816">
        <v>0</v>
      </c>
      <c r="Y4816">
        <v>0</v>
      </c>
      <c r="Z4816">
        <v>0</v>
      </c>
    </row>
    <row r="4817" spans="1:26" x14ac:dyDescent="0.2">
      <c r="A4817" t="s">
        <v>4935</v>
      </c>
      <c r="B4817" t="s">
        <v>61</v>
      </c>
      <c r="C4817">
        <v>2021</v>
      </c>
      <c r="D4817" t="s">
        <v>23</v>
      </c>
      <c r="E4817" t="s">
        <v>22</v>
      </c>
      <c r="F4817" t="s">
        <v>20</v>
      </c>
      <c r="G4817">
        <v>62500</v>
      </c>
      <c r="H4817">
        <v>50000</v>
      </c>
      <c r="I4817" s="13">
        <v>1</v>
      </c>
      <c r="J4817" t="s">
        <v>6207</v>
      </c>
      <c r="K4817">
        <v>1</v>
      </c>
      <c r="L4817">
        <v>0</v>
      </c>
      <c r="M4817" t="s">
        <v>0</v>
      </c>
      <c r="N4817" s="2">
        <v>0.39</v>
      </c>
      <c r="O4817" s="2">
        <v>0.61</v>
      </c>
      <c r="P4817">
        <v>3</v>
      </c>
      <c r="Q4817">
        <v>10</v>
      </c>
      <c r="R4817">
        <v>3</v>
      </c>
      <c r="S4817">
        <v>5</v>
      </c>
      <c r="T4817">
        <v>8</v>
      </c>
      <c r="U4817">
        <v>2</v>
      </c>
      <c r="V4817">
        <v>1</v>
      </c>
      <c r="W4817">
        <v>0</v>
      </c>
      <c r="X4817">
        <v>0</v>
      </c>
      <c r="Y4817">
        <v>0</v>
      </c>
      <c r="Z4817">
        <v>0</v>
      </c>
    </row>
    <row r="4818" spans="1:26" x14ac:dyDescent="0.2">
      <c r="A4818" t="s">
        <v>4936</v>
      </c>
      <c r="B4818" t="s">
        <v>88</v>
      </c>
      <c r="C4818">
        <v>2021</v>
      </c>
      <c r="D4818" t="s">
        <v>28</v>
      </c>
      <c r="E4818" t="s">
        <v>80</v>
      </c>
      <c r="F4818" t="s">
        <v>28</v>
      </c>
      <c r="G4818">
        <v>21944</v>
      </c>
      <c r="H4818">
        <v>17555.2</v>
      </c>
      <c r="I4818" s="13">
        <v>0.5</v>
      </c>
      <c r="J4818" t="s">
        <v>6207</v>
      </c>
      <c r="K4818">
        <v>0</v>
      </c>
      <c r="L4818">
        <v>2</v>
      </c>
      <c r="M4818" t="s">
        <v>1</v>
      </c>
      <c r="N4818" s="2">
        <v>0.45</v>
      </c>
      <c r="O4818" s="2">
        <v>0.55000000000000004</v>
      </c>
      <c r="P4818">
        <v>16</v>
      </c>
      <c r="Q4818">
        <v>14</v>
      </c>
      <c r="R4818">
        <v>6</v>
      </c>
      <c r="S4818">
        <v>8</v>
      </c>
      <c r="T4818">
        <v>10</v>
      </c>
      <c r="U4818">
        <v>13</v>
      </c>
      <c r="V4818">
        <v>1</v>
      </c>
      <c r="W4818">
        <v>1</v>
      </c>
      <c r="X4818">
        <v>0</v>
      </c>
      <c r="Y4818">
        <v>0</v>
      </c>
      <c r="Z4818">
        <v>0</v>
      </c>
    </row>
    <row r="4819" spans="1:26" x14ac:dyDescent="0.2">
      <c r="A4819" t="s">
        <v>4937</v>
      </c>
      <c r="B4819" t="s">
        <v>93</v>
      </c>
      <c r="C4819">
        <v>2021</v>
      </c>
      <c r="D4819" t="s">
        <v>80</v>
      </c>
      <c r="E4819" t="s">
        <v>33</v>
      </c>
      <c r="F4819" t="s">
        <v>80</v>
      </c>
      <c r="G4819">
        <v>32261</v>
      </c>
      <c r="H4819">
        <v>25808.800000000003</v>
      </c>
      <c r="I4819" s="13">
        <v>0.66666666666666663</v>
      </c>
      <c r="J4819" t="s">
        <v>6206</v>
      </c>
      <c r="K4819">
        <v>1</v>
      </c>
      <c r="L4819">
        <v>0</v>
      </c>
      <c r="M4819" t="s">
        <v>0</v>
      </c>
      <c r="N4819" s="2">
        <v>0.51</v>
      </c>
      <c r="O4819" s="2">
        <v>0.49</v>
      </c>
      <c r="P4819">
        <v>13</v>
      </c>
      <c r="Q4819">
        <v>11</v>
      </c>
      <c r="R4819">
        <v>5</v>
      </c>
      <c r="S4819">
        <v>10</v>
      </c>
      <c r="T4819">
        <v>9</v>
      </c>
      <c r="U4819">
        <v>12</v>
      </c>
      <c r="V4819">
        <v>1</v>
      </c>
      <c r="W4819">
        <v>2</v>
      </c>
      <c r="X4819">
        <v>0</v>
      </c>
      <c r="Y4819">
        <v>0</v>
      </c>
      <c r="Z4819">
        <v>0</v>
      </c>
    </row>
    <row r="4820" spans="1:26" x14ac:dyDescent="0.2">
      <c r="A4820" t="s">
        <v>4938</v>
      </c>
      <c r="B4820" t="s">
        <v>92</v>
      </c>
      <c r="C4820">
        <v>2021</v>
      </c>
      <c r="D4820" t="s">
        <v>22</v>
      </c>
      <c r="E4820" t="s">
        <v>79</v>
      </c>
      <c r="F4820" t="s">
        <v>24</v>
      </c>
      <c r="G4820">
        <v>31750</v>
      </c>
      <c r="H4820">
        <v>25400</v>
      </c>
      <c r="I4820" s="13">
        <v>0.33333333333333331</v>
      </c>
      <c r="J4820" t="s">
        <v>6207</v>
      </c>
      <c r="K4820">
        <v>0</v>
      </c>
      <c r="L4820">
        <v>2</v>
      </c>
      <c r="M4820" t="s">
        <v>1</v>
      </c>
      <c r="N4820" s="2">
        <v>0.64</v>
      </c>
      <c r="O4820" s="2">
        <v>0.36</v>
      </c>
      <c r="P4820">
        <v>16</v>
      </c>
      <c r="Q4820">
        <v>12</v>
      </c>
      <c r="R4820">
        <v>7</v>
      </c>
      <c r="S4820">
        <v>7</v>
      </c>
      <c r="T4820">
        <v>13</v>
      </c>
      <c r="U4820">
        <v>8</v>
      </c>
      <c r="V4820">
        <v>0</v>
      </c>
      <c r="W4820">
        <v>3</v>
      </c>
      <c r="X4820">
        <v>0</v>
      </c>
      <c r="Y4820">
        <v>0</v>
      </c>
      <c r="Z4820">
        <v>1</v>
      </c>
    </row>
    <row r="4821" spans="1:26" x14ac:dyDescent="0.2">
      <c r="A4821" t="s">
        <v>4939</v>
      </c>
      <c r="B4821" t="s">
        <v>61</v>
      </c>
      <c r="C4821">
        <v>2021</v>
      </c>
      <c r="D4821" t="s">
        <v>69</v>
      </c>
      <c r="E4821" t="s">
        <v>101</v>
      </c>
      <c r="F4821" t="s">
        <v>69</v>
      </c>
      <c r="G4821">
        <v>27359</v>
      </c>
      <c r="H4821">
        <v>21887.200000000001</v>
      </c>
      <c r="I4821" s="13">
        <v>0.7142857142857143</v>
      </c>
      <c r="J4821" t="s">
        <v>6207</v>
      </c>
      <c r="K4821">
        <v>1</v>
      </c>
      <c r="L4821">
        <v>3</v>
      </c>
      <c r="M4821" t="s">
        <v>1</v>
      </c>
      <c r="N4821" s="2">
        <v>0.6</v>
      </c>
      <c r="O4821" s="2">
        <v>0.4</v>
      </c>
      <c r="P4821">
        <v>20</v>
      </c>
      <c r="Q4821">
        <v>12</v>
      </c>
      <c r="R4821">
        <v>5</v>
      </c>
      <c r="S4821">
        <v>5</v>
      </c>
      <c r="T4821">
        <v>13</v>
      </c>
      <c r="U4821">
        <v>18</v>
      </c>
      <c r="V4821">
        <v>2</v>
      </c>
      <c r="W4821">
        <v>5</v>
      </c>
      <c r="X4821">
        <v>0</v>
      </c>
      <c r="Y4821">
        <v>0</v>
      </c>
      <c r="Z4821">
        <v>2</v>
      </c>
    </row>
    <row r="4822" spans="1:26" x14ac:dyDescent="0.2">
      <c r="A4822" t="s">
        <v>4940</v>
      </c>
      <c r="B4822" t="s">
        <v>32</v>
      </c>
      <c r="C4822">
        <v>2021</v>
      </c>
      <c r="D4822" t="s">
        <v>64</v>
      </c>
      <c r="E4822" t="s">
        <v>90</v>
      </c>
      <c r="F4822" t="s">
        <v>64</v>
      </c>
      <c r="G4822">
        <v>52264</v>
      </c>
      <c r="H4822">
        <v>41811.200000000004</v>
      </c>
      <c r="I4822" s="13">
        <v>1</v>
      </c>
      <c r="J4822" t="s">
        <v>6207</v>
      </c>
      <c r="K4822">
        <v>2</v>
      </c>
      <c r="L4822">
        <v>1</v>
      </c>
      <c r="M4822" t="s">
        <v>0</v>
      </c>
      <c r="N4822" s="2">
        <v>0.32</v>
      </c>
      <c r="O4822" s="2">
        <v>0.68</v>
      </c>
      <c r="P4822">
        <v>14</v>
      </c>
      <c r="Q4822">
        <v>8</v>
      </c>
      <c r="R4822">
        <v>4</v>
      </c>
      <c r="S4822">
        <v>7</v>
      </c>
      <c r="T4822">
        <v>8</v>
      </c>
      <c r="U4822">
        <v>10</v>
      </c>
      <c r="V4822">
        <v>1</v>
      </c>
      <c r="W4822">
        <v>1</v>
      </c>
      <c r="X4822">
        <v>0</v>
      </c>
      <c r="Y4822">
        <v>0</v>
      </c>
      <c r="Z4822">
        <v>0</v>
      </c>
    </row>
    <row r="4823" spans="1:26" x14ac:dyDescent="0.2">
      <c r="A4823" t="s">
        <v>4941</v>
      </c>
      <c r="B4823" t="s">
        <v>37</v>
      </c>
      <c r="C4823">
        <v>2021</v>
      </c>
      <c r="D4823" t="s">
        <v>28</v>
      </c>
      <c r="E4823" t="s">
        <v>18</v>
      </c>
      <c r="F4823" t="s">
        <v>28</v>
      </c>
      <c r="G4823">
        <v>21944</v>
      </c>
      <c r="H4823">
        <v>17555.2</v>
      </c>
      <c r="I4823" s="13">
        <v>0</v>
      </c>
      <c r="J4823" t="s">
        <v>6206</v>
      </c>
      <c r="K4823">
        <v>0</v>
      </c>
      <c r="L4823">
        <v>4</v>
      </c>
      <c r="M4823" t="s">
        <v>1</v>
      </c>
      <c r="N4823" s="2">
        <v>0.27</v>
      </c>
      <c r="O4823" s="2">
        <v>0.73</v>
      </c>
      <c r="P4823">
        <v>8</v>
      </c>
      <c r="Q4823">
        <v>12</v>
      </c>
      <c r="R4823">
        <v>5</v>
      </c>
      <c r="S4823">
        <v>2</v>
      </c>
      <c r="T4823">
        <v>12</v>
      </c>
      <c r="U4823">
        <v>7</v>
      </c>
      <c r="V4823">
        <v>2</v>
      </c>
      <c r="W4823">
        <v>0</v>
      </c>
      <c r="X4823">
        <v>0</v>
      </c>
      <c r="Y4823">
        <v>0</v>
      </c>
      <c r="Z4823">
        <v>0</v>
      </c>
    </row>
    <row r="4824" spans="1:26" x14ac:dyDescent="0.2">
      <c r="A4824" t="s">
        <v>4942</v>
      </c>
      <c r="B4824" t="s">
        <v>97</v>
      </c>
      <c r="C4824">
        <v>2021</v>
      </c>
      <c r="D4824" t="s">
        <v>42</v>
      </c>
      <c r="E4824" t="s">
        <v>73</v>
      </c>
      <c r="F4824" t="s">
        <v>38</v>
      </c>
      <c r="G4824">
        <v>42918</v>
      </c>
      <c r="H4824">
        <v>34334.400000000001</v>
      </c>
      <c r="I4824" s="13">
        <v>0.5</v>
      </c>
      <c r="J4824" t="s">
        <v>6207</v>
      </c>
      <c r="K4824">
        <v>4</v>
      </c>
      <c r="L4824">
        <v>0</v>
      </c>
      <c r="M4824" t="s">
        <v>0</v>
      </c>
      <c r="N4824" s="2">
        <v>0.38</v>
      </c>
      <c r="O4824" s="2">
        <v>0.62</v>
      </c>
      <c r="P4824">
        <v>9</v>
      </c>
      <c r="Q4824">
        <v>10</v>
      </c>
      <c r="R4824">
        <v>4</v>
      </c>
      <c r="S4824">
        <v>7</v>
      </c>
      <c r="T4824">
        <v>10</v>
      </c>
      <c r="U4824">
        <v>8</v>
      </c>
      <c r="V4824">
        <v>1</v>
      </c>
      <c r="W4824">
        <v>1</v>
      </c>
      <c r="X4824">
        <v>0</v>
      </c>
      <c r="Y4824">
        <v>0</v>
      </c>
      <c r="Z4824">
        <v>0</v>
      </c>
    </row>
    <row r="4825" spans="1:26" x14ac:dyDescent="0.2">
      <c r="A4825" t="s">
        <v>4943</v>
      </c>
      <c r="B4825" t="s">
        <v>68</v>
      </c>
      <c r="C4825">
        <v>2021</v>
      </c>
      <c r="D4825" t="s">
        <v>26</v>
      </c>
      <c r="E4825" t="s">
        <v>23</v>
      </c>
      <c r="F4825" t="s">
        <v>26</v>
      </c>
      <c r="G4825">
        <v>61276</v>
      </c>
      <c r="H4825">
        <v>49020.800000000003</v>
      </c>
      <c r="I4825" s="13">
        <v>0.66666666666666663</v>
      </c>
      <c r="J4825" t="s">
        <v>6207</v>
      </c>
      <c r="K4825">
        <v>1</v>
      </c>
      <c r="L4825">
        <v>0</v>
      </c>
      <c r="M4825" t="s">
        <v>0</v>
      </c>
      <c r="N4825" s="2">
        <v>0.69</v>
      </c>
      <c r="O4825" s="2">
        <v>0.31</v>
      </c>
      <c r="P4825">
        <v>11</v>
      </c>
      <c r="Q4825">
        <v>8</v>
      </c>
      <c r="R4825">
        <v>4</v>
      </c>
      <c r="S4825">
        <v>6</v>
      </c>
      <c r="T4825">
        <v>7</v>
      </c>
      <c r="U4825">
        <v>7</v>
      </c>
      <c r="V4825">
        <v>2</v>
      </c>
      <c r="W4825">
        <v>1</v>
      </c>
      <c r="X4825">
        <v>0</v>
      </c>
      <c r="Y4825">
        <v>0</v>
      </c>
      <c r="Z4825">
        <v>0</v>
      </c>
    </row>
    <row r="4826" spans="1:26" x14ac:dyDescent="0.2">
      <c r="A4826" t="s">
        <v>4944</v>
      </c>
      <c r="B4826" t="s">
        <v>76</v>
      </c>
      <c r="C4826">
        <v>2021</v>
      </c>
      <c r="D4826" t="s">
        <v>85</v>
      </c>
      <c r="E4826" t="s">
        <v>46</v>
      </c>
      <c r="F4826" t="s">
        <v>85</v>
      </c>
      <c r="G4826">
        <v>22220</v>
      </c>
      <c r="H4826">
        <v>17776</v>
      </c>
      <c r="I4826" s="13">
        <v>0</v>
      </c>
      <c r="J4826" t="s">
        <v>6207</v>
      </c>
      <c r="K4826">
        <v>2</v>
      </c>
      <c r="L4826">
        <v>3</v>
      </c>
      <c r="M4826" t="s">
        <v>1</v>
      </c>
      <c r="N4826" s="2">
        <v>0.43</v>
      </c>
      <c r="O4826" s="2">
        <v>0.56999999999999995</v>
      </c>
      <c r="P4826">
        <v>10</v>
      </c>
      <c r="Q4826">
        <v>7</v>
      </c>
      <c r="R4826">
        <v>1</v>
      </c>
      <c r="S4826">
        <v>5</v>
      </c>
      <c r="T4826">
        <v>5</v>
      </c>
      <c r="U4826">
        <v>11</v>
      </c>
      <c r="V4826">
        <v>1</v>
      </c>
      <c r="W4826">
        <v>2</v>
      </c>
      <c r="X4826">
        <v>0</v>
      </c>
      <c r="Y4826">
        <v>0</v>
      </c>
      <c r="Z4826">
        <v>0</v>
      </c>
    </row>
    <row r="4827" spans="1:26" x14ac:dyDescent="0.2">
      <c r="A4827" t="s">
        <v>4945</v>
      </c>
      <c r="B4827" t="s">
        <v>66</v>
      </c>
      <c r="C4827">
        <v>2021</v>
      </c>
      <c r="D4827" t="s">
        <v>40</v>
      </c>
      <c r="E4827" t="s">
        <v>48</v>
      </c>
      <c r="F4827" t="s">
        <v>49</v>
      </c>
      <c r="G4827">
        <v>53400</v>
      </c>
      <c r="H4827">
        <v>42720</v>
      </c>
      <c r="I4827" s="13">
        <v>0</v>
      </c>
      <c r="J4827" t="s">
        <v>6207</v>
      </c>
      <c r="K4827">
        <v>4</v>
      </c>
      <c r="L4827">
        <v>1</v>
      </c>
      <c r="M4827" t="s">
        <v>0</v>
      </c>
      <c r="N4827" s="2">
        <v>0.69</v>
      </c>
      <c r="O4827" s="2">
        <v>0.31</v>
      </c>
      <c r="P4827">
        <v>12</v>
      </c>
      <c r="Q4827">
        <v>10</v>
      </c>
      <c r="R4827">
        <v>9</v>
      </c>
      <c r="S4827">
        <v>3</v>
      </c>
      <c r="T4827">
        <v>10</v>
      </c>
      <c r="U4827">
        <v>14</v>
      </c>
      <c r="V4827">
        <v>0</v>
      </c>
      <c r="W4827">
        <v>1</v>
      </c>
      <c r="X4827">
        <v>0</v>
      </c>
      <c r="Y4827">
        <v>0</v>
      </c>
      <c r="Z4827">
        <v>0</v>
      </c>
    </row>
    <row r="4828" spans="1:26" x14ac:dyDescent="0.2">
      <c r="A4828" t="s">
        <v>4946</v>
      </c>
      <c r="B4828" t="s">
        <v>59</v>
      </c>
      <c r="C4828">
        <v>2021</v>
      </c>
      <c r="D4828" t="s">
        <v>51</v>
      </c>
      <c r="E4828" t="s">
        <v>45</v>
      </c>
      <c r="F4828" t="s">
        <v>20</v>
      </c>
      <c r="G4828">
        <v>36284</v>
      </c>
      <c r="H4828">
        <v>29027.200000000001</v>
      </c>
      <c r="I4828" s="13">
        <v>0.5</v>
      </c>
      <c r="J4828" t="s">
        <v>6206</v>
      </c>
      <c r="K4828">
        <v>5</v>
      </c>
      <c r="L4828">
        <v>0</v>
      </c>
      <c r="M4828" t="s">
        <v>0</v>
      </c>
      <c r="N4828" s="2">
        <v>0.55000000000000004</v>
      </c>
      <c r="O4828" s="2">
        <v>0.45</v>
      </c>
      <c r="P4828">
        <v>10</v>
      </c>
      <c r="Q4828">
        <v>13</v>
      </c>
      <c r="R4828">
        <v>5</v>
      </c>
      <c r="S4828">
        <v>2</v>
      </c>
      <c r="T4828">
        <v>15</v>
      </c>
      <c r="U4828">
        <v>10</v>
      </c>
      <c r="V4828">
        <v>2</v>
      </c>
      <c r="W4828">
        <v>0</v>
      </c>
      <c r="X4828">
        <v>0</v>
      </c>
      <c r="Y4828">
        <v>0</v>
      </c>
      <c r="Z4828">
        <v>0</v>
      </c>
    </row>
    <row r="4829" spans="1:26" x14ac:dyDescent="0.2">
      <c r="A4829" t="s">
        <v>4947</v>
      </c>
      <c r="B4829" t="s">
        <v>100</v>
      </c>
      <c r="C4829">
        <v>2021</v>
      </c>
      <c r="D4829" t="s">
        <v>22</v>
      </c>
      <c r="E4829" t="s">
        <v>85</v>
      </c>
      <c r="F4829" t="s">
        <v>24</v>
      </c>
      <c r="G4829">
        <v>31750</v>
      </c>
      <c r="H4829">
        <v>25400</v>
      </c>
      <c r="I4829" s="13">
        <v>0.75</v>
      </c>
      <c r="J4829" t="s">
        <v>6207</v>
      </c>
      <c r="K4829">
        <v>4</v>
      </c>
      <c r="L4829">
        <v>0</v>
      </c>
      <c r="M4829" t="s">
        <v>0</v>
      </c>
      <c r="N4829" s="2">
        <v>0.66</v>
      </c>
      <c r="O4829" s="2">
        <v>0.34</v>
      </c>
      <c r="P4829">
        <v>12</v>
      </c>
      <c r="Q4829">
        <v>9</v>
      </c>
      <c r="R4829">
        <v>5</v>
      </c>
      <c r="S4829">
        <v>2</v>
      </c>
      <c r="T4829">
        <v>11</v>
      </c>
      <c r="U4829">
        <v>10</v>
      </c>
      <c r="V4829">
        <v>2</v>
      </c>
      <c r="W4829">
        <v>2</v>
      </c>
      <c r="X4829">
        <v>0</v>
      </c>
      <c r="Y4829">
        <v>0</v>
      </c>
      <c r="Z4829">
        <v>0</v>
      </c>
    </row>
    <row r="4830" spans="1:26" x14ac:dyDescent="0.2">
      <c r="A4830" t="s">
        <v>4948</v>
      </c>
      <c r="B4830" t="s">
        <v>60</v>
      </c>
      <c r="C4830">
        <v>2021</v>
      </c>
      <c r="D4830" t="s">
        <v>73</v>
      </c>
      <c r="E4830" t="s">
        <v>64</v>
      </c>
      <c r="F4830" t="s">
        <v>73</v>
      </c>
      <c r="G4830">
        <v>32384</v>
      </c>
      <c r="H4830">
        <v>25907.200000000001</v>
      </c>
      <c r="I4830" s="13">
        <v>1</v>
      </c>
      <c r="J4830" t="s">
        <v>6208</v>
      </c>
      <c r="K4830">
        <v>1</v>
      </c>
      <c r="L4830">
        <v>2</v>
      </c>
      <c r="M4830" t="s">
        <v>1</v>
      </c>
      <c r="N4830" s="2">
        <v>0.68</v>
      </c>
      <c r="O4830" s="2">
        <v>0.32</v>
      </c>
      <c r="P4830">
        <v>7</v>
      </c>
      <c r="Q4830">
        <v>7</v>
      </c>
      <c r="R4830">
        <v>12</v>
      </c>
      <c r="S4830">
        <v>5</v>
      </c>
      <c r="T4830">
        <v>6</v>
      </c>
      <c r="U4830">
        <v>7</v>
      </c>
      <c r="V4830">
        <v>1</v>
      </c>
      <c r="W4830">
        <v>1</v>
      </c>
      <c r="X4830">
        <v>0</v>
      </c>
      <c r="Y4830">
        <v>0</v>
      </c>
      <c r="Z4830">
        <v>0</v>
      </c>
    </row>
    <row r="4831" spans="1:26" x14ac:dyDescent="0.2">
      <c r="A4831" t="s">
        <v>4949</v>
      </c>
      <c r="B4831" t="s">
        <v>32</v>
      </c>
      <c r="C4831">
        <v>2021</v>
      </c>
      <c r="D4831" t="s">
        <v>69</v>
      </c>
      <c r="E4831" t="s">
        <v>18</v>
      </c>
      <c r="F4831" t="s">
        <v>69</v>
      </c>
      <c r="G4831">
        <v>27359</v>
      </c>
      <c r="H4831">
        <v>21887.200000000001</v>
      </c>
      <c r="I4831" s="13">
        <v>0.5</v>
      </c>
      <c r="J4831" t="s">
        <v>6207</v>
      </c>
      <c r="K4831">
        <v>1</v>
      </c>
      <c r="L4831">
        <v>3</v>
      </c>
      <c r="M4831" t="s">
        <v>1</v>
      </c>
      <c r="N4831" s="2">
        <v>0.34</v>
      </c>
      <c r="O4831" s="2">
        <v>0.66</v>
      </c>
      <c r="P4831">
        <v>15</v>
      </c>
      <c r="Q4831">
        <v>10</v>
      </c>
      <c r="R4831">
        <v>3</v>
      </c>
      <c r="S4831">
        <v>8</v>
      </c>
      <c r="T4831">
        <v>8</v>
      </c>
      <c r="U4831">
        <v>15</v>
      </c>
      <c r="V4831">
        <v>0</v>
      </c>
      <c r="W4831">
        <v>2</v>
      </c>
      <c r="X4831">
        <v>0</v>
      </c>
      <c r="Y4831">
        <v>0</v>
      </c>
      <c r="Z4831">
        <v>1</v>
      </c>
    </row>
    <row r="4832" spans="1:26" x14ac:dyDescent="0.2">
      <c r="A4832" t="s">
        <v>4950</v>
      </c>
      <c r="B4832" t="s">
        <v>84</v>
      </c>
      <c r="C4832">
        <v>2021</v>
      </c>
      <c r="D4832" t="s">
        <v>33</v>
      </c>
      <c r="E4832" t="s">
        <v>42</v>
      </c>
      <c r="F4832" t="s">
        <v>33</v>
      </c>
      <c r="G4832">
        <v>37645</v>
      </c>
      <c r="H4832">
        <v>30116</v>
      </c>
      <c r="I4832" s="13">
        <v>0.5</v>
      </c>
      <c r="J4832" t="s">
        <v>6208</v>
      </c>
      <c r="K4832">
        <v>0</v>
      </c>
      <c r="L4832">
        <v>3</v>
      </c>
      <c r="M4832" t="s">
        <v>1</v>
      </c>
      <c r="N4832" s="2">
        <v>0.51</v>
      </c>
      <c r="O4832" s="2">
        <v>0.49</v>
      </c>
      <c r="P4832">
        <v>15</v>
      </c>
      <c r="Q4832">
        <v>19</v>
      </c>
      <c r="R4832">
        <v>3</v>
      </c>
      <c r="S4832">
        <v>5</v>
      </c>
      <c r="T4832">
        <v>17</v>
      </c>
      <c r="U4832">
        <v>11</v>
      </c>
      <c r="V4832">
        <v>5</v>
      </c>
      <c r="W4832">
        <v>3</v>
      </c>
      <c r="X4832">
        <v>0</v>
      </c>
      <c r="Y4832">
        <v>0</v>
      </c>
      <c r="Z4832">
        <v>0</v>
      </c>
    </row>
    <row r="4833" spans="1:26" x14ac:dyDescent="0.2">
      <c r="A4833" t="s">
        <v>4951</v>
      </c>
      <c r="B4833" t="s">
        <v>41</v>
      </c>
      <c r="C4833">
        <v>2021</v>
      </c>
      <c r="D4833" t="s">
        <v>90</v>
      </c>
      <c r="E4833" t="s">
        <v>26</v>
      </c>
      <c r="F4833" t="s">
        <v>91</v>
      </c>
      <c r="G4833">
        <v>31876</v>
      </c>
      <c r="H4833">
        <v>25500.800000000003</v>
      </c>
      <c r="I4833" s="13">
        <v>1</v>
      </c>
      <c r="J4833" t="s">
        <v>6207</v>
      </c>
      <c r="K4833">
        <v>0</v>
      </c>
      <c r="L4833">
        <v>2</v>
      </c>
      <c r="M4833" t="s">
        <v>1</v>
      </c>
      <c r="N4833" s="2">
        <v>0.52</v>
      </c>
      <c r="O4833" s="2">
        <v>0.48</v>
      </c>
      <c r="P4833">
        <v>16</v>
      </c>
      <c r="Q4833">
        <v>12</v>
      </c>
      <c r="R4833">
        <v>7</v>
      </c>
      <c r="S4833">
        <v>5</v>
      </c>
      <c r="T4833">
        <v>12</v>
      </c>
      <c r="U4833">
        <v>15</v>
      </c>
      <c r="V4833">
        <v>3</v>
      </c>
      <c r="W4833">
        <v>1</v>
      </c>
      <c r="X4833">
        <v>0</v>
      </c>
      <c r="Y4833">
        <v>0</v>
      </c>
      <c r="Z4833">
        <v>1</v>
      </c>
    </row>
    <row r="4834" spans="1:26" x14ac:dyDescent="0.2">
      <c r="A4834" t="s">
        <v>4952</v>
      </c>
      <c r="B4834" t="s">
        <v>81</v>
      </c>
      <c r="C4834">
        <v>2021</v>
      </c>
      <c r="D4834" t="s">
        <v>101</v>
      </c>
      <c r="E4834" t="s">
        <v>28</v>
      </c>
      <c r="F4834" t="s">
        <v>101</v>
      </c>
      <c r="G4834">
        <v>17250</v>
      </c>
      <c r="H4834">
        <v>13800</v>
      </c>
      <c r="I4834" s="13">
        <v>0.33333333333333331</v>
      </c>
      <c r="J4834" t="s">
        <v>6207</v>
      </c>
      <c r="K4834">
        <v>2</v>
      </c>
      <c r="L4834">
        <v>0</v>
      </c>
      <c r="M4834" t="s">
        <v>0</v>
      </c>
      <c r="N4834" s="2">
        <v>0.55000000000000004</v>
      </c>
      <c r="O4834" s="2">
        <v>0.45</v>
      </c>
      <c r="P4834">
        <v>13</v>
      </c>
      <c r="Q4834">
        <v>10</v>
      </c>
      <c r="R4834">
        <v>2</v>
      </c>
      <c r="S4834">
        <v>9</v>
      </c>
      <c r="T4834">
        <v>6</v>
      </c>
      <c r="U4834">
        <v>10</v>
      </c>
      <c r="V4834">
        <v>1</v>
      </c>
      <c r="W4834">
        <v>1</v>
      </c>
      <c r="X4834">
        <v>0</v>
      </c>
      <c r="Y4834">
        <v>1</v>
      </c>
      <c r="Z4834">
        <v>1</v>
      </c>
    </row>
    <row r="4835" spans="1:26" x14ac:dyDescent="0.2">
      <c r="A4835" t="s">
        <v>4953</v>
      </c>
      <c r="B4835" t="s">
        <v>68</v>
      </c>
      <c r="C4835">
        <v>2021</v>
      </c>
      <c r="D4835" t="s">
        <v>48</v>
      </c>
      <c r="E4835" t="s">
        <v>51</v>
      </c>
      <c r="F4835" t="s">
        <v>49</v>
      </c>
      <c r="G4835">
        <v>74197</v>
      </c>
      <c r="H4835">
        <v>59357.600000000006</v>
      </c>
      <c r="I4835" s="13">
        <v>0.66666666666666663</v>
      </c>
      <c r="J4835" t="s">
        <v>6207</v>
      </c>
      <c r="K4835">
        <v>3</v>
      </c>
      <c r="L4835">
        <v>2</v>
      </c>
      <c r="M4835" t="s">
        <v>0</v>
      </c>
      <c r="N4835" s="2">
        <v>0.44</v>
      </c>
      <c r="O4835" s="2">
        <v>0.56000000000000005</v>
      </c>
      <c r="P4835">
        <v>9</v>
      </c>
      <c r="Q4835">
        <v>7</v>
      </c>
      <c r="R4835">
        <v>4</v>
      </c>
      <c r="S4835">
        <v>5</v>
      </c>
      <c r="T4835">
        <v>8</v>
      </c>
      <c r="U4835">
        <v>7</v>
      </c>
      <c r="V4835">
        <v>2</v>
      </c>
      <c r="W4835">
        <v>1</v>
      </c>
      <c r="X4835">
        <v>0</v>
      </c>
      <c r="Y4835">
        <v>0</v>
      </c>
      <c r="Z4835">
        <v>1</v>
      </c>
    </row>
    <row r="4836" spans="1:26" x14ac:dyDescent="0.2">
      <c r="A4836" t="s">
        <v>4954</v>
      </c>
      <c r="B4836" t="s">
        <v>102</v>
      </c>
      <c r="C4836">
        <v>2021</v>
      </c>
      <c r="D4836" t="s">
        <v>23</v>
      </c>
      <c r="E4836" t="s">
        <v>42</v>
      </c>
      <c r="F4836" t="s">
        <v>20</v>
      </c>
      <c r="G4836">
        <v>62500</v>
      </c>
      <c r="H4836">
        <v>50000</v>
      </c>
      <c r="I4836" s="13">
        <v>1</v>
      </c>
      <c r="J4836" t="s">
        <v>6209</v>
      </c>
      <c r="K4836">
        <v>2</v>
      </c>
      <c r="L4836">
        <v>1</v>
      </c>
      <c r="M4836" t="s">
        <v>0</v>
      </c>
      <c r="N4836" s="2">
        <v>0.48</v>
      </c>
      <c r="O4836" s="2">
        <v>0.52</v>
      </c>
      <c r="P4836">
        <v>3</v>
      </c>
      <c r="Q4836">
        <v>9</v>
      </c>
      <c r="R4836">
        <v>5</v>
      </c>
      <c r="S4836">
        <v>7</v>
      </c>
      <c r="T4836">
        <v>9</v>
      </c>
      <c r="U4836">
        <v>3</v>
      </c>
      <c r="V4836">
        <v>1</v>
      </c>
      <c r="W4836">
        <v>0</v>
      </c>
      <c r="X4836">
        <v>0</v>
      </c>
      <c r="Y4836">
        <v>0</v>
      </c>
      <c r="Z4836">
        <v>0</v>
      </c>
    </row>
    <row r="4837" spans="1:26" x14ac:dyDescent="0.2">
      <c r="A4837" t="s">
        <v>4955</v>
      </c>
      <c r="B4837" t="s">
        <v>83</v>
      </c>
      <c r="C4837">
        <v>2021</v>
      </c>
      <c r="D4837" t="s">
        <v>73</v>
      </c>
      <c r="E4837" t="s">
        <v>85</v>
      </c>
      <c r="F4837" t="s">
        <v>73</v>
      </c>
      <c r="G4837">
        <v>32384</v>
      </c>
      <c r="H4837">
        <v>25907.200000000001</v>
      </c>
      <c r="I4837" s="13">
        <v>0.8</v>
      </c>
      <c r="J4837" t="s">
        <v>6208</v>
      </c>
      <c r="K4837">
        <v>1</v>
      </c>
      <c r="L4837">
        <v>2</v>
      </c>
      <c r="M4837" t="s">
        <v>1</v>
      </c>
      <c r="N4837" s="2">
        <v>0.63</v>
      </c>
      <c r="O4837" s="2">
        <v>0.37</v>
      </c>
      <c r="P4837">
        <v>12</v>
      </c>
      <c r="Q4837">
        <v>8</v>
      </c>
      <c r="R4837">
        <v>11</v>
      </c>
      <c r="S4837">
        <v>3</v>
      </c>
      <c r="T4837">
        <v>8</v>
      </c>
      <c r="U4837">
        <v>12</v>
      </c>
      <c r="V4837">
        <v>3</v>
      </c>
      <c r="W4837">
        <v>2</v>
      </c>
      <c r="X4837">
        <v>0</v>
      </c>
      <c r="Y4837">
        <v>0</v>
      </c>
      <c r="Z4837">
        <v>0</v>
      </c>
    </row>
    <row r="4838" spans="1:26" x14ac:dyDescent="0.2">
      <c r="A4838" t="s">
        <v>4956</v>
      </c>
      <c r="B4838" t="s">
        <v>59</v>
      </c>
      <c r="C4838">
        <v>2021</v>
      </c>
      <c r="D4838" t="s">
        <v>33</v>
      </c>
      <c r="E4838" t="s">
        <v>69</v>
      </c>
      <c r="F4838" t="s">
        <v>33</v>
      </c>
      <c r="G4838">
        <v>37645</v>
      </c>
      <c r="H4838">
        <v>30116</v>
      </c>
      <c r="I4838" s="13">
        <v>0</v>
      </c>
      <c r="J4838" t="s">
        <v>6206</v>
      </c>
      <c r="K4838">
        <v>2</v>
      </c>
      <c r="L4838">
        <v>1</v>
      </c>
      <c r="M4838" t="s">
        <v>0</v>
      </c>
      <c r="N4838" s="2">
        <v>0.53</v>
      </c>
      <c r="O4838" s="2">
        <v>0.47</v>
      </c>
      <c r="P4838">
        <v>12</v>
      </c>
      <c r="Q4838">
        <v>18</v>
      </c>
      <c r="R4838">
        <v>6</v>
      </c>
      <c r="S4838">
        <v>2</v>
      </c>
      <c r="T4838">
        <v>18</v>
      </c>
      <c r="U4838">
        <v>8</v>
      </c>
      <c r="V4838">
        <v>3</v>
      </c>
      <c r="W4838">
        <v>1</v>
      </c>
      <c r="X4838">
        <v>0</v>
      </c>
      <c r="Y4838">
        <v>0</v>
      </c>
      <c r="Z4838">
        <v>0</v>
      </c>
    </row>
    <row r="4839" spans="1:26" x14ac:dyDescent="0.2">
      <c r="A4839" t="s">
        <v>4957</v>
      </c>
      <c r="B4839" t="s">
        <v>66</v>
      </c>
      <c r="C4839">
        <v>2021</v>
      </c>
      <c r="D4839" t="s">
        <v>45</v>
      </c>
      <c r="E4839" t="s">
        <v>22</v>
      </c>
      <c r="F4839" t="s">
        <v>26</v>
      </c>
      <c r="G4839">
        <v>39572</v>
      </c>
      <c r="H4839">
        <v>31657.600000000002</v>
      </c>
      <c r="I4839" s="13">
        <v>0.2</v>
      </c>
      <c r="J4839" t="s">
        <v>6207</v>
      </c>
      <c r="K4839">
        <v>0</v>
      </c>
      <c r="L4839">
        <v>1</v>
      </c>
      <c r="M4839" t="s">
        <v>1</v>
      </c>
      <c r="N4839" s="2">
        <v>0.38</v>
      </c>
      <c r="O4839" s="2">
        <v>0.62</v>
      </c>
      <c r="P4839">
        <v>9</v>
      </c>
      <c r="Q4839">
        <v>17</v>
      </c>
      <c r="R4839">
        <v>5</v>
      </c>
      <c r="S4839">
        <v>2</v>
      </c>
      <c r="T4839">
        <v>13</v>
      </c>
      <c r="U4839">
        <v>11</v>
      </c>
      <c r="V4839">
        <v>3</v>
      </c>
      <c r="W4839">
        <v>1</v>
      </c>
      <c r="X4839">
        <v>1</v>
      </c>
      <c r="Y4839">
        <v>0</v>
      </c>
      <c r="Z4839">
        <v>0</v>
      </c>
    </row>
    <row r="4840" spans="1:26" x14ac:dyDescent="0.2">
      <c r="A4840" t="s">
        <v>4958</v>
      </c>
      <c r="B4840" t="s">
        <v>93</v>
      </c>
      <c r="C4840">
        <v>2021</v>
      </c>
      <c r="D4840" t="s">
        <v>18</v>
      </c>
      <c r="E4840" t="s">
        <v>64</v>
      </c>
      <c r="F4840" t="s">
        <v>20</v>
      </c>
      <c r="G4840">
        <v>40341</v>
      </c>
      <c r="H4840">
        <v>32272.800000000003</v>
      </c>
      <c r="I4840" s="13">
        <v>0.8571428571428571</v>
      </c>
      <c r="J4840" t="s">
        <v>6206</v>
      </c>
      <c r="K4840">
        <v>1</v>
      </c>
      <c r="L4840">
        <v>0</v>
      </c>
      <c r="M4840" t="s">
        <v>0</v>
      </c>
      <c r="N4840" s="2">
        <v>0.73</v>
      </c>
      <c r="O4840" s="2">
        <v>0.27</v>
      </c>
      <c r="P4840">
        <v>22</v>
      </c>
      <c r="Q4840">
        <v>21</v>
      </c>
      <c r="R4840">
        <v>7</v>
      </c>
      <c r="S4840">
        <v>2</v>
      </c>
      <c r="T4840">
        <v>17</v>
      </c>
      <c r="U4840">
        <v>17</v>
      </c>
      <c r="V4840">
        <v>4</v>
      </c>
      <c r="W4840">
        <v>3</v>
      </c>
      <c r="X4840">
        <v>0</v>
      </c>
      <c r="Y4840">
        <v>0</v>
      </c>
      <c r="Z4840">
        <v>0</v>
      </c>
    </row>
    <row r="4841" spans="1:26" x14ac:dyDescent="0.2">
      <c r="A4841" t="s">
        <v>4959</v>
      </c>
      <c r="B4841" t="s">
        <v>61</v>
      </c>
      <c r="C4841">
        <v>2021</v>
      </c>
      <c r="D4841" t="s">
        <v>46</v>
      </c>
      <c r="E4841" t="s">
        <v>80</v>
      </c>
      <c r="F4841" t="s">
        <v>20</v>
      </c>
      <c r="G4841">
        <v>60704</v>
      </c>
      <c r="H4841">
        <v>48563.200000000004</v>
      </c>
      <c r="I4841" s="13">
        <v>1</v>
      </c>
      <c r="J4841" t="s">
        <v>6207</v>
      </c>
      <c r="K4841">
        <v>2</v>
      </c>
      <c r="L4841">
        <v>0</v>
      </c>
      <c r="M4841" t="s">
        <v>0</v>
      </c>
      <c r="N4841" s="2">
        <v>0.46</v>
      </c>
      <c r="O4841" s="2">
        <v>0.54</v>
      </c>
      <c r="P4841">
        <v>7</v>
      </c>
      <c r="Q4841">
        <v>10</v>
      </c>
      <c r="R4841">
        <v>2</v>
      </c>
      <c r="S4841">
        <v>6</v>
      </c>
      <c r="T4841">
        <v>8</v>
      </c>
      <c r="U4841">
        <v>10</v>
      </c>
      <c r="V4841">
        <v>0</v>
      </c>
      <c r="W4841">
        <v>3</v>
      </c>
      <c r="X4841">
        <v>0</v>
      </c>
      <c r="Y4841">
        <v>0</v>
      </c>
      <c r="Z4841">
        <v>1</v>
      </c>
    </row>
    <row r="4842" spans="1:26" x14ac:dyDescent="0.2">
      <c r="A4842" t="s">
        <v>4960</v>
      </c>
      <c r="B4842" t="s">
        <v>32</v>
      </c>
      <c r="C4842">
        <v>2021</v>
      </c>
      <c r="D4842" t="s">
        <v>79</v>
      </c>
      <c r="E4842" t="s">
        <v>40</v>
      </c>
      <c r="F4842" t="s">
        <v>20</v>
      </c>
      <c r="G4842">
        <v>25486</v>
      </c>
      <c r="H4842">
        <v>20388.800000000003</v>
      </c>
      <c r="I4842" s="13">
        <v>0.5</v>
      </c>
      <c r="J4842" t="s">
        <v>6207</v>
      </c>
      <c r="K4842">
        <v>0</v>
      </c>
      <c r="L4842">
        <v>0</v>
      </c>
      <c r="M4842" t="s">
        <v>58</v>
      </c>
      <c r="N4842" s="2">
        <v>0.26</v>
      </c>
      <c r="O4842" s="2">
        <v>0.74</v>
      </c>
      <c r="P4842">
        <v>14</v>
      </c>
      <c r="Q4842">
        <v>6</v>
      </c>
      <c r="R4842">
        <v>2</v>
      </c>
      <c r="S4842">
        <v>6</v>
      </c>
      <c r="T4842">
        <v>6</v>
      </c>
      <c r="U4842">
        <v>11</v>
      </c>
      <c r="V4842">
        <v>3</v>
      </c>
      <c r="W4842">
        <v>1</v>
      </c>
      <c r="X4842">
        <v>0</v>
      </c>
      <c r="Y4842">
        <v>0</v>
      </c>
      <c r="Z4842">
        <v>0</v>
      </c>
    </row>
    <row r="4843" spans="1:26" x14ac:dyDescent="0.2">
      <c r="A4843" t="s">
        <v>4961</v>
      </c>
      <c r="B4843" t="s">
        <v>99</v>
      </c>
      <c r="C4843">
        <v>2021</v>
      </c>
      <c r="D4843" t="s">
        <v>90</v>
      </c>
      <c r="E4843" t="s">
        <v>51</v>
      </c>
      <c r="F4843" t="s">
        <v>91</v>
      </c>
      <c r="G4843">
        <v>31876</v>
      </c>
      <c r="H4843">
        <v>25500.800000000003</v>
      </c>
      <c r="I4843" s="13">
        <v>1</v>
      </c>
      <c r="J4843" t="s">
        <v>6207</v>
      </c>
      <c r="K4843">
        <v>0</v>
      </c>
      <c r="L4843">
        <v>2</v>
      </c>
      <c r="M4843" t="s">
        <v>1</v>
      </c>
      <c r="N4843" s="2">
        <v>0.48</v>
      </c>
      <c r="O4843" s="2">
        <v>0.52</v>
      </c>
      <c r="P4843">
        <v>9</v>
      </c>
      <c r="Q4843">
        <v>13</v>
      </c>
      <c r="R4843">
        <v>6</v>
      </c>
      <c r="S4843">
        <v>3</v>
      </c>
      <c r="T4843">
        <v>11</v>
      </c>
      <c r="U4843">
        <v>9</v>
      </c>
      <c r="V4843">
        <v>2</v>
      </c>
      <c r="W4843">
        <v>2</v>
      </c>
      <c r="X4843">
        <v>0</v>
      </c>
      <c r="Y4843">
        <v>0</v>
      </c>
      <c r="Z4843">
        <v>0</v>
      </c>
    </row>
    <row r="4844" spans="1:26" x14ac:dyDescent="0.2">
      <c r="A4844" t="s">
        <v>4962</v>
      </c>
      <c r="B4844" t="s">
        <v>37</v>
      </c>
      <c r="C4844">
        <v>2021</v>
      </c>
      <c r="D4844" t="s">
        <v>46</v>
      </c>
      <c r="E4844" t="s">
        <v>26</v>
      </c>
      <c r="F4844" t="s">
        <v>20</v>
      </c>
      <c r="G4844">
        <v>60704</v>
      </c>
      <c r="H4844">
        <v>48563.200000000004</v>
      </c>
      <c r="I4844" s="13">
        <v>1</v>
      </c>
      <c r="J4844" t="s">
        <v>6206</v>
      </c>
      <c r="K4844">
        <v>0</v>
      </c>
      <c r="L4844">
        <v>2</v>
      </c>
      <c r="M4844" t="s">
        <v>1</v>
      </c>
      <c r="N4844" s="2">
        <v>0.48</v>
      </c>
      <c r="O4844" s="2">
        <v>0.52</v>
      </c>
      <c r="P4844">
        <v>12</v>
      </c>
      <c r="Q4844">
        <v>13</v>
      </c>
      <c r="R4844">
        <v>1</v>
      </c>
      <c r="S4844">
        <v>6</v>
      </c>
      <c r="T4844">
        <v>9</v>
      </c>
      <c r="U4844">
        <v>9</v>
      </c>
      <c r="V4844">
        <v>0</v>
      </c>
      <c r="W4844">
        <v>1</v>
      </c>
      <c r="X4844">
        <v>0</v>
      </c>
      <c r="Y4844">
        <v>0</v>
      </c>
      <c r="Z4844">
        <v>0</v>
      </c>
    </row>
    <row r="4845" spans="1:26" x14ac:dyDescent="0.2">
      <c r="A4845" t="s">
        <v>4963</v>
      </c>
      <c r="B4845" t="s">
        <v>76</v>
      </c>
      <c r="C4845">
        <v>2021</v>
      </c>
      <c r="D4845" t="s">
        <v>45</v>
      </c>
      <c r="E4845" t="s">
        <v>64</v>
      </c>
      <c r="F4845" t="s">
        <v>26</v>
      </c>
      <c r="G4845">
        <v>39572</v>
      </c>
      <c r="H4845">
        <v>31657.600000000002</v>
      </c>
      <c r="I4845" s="13">
        <v>0.75</v>
      </c>
      <c r="J4845" t="s">
        <v>6207</v>
      </c>
      <c r="K4845">
        <v>1</v>
      </c>
      <c r="L4845">
        <v>0</v>
      </c>
      <c r="M4845" t="s">
        <v>0</v>
      </c>
      <c r="N4845" s="2">
        <v>0.38</v>
      </c>
      <c r="O4845" s="2">
        <v>0.62</v>
      </c>
      <c r="P4845">
        <v>11</v>
      </c>
      <c r="Q4845">
        <v>14</v>
      </c>
      <c r="R4845">
        <v>5</v>
      </c>
      <c r="S4845">
        <v>7</v>
      </c>
      <c r="T4845">
        <v>13</v>
      </c>
      <c r="U4845">
        <v>11</v>
      </c>
      <c r="V4845">
        <v>2</v>
      </c>
      <c r="W4845">
        <v>1</v>
      </c>
      <c r="X4845">
        <v>1</v>
      </c>
      <c r="Y4845">
        <v>0</v>
      </c>
      <c r="Z4845">
        <v>0</v>
      </c>
    </row>
    <row r="4846" spans="1:26" x14ac:dyDescent="0.2">
      <c r="A4846" t="s">
        <v>4964</v>
      </c>
      <c r="B4846" t="s">
        <v>60</v>
      </c>
      <c r="C4846">
        <v>2021</v>
      </c>
      <c r="D4846" t="s">
        <v>22</v>
      </c>
      <c r="E4846" t="s">
        <v>33</v>
      </c>
      <c r="F4846" t="s">
        <v>24</v>
      </c>
      <c r="G4846">
        <v>31750</v>
      </c>
      <c r="H4846">
        <v>25400</v>
      </c>
      <c r="I4846" s="13">
        <v>0.5</v>
      </c>
      <c r="J4846" t="s">
        <v>6208</v>
      </c>
      <c r="K4846">
        <v>2</v>
      </c>
      <c r="L4846">
        <v>3</v>
      </c>
      <c r="M4846" t="s">
        <v>1</v>
      </c>
      <c r="N4846" s="2">
        <v>0.48</v>
      </c>
      <c r="O4846" s="2">
        <v>0.52</v>
      </c>
      <c r="P4846">
        <v>17</v>
      </c>
      <c r="Q4846">
        <v>14</v>
      </c>
      <c r="R4846">
        <v>2</v>
      </c>
      <c r="S4846">
        <v>5</v>
      </c>
      <c r="T4846">
        <v>13</v>
      </c>
      <c r="U4846">
        <v>14</v>
      </c>
      <c r="V4846">
        <v>2</v>
      </c>
      <c r="W4846">
        <v>5</v>
      </c>
      <c r="X4846">
        <v>1</v>
      </c>
      <c r="Y4846">
        <v>0</v>
      </c>
      <c r="Z4846">
        <v>0</v>
      </c>
    </row>
    <row r="4847" spans="1:26" x14ac:dyDescent="0.2">
      <c r="A4847" t="s">
        <v>4965</v>
      </c>
      <c r="B4847" t="s">
        <v>92</v>
      </c>
      <c r="C4847">
        <v>2021</v>
      </c>
      <c r="D4847" t="s">
        <v>42</v>
      </c>
      <c r="E4847" t="s">
        <v>46</v>
      </c>
      <c r="F4847" t="s">
        <v>38</v>
      </c>
      <c r="G4847">
        <v>42918</v>
      </c>
      <c r="H4847">
        <v>34334.400000000001</v>
      </c>
      <c r="I4847" s="13">
        <v>0.33333333333333331</v>
      </c>
      <c r="J4847" t="s">
        <v>6207</v>
      </c>
      <c r="K4847">
        <v>0</v>
      </c>
      <c r="L4847">
        <v>1</v>
      </c>
      <c r="M4847" t="s">
        <v>1</v>
      </c>
      <c r="N4847" s="2">
        <v>0.47</v>
      </c>
      <c r="O4847" s="2">
        <v>0.53</v>
      </c>
      <c r="P4847">
        <v>12</v>
      </c>
      <c r="Q4847">
        <v>15</v>
      </c>
      <c r="R4847">
        <v>6</v>
      </c>
      <c r="S4847">
        <v>5</v>
      </c>
      <c r="T4847">
        <v>13</v>
      </c>
      <c r="U4847">
        <v>14</v>
      </c>
      <c r="V4847">
        <v>3</v>
      </c>
      <c r="W4847">
        <v>3</v>
      </c>
      <c r="X4847">
        <v>0</v>
      </c>
      <c r="Y4847">
        <v>0</v>
      </c>
      <c r="Z4847">
        <v>0</v>
      </c>
    </row>
    <row r="4848" spans="1:26" x14ac:dyDescent="0.2">
      <c r="A4848" t="s">
        <v>4966</v>
      </c>
      <c r="B4848" t="s">
        <v>100</v>
      </c>
      <c r="C4848">
        <v>2021</v>
      </c>
      <c r="D4848" t="s">
        <v>80</v>
      </c>
      <c r="E4848" t="s">
        <v>101</v>
      </c>
      <c r="F4848" t="s">
        <v>80</v>
      </c>
      <c r="G4848">
        <v>32261</v>
      </c>
      <c r="H4848">
        <v>25808.800000000003</v>
      </c>
      <c r="I4848" s="13">
        <v>0.66666666666666663</v>
      </c>
      <c r="J4848" t="s">
        <v>6207</v>
      </c>
      <c r="K4848">
        <v>2</v>
      </c>
      <c r="L4848">
        <v>1</v>
      </c>
      <c r="M4848" t="s">
        <v>0</v>
      </c>
      <c r="N4848" s="2">
        <v>0.53</v>
      </c>
      <c r="O4848" s="2">
        <v>0.47</v>
      </c>
      <c r="P4848">
        <v>13</v>
      </c>
      <c r="Q4848">
        <v>13</v>
      </c>
      <c r="R4848">
        <v>2</v>
      </c>
      <c r="S4848">
        <v>5</v>
      </c>
      <c r="T4848">
        <v>10</v>
      </c>
      <c r="U4848">
        <v>10</v>
      </c>
      <c r="V4848">
        <v>1</v>
      </c>
      <c r="W4848">
        <v>2</v>
      </c>
      <c r="X4848">
        <v>0</v>
      </c>
      <c r="Y4848">
        <v>0</v>
      </c>
      <c r="Z4848">
        <v>0</v>
      </c>
    </row>
    <row r="4849" spans="1:26" x14ac:dyDescent="0.2">
      <c r="A4849" t="s">
        <v>4967</v>
      </c>
      <c r="B4849" t="s">
        <v>61</v>
      </c>
      <c r="C4849">
        <v>2021</v>
      </c>
      <c r="D4849" t="s">
        <v>51</v>
      </c>
      <c r="E4849" t="s">
        <v>23</v>
      </c>
      <c r="F4849" t="s">
        <v>20</v>
      </c>
      <c r="G4849">
        <v>36284</v>
      </c>
      <c r="H4849">
        <v>29027.200000000001</v>
      </c>
      <c r="I4849" s="13">
        <v>0</v>
      </c>
      <c r="J4849" t="s">
        <v>6207</v>
      </c>
      <c r="K4849">
        <v>3</v>
      </c>
      <c r="L4849">
        <v>1</v>
      </c>
      <c r="M4849" t="s">
        <v>0</v>
      </c>
      <c r="N4849" s="2">
        <v>0.53</v>
      </c>
      <c r="O4849" s="2">
        <v>0.47</v>
      </c>
      <c r="P4849">
        <v>7</v>
      </c>
      <c r="Q4849">
        <v>8</v>
      </c>
      <c r="R4849">
        <v>5</v>
      </c>
      <c r="S4849">
        <v>3</v>
      </c>
      <c r="T4849">
        <v>7</v>
      </c>
      <c r="U4849">
        <v>7</v>
      </c>
      <c r="V4849">
        <v>0</v>
      </c>
      <c r="W4849">
        <v>1</v>
      </c>
      <c r="X4849">
        <v>0</v>
      </c>
      <c r="Y4849">
        <v>0</v>
      </c>
      <c r="Z4849">
        <v>0</v>
      </c>
    </row>
    <row r="4850" spans="1:26" x14ac:dyDescent="0.2">
      <c r="A4850" t="s">
        <v>4968</v>
      </c>
      <c r="B4850" t="s">
        <v>59</v>
      </c>
      <c r="C4850">
        <v>2021</v>
      </c>
      <c r="D4850" t="s">
        <v>26</v>
      </c>
      <c r="E4850" t="s">
        <v>85</v>
      </c>
      <c r="F4850" t="s">
        <v>26</v>
      </c>
      <c r="G4850">
        <v>61276</v>
      </c>
      <c r="H4850">
        <v>49020.800000000003</v>
      </c>
      <c r="I4850" s="13">
        <v>0.5</v>
      </c>
      <c r="J4850" t="s">
        <v>6206</v>
      </c>
      <c r="K4850">
        <v>2</v>
      </c>
      <c r="L4850">
        <v>0</v>
      </c>
      <c r="M4850" t="s">
        <v>0</v>
      </c>
      <c r="N4850" s="2">
        <v>0.73</v>
      </c>
      <c r="O4850" s="2">
        <v>0.27</v>
      </c>
      <c r="P4850">
        <v>8</v>
      </c>
      <c r="Q4850">
        <v>9</v>
      </c>
      <c r="R4850">
        <v>9</v>
      </c>
      <c r="S4850">
        <v>3</v>
      </c>
      <c r="T4850">
        <v>9</v>
      </c>
      <c r="U4850">
        <v>8</v>
      </c>
      <c r="V4850">
        <v>1</v>
      </c>
      <c r="W4850">
        <v>1</v>
      </c>
      <c r="X4850">
        <v>0</v>
      </c>
      <c r="Y4850">
        <v>0</v>
      </c>
      <c r="Z4850">
        <v>1</v>
      </c>
    </row>
    <row r="4851" spans="1:26" x14ac:dyDescent="0.2">
      <c r="A4851" t="s">
        <v>4969</v>
      </c>
      <c r="B4851" t="s">
        <v>100</v>
      </c>
      <c r="C4851">
        <v>2021</v>
      </c>
      <c r="D4851" t="s">
        <v>22</v>
      </c>
      <c r="E4851" t="s">
        <v>42</v>
      </c>
      <c r="F4851" t="s">
        <v>24</v>
      </c>
      <c r="G4851">
        <v>31750</v>
      </c>
      <c r="H4851">
        <v>25400</v>
      </c>
      <c r="I4851" s="13">
        <v>0.2857142857142857</v>
      </c>
      <c r="J4851" t="s">
        <v>6207</v>
      </c>
      <c r="K4851">
        <v>2</v>
      </c>
      <c r="L4851">
        <v>1</v>
      </c>
      <c r="M4851" t="s">
        <v>0</v>
      </c>
      <c r="N4851" s="2">
        <v>0.48</v>
      </c>
      <c r="O4851" s="2">
        <v>0.52</v>
      </c>
      <c r="P4851">
        <v>10</v>
      </c>
      <c r="Q4851">
        <v>14</v>
      </c>
      <c r="R4851">
        <v>4</v>
      </c>
      <c r="S4851">
        <v>9</v>
      </c>
      <c r="T4851">
        <v>15</v>
      </c>
      <c r="U4851">
        <v>8</v>
      </c>
      <c r="V4851">
        <v>4</v>
      </c>
      <c r="W4851">
        <v>3</v>
      </c>
      <c r="X4851">
        <v>0</v>
      </c>
      <c r="Y4851">
        <v>0</v>
      </c>
      <c r="Z4851">
        <v>1</v>
      </c>
    </row>
    <row r="4852" spans="1:26" x14ac:dyDescent="0.2">
      <c r="A4852" t="s">
        <v>4970</v>
      </c>
      <c r="B4852" t="s">
        <v>61</v>
      </c>
      <c r="C4852">
        <v>2021</v>
      </c>
      <c r="D4852" t="s">
        <v>33</v>
      </c>
      <c r="E4852" t="s">
        <v>73</v>
      </c>
      <c r="F4852" t="s">
        <v>33</v>
      </c>
      <c r="G4852">
        <v>37645</v>
      </c>
      <c r="H4852">
        <v>30116</v>
      </c>
      <c r="I4852" s="13">
        <v>0.33333333333333331</v>
      </c>
      <c r="J4852" t="s">
        <v>6207</v>
      </c>
      <c r="K4852">
        <v>1</v>
      </c>
      <c r="L4852">
        <v>1</v>
      </c>
      <c r="M4852" t="s">
        <v>58</v>
      </c>
      <c r="N4852" s="2">
        <v>0.56000000000000005</v>
      </c>
      <c r="O4852" s="2">
        <v>0.44</v>
      </c>
      <c r="P4852">
        <v>8</v>
      </c>
      <c r="Q4852">
        <v>11</v>
      </c>
      <c r="R4852">
        <v>4</v>
      </c>
      <c r="S4852">
        <v>7</v>
      </c>
      <c r="T4852">
        <v>14</v>
      </c>
      <c r="U4852">
        <v>7</v>
      </c>
      <c r="V4852">
        <v>2</v>
      </c>
      <c r="W4852">
        <v>1</v>
      </c>
      <c r="X4852">
        <v>0</v>
      </c>
      <c r="Y4852">
        <v>0</v>
      </c>
      <c r="Z4852">
        <v>0</v>
      </c>
    </row>
    <row r="4853" spans="1:26" x14ac:dyDescent="0.2">
      <c r="A4853" t="s">
        <v>4971</v>
      </c>
      <c r="B4853" t="s">
        <v>92</v>
      </c>
      <c r="C4853">
        <v>2021</v>
      </c>
      <c r="D4853" t="s">
        <v>18</v>
      </c>
      <c r="E4853" t="s">
        <v>101</v>
      </c>
      <c r="F4853" t="s">
        <v>20</v>
      </c>
      <c r="G4853">
        <v>40341</v>
      </c>
      <c r="H4853">
        <v>32272.800000000003</v>
      </c>
      <c r="I4853" s="13">
        <v>0</v>
      </c>
      <c r="J4853" t="s">
        <v>6207</v>
      </c>
      <c r="K4853">
        <v>1</v>
      </c>
      <c r="L4853">
        <v>4</v>
      </c>
      <c r="M4853" t="s">
        <v>1</v>
      </c>
      <c r="N4853" s="2">
        <v>0.71</v>
      </c>
      <c r="O4853" s="2">
        <v>0.28999999999999998</v>
      </c>
      <c r="P4853">
        <v>6</v>
      </c>
      <c r="Q4853">
        <v>10</v>
      </c>
      <c r="R4853">
        <v>12</v>
      </c>
      <c r="S4853">
        <v>7</v>
      </c>
      <c r="T4853">
        <v>11</v>
      </c>
      <c r="U4853">
        <v>7</v>
      </c>
      <c r="V4853">
        <v>0</v>
      </c>
      <c r="W4853">
        <v>0</v>
      </c>
      <c r="X4853">
        <v>0</v>
      </c>
      <c r="Y4853">
        <v>0</v>
      </c>
      <c r="Z4853">
        <v>0</v>
      </c>
    </row>
    <row r="4854" spans="1:26" x14ac:dyDescent="0.2">
      <c r="A4854" t="s">
        <v>4972</v>
      </c>
      <c r="B4854" t="s">
        <v>76</v>
      </c>
      <c r="C4854">
        <v>2021</v>
      </c>
      <c r="D4854" t="s">
        <v>28</v>
      </c>
      <c r="E4854" t="s">
        <v>40</v>
      </c>
      <c r="F4854" t="s">
        <v>28</v>
      </c>
      <c r="G4854">
        <v>21944</v>
      </c>
      <c r="H4854">
        <v>17555.2</v>
      </c>
      <c r="I4854" s="13">
        <v>1</v>
      </c>
      <c r="J4854" t="s">
        <v>6207</v>
      </c>
      <c r="K4854">
        <v>0</v>
      </c>
      <c r="L4854">
        <v>2</v>
      </c>
      <c r="M4854" t="s">
        <v>1</v>
      </c>
      <c r="N4854" s="2">
        <v>0.23</v>
      </c>
      <c r="O4854" s="2">
        <v>0.77</v>
      </c>
      <c r="P4854">
        <v>6</v>
      </c>
      <c r="Q4854">
        <v>15</v>
      </c>
      <c r="R4854">
        <v>1</v>
      </c>
      <c r="S4854">
        <v>8</v>
      </c>
      <c r="T4854">
        <v>11</v>
      </c>
      <c r="U4854">
        <v>6</v>
      </c>
      <c r="V4854">
        <v>1</v>
      </c>
      <c r="W4854">
        <v>0</v>
      </c>
      <c r="X4854">
        <v>0</v>
      </c>
      <c r="Y4854">
        <v>0</v>
      </c>
      <c r="Z4854">
        <v>0</v>
      </c>
    </row>
    <row r="4855" spans="1:26" x14ac:dyDescent="0.2">
      <c r="A4855" t="s">
        <v>4973</v>
      </c>
      <c r="B4855" t="s">
        <v>84</v>
      </c>
      <c r="C4855">
        <v>2021</v>
      </c>
      <c r="D4855" t="s">
        <v>90</v>
      </c>
      <c r="E4855" t="s">
        <v>69</v>
      </c>
      <c r="F4855" t="s">
        <v>91</v>
      </c>
      <c r="G4855">
        <v>31876</v>
      </c>
      <c r="H4855">
        <v>25500.800000000003</v>
      </c>
      <c r="I4855" s="13">
        <v>0.5</v>
      </c>
      <c r="J4855" t="s">
        <v>6208</v>
      </c>
      <c r="K4855">
        <v>0</v>
      </c>
      <c r="L4855">
        <v>0</v>
      </c>
      <c r="M4855" t="s">
        <v>58</v>
      </c>
      <c r="N4855" s="2">
        <v>0.63</v>
      </c>
      <c r="O4855" s="2">
        <v>0.37</v>
      </c>
      <c r="P4855">
        <v>7</v>
      </c>
      <c r="Q4855">
        <v>11</v>
      </c>
      <c r="R4855">
        <v>11</v>
      </c>
      <c r="S4855">
        <v>2</v>
      </c>
      <c r="T4855">
        <v>12</v>
      </c>
      <c r="U4855">
        <v>11</v>
      </c>
      <c r="V4855">
        <v>1</v>
      </c>
      <c r="W4855">
        <v>1</v>
      </c>
      <c r="X4855">
        <v>0</v>
      </c>
      <c r="Y4855">
        <v>0</v>
      </c>
      <c r="Z4855">
        <v>1</v>
      </c>
    </row>
    <row r="4856" spans="1:26" x14ac:dyDescent="0.2">
      <c r="A4856" t="s">
        <v>4974</v>
      </c>
      <c r="B4856" t="s">
        <v>37</v>
      </c>
      <c r="C4856">
        <v>2021</v>
      </c>
      <c r="D4856" t="s">
        <v>48</v>
      </c>
      <c r="E4856" t="s">
        <v>80</v>
      </c>
      <c r="F4856" t="s">
        <v>49</v>
      </c>
      <c r="G4856">
        <v>74197</v>
      </c>
      <c r="H4856">
        <v>59357.600000000006</v>
      </c>
      <c r="I4856" s="13">
        <v>0.5</v>
      </c>
      <c r="J4856" t="s">
        <v>6206</v>
      </c>
      <c r="K4856">
        <v>1</v>
      </c>
      <c r="L4856">
        <v>1</v>
      </c>
      <c r="M4856" t="s">
        <v>58</v>
      </c>
      <c r="N4856" s="2">
        <v>0.54</v>
      </c>
      <c r="O4856" s="2">
        <v>0.46</v>
      </c>
      <c r="P4856">
        <v>6</v>
      </c>
      <c r="Q4856">
        <v>14</v>
      </c>
      <c r="R4856">
        <v>6</v>
      </c>
      <c r="S4856">
        <v>5</v>
      </c>
      <c r="T4856">
        <v>13</v>
      </c>
      <c r="U4856">
        <v>6</v>
      </c>
      <c r="V4856">
        <v>2</v>
      </c>
      <c r="W4856">
        <v>2</v>
      </c>
      <c r="X4856">
        <v>0</v>
      </c>
      <c r="Y4856">
        <v>0</v>
      </c>
      <c r="Z4856">
        <v>0</v>
      </c>
    </row>
    <row r="4857" spans="1:26" x14ac:dyDescent="0.2">
      <c r="A4857" t="s">
        <v>4975</v>
      </c>
      <c r="B4857" t="s">
        <v>66</v>
      </c>
      <c r="C4857">
        <v>2021</v>
      </c>
      <c r="D4857" t="s">
        <v>23</v>
      </c>
      <c r="E4857" t="s">
        <v>45</v>
      </c>
      <c r="F4857" t="s">
        <v>20</v>
      </c>
      <c r="G4857">
        <v>62500</v>
      </c>
      <c r="H4857">
        <v>50000</v>
      </c>
      <c r="I4857" s="13">
        <v>0.4</v>
      </c>
      <c r="J4857" t="s">
        <v>6207</v>
      </c>
      <c r="K4857">
        <v>2</v>
      </c>
      <c r="L4857">
        <v>1</v>
      </c>
      <c r="M4857" t="s">
        <v>0</v>
      </c>
      <c r="N4857" s="2">
        <v>0.56000000000000005</v>
      </c>
      <c r="O4857" s="2">
        <v>0.44</v>
      </c>
      <c r="P4857">
        <v>10</v>
      </c>
      <c r="Q4857">
        <v>8</v>
      </c>
      <c r="R4857">
        <v>2</v>
      </c>
      <c r="S4857">
        <v>4</v>
      </c>
      <c r="T4857">
        <v>9</v>
      </c>
      <c r="U4857">
        <v>12</v>
      </c>
      <c r="V4857">
        <v>1</v>
      </c>
      <c r="W4857">
        <v>3</v>
      </c>
      <c r="X4857">
        <v>0</v>
      </c>
      <c r="Y4857">
        <v>1</v>
      </c>
      <c r="Z4857">
        <v>0</v>
      </c>
    </row>
    <row r="4858" spans="1:26" x14ac:dyDescent="0.2">
      <c r="A4858" t="s">
        <v>4976</v>
      </c>
      <c r="B4858" t="s">
        <v>32</v>
      </c>
      <c r="C4858">
        <v>2021</v>
      </c>
      <c r="D4858" t="s">
        <v>51</v>
      </c>
      <c r="E4858" t="s">
        <v>64</v>
      </c>
      <c r="F4858" t="s">
        <v>20</v>
      </c>
      <c r="G4858">
        <v>36284</v>
      </c>
      <c r="H4858">
        <v>29027.200000000001</v>
      </c>
      <c r="I4858" s="13">
        <v>0.6</v>
      </c>
      <c r="J4858" t="s">
        <v>6207</v>
      </c>
      <c r="K4858">
        <v>5</v>
      </c>
      <c r="L4858">
        <v>1</v>
      </c>
      <c r="M4858" t="s">
        <v>0</v>
      </c>
      <c r="N4858" s="2">
        <v>0.6</v>
      </c>
      <c r="O4858" s="2">
        <v>0.4</v>
      </c>
      <c r="P4858">
        <v>10</v>
      </c>
      <c r="Q4858">
        <v>8</v>
      </c>
      <c r="R4858">
        <v>2</v>
      </c>
      <c r="S4858">
        <v>3</v>
      </c>
      <c r="T4858">
        <v>10</v>
      </c>
      <c r="U4858">
        <v>7</v>
      </c>
      <c r="V4858">
        <v>2</v>
      </c>
      <c r="W4858">
        <v>3</v>
      </c>
      <c r="X4858">
        <v>0</v>
      </c>
      <c r="Y4858">
        <v>0</v>
      </c>
      <c r="Z4858">
        <v>0</v>
      </c>
    </row>
    <row r="4859" spans="1:26" x14ac:dyDescent="0.2">
      <c r="A4859" t="s">
        <v>4977</v>
      </c>
      <c r="B4859" t="s">
        <v>81</v>
      </c>
      <c r="C4859">
        <v>2021</v>
      </c>
      <c r="D4859" t="s">
        <v>79</v>
      </c>
      <c r="E4859" t="s">
        <v>46</v>
      </c>
      <c r="F4859" t="s">
        <v>20</v>
      </c>
      <c r="G4859">
        <v>25486</v>
      </c>
      <c r="H4859">
        <v>20388.800000000003</v>
      </c>
      <c r="I4859" s="13">
        <v>1</v>
      </c>
      <c r="J4859" t="s">
        <v>6207</v>
      </c>
      <c r="K4859">
        <v>3</v>
      </c>
      <c r="L4859">
        <v>0</v>
      </c>
      <c r="M4859" t="s">
        <v>0</v>
      </c>
      <c r="N4859" s="2">
        <v>0.31</v>
      </c>
      <c r="O4859" s="2">
        <v>0.69</v>
      </c>
      <c r="P4859">
        <v>16</v>
      </c>
      <c r="Q4859">
        <v>12</v>
      </c>
      <c r="R4859">
        <v>0</v>
      </c>
      <c r="S4859">
        <v>2</v>
      </c>
      <c r="T4859">
        <v>11</v>
      </c>
      <c r="U4859">
        <v>15</v>
      </c>
      <c r="V4859">
        <v>0</v>
      </c>
      <c r="W4859">
        <v>2</v>
      </c>
      <c r="X4859">
        <v>0</v>
      </c>
      <c r="Y4859">
        <v>0</v>
      </c>
      <c r="Z4859">
        <v>1</v>
      </c>
    </row>
    <row r="4860" spans="1:26" x14ac:dyDescent="0.2">
      <c r="A4860" t="s">
        <v>4978</v>
      </c>
      <c r="B4860" t="s">
        <v>41</v>
      </c>
      <c r="C4860">
        <v>2021</v>
      </c>
      <c r="D4860" t="s">
        <v>28</v>
      </c>
      <c r="E4860" t="s">
        <v>45</v>
      </c>
      <c r="F4860" t="s">
        <v>28</v>
      </c>
      <c r="G4860">
        <v>21944</v>
      </c>
      <c r="H4860">
        <v>17555.2</v>
      </c>
      <c r="I4860" s="13">
        <v>0.25</v>
      </c>
      <c r="J4860" t="s">
        <v>6207</v>
      </c>
      <c r="K4860">
        <v>3</v>
      </c>
      <c r="L4860">
        <v>2</v>
      </c>
      <c r="M4860" t="s">
        <v>0</v>
      </c>
      <c r="N4860" s="2">
        <v>0.51</v>
      </c>
      <c r="O4860" s="2">
        <v>0.49</v>
      </c>
      <c r="P4860">
        <v>16</v>
      </c>
      <c r="Q4860">
        <v>10</v>
      </c>
      <c r="R4860">
        <v>9</v>
      </c>
      <c r="S4860">
        <v>6</v>
      </c>
      <c r="T4860">
        <v>11</v>
      </c>
      <c r="U4860">
        <v>16</v>
      </c>
      <c r="V4860">
        <v>2</v>
      </c>
      <c r="W4860">
        <v>2</v>
      </c>
      <c r="X4860">
        <v>0</v>
      </c>
      <c r="Y4860">
        <v>0</v>
      </c>
      <c r="Z4860">
        <v>2</v>
      </c>
    </row>
    <row r="4861" spans="1:26" x14ac:dyDescent="0.2">
      <c r="A4861" t="s">
        <v>4979</v>
      </c>
      <c r="B4861" t="s">
        <v>97</v>
      </c>
      <c r="C4861">
        <v>2021</v>
      </c>
      <c r="D4861" t="s">
        <v>64</v>
      </c>
      <c r="E4861" t="s">
        <v>22</v>
      </c>
      <c r="F4861" t="s">
        <v>64</v>
      </c>
      <c r="G4861">
        <v>52264</v>
      </c>
      <c r="H4861">
        <v>41811.200000000004</v>
      </c>
      <c r="I4861" s="13">
        <v>1</v>
      </c>
      <c r="J4861" t="s">
        <v>6207</v>
      </c>
      <c r="K4861">
        <v>1</v>
      </c>
      <c r="L4861">
        <v>0</v>
      </c>
      <c r="M4861" t="s">
        <v>0</v>
      </c>
      <c r="N4861" s="2">
        <v>0.41</v>
      </c>
      <c r="O4861" s="2">
        <v>0.59</v>
      </c>
      <c r="P4861">
        <v>9</v>
      </c>
      <c r="Q4861">
        <v>5</v>
      </c>
      <c r="R4861">
        <v>1</v>
      </c>
      <c r="S4861">
        <v>2</v>
      </c>
      <c r="T4861">
        <v>6</v>
      </c>
      <c r="U4861">
        <v>13</v>
      </c>
      <c r="V4861">
        <v>1</v>
      </c>
      <c r="W4861">
        <v>1</v>
      </c>
      <c r="X4861">
        <v>0</v>
      </c>
      <c r="Y4861">
        <v>0</v>
      </c>
      <c r="Z4861">
        <v>1</v>
      </c>
    </row>
    <row r="4862" spans="1:26" x14ac:dyDescent="0.2">
      <c r="A4862" t="s">
        <v>4980</v>
      </c>
      <c r="B4862" t="s">
        <v>68</v>
      </c>
      <c r="C4862">
        <v>2021</v>
      </c>
      <c r="D4862" t="s">
        <v>45</v>
      </c>
      <c r="E4862" t="s">
        <v>48</v>
      </c>
      <c r="F4862" t="s">
        <v>26</v>
      </c>
      <c r="G4862">
        <v>39572</v>
      </c>
      <c r="H4862">
        <v>31657.600000000002</v>
      </c>
      <c r="I4862" s="13">
        <v>0.5</v>
      </c>
      <c r="J4862" t="s">
        <v>6207</v>
      </c>
      <c r="K4862">
        <v>1</v>
      </c>
      <c r="L4862">
        <v>0</v>
      </c>
      <c r="M4862" t="s">
        <v>0</v>
      </c>
      <c r="N4862" s="2">
        <v>0.33</v>
      </c>
      <c r="O4862" s="2">
        <v>0.67</v>
      </c>
      <c r="P4862">
        <v>9</v>
      </c>
      <c r="Q4862">
        <v>4</v>
      </c>
      <c r="R4862">
        <v>5</v>
      </c>
      <c r="S4862">
        <v>7</v>
      </c>
      <c r="T4862">
        <v>4</v>
      </c>
      <c r="U4862">
        <v>10</v>
      </c>
      <c r="V4862">
        <v>2</v>
      </c>
      <c r="W4862">
        <v>2</v>
      </c>
      <c r="X4862">
        <v>0</v>
      </c>
      <c r="Y4862">
        <v>0</v>
      </c>
      <c r="Z4862">
        <v>0</v>
      </c>
    </row>
    <row r="4863" spans="1:26" x14ac:dyDescent="0.2">
      <c r="A4863" t="s">
        <v>4981</v>
      </c>
      <c r="B4863" t="s">
        <v>37</v>
      </c>
      <c r="C4863">
        <v>2021</v>
      </c>
      <c r="D4863" t="s">
        <v>85</v>
      </c>
      <c r="E4863" t="s">
        <v>33</v>
      </c>
      <c r="F4863" t="s">
        <v>85</v>
      </c>
      <c r="G4863">
        <v>22220</v>
      </c>
      <c r="H4863">
        <v>17776</v>
      </c>
      <c r="I4863" s="13">
        <v>1</v>
      </c>
      <c r="J4863" t="s">
        <v>6206</v>
      </c>
      <c r="K4863">
        <v>0</v>
      </c>
      <c r="L4863">
        <v>3</v>
      </c>
      <c r="M4863" t="s">
        <v>1</v>
      </c>
      <c r="N4863" s="2">
        <v>0.48</v>
      </c>
      <c r="O4863" s="2">
        <v>0.52</v>
      </c>
      <c r="P4863">
        <v>9</v>
      </c>
      <c r="Q4863">
        <v>11</v>
      </c>
      <c r="R4863">
        <v>3</v>
      </c>
      <c r="S4863">
        <v>7</v>
      </c>
      <c r="T4863">
        <v>8</v>
      </c>
      <c r="U4863">
        <v>12</v>
      </c>
      <c r="V4863">
        <v>2</v>
      </c>
      <c r="W4863">
        <v>0</v>
      </c>
      <c r="X4863">
        <v>0</v>
      </c>
      <c r="Y4863">
        <v>0</v>
      </c>
      <c r="Z4863">
        <v>0</v>
      </c>
    </row>
    <row r="4864" spans="1:26" x14ac:dyDescent="0.2">
      <c r="A4864" t="s">
        <v>4982</v>
      </c>
      <c r="B4864" t="s">
        <v>60</v>
      </c>
      <c r="C4864">
        <v>2021</v>
      </c>
      <c r="D4864" t="s">
        <v>73</v>
      </c>
      <c r="E4864" t="s">
        <v>18</v>
      </c>
      <c r="F4864" t="s">
        <v>73</v>
      </c>
      <c r="G4864">
        <v>32384</v>
      </c>
      <c r="H4864">
        <v>25907.200000000001</v>
      </c>
      <c r="I4864" s="13">
        <v>1</v>
      </c>
      <c r="J4864" t="s">
        <v>6208</v>
      </c>
      <c r="K4864">
        <v>0</v>
      </c>
      <c r="L4864">
        <v>6</v>
      </c>
      <c r="M4864" t="s">
        <v>1</v>
      </c>
      <c r="N4864" s="2">
        <v>0.28999999999999998</v>
      </c>
      <c r="O4864" s="2">
        <v>0.71</v>
      </c>
      <c r="P4864">
        <v>9</v>
      </c>
      <c r="Q4864">
        <v>11</v>
      </c>
      <c r="R4864">
        <v>2</v>
      </c>
      <c r="S4864">
        <v>3</v>
      </c>
      <c r="T4864">
        <v>11</v>
      </c>
      <c r="U4864">
        <v>10</v>
      </c>
      <c r="V4864">
        <v>1</v>
      </c>
      <c r="W4864">
        <v>0</v>
      </c>
      <c r="X4864">
        <v>0</v>
      </c>
      <c r="Y4864">
        <v>0</v>
      </c>
      <c r="Z4864">
        <v>0</v>
      </c>
    </row>
    <row r="4865" spans="1:26" x14ac:dyDescent="0.2">
      <c r="A4865" t="s">
        <v>4983</v>
      </c>
      <c r="B4865" t="s">
        <v>93</v>
      </c>
      <c r="C4865">
        <v>2021</v>
      </c>
      <c r="D4865" t="s">
        <v>46</v>
      </c>
      <c r="E4865" t="s">
        <v>90</v>
      </c>
      <c r="F4865" t="s">
        <v>20</v>
      </c>
      <c r="G4865">
        <v>60704</v>
      </c>
      <c r="H4865">
        <v>48563.200000000004</v>
      </c>
      <c r="I4865" s="13">
        <v>0.8571428571428571</v>
      </c>
      <c r="J4865" t="s">
        <v>6206</v>
      </c>
      <c r="K4865">
        <v>1</v>
      </c>
      <c r="L4865">
        <v>2</v>
      </c>
      <c r="M4865" t="s">
        <v>1</v>
      </c>
      <c r="N4865" s="2">
        <v>0.65</v>
      </c>
      <c r="O4865" s="2">
        <v>0.35</v>
      </c>
      <c r="P4865">
        <v>18</v>
      </c>
      <c r="Q4865">
        <v>14</v>
      </c>
      <c r="R4865">
        <v>11</v>
      </c>
      <c r="S4865">
        <v>2</v>
      </c>
      <c r="T4865">
        <v>12</v>
      </c>
      <c r="U4865">
        <v>19</v>
      </c>
      <c r="V4865">
        <v>3</v>
      </c>
      <c r="W4865">
        <v>4</v>
      </c>
      <c r="X4865">
        <v>0</v>
      </c>
      <c r="Y4865">
        <v>0</v>
      </c>
      <c r="Z4865">
        <v>0</v>
      </c>
    </row>
    <row r="4866" spans="1:26" x14ac:dyDescent="0.2">
      <c r="A4866" t="s">
        <v>4984</v>
      </c>
      <c r="B4866" t="s">
        <v>83</v>
      </c>
      <c r="C4866">
        <v>2021</v>
      </c>
      <c r="D4866" t="s">
        <v>42</v>
      </c>
      <c r="E4866" t="s">
        <v>51</v>
      </c>
      <c r="F4866" t="s">
        <v>38</v>
      </c>
      <c r="G4866">
        <v>42918</v>
      </c>
      <c r="H4866">
        <v>34334.400000000001</v>
      </c>
      <c r="I4866" s="13">
        <v>0.2</v>
      </c>
      <c r="J4866" t="s">
        <v>6208</v>
      </c>
      <c r="K4866">
        <v>0</v>
      </c>
      <c r="L4866">
        <v>4</v>
      </c>
      <c r="M4866" t="s">
        <v>1</v>
      </c>
      <c r="N4866" s="2">
        <v>0.52</v>
      </c>
      <c r="O4866" s="2">
        <v>0.48</v>
      </c>
      <c r="P4866">
        <v>14</v>
      </c>
      <c r="Q4866">
        <v>13</v>
      </c>
      <c r="R4866">
        <v>9</v>
      </c>
      <c r="S4866">
        <v>3</v>
      </c>
      <c r="T4866">
        <v>12</v>
      </c>
      <c r="U4866">
        <v>14</v>
      </c>
      <c r="V4866">
        <v>2</v>
      </c>
      <c r="W4866">
        <v>3</v>
      </c>
      <c r="X4866">
        <v>0</v>
      </c>
      <c r="Y4866">
        <v>0</v>
      </c>
      <c r="Z4866">
        <v>0</v>
      </c>
    </row>
    <row r="4867" spans="1:26" x14ac:dyDescent="0.2">
      <c r="A4867" t="s">
        <v>4985</v>
      </c>
      <c r="B4867" t="s">
        <v>66</v>
      </c>
      <c r="C4867">
        <v>2021</v>
      </c>
      <c r="D4867" t="s">
        <v>69</v>
      </c>
      <c r="E4867" t="s">
        <v>28</v>
      </c>
      <c r="F4867" t="s">
        <v>69</v>
      </c>
      <c r="G4867">
        <v>27359</v>
      </c>
      <c r="H4867">
        <v>21887.200000000001</v>
      </c>
      <c r="I4867" s="13">
        <v>0.5</v>
      </c>
      <c r="J4867" t="s">
        <v>6207</v>
      </c>
      <c r="K4867">
        <v>2</v>
      </c>
      <c r="L4867">
        <v>0</v>
      </c>
      <c r="M4867" t="s">
        <v>0</v>
      </c>
      <c r="N4867" s="2">
        <v>0.45</v>
      </c>
      <c r="O4867" s="2">
        <v>0.55000000000000004</v>
      </c>
      <c r="P4867">
        <v>12</v>
      </c>
      <c r="Q4867">
        <v>14</v>
      </c>
      <c r="R4867">
        <v>6</v>
      </c>
      <c r="S4867">
        <v>7</v>
      </c>
      <c r="T4867">
        <v>12</v>
      </c>
      <c r="U4867">
        <v>10</v>
      </c>
      <c r="V4867">
        <v>1</v>
      </c>
      <c r="W4867">
        <v>1</v>
      </c>
      <c r="X4867">
        <v>0</v>
      </c>
      <c r="Y4867">
        <v>0</v>
      </c>
      <c r="Z4867">
        <v>0</v>
      </c>
    </row>
    <row r="4868" spans="1:26" x14ac:dyDescent="0.2">
      <c r="A4868" t="s">
        <v>4986</v>
      </c>
      <c r="B4868" t="s">
        <v>99</v>
      </c>
      <c r="C4868">
        <v>2021</v>
      </c>
      <c r="D4868" t="s">
        <v>80</v>
      </c>
      <c r="E4868" t="s">
        <v>79</v>
      </c>
      <c r="F4868" t="s">
        <v>80</v>
      </c>
      <c r="G4868">
        <v>32261</v>
      </c>
      <c r="H4868">
        <v>25808.800000000003</v>
      </c>
      <c r="I4868" s="13">
        <v>0</v>
      </c>
      <c r="J4868" t="s">
        <v>6207</v>
      </c>
      <c r="K4868">
        <v>2</v>
      </c>
      <c r="L4868">
        <v>1</v>
      </c>
      <c r="M4868" t="s">
        <v>0</v>
      </c>
      <c r="N4868" s="2">
        <v>0.51</v>
      </c>
      <c r="O4868" s="2">
        <v>0.49</v>
      </c>
      <c r="P4868">
        <v>10</v>
      </c>
      <c r="Q4868">
        <v>10</v>
      </c>
      <c r="R4868">
        <v>3</v>
      </c>
      <c r="S4868">
        <v>4</v>
      </c>
      <c r="T4868">
        <v>11</v>
      </c>
      <c r="U4868">
        <v>12</v>
      </c>
      <c r="V4868">
        <v>1</v>
      </c>
      <c r="W4868">
        <v>1</v>
      </c>
      <c r="X4868">
        <v>0</v>
      </c>
      <c r="Y4868">
        <v>0</v>
      </c>
      <c r="Z4868">
        <v>1</v>
      </c>
    </row>
    <row r="4869" spans="1:26" x14ac:dyDescent="0.2">
      <c r="A4869" t="s">
        <v>4987</v>
      </c>
      <c r="B4869" t="s">
        <v>32</v>
      </c>
      <c r="C4869">
        <v>2021</v>
      </c>
      <c r="D4869" t="s">
        <v>101</v>
      </c>
      <c r="E4869" t="s">
        <v>23</v>
      </c>
      <c r="F4869" t="s">
        <v>101</v>
      </c>
      <c r="G4869">
        <v>17250</v>
      </c>
      <c r="H4869">
        <v>13800</v>
      </c>
      <c r="I4869" s="13">
        <v>1</v>
      </c>
      <c r="J4869" t="s">
        <v>6207</v>
      </c>
      <c r="K4869">
        <v>2</v>
      </c>
      <c r="L4869">
        <v>0</v>
      </c>
      <c r="M4869" t="s">
        <v>0</v>
      </c>
      <c r="N4869" s="2">
        <v>0.47</v>
      </c>
      <c r="O4869" s="2">
        <v>0.53</v>
      </c>
      <c r="P4869">
        <v>8</v>
      </c>
      <c r="Q4869">
        <v>3</v>
      </c>
      <c r="R4869">
        <v>4</v>
      </c>
      <c r="S4869">
        <v>6</v>
      </c>
      <c r="T4869">
        <v>2</v>
      </c>
      <c r="U4869">
        <v>6</v>
      </c>
      <c r="V4869">
        <v>0</v>
      </c>
      <c r="W4869">
        <v>1</v>
      </c>
      <c r="X4869">
        <v>0</v>
      </c>
      <c r="Y4869">
        <v>0</v>
      </c>
      <c r="Z4869">
        <v>0</v>
      </c>
    </row>
    <row r="4870" spans="1:26" x14ac:dyDescent="0.2">
      <c r="A4870" t="s">
        <v>4988</v>
      </c>
      <c r="B4870" t="s">
        <v>61</v>
      </c>
      <c r="C4870">
        <v>2021</v>
      </c>
      <c r="D4870" t="s">
        <v>40</v>
      </c>
      <c r="E4870" t="s">
        <v>26</v>
      </c>
      <c r="F4870" t="s">
        <v>49</v>
      </c>
      <c r="G4870">
        <v>53400</v>
      </c>
      <c r="H4870">
        <v>42720</v>
      </c>
      <c r="I4870" s="13">
        <v>0.6</v>
      </c>
      <c r="J4870" t="s">
        <v>6207</v>
      </c>
      <c r="K4870">
        <v>2</v>
      </c>
      <c r="L4870">
        <v>2</v>
      </c>
      <c r="M4870" t="s">
        <v>58</v>
      </c>
      <c r="N4870" s="2">
        <v>0.55000000000000004</v>
      </c>
      <c r="O4870" s="2">
        <v>0.45</v>
      </c>
      <c r="P4870">
        <v>12</v>
      </c>
      <c r="Q4870">
        <v>14</v>
      </c>
      <c r="R4870">
        <v>4</v>
      </c>
      <c r="S4870">
        <v>1</v>
      </c>
      <c r="T4870">
        <v>9</v>
      </c>
      <c r="U4870">
        <v>11</v>
      </c>
      <c r="V4870">
        <v>1</v>
      </c>
      <c r="W4870">
        <v>4</v>
      </c>
      <c r="X4870">
        <v>0</v>
      </c>
      <c r="Y4870">
        <v>0</v>
      </c>
      <c r="Z4870">
        <v>0</v>
      </c>
    </row>
    <row r="4871" spans="1:26" x14ac:dyDescent="0.2">
      <c r="A4871" t="s">
        <v>4989</v>
      </c>
      <c r="B4871" t="s">
        <v>76</v>
      </c>
      <c r="C4871">
        <v>2021</v>
      </c>
      <c r="D4871" t="s">
        <v>51</v>
      </c>
      <c r="E4871" t="s">
        <v>90</v>
      </c>
      <c r="F4871" t="s">
        <v>20</v>
      </c>
      <c r="G4871">
        <v>36284</v>
      </c>
      <c r="H4871">
        <v>29027.200000000001</v>
      </c>
      <c r="I4871" s="13">
        <v>0.66666666666666663</v>
      </c>
      <c r="J4871" t="s">
        <v>6207</v>
      </c>
      <c r="K4871">
        <v>0</v>
      </c>
      <c r="L4871">
        <v>1</v>
      </c>
      <c r="M4871" t="s">
        <v>1</v>
      </c>
      <c r="N4871" s="2">
        <v>0.48</v>
      </c>
      <c r="O4871" s="2">
        <v>0.52</v>
      </c>
      <c r="P4871">
        <v>12</v>
      </c>
      <c r="Q4871">
        <v>15</v>
      </c>
      <c r="R4871">
        <v>4</v>
      </c>
      <c r="S4871">
        <v>4</v>
      </c>
      <c r="T4871">
        <v>14</v>
      </c>
      <c r="U4871">
        <v>10</v>
      </c>
      <c r="V4871">
        <v>3</v>
      </c>
      <c r="W4871">
        <v>3</v>
      </c>
      <c r="X4871">
        <v>0</v>
      </c>
      <c r="Y4871">
        <v>0</v>
      </c>
      <c r="Z4871">
        <v>0</v>
      </c>
    </row>
    <row r="4872" spans="1:26" x14ac:dyDescent="0.2">
      <c r="A4872" t="s">
        <v>4990</v>
      </c>
      <c r="B4872" t="s">
        <v>84</v>
      </c>
      <c r="C4872">
        <v>2021</v>
      </c>
      <c r="D4872" t="s">
        <v>85</v>
      </c>
      <c r="E4872" t="s">
        <v>101</v>
      </c>
      <c r="F4872" t="s">
        <v>85</v>
      </c>
      <c r="G4872">
        <v>22220</v>
      </c>
      <c r="H4872">
        <v>17776</v>
      </c>
      <c r="I4872" s="13">
        <v>0.66666666666666663</v>
      </c>
      <c r="J4872" t="s">
        <v>6208</v>
      </c>
      <c r="K4872">
        <v>1</v>
      </c>
      <c r="L4872">
        <v>2</v>
      </c>
      <c r="M4872" t="s">
        <v>1</v>
      </c>
      <c r="N4872" s="2">
        <v>0.51</v>
      </c>
      <c r="O4872" s="2">
        <v>0.49</v>
      </c>
      <c r="P4872">
        <v>9</v>
      </c>
      <c r="Q4872">
        <v>11</v>
      </c>
      <c r="R4872">
        <v>6</v>
      </c>
      <c r="S4872">
        <v>5</v>
      </c>
      <c r="T4872">
        <v>11</v>
      </c>
      <c r="U4872">
        <v>9</v>
      </c>
      <c r="V4872">
        <v>2</v>
      </c>
      <c r="W4872">
        <v>1</v>
      </c>
      <c r="X4872">
        <v>0</v>
      </c>
      <c r="Y4872">
        <v>0</v>
      </c>
      <c r="Z4872">
        <v>0</v>
      </c>
    </row>
    <row r="4873" spans="1:26" x14ac:dyDescent="0.2">
      <c r="A4873" t="s">
        <v>4991</v>
      </c>
      <c r="B4873" t="s">
        <v>97</v>
      </c>
      <c r="C4873">
        <v>2021</v>
      </c>
      <c r="D4873" t="s">
        <v>73</v>
      </c>
      <c r="E4873" t="s">
        <v>46</v>
      </c>
      <c r="F4873" t="s">
        <v>73</v>
      </c>
      <c r="G4873">
        <v>32384</v>
      </c>
      <c r="H4873">
        <v>25907.200000000001</v>
      </c>
      <c r="I4873" s="13">
        <v>0.66666666666666663</v>
      </c>
      <c r="J4873" t="s">
        <v>6207</v>
      </c>
      <c r="K4873">
        <v>1</v>
      </c>
      <c r="L4873">
        <v>0</v>
      </c>
      <c r="M4873" t="s">
        <v>0</v>
      </c>
      <c r="N4873" s="2">
        <v>0.24</v>
      </c>
      <c r="O4873" s="2">
        <v>0.76</v>
      </c>
      <c r="P4873">
        <v>7</v>
      </c>
      <c r="Q4873">
        <v>8</v>
      </c>
      <c r="R4873">
        <v>6</v>
      </c>
      <c r="S4873">
        <v>8</v>
      </c>
      <c r="T4873">
        <v>6</v>
      </c>
      <c r="U4873">
        <v>6</v>
      </c>
      <c r="V4873">
        <v>2</v>
      </c>
      <c r="W4873">
        <v>1</v>
      </c>
      <c r="X4873">
        <v>0</v>
      </c>
      <c r="Y4873">
        <v>0</v>
      </c>
      <c r="Z4873">
        <v>0</v>
      </c>
    </row>
    <row r="4874" spans="1:26" x14ac:dyDescent="0.2">
      <c r="A4874" t="s">
        <v>4992</v>
      </c>
      <c r="B4874" t="s">
        <v>92</v>
      </c>
      <c r="C4874">
        <v>2021</v>
      </c>
      <c r="D4874" t="s">
        <v>48</v>
      </c>
      <c r="E4874" t="s">
        <v>69</v>
      </c>
      <c r="F4874" t="s">
        <v>49</v>
      </c>
      <c r="G4874">
        <v>74197</v>
      </c>
      <c r="H4874">
        <v>59357.600000000006</v>
      </c>
      <c r="I4874" s="13">
        <v>0</v>
      </c>
      <c r="J4874" t="s">
        <v>6207</v>
      </c>
      <c r="K4874">
        <v>3</v>
      </c>
      <c r="L4874">
        <v>2</v>
      </c>
      <c r="M4874" t="s">
        <v>0</v>
      </c>
      <c r="N4874" s="2">
        <v>0.61</v>
      </c>
      <c r="O4874" s="2">
        <v>0.39</v>
      </c>
      <c r="P4874">
        <v>6</v>
      </c>
      <c r="Q4874">
        <v>11</v>
      </c>
      <c r="R4874">
        <v>6</v>
      </c>
      <c r="S4874">
        <v>7</v>
      </c>
      <c r="T4874">
        <v>7</v>
      </c>
      <c r="U4874">
        <v>6</v>
      </c>
      <c r="V4874">
        <v>0</v>
      </c>
      <c r="W4874">
        <v>0</v>
      </c>
      <c r="X4874">
        <v>0</v>
      </c>
      <c r="Y4874">
        <v>0</v>
      </c>
      <c r="Z4874">
        <v>0</v>
      </c>
    </row>
    <row r="4875" spans="1:26" x14ac:dyDescent="0.2">
      <c r="A4875" t="s">
        <v>4993</v>
      </c>
      <c r="B4875" t="s">
        <v>81</v>
      </c>
      <c r="C4875">
        <v>2021</v>
      </c>
      <c r="D4875" t="s">
        <v>23</v>
      </c>
      <c r="E4875" t="s">
        <v>28</v>
      </c>
      <c r="F4875" t="s">
        <v>20</v>
      </c>
      <c r="G4875">
        <v>62500</v>
      </c>
      <c r="H4875">
        <v>50000</v>
      </c>
      <c r="I4875" s="13">
        <v>0.5</v>
      </c>
      <c r="J4875" t="s">
        <v>6207</v>
      </c>
      <c r="K4875">
        <v>1</v>
      </c>
      <c r="L4875">
        <v>1</v>
      </c>
      <c r="M4875" t="s">
        <v>58</v>
      </c>
      <c r="N4875" s="2">
        <v>0.61</v>
      </c>
      <c r="O4875" s="2">
        <v>0.39</v>
      </c>
      <c r="P4875">
        <v>8</v>
      </c>
      <c r="Q4875">
        <v>9</v>
      </c>
      <c r="R4875">
        <v>13</v>
      </c>
      <c r="S4875">
        <v>4</v>
      </c>
      <c r="T4875">
        <v>9</v>
      </c>
      <c r="U4875">
        <v>10</v>
      </c>
      <c r="V4875">
        <v>2</v>
      </c>
      <c r="W4875">
        <v>2</v>
      </c>
      <c r="X4875">
        <v>0</v>
      </c>
      <c r="Y4875">
        <v>0</v>
      </c>
      <c r="Z4875">
        <v>1</v>
      </c>
    </row>
    <row r="4876" spans="1:26" x14ac:dyDescent="0.2">
      <c r="A4876" t="s">
        <v>4994</v>
      </c>
      <c r="B4876" t="s">
        <v>102</v>
      </c>
      <c r="C4876">
        <v>2021</v>
      </c>
      <c r="D4876" t="s">
        <v>64</v>
      </c>
      <c r="E4876" t="s">
        <v>80</v>
      </c>
      <c r="F4876" t="s">
        <v>64</v>
      </c>
      <c r="G4876">
        <v>52264</v>
      </c>
      <c r="H4876">
        <v>41811.200000000004</v>
      </c>
      <c r="I4876" s="13">
        <v>1</v>
      </c>
      <c r="J4876" t="s">
        <v>6209</v>
      </c>
      <c r="K4876">
        <v>2</v>
      </c>
      <c r="L4876">
        <v>1</v>
      </c>
      <c r="M4876" t="s">
        <v>0</v>
      </c>
      <c r="N4876" s="2">
        <v>0.31</v>
      </c>
      <c r="O4876" s="2">
        <v>0.69</v>
      </c>
      <c r="P4876">
        <v>10</v>
      </c>
      <c r="Q4876">
        <v>11</v>
      </c>
      <c r="R4876">
        <v>3</v>
      </c>
      <c r="S4876">
        <v>5</v>
      </c>
      <c r="T4876">
        <v>10</v>
      </c>
      <c r="U4876">
        <v>10</v>
      </c>
      <c r="V4876">
        <v>2</v>
      </c>
      <c r="W4876">
        <v>2</v>
      </c>
      <c r="X4876">
        <v>0</v>
      </c>
      <c r="Y4876">
        <v>0</v>
      </c>
      <c r="Z4876">
        <v>0</v>
      </c>
    </row>
    <row r="4877" spans="1:26" x14ac:dyDescent="0.2">
      <c r="A4877" t="s">
        <v>4995</v>
      </c>
      <c r="B4877" t="s">
        <v>32</v>
      </c>
      <c r="C4877">
        <v>2021</v>
      </c>
      <c r="D4877" t="s">
        <v>26</v>
      </c>
      <c r="E4877" t="s">
        <v>48</v>
      </c>
      <c r="F4877" t="s">
        <v>26</v>
      </c>
      <c r="G4877">
        <v>61276</v>
      </c>
      <c r="H4877">
        <v>49020.800000000003</v>
      </c>
      <c r="I4877" s="13">
        <v>1</v>
      </c>
      <c r="J4877" t="s">
        <v>6207</v>
      </c>
      <c r="K4877">
        <v>4</v>
      </c>
      <c r="L4877">
        <v>0</v>
      </c>
      <c r="M4877" t="s">
        <v>0</v>
      </c>
      <c r="N4877" s="2">
        <v>0.72</v>
      </c>
      <c r="O4877" s="2">
        <v>0.28000000000000003</v>
      </c>
      <c r="P4877">
        <v>8</v>
      </c>
      <c r="Q4877">
        <v>7</v>
      </c>
      <c r="R4877">
        <v>9</v>
      </c>
      <c r="S4877">
        <v>2</v>
      </c>
      <c r="T4877">
        <v>3</v>
      </c>
      <c r="U4877">
        <v>6</v>
      </c>
      <c r="V4877">
        <v>1</v>
      </c>
      <c r="W4877">
        <v>2</v>
      </c>
      <c r="X4877">
        <v>0</v>
      </c>
      <c r="Y4877">
        <v>0</v>
      </c>
      <c r="Z4877">
        <v>0</v>
      </c>
    </row>
    <row r="4878" spans="1:26" x14ac:dyDescent="0.2">
      <c r="A4878" t="s">
        <v>4996</v>
      </c>
      <c r="B4878" t="s">
        <v>105</v>
      </c>
      <c r="C4878">
        <v>2021</v>
      </c>
      <c r="D4878" t="s">
        <v>64</v>
      </c>
      <c r="E4878" t="s">
        <v>79</v>
      </c>
      <c r="F4878" t="s">
        <v>64</v>
      </c>
      <c r="G4878">
        <v>52264</v>
      </c>
      <c r="H4878">
        <v>41811.200000000004</v>
      </c>
      <c r="I4878" s="13">
        <v>0.5</v>
      </c>
      <c r="J4878" t="s">
        <v>6207</v>
      </c>
      <c r="K4878">
        <v>1</v>
      </c>
      <c r="L4878">
        <v>0</v>
      </c>
      <c r="M4878" t="s">
        <v>0</v>
      </c>
      <c r="N4878" s="2">
        <v>0.36</v>
      </c>
      <c r="O4878" s="2">
        <v>0.64</v>
      </c>
      <c r="P4878">
        <v>14</v>
      </c>
      <c r="Q4878">
        <v>13</v>
      </c>
      <c r="R4878">
        <v>2</v>
      </c>
      <c r="S4878">
        <v>5</v>
      </c>
      <c r="T4878">
        <v>12</v>
      </c>
      <c r="U4878">
        <v>12</v>
      </c>
      <c r="V4878">
        <v>1</v>
      </c>
      <c r="W4878">
        <v>1</v>
      </c>
      <c r="X4878">
        <v>0</v>
      </c>
      <c r="Y4878">
        <v>0</v>
      </c>
      <c r="Z4878">
        <v>0</v>
      </c>
    </row>
    <row r="4879" spans="1:26" x14ac:dyDescent="0.2">
      <c r="A4879" t="s">
        <v>4997</v>
      </c>
      <c r="B4879" t="s">
        <v>93</v>
      </c>
      <c r="C4879">
        <v>2021</v>
      </c>
      <c r="D4879" t="s">
        <v>45</v>
      </c>
      <c r="E4879" t="s">
        <v>80</v>
      </c>
      <c r="F4879" t="s">
        <v>26</v>
      </c>
      <c r="G4879">
        <v>39572</v>
      </c>
      <c r="H4879">
        <v>31657.600000000002</v>
      </c>
      <c r="I4879" s="13">
        <v>0.83333333333333337</v>
      </c>
      <c r="J4879" t="s">
        <v>6206</v>
      </c>
      <c r="K4879">
        <v>1</v>
      </c>
      <c r="L4879">
        <v>1</v>
      </c>
      <c r="M4879" t="s">
        <v>58</v>
      </c>
      <c r="N4879" s="2">
        <v>0.37</v>
      </c>
      <c r="O4879" s="2">
        <v>0.63</v>
      </c>
      <c r="P4879">
        <v>18</v>
      </c>
      <c r="Q4879">
        <v>7</v>
      </c>
      <c r="R4879">
        <v>5</v>
      </c>
      <c r="S4879">
        <v>4</v>
      </c>
      <c r="T4879">
        <v>8</v>
      </c>
      <c r="U4879">
        <v>17</v>
      </c>
      <c r="V4879">
        <v>4</v>
      </c>
      <c r="W4879">
        <v>2</v>
      </c>
      <c r="X4879">
        <v>0</v>
      </c>
      <c r="Y4879">
        <v>0</v>
      </c>
      <c r="Z4879">
        <v>0</v>
      </c>
    </row>
    <row r="4880" spans="1:26" x14ac:dyDescent="0.2">
      <c r="A4880" t="s">
        <v>4998</v>
      </c>
      <c r="B4880" t="s">
        <v>68</v>
      </c>
      <c r="C4880">
        <v>2021</v>
      </c>
      <c r="D4880" t="s">
        <v>18</v>
      </c>
      <c r="E4880" t="s">
        <v>46</v>
      </c>
      <c r="F4880" t="s">
        <v>20</v>
      </c>
      <c r="G4880">
        <v>40341</v>
      </c>
      <c r="H4880">
        <v>32272.800000000003</v>
      </c>
      <c r="I4880" s="13">
        <v>0.75</v>
      </c>
      <c r="J4880" t="s">
        <v>6207</v>
      </c>
      <c r="K4880">
        <v>2</v>
      </c>
      <c r="L4880">
        <v>4</v>
      </c>
      <c r="M4880" t="s">
        <v>1</v>
      </c>
      <c r="N4880" s="2">
        <v>0.68</v>
      </c>
      <c r="O4880" s="2">
        <v>0.32</v>
      </c>
      <c r="P4880">
        <v>10</v>
      </c>
      <c r="Q4880">
        <v>7</v>
      </c>
      <c r="R4880">
        <v>6</v>
      </c>
      <c r="S4880">
        <v>1</v>
      </c>
      <c r="T4880">
        <v>7</v>
      </c>
      <c r="U4880">
        <v>6</v>
      </c>
      <c r="V4880">
        <v>3</v>
      </c>
      <c r="W4880">
        <v>1</v>
      </c>
      <c r="X4880">
        <v>0</v>
      </c>
      <c r="Y4880">
        <v>0</v>
      </c>
      <c r="Z4880">
        <v>1</v>
      </c>
    </row>
    <row r="4881" spans="1:26" x14ac:dyDescent="0.2">
      <c r="A4881" t="s">
        <v>4999</v>
      </c>
      <c r="B4881" t="s">
        <v>41</v>
      </c>
      <c r="C4881">
        <v>2021</v>
      </c>
      <c r="D4881" t="s">
        <v>40</v>
      </c>
      <c r="E4881" t="s">
        <v>90</v>
      </c>
      <c r="F4881" t="s">
        <v>49</v>
      </c>
      <c r="G4881">
        <v>53400</v>
      </c>
      <c r="H4881">
        <v>42720</v>
      </c>
      <c r="I4881" s="13">
        <v>0.33333333333333331</v>
      </c>
      <c r="J4881" t="s">
        <v>6207</v>
      </c>
      <c r="K4881">
        <v>3</v>
      </c>
      <c r="L4881">
        <v>0</v>
      </c>
      <c r="M4881" t="s">
        <v>0</v>
      </c>
      <c r="N4881" s="2">
        <v>0.65</v>
      </c>
      <c r="O4881" s="2">
        <v>0.35</v>
      </c>
      <c r="P4881">
        <v>8</v>
      </c>
      <c r="Q4881">
        <v>11</v>
      </c>
      <c r="R4881">
        <v>7</v>
      </c>
      <c r="S4881">
        <v>4</v>
      </c>
      <c r="T4881">
        <v>12</v>
      </c>
      <c r="U4881">
        <v>7</v>
      </c>
      <c r="V4881">
        <v>0</v>
      </c>
      <c r="W4881">
        <v>3</v>
      </c>
      <c r="X4881">
        <v>0</v>
      </c>
      <c r="Y4881">
        <v>0</v>
      </c>
      <c r="Z4881">
        <v>0</v>
      </c>
    </row>
    <row r="4882" spans="1:26" x14ac:dyDescent="0.2">
      <c r="A4882" t="s">
        <v>5000</v>
      </c>
      <c r="B4882" t="s">
        <v>59</v>
      </c>
      <c r="C4882">
        <v>2021</v>
      </c>
      <c r="D4882" t="s">
        <v>28</v>
      </c>
      <c r="E4882" t="s">
        <v>73</v>
      </c>
      <c r="F4882" t="s">
        <v>28</v>
      </c>
      <c r="G4882">
        <v>21944</v>
      </c>
      <c r="H4882">
        <v>17555.2</v>
      </c>
      <c r="I4882" s="13">
        <v>0.5</v>
      </c>
      <c r="J4882" t="s">
        <v>6206</v>
      </c>
      <c r="K4882">
        <v>2</v>
      </c>
      <c r="L4882">
        <v>0</v>
      </c>
      <c r="M4882" t="s">
        <v>0</v>
      </c>
      <c r="N4882" s="2">
        <v>0.43</v>
      </c>
      <c r="O4882" s="2">
        <v>0.56999999999999995</v>
      </c>
      <c r="P4882">
        <v>8</v>
      </c>
      <c r="Q4882">
        <v>8</v>
      </c>
      <c r="R4882">
        <v>10</v>
      </c>
      <c r="S4882">
        <v>10</v>
      </c>
      <c r="T4882">
        <v>7</v>
      </c>
      <c r="U4882">
        <v>7</v>
      </c>
      <c r="V4882">
        <v>2</v>
      </c>
      <c r="W4882">
        <v>2</v>
      </c>
      <c r="X4882">
        <v>0</v>
      </c>
      <c r="Y4882">
        <v>0</v>
      </c>
      <c r="Z4882">
        <v>0</v>
      </c>
    </row>
    <row r="4883" spans="1:26" x14ac:dyDescent="0.2">
      <c r="A4883" t="s">
        <v>5001</v>
      </c>
      <c r="B4883" t="s">
        <v>76</v>
      </c>
      <c r="C4883">
        <v>2021</v>
      </c>
      <c r="D4883" t="s">
        <v>46</v>
      </c>
      <c r="E4883" t="s">
        <v>48</v>
      </c>
      <c r="F4883" t="s">
        <v>20</v>
      </c>
      <c r="G4883">
        <v>60704</v>
      </c>
      <c r="H4883">
        <v>48563.200000000004</v>
      </c>
      <c r="I4883" s="13">
        <v>1</v>
      </c>
      <c r="J4883" t="s">
        <v>6207</v>
      </c>
      <c r="K4883">
        <v>3</v>
      </c>
      <c r="L4883">
        <v>1</v>
      </c>
      <c r="M4883" t="s">
        <v>0</v>
      </c>
      <c r="N4883" s="2">
        <v>0.55000000000000004</v>
      </c>
      <c r="O4883" s="2">
        <v>0.45</v>
      </c>
      <c r="P4883">
        <v>12</v>
      </c>
      <c r="Q4883">
        <v>11</v>
      </c>
      <c r="R4883">
        <v>1</v>
      </c>
      <c r="S4883">
        <v>7</v>
      </c>
      <c r="T4883">
        <v>9</v>
      </c>
      <c r="U4883">
        <v>12</v>
      </c>
      <c r="V4883">
        <v>3</v>
      </c>
      <c r="W4883">
        <v>4</v>
      </c>
      <c r="X4883">
        <v>0</v>
      </c>
      <c r="Y4883">
        <v>0</v>
      </c>
      <c r="Z4883">
        <v>2</v>
      </c>
    </row>
    <row r="4884" spans="1:26" x14ac:dyDescent="0.2">
      <c r="A4884" t="s">
        <v>5002</v>
      </c>
      <c r="B4884" t="s">
        <v>88</v>
      </c>
      <c r="C4884">
        <v>2021</v>
      </c>
      <c r="D4884" t="s">
        <v>69</v>
      </c>
      <c r="E4884" t="s">
        <v>64</v>
      </c>
      <c r="F4884" t="s">
        <v>69</v>
      </c>
      <c r="G4884">
        <v>27359</v>
      </c>
      <c r="H4884">
        <v>21887.200000000001</v>
      </c>
      <c r="I4884" s="13">
        <v>1</v>
      </c>
      <c r="J4884" t="s">
        <v>6207</v>
      </c>
      <c r="K4884">
        <v>0</v>
      </c>
      <c r="L4884">
        <v>3</v>
      </c>
      <c r="M4884" t="s">
        <v>1</v>
      </c>
      <c r="N4884" s="2">
        <v>0.45</v>
      </c>
      <c r="O4884" s="2">
        <v>0.55000000000000004</v>
      </c>
      <c r="P4884">
        <v>9</v>
      </c>
      <c r="Q4884">
        <v>12</v>
      </c>
      <c r="R4884">
        <v>2</v>
      </c>
      <c r="S4884">
        <v>3</v>
      </c>
      <c r="T4884">
        <v>11</v>
      </c>
      <c r="U4884">
        <v>10</v>
      </c>
      <c r="V4884">
        <v>0</v>
      </c>
      <c r="W4884">
        <v>2</v>
      </c>
      <c r="X4884">
        <v>0</v>
      </c>
      <c r="Y4884">
        <v>0</v>
      </c>
      <c r="Z4884">
        <v>0</v>
      </c>
    </row>
    <row r="4885" spans="1:26" x14ac:dyDescent="0.2">
      <c r="A4885" t="s">
        <v>5003</v>
      </c>
      <c r="B4885" t="s">
        <v>60</v>
      </c>
      <c r="C4885">
        <v>2021</v>
      </c>
      <c r="D4885" t="s">
        <v>40</v>
      </c>
      <c r="E4885" t="s">
        <v>85</v>
      </c>
      <c r="F4885" t="s">
        <v>49</v>
      </c>
      <c r="G4885">
        <v>53400</v>
      </c>
      <c r="H4885">
        <v>42720</v>
      </c>
      <c r="I4885" s="13">
        <v>1</v>
      </c>
      <c r="J4885" t="s">
        <v>6208</v>
      </c>
      <c r="K4885">
        <v>5</v>
      </c>
      <c r="L4885">
        <v>1</v>
      </c>
      <c r="M4885" t="s">
        <v>0</v>
      </c>
      <c r="N4885" s="2">
        <v>0.74</v>
      </c>
      <c r="O4885" s="2">
        <v>0.26</v>
      </c>
      <c r="P4885">
        <v>8</v>
      </c>
      <c r="Q4885">
        <v>8</v>
      </c>
      <c r="R4885">
        <v>11</v>
      </c>
      <c r="S4885">
        <v>4</v>
      </c>
      <c r="T4885">
        <v>9</v>
      </c>
      <c r="U4885">
        <v>7</v>
      </c>
      <c r="V4885">
        <v>1</v>
      </c>
      <c r="W4885">
        <v>0</v>
      </c>
      <c r="X4885">
        <v>0</v>
      </c>
      <c r="Y4885">
        <v>0</v>
      </c>
      <c r="Z4885">
        <v>1</v>
      </c>
    </row>
    <row r="4886" spans="1:26" x14ac:dyDescent="0.2">
      <c r="A4886" t="s">
        <v>5004</v>
      </c>
      <c r="B4886" t="s">
        <v>92</v>
      </c>
      <c r="C4886">
        <v>2021</v>
      </c>
      <c r="D4886" t="s">
        <v>80</v>
      </c>
      <c r="E4886" t="s">
        <v>42</v>
      </c>
      <c r="F4886" t="s">
        <v>80</v>
      </c>
      <c r="G4886">
        <v>32261</v>
      </c>
      <c r="H4886">
        <v>25808.800000000003</v>
      </c>
      <c r="I4886" s="13">
        <v>0.6</v>
      </c>
      <c r="J4886" t="s">
        <v>6207</v>
      </c>
      <c r="K4886">
        <v>0</v>
      </c>
      <c r="L4886">
        <v>0</v>
      </c>
      <c r="M4886" t="s">
        <v>58</v>
      </c>
      <c r="N4886" s="2">
        <v>0.64</v>
      </c>
      <c r="O4886" s="2">
        <v>0.36</v>
      </c>
      <c r="P4886">
        <v>14</v>
      </c>
      <c r="Q4886">
        <v>15</v>
      </c>
      <c r="R4886">
        <v>7</v>
      </c>
      <c r="S4886">
        <v>6</v>
      </c>
      <c r="T4886">
        <v>15</v>
      </c>
      <c r="U4886">
        <v>16</v>
      </c>
      <c r="V4886">
        <v>3</v>
      </c>
      <c r="W4886">
        <v>2</v>
      </c>
      <c r="X4886">
        <v>0</v>
      </c>
      <c r="Y4886">
        <v>0</v>
      </c>
      <c r="Z4886">
        <v>0</v>
      </c>
    </row>
    <row r="4887" spans="1:26" x14ac:dyDescent="0.2">
      <c r="A4887" t="s">
        <v>5005</v>
      </c>
      <c r="B4887" t="s">
        <v>32</v>
      </c>
      <c r="C4887">
        <v>2021</v>
      </c>
      <c r="D4887" t="s">
        <v>101</v>
      </c>
      <c r="E4887" t="s">
        <v>51</v>
      </c>
      <c r="F4887" t="s">
        <v>101</v>
      </c>
      <c r="G4887">
        <v>17250</v>
      </c>
      <c r="H4887">
        <v>13800</v>
      </c>
      <c r="I4887" s="13">
        <v>1</v>
      </c>
      <c r="J4887" t="s">
        <v>6207</v>
      </c>
      <c r="K4887">
        <v>0</v>
      </c>
      <c r="L4887">
        <v>0</v>
      </c>
      <c r="M4887" t="s">
        <v>58</v>
      </c>
      <c r="N4887" s="2">
        <v>0.44</v>
      </c>
      <c r="O4887" s="2">
        <v>0.56000000000000005</v>
      </c>
      <c r="P4887">
        <v>7</v>
      </c>
      <c r="Q4887">
        <v>7</v>
      </c>
      <c r="R4887">
        <v>12</v>
      </c>
      <c r="S4887">
        <v>8</v>
      </c>
      <c r="T4887">
        <v>8</v>
      </c>
      <c r="U4887">
        <v>7</v>
      </c>
      <c r="V4887">
        <v>2</v>
      </c>
      <c r="W4887">
        <v>1</v>
      </c>
      <c r="X4887">
        <v>0</v>
      </c>
      <c r="Y4887">
        <v>0</v>
      </c>
      <c r="Z4887">
        <v>0</v>
      </c>
    </row>
    <row r="4888" spans="1:26" x14ac:dyDescent="0.2">
      <c r="A4888" t="s">
        <v>5006</v>
      </c>
      <c r="B4888" t="s">
        <v>66</v>
      </c>
      <c r="C4888">
        <v>2021</v>
      </c>
      <c r="D4888" t="s">
        <v>18</v>
      </c>
      <c r="E4888" t="s">
        <v>23</v>
      </c>
      <c r="F4888" t="s">
        <v>20</v>
      </c>
      <c r="G4888">
        <v>40341</v>
      </c>
      <c r="H4888">
        <v>32272.800000000003</v>
      </c>
      <c r="I4888" s="13">
        <v>0.5</v>
      </c>
      <c r="J4888" t="s">
        <v>6207</v>
      </c>
      <c r="K4888">
        <v>1</v>
      </c>
      <c r="L4888">
        <v>0</v>
      </c>
      <c r="M4888" t="s">
        <v>0</v>
      </c>
      <c r="N4888" s="2">
        <v>0.67</v>
      </c>
      <c r="O4888" s="2">
        <v>0.33</v>
      </c>
      <c r="P4888">
        <v>10</v>
      </c>
      <c r="Q4888">
        <v>12</v>
      </c>
      <c r="R4888">
        <v>3</v>
      </c>
      <c r="S4888">
        <v>1</v>
      </c>
      <c r="T4888">
        <v>11</v>
      </c>
      <c r="U4888">
        <v>9</v>
      </c>
      <c r="V4888">
        <v>1</v>
      </c>
      <c r="W4888">
        <v>0</v>
      </c>
      <c r="X4888">
        <v>0</v>
      </c>
      <c r="Y4888">
        <v>1</v>
      </c>
      <c r="Z4888">
        <v>1</v>
      </c>
    </row>
    <row r="4889" spans="1:26" x14ac:dyDescent="0.2">
      <c r="A4889" t="s">
        <v>5007</v>
      </c>
      <c r="B4889" t="s">
        <v>61</v>
      </c>
      <c r="C4889">
        <v>2021</v>
      </c>
      <c r="D4889" t="s">
        <v>28</v>
      </c>
      <c r="E4889" t="s">
        <v>22</v>
      </c>
      <c r="F4889" t="s">
        <v>28</v>
      </c>
      <c r="G4889">
        <v>21944</v>
      </c>
      <c r="H4889">
        <v>17555.2</v>
      </c>
      <c r="I4889" s="13">
        <v>0.5</v>
      </c>
      <c r="J4889" t="s">
        <v>6207</v>
      </c>
      <c r="K4889">
        <v>1</v>
      </c>
      <c r="L4889">
        <v>0</v>
      </c>
      <c r="M4889" t="s">
        <v>0</v>
      </c>
      <c r="N4889" s="2">
        <v>0.36</v>
      </c>
      <c r="O4889" s="2">
        <v>0.64</v>
      </c>
      <c r="P4889">
        <v>10</v>
      </c>
      <c r="Q4889">
        <v>11</v>
      </c>
      <c r="R4889">
        <v>3</v>
      </c>
      <c r="S4889">
        <v>6</v>
      </c>
      <c r="T4889">
        <v>8</v>
      </c>
      <c r="U4889">
        <v>7</v>
      </c>
      <c r="V4889">
        <v>3</v>
      </c>
      <c r="W4889">
        <v>1</v>
      </c>
      <c r="X4889">
        <v>0</v>
      </c>
      <c r="Y4889">
        <v>0</v>
      </c>
      <c r="Z4889">
        <v>0</v>
      </c>
    </row>
    <row r="4890" spans="1:26" x14ac:dyDescent="0.2">
      <c r="A4890" t="s">
        <v>5008</v>
      </c>
      <c r="B4890" t="s">
        <v>99</v>
      </c>
      <c r="C4890">
        <v>2021</v>
      </c>
      <c r="D4890" t="s">
        <v>90</v>
      </c>
      <c r="E4890" t="s">
        <v>73</v>
      </c>
      <c r="F4890" t="s">
        <v>91</v>
      </c>
      <c r="G4890">
        <v>31876</v>
      </c>
      <c r="H4890">
        <v>25500.800000000003</v>
      </c>
      <c r="I4890" s="13">
        <v>1</v>
      </c>
      <c r="J4890" t="s">
        <v>6207</v>
      </c>
      <c r="K4890">
        <v>2</v>
      </c>
      <c r="L4890">
        <v>2</v>
      </c>
      <c r="M4890" t="s">
        <v>58</v>
      </c>
      <c r="N4890" s="2">
        <v>0.49</v>
      </c>
      <c r="O4890" s="2">
        <v>0.51</v>
      </c>
      <c r="P4890">
        <v>10</v>
      </c>
      <c r="Q4890">
        <v>12</v>
      </c>
      <c r="R4890">
        <v>6</v>
      </c>
      <c r="S4890">
        <v>6</v>
      </c>
      <c r="T4890">
        <v>12</v>
      </c>
      <c r="U4890">
        <v>7</v>
      </c>
      <c r="V4890">
        <v>1</v>
      </c>
      <c r="W4890">
        <v>0</v>
      </c>
      <c r="X4890">
        <v>0</v>
      </c>
      <c r="Y4890">
        <v>0</v>
      </c>
      <c r="Z4890">
        <v>0</v>
      </c>
    </row>
    <row r="4891" spans="1:26" x14ac:dyDescent="0.2">
      <c r="A4891" t="s">
        <v>5009</v>
      </c>
      <c r="B4891" t="s">
        <v>59</v>
      </c>
      <c r="C4891">
        <v>2021</v>
      </c>
      <c r="D4891" t="s">
        <v>26</v>
      </c>
      <c r="E4891" t="s">
        <v>45</v>
      </c>
      <c r="F4891" t="s">
        <v>26</v>
      </c>
      <c r="G4891">
        <v>61276</v>
      </c>
      <c r="H4891">
        <v>49020.800000000003</v>
      </c>
      <c r="I4891" s="13">
        <v>0.5714285714285714</v>
      </c>
      <c r="J4891" t="s">
        <v>6206</v>
      </c>
      <c r="K4891">
        <v>2</v>
      </c>
      <c r="L4891">
        <v>0</v>
      </c>
      <c r="M4891" t="s">
        <v>0</v>
      </c>
      <c r="N4891" s="2">
        <v>0.83</v>
      </c>
      <c r="O4891" s="2">
        <v>0.17</v>
      </c>
      <c r="P4891">
        <v>8</v>
      </c>
      <c r="Q4891">
        <v>8</v>
      </c>
      <c r="R4891">
        <v>13</v>
      </c>
      <c r="S4891">
        <v>1</v>
      </c>
      <c r="T4891">
        <v>8</v>
      </c>
      <c r="U4891">
        <v>8</v>
      </c>
      <c r="V4891">
        <v>2</v>
      </c>
      <c r="W4891">
        <v>5</v>
      </c>
      <c r="X4891">
        <v>0</v>
      </c>
      <c r="Y4891">
        <v>0</v>
      </c>
      <c r="Z4891">
        <v>0</v>
      </c>
    </row>
    <row r="4892" spans="1:26" x14ac:dyDescent="0.2">
      <c r="A4892" t="s">
        <v>5010</v>
      </c>
      <c r="B4892" t="s">
        <v>100</v>
      </c>
      <c r="C4892">
        <v>2021</v>
      </c>
      <c r="D4892" t="s">
        <v>79</v>
      </c>
      <c r="E4892" t="s">
        <v>33</v>
      </c>
      <c r="F4892" t="s">
        <v>20</v>
      </c>
      <c r="G4892">
        <v>25486</v>
      </c>
      <c r="H4892">
        <v>20388.800000000003</v>
      </c>
      <c r="I4892" s="13">
        <v>0.5</v>
      </c>
      <c r="J4892" t="s">
        <v>6207</v>
      </c>
      <c r="K4892">
        <v>0</v>
      </c>
      <c r="L4892">
        <v>0</v>
      </c>
      <c r="M4892" t="s">
        <v>58</v>
      </c>
      <c r="N4892" s="2">
        <v>0.53</v>
      </c>
      <c r="O4892" s="2">
        <v>0.47</v>
      </c>
      <c r="P4892">
        <v>10</v>
      </c>
      <c r="Q4892">
        <v>13</v>
      </c>
      <c r="R4892">
        <v>6</v>
      </c>
      <c r="S4892">
        <v>3</v>
      </c>
      <c r="T4892">
        <v>12</v>
      </c>
      <c r="U4892">
        <v>13</v>
      </c>
      <c r="V4892">
        <v>2</v>
      </c>
      <c r="W4892">
        <v>2</v>
      </c>
      <c r="X4892">
        <v>0</v>
      </c>
      <c r="Y4892">
        <v>0</v>
      </c>
      <c r="Z4892">
        <v>0</v>
      </c>
    </row>
    <row r="4893" spans="1:26" x14ac:dyDescent="0.2">
      <c r="A4893" t="s">
        <v>5011</v>
      </c>
      <c r="B4893" t="s">
        <v>41</v>
      </c>
      <c r="C4893">
        <v>2021</v>
      </c>
      <c r="D4893" t="s">
        <v>48</v>
      </c>
      <c r="E4893" t="s">
        <v>18</v>
      </c>
      <c r="F4893" t="s">
        <v>49</v>
      </c>
      <c r="G4893">
        <v>74197</v>
      </c>
      <c r="H4893">
        <v>59357.600000000006</v>
      </c>
      <c r="I4893" s="13">
        <v>1</v>
      </c>
      <c r="J4893" t="s">
        <v>6207</v>
      </c>
      <c r="K4893">
        <v>1</v>
      </c>
      <c r="L4893">
        <v>1</v>
      </c>
      <c r="M4893" t="s">
        <v>58</v>
      </c>
      <c r="N4893" s="2">
        <v>0.35</v>
      </c>
      <c r="O4893" s="2">
        <v>0.65</v>
      </c>
      <c r="P4893">
        <v>15</v>
      </c>
      <c r="Q4893">
        <v>10</v>
      </c>
      <c r="R4893">
        <v>2</v>
      </c>
      <c r="S4893">
        <v>9</v>
      </c>
      <c r="T4893">
        <v>9</v>
      </c>
      <c r="U4893">
        <v>12</v>
      </c>
      <c r="V4893">
        <v>0</v>
      </c>
      <c r="W4893">
        <v>1</v>
      </c>
      <c r="X4893">
        <v>0</v>
      </c>
      <c r="Y4893">
        <v>0</v>
      </c>
      <c r="Z4893">
        <v>0</v>
      </c>
    </row>
    <row r="4894" spans="1:26" x14ac:dyDescent="0.2">
      <c r="A4894" t="s">
        <v>5012</v>
      </c>
      <c r="B4894" t="s">
        <v>37</v>
      </c>
      <c r="C4894">
        <v>2021</v>
      </c>
      <c r="D4894" t="s">
        <v>64</v>
      </c>
      <c r="E4894" t="s">
        <v>26</v>
      </c>
      <c r="F4894" t="s">
        <v>64</v>
      </c>
      <c r="G4894">
        <v>52264</v>
      </c>
      <c r="H4894">
        <v>41811.200000000004</v>
      </c>
      <c r="I4894" s="13">
        <v>1</v>
      </c>
      <c r="J4894" t="s">
        <v>6206</v>
      </c>
      <c r="K4894">
        <v>0</v>
      </c>
      <c r="L4894">
        <v>1</v>
      </c>
      <c r="M4894" t="s">
        <v>1</v>
      </c>
      <c r="N4894" s="2">
        <v>0.34</v>
      </c>
      <c r="O4894" s="2">
        <v>0.66</v>
      </c>
      <c r="P4894">
        <v>10</v>
      </c>
      <c r="Q4894">
        <v>18</v>
      </c>
      <c r="R4894">
        <v>0</v>
      </c>
      <c r="S4894">
        <v>6</v>
      </c>
      <c r="T4894">
        <v>11</v>
      </c>
      <c r="U4894">
        <v>11</v>
      </c>
      <c r="V4894">
        <v>1</v>
      </c>
      <c r="W4894">
        <v>3</v>
      </c>
      <c r="X4894">
        <v>0</v>
      </c>
      <c r="Y4894">
        <v>0</v>
      </c>
      <c r="Z4894">
        <v>0</v>
      </c>
    </row>
    <row r="4895" spans="1:26" x14ac:dyDescent="0.2">
      <c r="A4895" t="s">
        <v>5013</v>
      </c>
      <c r="B4895" t="s">
        <v>84</v>
      </c>
      <c r="C4895">
        <v>2021</v>
      </c>
      <c r="D4895" t="s">
        <v>22</v>
      </c>
      <c r="E4895" t="s">
        <v>90</v>
      </c>
      <c r="F4895" t="s">
        <v>24</v>
      </c>
      <c r="G4895">
        <v>31750</v>
      </c>
      <c r="H4895">
        <v>25400</v>
      </c>
      <c r="I4895" s="13">
        <v>0.33333333333333331</v>
      </c>
      <c r="J4895" t="s">
        <v>6208</v>
      </c>
      <c r="K4895">
        <v>0</v>
      </c>
      <c r="L4895">
        <v>3</v>
      </c>
      <c r="M4895" t="s">
        <v>1</v>
      </c>
      <c r="N4895" s="2">
        <v>0.49</v>
      </c>
      <c r="O4895" s="2">
        <v>0.51</v>
      </c>
      <c r="P4895">
        <v>4</v>
      </c>
      <c r="Q4895">
        <v>5</v>
      </c>
      <c r="R4895">
        <v>7</v>
      </c>
      <c r="S4895">
        <v>3</v>
      </c>
      <c r="T4895">
        <v>6</v>
      </c>
      <c r="U4895">
        <v>4</v>
      </c>
      <c r="V4895">
        <v>2</v>
      </c>
      <c r="W4895">
        <v>1</v>
      </c>
      <c r="X4895">
        <v>0</v>
      </c>
      <c r="Y4895">
        <v>0</v>
      </c>
      <c r="Z4895">
        <v>2</v>
      </c>
    </row>
    <row r="4896" spans="1:26" x14ac:dyDescent="0.2">
      <c r="A4896" t="s">
        <v>5014</v>
      </c>
      <c r="B4896" t="s">
        <v>76</v>
      </c>
      <c r="C4896">
        <v>2021</v>
      </c>
      <c r="D4896" t="s">
        <v>85</v>
      </c>
      <c r="E4896" t="s">
        <v>28</v>
      </c>
      <c r="F4896" t="s">
        <v>85</v>
      </c>
      <c r="G4896">
        <v>22220</v>
      </c>
      <c r="H4896">
        <v>17776</v>
      </c>
      <c r="I4896" s="13">
        <v>0.66666666666666663</v>
      </c>
      <c r="J4896" t="s">
        <v>6207</v>
      </c>
      <c r="K4896">
        <v>1</v>
      </c>
      <c r="L4896">
        <v>2</v>
      </c>
      <c r="M4896" t="s">
        <v>1</v>
      </c>
      <c r="N4896" s="2">
        <v>0.47</v>
      </c>
      <c r="O4896" s="2">
        <v>0.53</v>
      </c>
      <c r="P4896">
        <v>6</v>
      </c>
      <c r="Q4896">
        <v>12</v>
      </c>
      <c r="R4896">
        <v>5</v>
      </c>
      <c r="S4896">
        <v>6</v>
      </c>
      <c r="T4896">
        <v>13</v>
      </c>
      <c r="U4896">
        <v>9</v>
      </c>
      <c r="V4896">
        <v>1</v>
      </c>
      <c r="W4896">
        <v>2</v>
      </c>
      <c r="X4896">
        <v>0</v>
      </c>
      <c r="Y4896">
        <v>0</v>
      </c>
      <c r="Z4896">
        <v>0</v>
      </c>
    </row>
    <row r="4897" spans="1:26" x14ac:dyDescent="0.2">
      <c r="A4897" t="s">
        <v>5015</v>
      </c>
      <c r="B4897" t="s">
        <v>102</v>
      </c>
      <c r="C4897">
        <v>2021</v>
      </c>
      <c r="D4897" t="s">
        <v>73</v>
      </c>
      <c r="E4897" t="s">
        <v>79</v>
      </c>
      <c r="F4897" t="s">
        <v>73</v>
      </c>
      <c r="G4897">
        <v>32384</v>
      </c>
      <c r="H4897">
        <v>25907.200000000001</v>
      </c>
      <c r="I4897" s="13">
        <v>0.5</v>
      </c>
      <c r="J4897" t="s">
        <v>6209</v>
      </c>
      <c r="K4897">
        <v>1</v>
      </c>
      <c r="L4897">
        <v>2</v>
      </c>
      <c r="M4897" t="s">
        <v>1</v>
      </c>
      <c r="N4897" s="2">
        <v>0.39</v>
      </c>
      <c r="O4897" s="2">
        <v>0.61</v>
      </c>
      <c r="P4897">
        <v>13</v>
      </c>
      <c r="Q4897">
        <v>14</v>
      </c>
      <c r="R4897">
        <v>6</v>
      </c>
      <c r="S4897">
        <v>7</v>
      </c>
      <c r="T4897">
        <v>13</v>
      </c>
      <c r="U4897">
        <v>11</v>
      </c>
      <c r="V4897">
        <v>1</v>
      </c>
      <c r="W4897">
        <v>3</v>
      </c>
      <c r="X4897">
        <v>0</v>
      </c>
      <c r="Y4897">
        <v>0</v>
      </c>
      <c r="Z4897">
        <v>0</v>
      </c>
    </row>
    <row r="4898" spans="1:26" x14ac:dyDescent="0.2">
      <c r="A4898" t="s">
        <v>5016</v>
      </c>
      <c r="B4898" t="s">
        <v>104</v>
      </c>
      <c r="C4898">
        <v>2021</v>
      </c>
      <c r="D4898" t="s">
        <v>42</v>
      </c>
      <c r="E4898" t="s">
        <v>69</v>
      </c>
      <c r="F4898" t="s">
        <v>38</v>
      </c>
      <c r="G4898">
        <v>42918</v>
      </c>
      <c r="H4898">
        <v>34334.400000000001</v>
      </c>
      <c r="I4898" s="13">
        <v>0</v>
      </c>
      <c r="J4898" t="s">
        <v>6206</v>
      </c>
      <c r="K4898">
        <v>2</v>
      </c>
      <c r="L4898">
        <v>0</v>
      </c>
      <c r="M4898" t="s">
        <v>0</v>
      </c>
      <c r="N4898" s="2">
        <v>0.45</v>
      </c>
      <c r="O4898" s="2">
        <v>0.55000000000000004</v>
      </c>
      <c r="P4898">
        <v>8</v>
      </c>
      <c r="Q4898">
        <v>19</v>
      </c>
      <c r="R4898">
        <v>2</v>
      </c>
      <c r="S4898">
        <v>3</v>
      </c>
      <c r="T4898">
        <v>16</v>
      </c>
      <c r="U4898">
        <v>8</v>
      </c>
      <c r="V4898">
        <v>4</v>
      </c>
      <c r="W4898">
        <v>1</v>
      </c>
      <c r="X4898">
        <v>0</v>
      </c>
      <c r="Y4898">
        <v>0</v>
      </c>
      <c r="Z4898">
        <v>0</v>
      </c>
    </row>
    <row r="4899" spans="1:26" x14ac:dyDescent="0.2">
      <c r="A4899" t="s">
        <v>5017</v>
      </c>
      <c r="B4899" t="s">
        <v>81</v>
      </c>
      <c r="C4899">
        <v>2021</v>
      </c>
      <c r="D4899" t="s">
        <v>33</v>
      </c>
      <c r="E4899" t="s">
        <v>40</v>
      </c>
      <c r="F4899" t="s">
        <v>33</v>
      </c>
      <c r="G4899">
        <v>37645</v>
      </c>
      <c r="H4899">
        <v>30116</v>
      </c>
      <c r="I4899" s="13">
        <v>0.5</v>
      </c>
      <c r="J4899" t="s">
        <v>6207</v>
      </c>
      <c r="K4899">
        <v>0</v>
      </c>
      <c r="L4899">
        <v>4</v>
      </c>
      <c r="M4899" t="s">
        <v>1</v>
      </c>
      <c r="N4899" s="2">
        <v>0.41</v>
      </c>
      <c r="O4899" s="2">
        <v>0.59</v>
      </c>
      <c r="P4899">
        <v>4</v>
      </c>
      <c r="Q4899">
        <v>15</v>
      </c>
      <c r="R4899">
        <v>3</v>
      </c>
      <c r="S4899">
        <v>6</v>
      </c>
      <c r="T4899">
        <v>13</v>
      </c>
      <c r="U4899">
        <v>3</v>
      </c>
      <c r="V4899">
        <v>2</v>
      </c>
      <c r="W4899">
        <v>2</v>
      </c>
      <c r="X4899">
        <v>0</v>
      </c>
      <c r="Y4899">
        <v>0</v>
      </c>
      <c r="Z4899">
        <v>0</v>
      </c>
    </row>
    <row r="4900" spans="1:26" x14ac:dyDescent="0.2">
      <c r="A4900" t="s">
        <v>5018</v>
      </c>
      <c r="B4900" t="s">
        <v>68</v>
      </c>
      <c r="C4900">
        <v>2021</v>
      </c>
      <c r="D4900" t="s">
        <v>51</v>
      </c>
      <c r="E4900" t="s">
        <v>80</v>
      </c>
      <c r="F4900" t="s">
        <v>20</v>
      </c>
      <c r="G4900">
        <v>36284</v>
      </c>
      <c r="H4900">
        <v>29027.200000000001</v>
      </c>
      <c r="I4900" s="13">
        <v>0.4</v>
      </c>
      <c r="J4900" t="s">
        <v>6207</v>
      </c>
      <c r="K4900">
        <v>3</v>
      </c>
      <c r="L4900">
        <v>1</v>
      </c>
      <c r="M4900" t="s">
        <v>0</v>
      </c>
      <c r="N4900" s="2">
        <v>0.39</v>
      </c>
      <c r="O4900" s="2">
        <v>0.61</v>
      </c>
      <c r="P4900">
        <v>8</v>
      </c>
      <c r="Q4900">
        <v>14</v>
      </c>
      <c r="R4900">
        <v>6</v>
      </c>
      <c r="S4900">
        <v>3</v>
      </c>
      <c r="T4900">
        <v>13</v>
      </c>
      <c r="U4900">
        <v>8</v>
      </c>
      <c r="V4900">
        <v>2</v>
      </c>
      <c r="W4900">
        <v>3</v>
      </c>
      <c r="X4900">
        <v>0</v>
      </c>
      <c r="Y4900">
        <v>0</v>
      </c>
      <c r="Z4900">
        <v>0</v>
      </c>
    </row>
    <row r="4901" spans="1:26" x14ac:dyDescent="0.2">
      <c r="A4901" t="s">
        <v>5019</v>
      </c>
      <c r="B4901" t="s">
        <v>60</v>
      </c>
      <c r="C4901">
        <v>2021</v>
      </c>
      <c r="D4901" t="s">
        <v>45</v>
      </c>
      <c r="E4901" t="s">
        <v>18</v>
      </c>
      <c r="F4901" t="s">
        <v>26</v>
      </c>
      <c r="G4901">
        <v>39572</v>
      </c>
      <c r="H4901">
        <v>31657.600000000002</v>
      </c>
      <c r="I4901" s="13">
        <v>0.75</v>
      </c>
      <c r="J4901" t="s">
        <v>6208</v>
      </c>
      <c r="K4901">
        <v>1</v>
      </c>
      <c r="L4901">
        <v>0</v>
      </c>
      <c r="M4901" t="s">
        <v>0</v>
      </c>
      <c r="N4901" s="2">
        <v>0.22</v>
      </c>
      <c r="O4901" s="2">
        <v>0.78</v>
      </c>
      <c r="P4901">
        <v>10</v>
      </c>
      <c r="Q4901">
        <v>6</v>
      </c>
      <c r="R4901">
        <v>3</v>
      </c>
      <c r="S4901">
        <v>8</v>
      </c>
      <c r="T4901">
        <v>9</v>
      </c>
      <c r="U4901">
        <v>12</v>
      </c>
      <c r="V4901">
        <v>3</v>
      </c>
      <c r="W4901">
        <v>5</v>
      </c>
      <c r="X4901">
        <v>0</v>
      </c>
      <c r="Y4901">
        <v>0</v>
      </c>
      <c r="Z4901">
        <v>0</v>
      </c>
    </row>
    <row r="4902" spans="1:26" x14ac:dyDescent="0.2">
      <c r="A4902" t="s">
        <v>5020</v>
      </c>
      <c r="B4902" t="s">
        <v>41</v>
      </c>
      <c r="C4902">
        <v>2021</v>
      </c>
      <c r="D4902" t="s">
        <v>23</v>
      </c>
      <c r="E4902" t="s">
        <v>46</v>
      </c>
      <c r="F4902" t="s">
        <v>20</v>
      </c>
      <c r="G4902">
        <v>62500</v>
      </c>
      <c r="H4902">
        <v>50000</v>
      </c>
      <c r="I4902" s="13">
        <v>0</v>
      </c>
      <c r="J4902" t="s">
        <v>6207</v>
      </c>
      <c r="K4902">
        <v>1</v>
      </c>
      <c r="L4902">
        <v>2</v>
      </c>
      <c r="M4902" t="s">
        <v>1</v>
      </c>
      <c r="N4902" s="2">
        <v>0.56000000000000005</v>
      </c>
      <c r="O4902" s="2">
        <v>0.44</v>
      </c>
      <c r="P4902">
        <v>9</v>
      </c>
      <c r="Q4902">
        <v>8</v>
      </c>
      <c r="R4902">
        <v>3</v>
      </c>
      <c r="S4902">
        <v>7</v>
      </c>
      <c r="T4902">
        <v>8</v>
      </c>
      <c r="U4902">
        <v>9</v>
      </c>
      <c r="V4902">
        <v>2</v>
      </c>
      <c r="W4902">
        <v>2</v>
      </c>
      <c r="X4902">
        <v>0</v>
      </c>
      <c r="Y4902">
        <v>0</v>
      </c>
      <c r="Z4902">
        <v>0</v>
      </c>
    </row>
    <row r="4903" spans="1:26" x14ac:dyDescent="0.2">
      <c r="A4903" t="s">
        <v>5021</v>
      </c>
      <c r="B4903" t="s">
        <v>88</v>
      </c>
      <c r="C4903">
        <v>2021</v>
      </c>
      <c r="D4903" t="s">
        <v>48</v>
      </c>
      <c r="E4903" t="s">
        <v>101</v>
      </c>
      <c r="F4903" t="s">
        <v>49</v>
      </c>
      <c r="G4903">
        <v>74197</v>
      </c>
      <c r="H4903">
        <v>59357.600000000006</v>
      </c>
      <c r="I4903" s="13">
        <v>1</v>
      </c>
      <c r="J4903" t="s">
        <v>6207</v>
      </c>
      <c r="K4903">
        <v>3</v>
      </c>
      <c r="L4903">
        <v>0</v>
      </c>
      <c r="M4903" t="s">
        <v>0</v>
      </c>
      <c r="N4903" s="2">
        <v>0.65</v>
      </c>
      <c r="O4903" s="2">
        <v>0.35</v>
      </c>
      <c r="P4903">
        <v>8</v>
      </c>
      <c r="Q4903">
        <v>7</v>
      </c>
      <c r="R4903">
        <v>3</v>
      </c>
      <c r="S4903">
        <v>8</v>
      </c>
      <c r="T4903">
        <v>4</v>
      </c>
      <c r="U4903">
        <v>6</v>
      </c>
      <c r="V4903">
        <v>1</v>
      </c>
      <c r="W4903">
        <v>0</v>
      </c>
      <c r="X4903">
        <v>0</v>
      </c>
      <c r="Y4903">
        <v>0</v>
      </c>
      <c r="Z4903">
        <v>1</v>
      </c>
    </row>
    <row r="4904" spans="1:26" x14ac:dyDescent="0.2">
      <c r="A4904" t="s">
        <v>5022</v>
      </c>
      <c r="B4904" t="s">
        <v>83</v>
      </c>
      <c r="C4904">
        <v>2021</v>
      </c>
      <c r="D4904" t="s">
        <v>79</v>
      </c>
      <c r="E4904" t="s">
        <v>85</v>
      </c>
      <c r="F4904" t="s">
        <v>20</v>
      </c>
      <c r="G4904">
        <v>25486</v>
      </c>
      <c r="H4904">
        <v>20388.800000000003</v>
      </c>
      <c r="I4904" s="13">
        <v>0.6</v>
      </c>
      <c r="J4904" t="s">
        <v>6208</v>
      </c>
      <c r="K4904">
        <v>1</v>
      </c>
      <c r="L4904">
        <v>0</v>
      </c>
      <c r="M4904" t="s">
        <v>0</v>
      </c>
      <c r="N4904" s="2">
        <v>0.68</v>
      </c>
      <c r="O4904" s="2">
        <v>0.32</v>
      </c>
      <c r="P4904">
        <v>14</v>
      </c>
      <c r="Q4904">
        <v>12</v>
      </c>
      <c r="R4904">
        <v>8</v>
      </c>
      <c r="S4904">
        <v>5</v>
      </c>
      <c r="T4904">
        <v>11</v>
      </c>
      <c r="U4904">
        <v>18</v>
      </c>
      <c r="V4904">
        <v>2</v>
      </c>
      <c r="W4904">
        <v>2</v>
      </c>
      <c r="X4904">
        <v>0</v>
      </c>
      <c r="Y4904">
        <v>1</v>
      </c>
      <c r="Z4904">
        <v>1</v>
      </c>
    </row>
    <row r="4905" spans="1:26" x14ac:dyDescent="0.2">
      <c r="A4905" t="s">
        <v>5023</v>
      </c>
      <c r="B4905" t="s">
        <v>97</v>
      </c>
      <c r="C4905">
        <v>2021</v>
      </c>
      <c r="D4905" t="s">
        <v>18</v>
      </c>
      <c r="E4905" t="s">
        <v>22</v>
      </c>
      <c r="F4905" t="s">
        <v>20</v>
      </c>
      <c r="G4905">
        <v>40341</v>
      </c>
      <c r="H4905">
        <v>32272.800000000003</v>
      </c>
      <c r="I4905" s="13">
        <v>1</v>
      </c>
      <c r="J4905" t="s">
        <v>6207</v>
      </c>
      <c r="K4905">
        <v>2</v>
      </c>
      <c r="L4905">
        <v>2</v>
      </c>
      <c r="M4905" t="s">
        <v>58</v>
      </c>
      <c r="N4905" s="2">
        <v>0.59</v>
      </c>
      <c r="O4905" s="2">
        <v>0.41</v>
      </c>
      <c r="P4905">
        <v>9</v>
      </c>
      <c r="Q4905">
        <v>9</v>
      </c>
      <c r="R4905">
        <v>9</v>
      </c>
      <c r="S4905">
        <v>3</v>
      </c>
      <c r="T4905">
        <v>7</v>
      </c>
      <c r="U4905">
        <v>11</v>
      </c>
      <c r="V4905">
        <v>1</v>
      </c>
      <c r="W4905">
        <v>3</v>
      </c>
      <c r="X4905">
        <v>0</v>
      </c>
      <c r="Y4905">
        <v>0</v>
      </c>
      <c r="Z4905">
        <v>1</v>
      </c>
    </row>
    <row r="4906" spans="1:26" x14ac:dyDescent="0.2">
      <c r="A4906" t="s">
        <v>5024</v>
      </c>
      <c r="B4906" t="s">
        <v>93</v>
      </c>
      <c r="C4906">
        <v>2021</v>
      </c>
      <c r="D4906" t="s">
        <v>28</v>
      </c>
      <c r="E4906" t="s">
        <v>42</v>
      </c>
      <c r="F4906" t="s">
        <v>28</v>
      </c>
      <c r="G4906">
        <v>21944</v>
      </c>
      <c r="H4906">
        <v>17555.2</v>
      </c>
      <c r="I4906" s="13">
        <v>0.33333333333333331</v>
      </c>
      <c r="J4906" t="s">
        <v>6206</v>
      </c>
      <c r="K4906">
        <v>1</v>
      </c>
      <c r="L4906">
        <v>3</v>
      </c>
      <c r="M4906" t="s">
        <v>1</v>
      </c>
      <c r="N4906" s="2">
        <v>0.49</v>
      </c>
      <c r="O4906" s="2">
        <v>0.51</v>
      </c>
      <c r="P4906">
        <v>13</v>
      </c>
      <c r="Q4906">
        <v>12</v>
      </c>
      <c r="R4906">
        <v>4</v>
      </c>
      <c r="S4906">
        <v>5</v>
      </c>
      <c r="T4906">
        <v>13</v>
      </c>
      <c r="U4906">
        <v>11</v>
      </c>
      <c r="V4906">
        <v>1</v>
      </c>
      <c r="W4906">
        <v>2</v>
      </c>
      <c r="X4906">
        <v>0</v>
      </c>
      <c r="Y4906">
        <v>0</v>
      </c>
      <c r="Z4906">
        <v>0</v>
      </c>
    </row>
    <row r="4907" spans="1:26" x14ac:dyDescent="0.2">
      <c r="A4907" t="s">
        <v>5025</v>
      </c>
      <c r="B4907" t="s">
        <v>103</v>
      </c>
      <c r="C4907">
        <v>2021</v>
      </c>
      <c r="D4907" t="s">
        <v>101</v>
      </c>
      <c r="E4907" t="s">
        <v>73</v>
      </c>
      <c r="F4907" t="s">
        <v>101</v>
      </c>
      <c r="G4907">
        <v>17250</v>
      </c>
      <c r="H4907">
        <v>13800</v>
      </c>
      <c r="I4907" s="13">
        <v>1</v>
      </c>
      <c r="J4907" t="s">
        <v>6207</v>
      </c>
      <c r="K4907">
        <v>3</v>
      </c>
      <c r="L4907">
        <v>0</v>
      </c>
      <c r="M4907" t="s">
        <v>0</v>
      </c>
      <c r="N4907" s="2">
        <v>0.4</v>
      </c>
      <c r="O4907" s="2">
        <v>0.6</v>
      </c>
      <c r="P4907">
        <v>10</v>
      </c>
      <c r="Q4907">
        <v>9</v>
      </c>
      <c r="R4907">
        <v>4</v>
      </c>
      <c r="S4907">
        <v>7</v>
      </c>
      <c r="T4907">
        <v>12</v>
      </c>
      <c r="U4907">
        <v>9</v>
      </c>
      <c r="V4907">
        <v>0</v>
      </c>
      <c r="W4907">
        <v>1</v>
      </c>
      <c r="X4907">
        <v>0</v>
      </c>
      <c r="Y4907">
        <v>0</v>
      </c>
      <c r="Z4907">
        <v>0</v>
      </c>
    </row>
    <row r="4908" spans="1:26" x14ac:dyDescent="0.2">
      <c r="A4908" t="s">
        <v>5026</v>
      </c>
      <c r="B4908" t="s">
        <v>92</v>
      </c>
      <c r="C4908">
        <v>2021</v>
      </c>
      <c r="D4908" t="s">
        <v>90</v>
      </c>
      <c r="E4908" t="s">
        <v>48</v>
      </c>
      <c r="F4908" t="s">
        <v>91</v>
      </c>
      <c r="G4908">
        <v>31876</v>
      </c>
      <c r="H4908">
        <v>25500.800000000003</v>
      </c>
      <c r="I4908" s="13">
        <v>1</v>
      </c>
      <c r="J4908" t="s">
        <v>6207</v>
      </c>
      <c r="K4908">
        <v>4</v>
      </c>
      <c r="L4908">
        <v>0</v>
      </c>
      <c r="M4908" t="s">
        <v>0</v>
      </c>
      <c r="N4908" s="2">
        <v>0.42</v>
      </c>
      <c r="O4908" s="2">
        <v>0.57999999999999996</v>
      </c>
      <c r="P4908">
        <v>10</v>
      </c>
      <c r="Q4908">
        <v>12</v>
      </c>
      <c r="R4908">
        <v>7</v>
      </c>
      <c r="S4908">
        <v>6</v>
      </c>
      <c r="T4908">
        <v>13</v>
      </c>
      <c r="U4908">
        <v>9</v>
      </c>
      <c r="V4908">
        <v>0</v>
      </c>
      <c r="W4908">
        <v>2</v>
      </c>
      <c r="X4908">
        <v>0</v>
      </c>
      <c r="Y4908">
        <v>0</v>
      </c>
      <c r="Z4908">
        <v>0</v>
      </c>
    </row>
    <row r="4909" spans="1:26" x14ac:dyDescent="0.2">
      <c r="A4909" t="s">
        <v>5027</v>
      </c>
      <c r="B4909" t="s">
        <v>66</v>
      </c>
      <c r="C4909">
        <v>2021</v>
      </c>
      <c r="D4909" t="s">
        <v>26</v>
      </c>
      <c r="E4909" t="s">
        <v>51</v>
      </c>
      <c r="F4909" t="s">
        <v>26</v>
      </c>
      <c r="G4909">
        <v>61276</v>
      </c>
      <c r="H4909">
        <v>49020.800000000003</v>
      </c>
      <c r="I4909" s="13">
        <v>0.6</v>
      </c>
      <c r="J4909" t="s">
        <v>6207</v>
      </c>
      <c r="K4909">
        <v>1</v>
      </c>
      <c r="L4909">
        <v>1</v>
      </c>
      <c r="M4909" t="s">
        <v>58</v>
      </c>
      <c r="N4909" s="2">
        <v>0.65</v>
      </c>
      <c r="O4909" s="2">
        <v>0.35</v>
      </c>
      <c r="P4909">
        <v>4</v>
      </c>
      <c r="Q4909">
        <v>12</v>
      </c>
      <c r="R4909">
        <v>11</v>
      </c>
      <c r="S4909">
        <v>5</v>
      </c>
      <c r="T4909">
        <v>12</v>
      </c>
      <c r="U4909">
        <v>8</v>
      </c>
      <c r="V4909">
        <v>3</v>
      </c>
      <c r="W4909">
        <v>2</v>
      </c>
      <c r="X4909">
        <v>0</v>
      </c>
      <c r="Y4909">
        <v>0</v>
      </c>
      <c r="Z4909">
        <v>0</v>
      </c>
    </row>
    <row r="4910" spans="1:26" x14ac:dyDescent="0.2">
      <c r="A4910" t="s">
        <v>5028</v>
      </c>
      <c r="B4910" t="s">
        <v>99</v>
      </c>
      <c r="C4910">
        <v>2021</v>
      </c>
      <c r="D4910" t="s">
        <v>69</v>
      </c>
      <c r="E4910" t="s">
        <v>23</v>
      </c>
      <c r="F4910" t="s">
        <v>69</v>
      </c>
      <c r="G4910">
        <v>27359</v>
      </c>
      <c r="H4910">
        <v>21887.200000000001</v>
      </c>
      <c r="I4910" s="13">
        <v>0</v>
      </c>
      <c r="J4910" t="s">
        <v>6207</v>
      </c>
      <c r="K4910">
        <v>0</v>
      </c>
      <c r="L4910">
        <v>4</v>
      </c>
      <c r="M4910" t="s">
        <v>1</v>
      </c>
      <c r="N4910" s="2">
        <v>0.37</v>
      </c>
      <c r="O4910" s="2">
        <v>0.63</v>
      </c>
      <c r="P4910">
        <v>9</v>
      </c>
      <c r="Q4910">
        <v>5</v>
      </c>
      <c r="R4910">
        <v>9</v>
      </c>
      <c r="S4910">
        <v>5</v>
      </c>
      <c r="T4910">
        <v>7</v>
      </c>
      <c r="U4910">
        <v>7</v>
      </c>
      <c r="V4910">
        <v>1</v>
      </c>
      <c r="W4910">
        <v>1</v>
      </c>
      <c r="X4910">
        <v>0</v>
      </c>
      <c r="Y4910">
        <v>0</v>
      </c>
      <c r="Z4910">
        <v>1</v>
      </c>
    </row>
    <row r="4911" spans="1:26" x14ac:dyDescent="0.2">
      <c r="A4911" t="s">
        <v>5029</v>
      </c>
      <c r="B4911" t="s">
        <v>76</v>
      </c>
      <c r="C4911">
        <v>2021</v>
      </c>
      <c r="D4911" t="s">
        <v>80</v>
      </c>
      <c r="E4911" t="s">
        <v>45</v>
      </c>
      <c r="F4911" t="s">
        <v>80</v>
      </c>
      <c r="G4911">
        <v>32261</v>
      </c>
      <c r="H4911">
        <v>25808.800000000003</v>
      </c>
      <c r="I4911" s="13">
        <v>1</v>
      </c>
      <c r="J4911" t="s">
        <v>6207</v>
      </c>
      <c r="K4911">
        <v>1</v>
      </c>
      <c r="L4911">
        <v>2</v>
      </c>
      <c r="M4911" t="s">
        <v>1</v>
      </c>
      <c r="N4911" s="2">
        <v>0.66</v>
      </c>
      <c r="O4911" s="2">
        <v>0.34</v>
      </c>
      <c r="P4911">
        <v>6</v>
      </c>
      <c r="Q4911">
        <v>12</v>
      </c>
      <c r="R4911">
        <v>6</v>
      </c>
      <c r="S4911">
        <v>1</v>
      </c>
      <c r="T4911">
        <v>11</v>
      </c>
      <c r="U4911">
        <v>6</v>
      </c>
      <c r="V4911">
        <v>3</v>
      </c>
      <c r="W4911">
        <v>0</v>
      </c>
      <c r="X4911">
        <v>0</v>
      </c>
      <c r="Y4911">
        <v>0</v>
      </c>
      <c r="Z4911">
        <v>0</v>
      </c>
    </row>
    <row r="4912" spans="1:26" x14ac:dyDescent="0.2">
      <c r="A4912" t="s">
        <v>5030</v>
      </c>
      <c r="B4912" t="s">
        <v>88</v>
      </c>
      <c r="C4912">
        <v>2021</v>
      </c>
      <c r="D4912" t="s">
        <v>46</v>
      </c>
      <c r="E4912" t="s">
        <v>33</v>
      </c>
      <c r="F4912" t="s">
        <v>20</v>
      </c>
      <c r="G4912">
        <v>60704</v>
      </c>
      <c r="H4912">
        <v>48563.200000000004</v>
      </c>
      <c r="I4912" s="13">
        <v>0.8</v>
      </c>
      <c r="J4912" t="s">
        <v>6207</v>
      </c>
      <c r="K4912">
        <v>2</v>
      </c>
      <c r="L4912">
        <v>1</v>
      </c>
      <c r="M4912" t="s">
        <v>0</v>
      </c>
      <c r="N4912" s="2">
        <v>0.63</v>
      </c>
      <c r="O4912" s="2">
        <v>0.37</v>
      </c>
      <c r="P4912">
        <v>11</v>
      </c>
      <c r="Q4912">
        <v>14</v>
      </c>
      <c r="R4912">
        <v>8</v>
      </c>
      <c r="S4912">
        <v>2</v>
      </c>
      <c r="T4912">
        <v>13</v>
      </c>
      <c r="U4912">
        <v>15</v>
      </c>
      <c r="V4912">
        <v>2</v>
      </c>
      <c r="W4912">
        <v>2</v>
      </c>
      <c r="X4912">
        <v>0</v>
      </c>
      <c r="Y4912">
        <v>1</v>
      </c>
      <c r="Z4912">
        <v>0</v>
      </c>
    </row>
    <row r="4913" spans="1:26" x14ac:dyDescent="0.2">
      <c r="A4913" t="s">
        <v>5031</v>
      </c>
      <c r="B4913" t="s">
        <v>59</v>
      </c>
      <c r="C4913">
        <v>2021</v>
      </c>
      <c r="D4913" t="s">
        <v>40</v>
      </c>
      <c r="E4913" t="s">
        <v>64</v>
      </c>
      <c r="F4913" t="s">
        <v>49</v>
      </c>
      <c r="G4913">
        <v>53400</v>
      </c>
      <c r="H4913">
        <v>42720</v>
      </c>
      <c r="I4913" s="13">
        <v>0.5</v>
      </c>
      <c r="J4913" t="s">
        <v>6206</v>
      </c>
      <c r="K4913">
        <v>5</v>
      </c>
      <c r="L4913">
        <v>0</v>
      </c>
      <c r="M4913" t="s">
        <v>0</v>
      </c>
      <c r="N4913" s="2">
        <v>0.71</v>
      </c>
      <c r="O4913" s="2">
        <v>0.28999999999999998</v>
      </c>
      <c r="P4913">
        <v>14</v>
      </c>
      <c r="Q4913">
        <v>7</v>
      </c>
      <c r="R4913">
        <v>8</v>
      </c>
      <c r="S4913">
        <v>2</v>
      </c>
      <c r="T4913">
        <v>6</v>
      </c>
      <c r="U4913">
        <v>11</v>
      </c>
      <c r="V4913">
        <v>1</v>
      </c>
      <c r="W4913">
        <v>3</v>
      </c>
      <c r="X4913">
        <v>0</v>
      </c>
      <c r="Y4913">
        <v>0</v>
      </c>
      <c r="Z4913">
        <v>0</v>
      </c>
    </row>
    <row r="4914" spans="1:26" x14ac:dyDescent="0.2">
      <c r="A4914" t="s">
        <v>5032</v>
      </c>
      <c r="B4914" t="s">
        <v>68</v>
      </c>
      <c r="C4914">
        <v>2021</v>
      </c>
      <c r="D4914" t="s">
        <v>42</v>
      </c>
      <c r="E4914" t="s">
        <v>26</v>
      </c>
      <c r="F4914" t="s">
        <v>38</v>
      </c>
      <c r="G4914">
        <v>42918</v>
      </c>
      <c r="H4914">
        <v>34334.400000000001</v>
      </c>
      <c r="I4914" s="13">
        <v>0</v>
      </c>
      <c r="J4914" t="s">
        <v>6207</v>
      </c>
      <c r="K4914">
        <v>1</v>
      </c>
      <c r="L4914">
        <v>2</v>
      </c>
      <c r="M4914" t="s">
        <v>1</v>
      </c>
      <c r="N4914" s="2">
        <v>0.39</v>
      </c>
      <c r="O4914" s="2">
        <v>0.61</v>
      </c>
      <c r="P4914">
        <v>14</v>
      </c>
      <c r="Q4914">
        <v>11</v>
      </c>
      <c r="R4914">
        <v>2</v>
      </c>
      <c r="S4914">
        <v>3</v>
      </c>
      <c r="T4914">
        <v>10</v>
      </c>
      <c r="U4914">
        <v>12</v>
      </c>
      <c r="V4914">
        <v>0</v>
      </c>
      <c r="W4914">
        <v>0</v>
      </c>
      <c r="X4914">
        <v>0</v>
      </c>
      <c r="Y4914">
        <v>0</v>
      </c>
      <c r="Z4914">
        <v>0</v>
      </c>
    </row>
    <row r="4915" spans="1:26" x14ac:dyDescent="0.2">
      <c r="A4915" t="s">
        <v>5033</v>
      </c>
      <c r="B4915" t="s">
        <v>61</v>
      </c>
      <c r="C4915">
        <v>2021</v>
      </c>
      <c r="D4915" t="s">
        <v>33</v>
      </c>
      <c r="E4915" t="s">
        <v>18</v>
      </c>
      <c r="F4915" t="s">
        <v>33</v>
      </c>
      <c r="G4915">
        <v>37645</v>
      </c>
      <c r="H4915">
        <v>30116</v>
      </c>
      <c r="I4915" s="13">
        <v>0</v>
      </c>
      <c r="J4915" t="s">
        <v>6207</v>
      </c>
      <c r="K4915">
        <v>0</v>
      </c>
      <c r="L4915">
        <v>3</v>
      </c>
      <c r="M4915" t="s">
        <v>1</v>
      </c>
      <c r="N4915" s="2">
        <v>0.32</v>
      </c>
      <c r="O4915" s="2">
        <v>0.68</v>
      </c>
      <c r="P4915">
        <v>17</v>
      </c>
      <c r="Q4915">
        <v>9</v>
      </c>
      <c r="R4915">
        <v>1</v>
      </c>
      <c r="S4915">
        <v>4</v>
      </c>
      <c r="T4915">
        <v>10</v>
      </c>
      <c r="U4915">
        <v>14</v>
      </c>
      <c r="V4915">
        <v>1</v>
      </c>
      <c r="W4915">
        <v>0</v>
      </c>
      <c r="X4915">
        <v>1</v>
      </c>
      <c r="Y4915">
        <v>0</v>
      </c>
      <c r="Z4915">
        <v>0</v>
      </c>
    </row>
    <row r="4916" spans="1:26" x14ac:dyDescent="0.2">
      <c r="A4916" t="s">
        <v>5034</v>
      </c>
      <c r="B4916" t="s">
        <v>41</v>
      </c>
      <c r="C4916">
        <v>2021</v>
      </c>
      <c r="D4916" t="s">
        <v>85</v>
      </c>
      <c r="E4916" t="s">
        <v>45</v>
      </c>
      <c r="F4916" t="s">
        <v>85</v>
      </c>
      <c r="G4916">
        <v>22220</v>
      </c>
      <c r="H4916">
        <v>17776</v>
      </c>
      <c r="I4916" s="13">
        <v>0.66666666666666663</v>
      </c>
      <c r="J4916" t="s">
        <v>6207</v>
      </c>
      <c r="K4916">
        <v>0</v>
      </c>
      <c r="L4916">
        <v>0</v>
      </c>
      <c r="M4916" t="s">
        <v>58</v>
      </c>
      <c r="N4916" s="2">
        <v>0.48</v>
      </c>
      <c r="O4916" s="2">
        <v>0.52</v>
      </c>
      <c r="P4916">
        <v>9</v>
      </c>
      <c r="Q4916">
        <v>4</v>
      </c>
      <c r="R4916">
        <v>1</v>
      </c>
      <c r="S4916">
        <v>13</v>
      </c>
      <c r="T4916">
        <v>5</v>
      </c>
      <c r="U4916">
        <v>12</v>
      </c>
      <c r="V4916">
        <v>1</v>
      </c>
      <c r="W4916">
        <v>2</v>
      </c>
      <c r="X4916">
        <v>0</v>
      </c>
      <c r="Y4916">
        <v>0</v>
      </c>
      <c r="Z4916">
        <v>0</v>
      </c>
    </row>
    <row r="4917" spans="1:26" x14ac:dyDescent="0.2">
      <c r="A4917" t="s">
        <v>5035</v>
      </c>
      <c r="B4917" t="s">
        <v>84</v>
      </c>
      <c r="C4917">
        <v>2021</v>
      </c>
      <c r="D4917" t="s">
        <v>80</v>
      </c>
      <c r="E4917" t="s">
        <v>69</v>
      </c>
      <c r="F4917" t="s">
        <v>80</v>
      </c>
      <c r="G4917">
        <v>32261</v>
      </c>
      <c r="H4917">
        <v>25808.800000000003</v>
      </c>
      <c r="I4917" s="13">
        <v>0</v>
      </c>
      <c r="J4917" t="s">
        <v>6208</v>
      </c>
      <c r="K4917">
        <v>3</v>
      </c>
      <c r="L4917">
        <v>0</v>
      </c>
      <c r="M4917" t="s">
        <v>0</v>
      </c>
      <c r="N4917" s="2">
        <v>0.65</v>
      </c>
      <c r="O4917" s="2">
        <v>0.35</v>
      </c>
      <c r="P4917">
        <v>4</v>
      </c>
      <c r="Q4917">
        <v>11</v>
      </c>
      <c r="R4917">
        <v>10</v>
      </c>
      <c r="S4917">
        <v>2</v>
      </c>
      <c r="T4917">
        <v>10</v>
      </c>
      <c r="U4917">
        <v>5</v>
      </c>
      <c r="V4917">
        <v>0</v>
      </c>
      <c r="W4917">
        <v>0</v>
      </c>
      <c r="X4917">
        <v>0</v>
      </c>
      <c r="Y4917">
        <v>0</v>
      </c>
      <c r="Z4917">
        <v>0</v>
      </c>
    </row>
    <row r="4918" spans="1:26" x14ac:dyDescent="0.2">
      <c r="A4918" t="s">
        <v>5036</v>
      </c>
      <c r="B4918" t="s">
        <v>32</v>
      </c>
      <c r="C4918">
        <v>2021</v>
      </c>
      <c r="D4918" t="s">
        <v>22</v>
      </c>
      <c r="E4918" t="s">
        <v>40</v>
      </c>
      <c r="F4918" t="s">
        <v>24</v>
      </c>
      <c r="G4918">
        <v>31750</v>
      </c>
      <c r="H4918">
        <v>25400</v>
      </c>
      <c r="I4918" s="13">
        <v>1</v>
      </c>
      <c r="J4918" t="s">
        <v>6207</v>
      </c>
      <c r="K4918">
        <v>1</v>
      </c>
      <c r="L4918">
        <v>5</v>
      </c>
      <c r="M4918" t="s">
        <v>1</v>
      </c>
      <c r="N4918" s="2">
        <v>0.34</v>
      </c>
      <c r="O4918" s="2">
        <v>0.66</v>
      </c>
      <c r="P4918">
        <v>13</v>
      </c>
      <c r="Q4918">
        <v>4</v>
      </c>
      <c r="R4918">
        <v>6</v>
      </c>
      <c r="S4918">
        <v>2</v>
      </c>
      <c r="T4918">
        <v>2</v>
      </c>
      <c r="U4918">
        <v>11</v>
      </c>
      <c r="V4918">
        <v>0</v>
      </c>
      <c r="W4918">
        <v>1</v>
      </c>
      <c r="X4918">
        <v>0</v>
      </c>
      <c r="Y4918">
        <v>0</v>
      </c>
      <c r="Z4918">
        <v>0</v>
      </c>
    </row>
    <row r="4919" spans="1:26" x14ac:dyDescent="0.2">
      <c r="A4919" t="s">
        <v>5037</v>
      </c>
      <c r="B4919" t="s">
        <v>81</v>
      </c>
      <c r="C4919">
        <v>2021</v>
      </c>
      <c r="D4919" t="s">
        <v>51</v>
      </c>
      <c r="E4919" t="s">
        <v>46</v>
      </c>
      <c r="F4919" t="s">
        <v>20</v>
      </c>
      <c r="G4919">
        <v>36284</v>
      </c>
      <c r="H4919">
        <v>29027.200000000001</v>
      </c>
      <c r="I4919" s="13">
        <v>0.33333333333333331</v>
      </c>
      <c r="J4919" t="s">
        <v>6207</v>
      </c>
      <c r="K4919">
        <v>3</v>
      </c>
      <c r="L4919">
        <v>0</v>
      </c>
      <c r="M4919" t="s">
        <v>0</v>
      </c>
      <c r="N4919" s="2">
        <v>0.57999999999999996</v>
      </c>
      <c r="O4919" s="2">
        <v>0.42</v>
      </c>
      <c r="P4919">
        <v>13</v>
      </c>
      <c r="Q4919">
        <v>8</v>
      </c>
      <c r="R4919">
        <v>2</v>
      </c>
      <c r="S4919">
        <v>2</v>
      </c>
      <c r="T4919">
        <v>8</v>
      </c>
      <c r="U4919">
        <v>15</v>
      </c>
      <c r="V4919">
        <v>1</v>
      </c>
      <c r="W4919">
        <v>4</v>
      </c>
      <c r="X4919">
        <v>0</v>
      </c>
      <c r="Y4919">
        <v>1</v>
      </c>
      <c r="Z4919">
        <v>1</v>
      </c>
    </row>
    <row r="4920" spans="1:26" x14ac:dyDescent="0.2">
      <c r="A4920" t="s">
        <v>5038</v>
      </c>
      <c r="B4920" t="s">
        <v>60</v>
      </c>
      <c r="C4920">
        <v>2021</v>
      </c>
      <c r="D4920" t="s">
        <v>51</v>
      </c>
      <c r="E4920" t="s">
        <v>28</v>
      </c>
      <c r="F4920" t="s">
        <v>20</v>
      </c>
      <c r="G4920">
        <v>36284</v>
      </c>
      <c r="H4920">
        <v>29027.200000000001</v>
      </c>
      <c r="I4920" s="13">
        <v>0.6</v>
      </c>
      <c r="J4920" t="s">
        <v>6208</v>
      </c>
      <c r="K4920">
        <v>1</v>
      </c>
      <c r="L4920">
        <v>0</v>
      </c>
      <c r="M4920" t="s">
        <v>0</v>
      </c>
      <c r="N4920" s="2">
        <v>0.69</v>
      </c>
      <c r="O4920" s="2">
        <v>0.31</v>
      </c>
      <c r="P4920">
        <v>9</v>
      </c>
      <c r="Q4920">
        <v>13</v>
      </c>
      <c r="R4920">
        <v>8</v>
      </c>
      <c r="S4920">
        <v>2</v>
      </c>
      <c r="T4920">
        <v>12</v>
      </c>
      <c r="U4920">
        <v>8</v>
      </c>
      <c r="V4920">
        <v>3</v>
      </c>
      <c r="W4920">
        <v>2</v>
      </c>
      <c r="X4920">
        <v>0</v>
      </c>
      <c r="Y4920">
        <v>0</v>
      </c>
      <c r="Z4920">
        <v>1</v>
      </c>
    </row>
    <row r="4921" spans="1:26" x14ac:dyDescent="0.2">
      <c r="A4921" t="s">
        <v>5039</v>
      </c>
      <c r="B4921" t="s">
        <v>105</v>
      </c>
      <c r="C4921">
        <v>2021</v>
      </c>
      <c r="D4921" t="s">
        <v>22</v>
      </c>
      <c r="E4921" t="s">
        <v>69</v>
      </c>
      <c r="F4921" t="s">
        <v>24</v>
      </c>
      <c r="G4921">
        <v>31750</v>
      </c>
      <c r="H4921">
        <v>25400</v>
      </c>
      <c r="I4921" s="13">
        <v>0.66666666666666663</v>
      </c>
      <c r="J4921" t="s">
        <v>6207</v>
      </c>
      <c r="K4921">
        <v>1</v>
      </c>
      <c r="L4921">
        <v>1</v>
      </c>
      <c r="M4921" t="s">
        <v>58</v>
      </c>
      <c r="N4921" s="2">
        <v>0.64</v>
      </c>
      <c r="O4921" s="2">
        <v>0.36</v>
      </c>
      <c r="P4921">
        <v>7</v>
      </c>
      <c r="Q4921">
        <v>4</v>
      </c>
      <c r="R4921">
        <v>5</v>
      </c>
      <c r="S4921">
        <v>3</v>
      </c>
      <c r="T4921">
        <v>5</v>
      </c>
      <c r="U4921">
        <v>10</v>
      </c>
      <c r="V4921">
        <v>0</v>
      </c>
      <c r="W4921">
        <v>3</v>
      </c>
      <c r="X4921">
        <v>0</v>
      </c>
      <c r="Y4921">
        <v>0</v>
      </c>
      <c r="Z4921">
        <v>0</v>
      </c>
    </row>
    <row r="4922" spans="1:26" x14ac:dyDescent="0.2">
      <c r="A4922" t="s">
        <v>5040</v>
      </c>
      <c r="B4922" t="s">
        <v>61</v>
      </c>
      <c r="C4922">
        <v>2021</v>
      </c>
      <c r="D4922" t="s">
        <v>23</v>
      </c>
      <c r="E4922" t="s">
        <v>40</v>
      </c>
      <c r="F4922" t="s">
        <v>20</v>
      </c>
      <c r="G4922">
        <v>62500</v>
      </c>
      <c r="H4922">
        <v>50000</v>
      </c>
      <c r="I4922" s="13">
        <v>0.75</v>
      </c>
      <c r="J4922" t="s">
        <v>6207</v>
      </c>
      <c r="K4922">
        <v>2</v>
      </c>
      <c r="L4922">
        <v>2</v>
      </c>
      <c r="M4922" t="s">
        <v>58</v>
      </c>
      <c r="N4922" s="2">
        <v>0.22</v>
      </c>
      <c r="O4922" s="2">
        <v>0.78</v>
      </c>
      <c r="P4922">
        <v>5</v>
      </c>
      <c r="Q4922">
        <v>6</v>
      </c>
      <c r="R4922">
        <v>4</v>
      </c>
      <c r="S4922">
        <v>9</v>
      </c>
      <c r="T4922">
        <v>9</v>
      </c>
      <c r="U4922">
        <v>5</v>
      </c>
      <c r="V4922">
        <v>3</v>
      </c>
      <c r="W4922">
        <v>1</v>
      </c>
      <c r="X4922">
        <v>0</v>
      </c>
      <c r="Y4922">
        <v>0</v>
      </c>
      <c r="Z4922">
        <v>1</v>
      </c>
    </row>
    <row r="4923" spans="1:26" x14ac:dyDescent="0.2">
      <c r="A4923" t="s">
        <v>5041</v>
      </c>
      <c r="B4923" t="s">
        <v>102</v>
      </c>
      <c r="C4923">
        <v>2021</v>
      </c>
      <c r="D4923" t="s">
        <v>85</v>
      </c>
      <c r="E4923" t="s">
        <v>80</v>
      </c>
      <c r="F4923" t="s">
        <v>85</v>
      </c>
      <c r="G4923">
        <v>22220</v>
      </c>
      <c r="H4923">
        <v>17776</v>
      </c>
      <c r="I4923" s="13">
        <v>1</v>
      </c>
      <c r="J4923" t="s">
        <v>6209</v>
      </c>
      <c r="K4923">
        <v>1</v>
      </c>
      <c r="L4923">
        <v>5</v>
      </c>
      <c r="M4923" t="s">
        <v>1</v>
      </c>
      <c r="N4923" s="2">
        <v>0.4</v>
      </c>
      <c r="O4923" s="2">
        <v>0.6</v>
      </c>
      <c r="P4923">
        <v>7</v>
      </c>
      <c r="Q4923">
        <v>7</v>
      </c>
      <c r="R4923">
        <v>7</v>
      </c>
      <c r="S4923">
        <v>3</v>
      </c>
      <c r="T4923">
        <v>4</v>
      </c>
      <c r="U4923">
        <v>6</v>
      </c>
      <c r="V4923">
        <v>0</v>
      </c>
      <c r="W4923">
        <v>1</v>
      </c>
      <c r="X4923">
        <v>0</v>
      </c>
      <c r="Y4923">
        <v>0</v>
      </c>
      <c r="Z4923">
        <v>0</v>
      </c>
    </row>
    <row r="4924" spans="1:26" x14ac:dyDescent="0.2">
      <c r="A4924" t="s">
        <v>5042</v>
      </c>
      <c r="B4924" t="s">
        <v>41</v>
      </c>
      <c r="C4924">
        <v>2021</v>
      </c>
      <c r="D4924" t="s">
        <v>33</v>
      </c>
      <c r="E4924" t="s">
        <v>90</v>
      </c>
      <c r="F4924" t="s">
        <v>33</v>
      </c>
      <c r="G4924">
        <v>37645</v>
      </c>
      <c r="H4924">
        <v>30116</v>
      </c>
      <c r="I4924" s="13">
        <v>0.8</v>
      </c>
      <c r="J4924" t="s">
        <v>6207</v>
      </c>
      <c r="K4924">
        <v>1</v>
      </c>
      <c r="L4924">
        <v>1</v>
      </c>
      <c r="M4924" t="s">
        <v>58</v>
      </c>
      <c r="N4924" s="2">
        <v>0.5</v>
      </c>
      <c r="O4924" s="2">
        <v>0.5</v>
      </c>
      <c r="P4924">
        <v>10</v>
      </c>
      <c r="Q4924">
        <v>17</v>
      </c>
      <c r="R4924">
        <v>8</v>
      </c>
      <c r="S4924">
        <v>1</v>
      </c>
      <c r="T4924">
        <v>16</v>
      </c>
      <c r="U4924">
        <v>8</v>
      </c>
      <c r="V4924">
        <v>3</v>
      </c>
      <c r="W4924">
        <v>2</v>
      </c>
      <c r="X4924">
        <v>0</v>
      </c>
      <c r="Y4924">
        <v>0</v>
      </c>
      <c r="Z4924">
        <v>0</v>
      </c>
    </row>
    <row r="4925" spans="1:26" x14ac:dyDescent="0.2">
      <c r="A4925" t="s">
        <v>5043</v>
      </c>
      <c r="B4925" t="s">
        <v>88</v>
      </c>
      <c r="C4925">
        <v>2021</v>
      </c>
      <c r="D4925" t="s">
        <v>42</v>
      </c>
      <c r="E4925" t="s">
        <v>79</v>
      </c>
      <c r="F4925" t="s">
        <v>38</v>
      </c>
      <c r="G4925">
        <v>42918</v>
      </c>
      <c r="H4925">
        <v>34334.400000000001</v>
      </c>
      <c r="I4925" s="13">
        <v>0.5</v>
      </c>
      <c r="J4925" t="s">
        <v>6207</v>
      </c>
      <c r="K4925">
        <v>1</v>
      </c>
      <c r="L4925">
        <v>1</v>
      </c>
      <c r="M4925" t="s">
        <v>58</v>
      </c>
      <c r="N4925" s="2">
        <v>0.48</v>
      </c>
      <c r="O4925" s="2">
        <v>0.52</v>
      </c>
      <c r="P4925">
        <v>15</v>
      </c>
      <c r="Q4925">
        <v>11</v>
      </c>
      <c r="R4925">
        <v>1</v>
      </c>
      <c r="S4925">
        <v>5</v>
      </c>
      <c r="T4925">
        <v>11</v>
      </c>
      <c r="U4925">
        <v>15</v>
      </c>
      <c r="V4925">
        <v>1</v>
      </c>
      <c r="W4925">
        <v>3</v>
      </c>
      <c r="X4925">
        <v>0</v>
      </c>
      <c r="Y4925">
        <v>0</v>
      </c>
      <c r="Z4925">
        <v>0</v>
      </c>
    </row>
    <row r="4926" spans="1:26" x14ac:dyDescent="0.2">
      <c r="A4926" t="s">
        <v>5044</v>
      </c>
      <c r="B4926" t="s">
        <v>66</v>
      </c>
      <c r="C4926">
        <v>2021</v>
      </c>
      <c r="D4926" t="s">
        <v>45</v>
      </c>
      <c r="E4926" t="s">
        <v>101</v>
      </c>
      <c r="F4926" t="s">
        <v>26</v>
      </c>
      <c r="G4926">
        <v>39572</v>
      </c>
      <c r="H4926">
        <v>31657.600000000002</v>
      </c>
      <c r="I4926" s="13">
        <v>0.8</v>
      </c>
      <c r="J4926" t="s">
        <v>6207</v>
      </c>
      <c r="K4926">
        <v>2</v>
      </c>
      <c r="L4926">
        <v>3</v>
      </c>
      <c r="M4926" t="s">
        <v>1</v>
      </c>
      <c r="N4926" s="2">
        <v>0.28000000000000003</v>
      </c>
      <c r="O4926" s="2">
        <v>0.72</v>
      </c>
      <c r="P4926">
        <v>5</v>
      </c>
      <c r="Q4926">
        <v>7</v>
      </c>
      <c r="R4926">
        <v>5</v>
      </c>
      <c r="S4926">
        <v>2</v>
      </c>
      <c r="T4926">
        <v>8</v>
      </c>
      <c r="U4926">
        <v>8</v>
      </c>
      <c r="V4926">
        <v>0</v>
      </c>
      <c r="W4926">
        <v>3</v>
      </c>
      <c r="X4926">
        <v>2</v>
      </c>
      <c r="Y4926">
        <v>0</v>
      </c>
      <c r="Z4926">
        <v>1</v>
      </c>
    </row>
    <row r="4927" spans="1:26" x14ac:dyDescent="0.2">
      <c r="A4927" t="s">
        <v>5045</v>
      </c>
      <c r="B4927" t="s">
        <v>100</v>
      </c>
      <c r="C4927">
        <v>2021</v>
      </c>
      <c r="D4927" t="s">
        <v>64</v>
      </c>
      <c r="E4927" t="s">
        <v>46</v>
      </c>
      <c r="F4927" t="s">
        <v>64</v>
      </c>
      <c r="G4927">
        <v>52264</v>
      </c>
      <c r="H4927">
        <v>41811.200000000004</v>
      </c>
      <c r="I4927" s="13">
        <v>0.33333333333333331</v>
      </c>
      <c r="J4927" t="s">
        <v>6207</v>
      </c>
      <c r="K4927">
        <v>2</v>
      </c>
      <c r="L4927">
        <v>0</v>
      </c>
      <c r="M4927" t="s">
        <v>0</v>
      </c>
      <c r="N4927" s="2">
        <v>0.51</v>
      </c>
      <c r="O4927" s="2">
        <v>0.49</v>
      </c>
      <c r="P4927">
        <v>7</v>
      </c>
      <c r="Q4927">
        <v>16</v>
      </c>
      <c r="R4927">
        <v>12</v>
      </c>
      <c r="S4927">
        <v>8</v>
      </c>
      <c r="T4927">
        <v>11</v>
      </c>
      <c r="U4927">
        <v>8</v>
      </c>
      <c r="V4927">
        <v>0</v>
      </c>
      <c r="W4927">
        <v>3</v>
      </c>
      <c r="X4927">
        <v>0</v>
      </c>
      <c r="Y4927">
        <v>0</v>
      </c>
      <c r="Z4927">
        <v>0</v>
      </c>
    </row>
    <row r="4928" spans="1:26" x14ac:dyDescent="0.2">
      <c r="A4928" t="s">
        <v>5046</v>
      </c>
      <c r="B4928" t="s">
        <v>32</v>
      </c>
      <c r="C4928">
        <v>2021</v>
      </c>
      <c r="D4928" t="s">
        <v>73</v>
      </c>
      <c r="E4928" t="s">
        <v>26</v>
      </c>
      <c r="F4928" t="s">
        <v>73</v>
      </c>
      <c r="G4928">
        <v>32384</v>
      </c>
      <c r="H4928">
        <v>25907.200000000001</v>
      </c>
      <c r="I4928" s="13">
        <v>0.5</v>
      </c>
      <c r="J4928" t="s">
        <v>6207</v>
      </c>
      <c r="K4928">
        <v>1</v>
      </c>
      <c r="L4928">
        <v>2</v>
      </c>
      <c r="M4928" t="s">
        <v>1</v>
      </c>
      <c r="N4928" s="2">
        <v>0.28999999999999998</v>
      </c>
      <c r="O4928" s="2">
        <v>0.71</v>
      </c>
      <c r="P4928">
        <v>8</v>
      </c>
      <c r="Q4928">
        <v>6</v>
      </c>
      <c r="R4928">
        <v>1</v>
      </c>
      <c r="S4928">
        <v>9</v>
      </c>
      <c r="T4928">
        <v>6</v>
      </c>
      <c r="U4928">
        <v>6</v>
      </c>
      <c r="V4928">
        <v>2</v>
      </c>
      <c r="W4928">
        <v>0</v>
      </c>
      <c r="X4928">
        <v>0</v>
      </c>
      <c r="Y4928">
        <v>0</v>
      </c>
      <c r="Z4928">
        <v>0</v>
      </c>
    </row>
    <row r="4929" spans="1:26" x14ac:dyDescent="0.2">
      <c r="A4929" t="s">
        <v>5047</v>
      </c>
      <c r="B4929" t="s">
        <v>61</v>
      </c>
      <c r="C4929">
        <v>2021</v>
      </c>
      <c r="D4929" t="s">
        <v>45</v>
      </c>
      <c r="E4929" t="s">
        <v>79</v>
      </c>
      <c r="F4929" t="s">
        <v>26</v>
      </c>
      <c r="G4929">
        <v>39572</v>
      </c>
      <c r="H4929">
        <v>31657.600000000002</v>
      </c>
      <c r="I4929" s="13">
        <v>0.6</v>
      </c>
      <c r="J4929" t="s">
        <v>6207</v>
      </c>
      <c r="K4929">
        <v>3</v>
      </c>
      <c r="L4929">
        <v>2</v>
      </c>
      <c r="M4929" t="s">
        <v>0</v>
      </c>
      <c r="N4929" s="2">
        <v>0.43</v>
      </c>
      <c r="O4929" s="2">
        <v>0.56999999999999995</v>
      </c>
      <c r="P4929">
        <v>14</v>
      </c>
      <c r="Q4929">
        <v>9</v>
      </c>
      <c r="R4929">
        <v>4</v>
      </c>
      <c r="S4929">
        <v>5</v>
      </c>
      <c r="T4929">
        <v>9</v>
      </c>
      <c r="U4929">
        <v>12</v>
      </c>
      <c r="V4929">
        <v>2</v>
      </c>
      <c r="W4929">
        <v>3</v>
      </c>
      <c r="X4929">
        <v>0</v>
      </c>
      <c r="Y4929">
        <v>0</v>
      </c>
      <c r="Z4929">
        <v>0</v>
      </c>
    </row>
    <row r="4930" spans="1:26" x14ac:dyDescent="0.2">
      <c r="A4930" t="s">
        <v>5048</v>
      </c>
      <c r="B4930" t="s">
        <v>59</v>
      </c>
      <c r="C4930">
        <v>2021</v>
      </c>
      <c r="D4930" t="s">
        <v>18</v>
      </c>
      <c r="E4930" t="s">
        <v>80</v>
      </c>
      <c r="F4930" t="s">
        <v>20</v>
      </c>
      <c r="G4930">
        <v>40341</v>
      </c>
      <c r="H4930">
        <v>32272.800000000003</v>
      </c>
      <c r="I4930" s="13">
        <v>0.8</v>
      </c>
      <c r="J4930" t="s">
        <v>6206</v>
      </c>
      <c r="K4930">
        <v>1</v>
      </c>
      <c r="L4930">
        <v>1</v>
      </c>
      <c r="M4930" t="s">
        <v>58</v>
      </c>
      <c r="N4930" s="2">
        <v>0.67</v>
      </c>
      <c r="O4930" s="2">
        <v>0.33</v>
      </c>
      <c r="P4930">
        <v>4</v>
      </c>
      <c r="Q4930">
        <v>13</v>
      </c>
      <c r="R4930">
        <v>6</v>
      </c>
      <c r="S4930">
        <v>0</v>
      </c>
      <c r="T4930">
        <v>13</v>
      </c>
      <c r="U4930">
        <v>7</v>
      </c>
      <c r="V4930">
        <v>4</v>
      </c>
      <c r="W4930">
        <v>1</v>
      </c>
      <c r="X4930">
        <v>0</v>
      </c>
      <c r="Y4930">
        <v>0</v>
      </c>
      <c r="Z4930">
        <v>0</v>
      </c>
    </row>
    <row r="4931" spans="1:26" x14ac:dyDescent="0.2">
      <c r="A4931" t="s">
        <v>5049</v>
      </c>
      <c r="B4931" t="s">
        <v>81</v>
      </c>
      <c r="C4931">
        <v>2021</v>
      </c>
      <c r="D4931" t="s">
        <v>42</v>
      </c>
      <c r="E4931" t="s">
        <v>28</v>
      </c>
      <c r="F4931" t="s">
        <v>38</v>
      </c>
      <c r="G4931">
        <v>42918</v>
      </c>
      <c r="H4931">
        <v>34334.400000000001</v>
      </c>
      <c r="I4931" s="13">
        <v>0.5</v>
      </c>
      <c r="J4931" t="s">
        <v>6207</v>
      </c>
      <c r="K4931">
        <v>1</v>
      </c>
      <c r="L4931">
        <v>1</v>
      </c>
      <c r="M4931" t="s">
        <v>58</v>
      </c>
      <c r="N4931" s="2">
        <v>0.71</v>
      </c>
      <c r="O4931" s="2">
        <v>0.28999999999999998</v>
      </c>
      <c r="P4931">
        <v>19</v>
      </c>
      <c r="Q4931">
        <v>10</v>
      </c>
      <c r="R4931">
        <v>13</v>
      </c>
      <c r="S4931">
        <v>6</v>
      </c>
      <c r="T4931">
        <v>11</v>
      </c>
      <c r="U4931">
        <v>20</v>
      </c>
      <c r="V4931">
        <v>0</v>
      </c>
      <c r="W4931">
        <v>1</v>
      </c>
      <c r="X4931">
        <v>0</v>
      </c>
      <c r="Y4931">
        <v>1</v>
      </c>
      <c r="Z4931">
        <v>1</v>
      </c>
    </row>
    <row r="4932" spans="1:26" x14ac:dyDescent="0.2">
      <c r="A4932" t="s">
        <v>5050</v>
      </c>
      <c r="B4932" t="s">
        <v>88</v>
      </c>
      <c r="C4932">
        <v>2021</v>
      </c>
      <c r="D4932" t="s">
        <v>69</v>
      </c>
      <c r="E4932" t="s">
        <v>51</v>
      </c>
      <c r="F4932" t="s">
        <v>69</v>
      </c>
      <c r="G4932">
        <v>27359</v>
      </c>
      <c r="H4932">
        <v>21887.200000000001</v>
      </c>
      <c r="I4932" s="13">
        <v>0.5</v>
      </c>
      <c r="J4932" t="s">
        <v>6207</v>
      </c>
      <c r="K4932">
        <v>0</v>
      </c>
      <c r="L4932">
        <v>5</v>
      </c>
      <c r="M4932" t="s">
        <v>1</v>
      </c>
      <c r="N4932" s="2">
        <v>0.4</v>
      </c>
      <c r="O4932" s="2">
        <v>0.6</v>
      </c>
      <c r="P4932">
        <v>11</v>
      </c>
      <c r="Q4932">
        <v>12</v>
      </c>
      <c r="R4932">
        <v>3</v>
      </c>
      <c r="S4932">
        <v>2</v>
      </c>
      <c r="T4932">
        <v>13</v>
      </c>
      <c r="U4932">
        <v>7</v>
      </c>
      <c r="V4932">
        <v>3</v>
      </c>
      <c r="W4932">
        <v>1</v>
      </c>
      <c r="X4932">
        <v>0</v>
      </c>
      <c r="Y4932">
        <v>0</v>
      </c>
      <c r="Z4932">
        <v>0</v>
      </c>
    </row>
    <row r="4933" spans="1:26" x14ac:dyDescent="0.2">
      <c r="A4933" t="s">
        <v>5051</v>
      </c>
      <c r="B4933" t="s">
        <v>66</v>
      </c>
      <c r="C4933">
        <v>2021</v>
      </c>
      <c r="D4933" t="s">
        <v>40</v>
      </c>
      <c r="E4933" t="s">
        <v>42</v>
      </c>
      <c r="F4933" t="s">
        <v>49</v>
      </c>
      <c r="G4933">
        <v>53400</v>
      </c>
      <c r="H4933">
        <v>42720</v>
      </c>
      <c r="I4933" s="13">
        <v>0.5</v>
      </c>
      <c r="J4933" t="s">
        <v>6207</v>
      </c>
      <c r="K4933">
        <v>3</v>
      </c>
      <c r="L4933">
        <v>2</v>
      </c>
      <c r="M4933" t="s">
        <v>0</v>
      </c>
      <c r="N4933" s="2">
        <v>0.72</v>
      </c>
      <c r="O4933" s="2">
        <v>0.28000000000000003</v>
      </c>
      <c r="P4933">
        <v>10</v>
      </c>
      <c r="Q4933">
        <v>6</v>
      </c>
      <c r="R4933">
        <v>13</v>
      </c>
      <c r="S4933">
        <v>1</v>
      </c>
      <c r="T4933">
        <v>5</v>
      </c>
      <c r="U4933">
        <v>11</v>
      </c>
      <c r="V4933">
        <v>0</v>
      </c>
      <c r="W4933">
        <v>2</v>
      </c>
      <c r="X4933">
        <v>0</v>
      </c>
      <c r="Y4933">
        <v>0</v>
      </c>
      <c r="Z4933">
        <v>0</v>
      </c>
    </row>
    <row r="4934" spans="1:26" x14ac:dyDescent="0.2">
      <c r="A4934" t="s">
        <v>5052</v>
      </c>
      <c r="B4934" t="s">
        <v>61</v>
      </c>
      <c r="C4934">
        <v>2021</v>
      </c>
      <c r="D4934" t="s">
        <v>26</v>
      </c>
      <c r="E4934" t="s">
        <v>22</v>
      </c>
      <c r="F4934" t="s">
        <v>26</v>
      </c>
      <c r="G4934">
        <v>61276</v>
      </c>
      <c r="H4934">
        <v>49020.800000000003</v>
      </c>
      <c r="I4934" s="13">
        <v>1</v>
      </c>
      <c r="J4934" t="s">
        <v>6207</v>
      </c>
      <c r="K4934">
        <v>3</v>
      </c>
      <c r="L4934">
        <v>1</v>
      </c>
      <c r="M4934" t="s">
        <v>0</v>
      </c>
      <c r="N4934" s="2">
        <v>0.63</v>
      </c>
      <c r="O4934" s="2">
        <v>0.37</v>
      </c>
      <c r="P4934">
        <v>4</v>
      </c>
      <c r="Q4934">
        <v>9</v>
      </c>
      <c r="R4934">
        <v>5</v>
      </c>
      <c r="S4934">
        <v>3</v>
      </c>
      <c r="T4934">
        <v>6</v>
      </c>
      <c r="U4934">
        <v>3</v>
      </c>
      <c r="V4934">
        <v>1</v>
      </c>
      <c r="W4934">
        <v>0</v>
      </c>
      <c r="X4934">
        <v>0</v>
      </c>
      <c r="Y4934">
        <v>0</v>
      </c>
      <c r="Z4934">
        <v>0</v>
      </c>
    </row>
    <row r="4935" spans="1:26" x14ac:dyDescent="0.2">
      <c r="A4935" t="s">
        <v>5053</v>
      </c>
      <c r="B4935" t="s">
        <v>68</v>
      </c>
      <c r="C4935">
        <v>2021</v>
      </c>
      <c r="D4935" t="s">
        <v>80</v>
      </c>
      <c r="E4935" t="s">
        <v>73</v>
      </c>
      <c r="F4935" t="s">
        <v>80</v>
      </c>
      <c r="G4935">
        <v>32261</v>
      </c>
      <c r="H4935">
        <v>25808.800000000003</v>
      </c>
      <c r="I4935" s="13">
        <v>1</v>
      </c>
      <c r="J4935" t="s">
        <v>6207</v>
      </c>
      <c r="K4935">
        <v>4</v>
      </c>
      <c r="L4935">
        <v>1</v>
      </c>
      <c r="M4935" t="s">
        <v>0</v>
      </c>
      <c r="N4935" s="2">
        <v>0.51</v>
      </c>
      <c r="O4935" s="2">
        <v>0.49</v>
      </c>
      <c r="P4935">
        <v>8</v>
      </c>
      <c r="Q4935">
        <v>9</v>
      </c>
      <c r="R4935">
        <v>3</v>
      </c>
      <c r="S4935">
        <v>3</v>
      </c>
      <c r="T4935">
        <v>10</v>
      </c>
      <c r="U4935">
        <v>5</v>
      </c>
      <c r="V4935">
        <v>0</v>
      </c>
      <c r="W4935">
        <v>1</v>
      </c>
      <c r="X4935">
        <v>0</v>
      </c>
      <c r="Y4935">
        <v>0</v>
      </c>
      <c r="Z4935">
        <v>1</v>
      </c>
    </row>
    <row r="4936" spans="1:26" x14ac:dyDescent="0.2">
      <c r="A4936" t="s">
        <v>5054</v>
      </c>
      <c r="B4936" t="s">
        <v>32</v>
      </c>
      <c r="C4936">
        <v>2021</v>
      </c>
      <c r="D4936" t="s">
        <v>79</v>
      </c>
      <c r="E4936" t="s">
        <v>48</v>
      </c>
      <c r="F4936" t="s">
        <v>20</v>
      </c>
      <c r="G4936">
        <v>25486</v>
      </c>
      <c r="H4936">
        <v>20388.800000000003</v>
      </c>
      <c r="I4936" s="13">
        <v>0.83333333333333337</v>
      </c>
      <c r="J4936" t="s">
        <v>6207</v>
      </c>
      <c r="K4936">
        <v>1</v>
      </c>
      <c r="L4936">
        <v>0</v>
      </c>
      <c r="M4936" t="s">
        <v>0</v>
      </c>
      <c r="N4936" s="2">
        <v>0.38</v>
      </c>
      <c r="O4936" s="2">
        <v>0.62</v>
      </c>
      <c r="P4936">
        <v>22</v>
      </c>
      <c r="Q4936">
        <v>11</v>
      </c>
      <c r="R4936">
        <v>3</v>
      </c>
      <c r="S4936">
        <v>6</v>
      </c>
      <c r="T4936">
        <v>12</v>
      </c>
      <c r="U4936">
        <v>22</v>
      </c>
      <c r="V4936">
        <v>2</v>
      </c>
      <c r="W4936">
        <v>4</v>
      </c>
      <c r="X4936">
        <v>0</v>
      </c>
      <c r="Y4936">
        <v>0</v>
      </c>
      <c r="Z4936">
        <v>0</v>
      </c>
    </row>
    <row r="4937" spans="1:26" x14ac:dyDescent="0.2">
      <c r="A4937" t="s">
        <v>5055</v>
      </c>
      <c r="B4937" t="s">
        <v>41</v>
      </c>
      <c r="C4937">
        <v>2021</v>
      </c>
      <c r="D4937" t="s">
        <v>18</v>
      </c>
      <c r="E4937" t="s">
        <v>85</v>
      </c>
      <c r="F4937" t="s">
        <v>20</v>
      </c>
      <c r="G4937">
        <v>40341</v>
      </c>
      <c r="H4937">
        <v>32272.800000000003</v>
      </c>
      <c r="I4937" s="13">
        <v>0</v>
      </c>
      <c r="J4937" t="s">
        <v>6207</v>
      </c>
      <c r="K4937">
        <v>2</v>
      </c>
      <c r="L4937">
        <v>1</v>
      </c>
      <c r="M4937" t="s">
        <v>0</v>
      </c>
      <c r="N4937" s="2">
        <v>0.72</v>
      </c>
      <c r="O4937" s="2">
        <v>0.28000000000000003</v>
      </c>
      <c r="P4937">
        <v>11</v>
      </c>
      <c r="Q4937">
        <v>8</v>
      </c>
      <c r="R4937">
        <v>3</v>
      </c>
      <c r="S4937">
        <v>3</v>
      </c>
      <c r="T4937">
        <v>9</v>
      </c>
      <c r="U4937">
        <v>9</v>
      </c>
      <c r="V4937">
        <v>0</v>
      </c>
      <c r="W4937">
        <v>0</v>
      </c>
      <c r="X4937">
        <v>0</v>
      </c>
      <c r="Y4937">
        <v>0</v>
      </c>
      <c r="Z4937">
        <v>0</v>
      </c>
    </row>
    <row r="4938" spans="1:26" x14ac:dyDescent="0.2">
      <c r="A4938" t="s">
        <v>5056</v>
      </c>
      <c r="B4938" t="s">
        <v>76</v>
      </c>
      <c r="C4938">
        <v>2021</v>
      </c>
      <c r="D4938" t="s">
        <v>28</v>
      </c>
      <c r="E4938" t="s">
        <v>64</v>
      </c>
      <c r="F4938" t="s">
        <v>28</v>
      </c>
      <c r="G4938">
        <v>21944</v>
      </c>
      <c r="H4938">
        <v>17555.2</v>
      </c>
      <c r="I4938" s="13">
        <v>0</v>
      </c>
      <c r="J4938" t="s">
        <v>6207</v>
      </c>
      <c r="K4938">
        <v>1</v>
      </c>
      <c r="L4938">
        <v>2</v>
      </c>
      <c r="M4938" t="s">
        <v>1</v>
      </c>
      <c r="N4938" s="2">
        <v>0.51</v>
      </c>
      <c r="O4938" s="2">
        <v>0.49</v>
      </c>
      <c r="P4938">
        <v>9</v>
      </c>
      <c r="Q4938">
        <v>11</v>
      </c>
      <c r="R4938">
        <v>8</v>
      </c>
      <c r="S4938">
        <v>2</v>
      </c>
      <c r="T4938">
        <v>8</v>
      </c>
      <c r="U4938">
        <v>9</v>
      </c>
      <c r="V4938">
        <v>1</v>
      </c>
      <c r="W4938">
        <v>0</v>
      </c>
      <c r="X4938">
        <v>0</v>
      </c>
      <c r="Y4938">
        <v>0</v>
      </c>
      <c r="Z4938">
        <v>1</v>
      </c>
    </row>
    <row r="4939" spans="1:26" x14ac:dyDescent="0.2">
      <c r="A4939" t="s">
        <v>5057</v>
      </c>
      <c r="B4939" t="s">
        <v>60</v>
      </c>
      <c r="C4939">
        <v>2021</v>
      </c>
      <c r="D4939" t="s">
        <v>90</v>
      </c>
      <c r="E4939" t="s">
        <v>23</v>
      </c>
      <c r="F4939" t="s">
        <v>91</v>
      </c>
      <c r="G4939">
        <v>31876</v>
      </c>
      <c r="H4939">
        <v>25500.800000000003</v>
      </c>
      <c r="I4939" s="13">
        <v>1</v>
      </c>
      <c r="J4939" t="s">
        <v>6208</v>
      </c>
      <c r="K4939">
        <v>3</v>
      </c>
      <c r="L4939">
        <v>1</v>
      </c>
      <c r="M4939" t="s">
        <v>0</v>
      </c>
      <c r="N4939" s="2">
        <v>0.5</v>
      </c>
      <c r="O4939" s="2">
        <v>0.5</v>
      </c>
      <c r="P4939">
        <v>8</v>
      </c>
      <c r="Q4939">
        <v>8</v>
      </c>
      <c r="R4939">
        <v>5</v>
      </c>
      <c r="S4939">
        <v>6</v>
      </c>
      <c r="T4939">
        <v>9</v>
      </c>
      <c r="U4939">
        <v>9</v>
      </c>
      <c r="V4939">
        <v>1</v>
      </c>
      <c r="W4939">
        <v>1</v>
      </c>
      <c r="X4939">
        <v>0</v>
      </c>
      <c r="Y4939">
        <v>0</v>
      </c>
      <c r="Z4939">
        <v>0</v>
      </c>
    </row>
    <row r="4940" spans="1:26" x14ac:dyDescent="0.2">
      <c r="A4940" t="s">
        <v>5058</v>
      </c>
      <c r="B4940" t="s">
        <v>81</v>
      </c>
      <c r="C4940">
        <v>2021</v>
      </c>
      <c r="D4940" t="s">
        <v>101</v>
      </c>
      <c r="E4940" t="s">
        <v>33</v>
      </c>
      <c r="F4940" t="s">
        <v>101</v>
      </c>
      <c r="G4940">
        <v>17250</v>
      </c>
      <c r="H4940">
        <v>13800</v>
      </c>
      <c r="I4940" s="13">
        <v>0.4</v>
      </c>
      <c r="J4940" t="s">
        <v>6207</v>
      </c>
      <c r="K4940">
        <v>1</v>
      </c>
      <c r="L4940">
        <v>2</v>
      </c>
      <c r="M4940" t="s">
        <v>1</v>
      </c>
      <c r="N4940" s="2">
        <v>0.49</v>
      </c>
      <c r="O4940" s="2">
        <v>0.51</v>
      </c>
      <c r="P4940">
        <v>15</v>
      </c>
      <c r="Q4940">
        <v>9</v>
      </c>
      <c r="R4940">
        <v>3</v>
      </c>
      <c r="S4940">
        <v>2</v>
      </c>
      <c r="T4940">
        <v>11</v>
      </c>
      <c r="U4940">
        <v>13</v>
      </c>
      <c r="V4940">
        <v>3</v>
      </c>
      <c r="W4940">
        <v>1</v>
      </c>
      <c r="X4940">
        <v>1</v>
      </c>
      <c r="Y4940">
        <v>0</v>
      </c>
      <c r="Z4940">
        <v>1</v>
      </c>
    </row>
    <row r="4941" spans="1:26" x14ac:dyDescent="0.2">
      <c r="A4941" t="s">
        <v>5059</v>
      </c>
      <c r="B4941" t="s">
        <v>37</v>
      </c>
      <c r="C4941">
        <v>2021</v>
      </c>
      <c r="D4941" t="s">
        <v>46</v>
      </c>
      <c r="E4941" t="s">
        <v>45</v>
      </c>
      <c r="F4941" t="s">
        <v>20</v>
      </c>
      <c r="G4941">
        <v>60704</v>
      </c>
      <c r="H4941">
        <v>48563.200000000004</v>
      </c>
      <c r="I4941" s="13">
        <v>0</v>
      </c>
      <c r="J4941" t="s">
        <v>6206</v>
      </c>
      <c r="K4941">
        <v>5</v>
      </c>
      <c r="L4941">
        <v>1</v>
      </c>
      <c r="M4941" t="s">
        <v>0</v>
      </c>
      <c r="N4941" s="2">
        <v>0.74</v>
      </c>
      <c r="O4941" s="2">
        <v>0.26</v>
      </c>
      <c r="P4941">
        <v>8</v>
      </c>
      <c r="Q4941">
        <v>9</v>
      </c>
      <c r="R4941">
        <v>12</v>
      </c>
      <c r="S4941">
        <v>2</v>
      </c>
      <c r="T4941">
        <v>8</v>
      </c>
      <c r="U4941">
        <v>9</v>
      </c>
      <c r="V4941">
        <v>0</v>
      </c>
      <c r="W4941">
        <v>1</v>
      </c>
      <c r="X4941">
        <v>0</v>
      </c>
      <c r="Y4941">
        <v>0</v>
      </c>
      <c r="Z4941">
        <v>1</v>
      </c>
    </row>
    <row r="4942" spans="1:26" x14ac:dyDescent="0.2">
      <c r="A4942" t="s">
        <v>5060</v>
      </c>
      <c r="B4942" t="s">
        <v>61</v>
      </c>
      <c r="C4942">
        <v>2022</v>
      </c>
      <c r="D4942" t="s">
        <v>79</v>
      </c>
      <c r="E4942" t="s">
        <v>46</v>
      </c>
      <c r="F4942" t="s">
        <v>20</v>
      </c>
      <c r="G4942">
        <v>25486</v>
      </c>
      <c r="H4942">
        <v>20388.800000000003</v>
      </c>
      <c r="I4942" s="13">
        <v>0.33333333333333331</v>
      </c>
      <c r="J4942" t="s">
        <v>6207</v>
      </c>
      <c r="K4942">
        <v>0</v>
      </c>
      <c r="L4942">
        <v>2</v>
      </c>
      <c r="M4942" t="s">
        <v>1</v>
      </c>
      <c r="N4942" s="3">
        <v>0.56000000000000005</v>
      </c>
      <c r="O4942" s="3">
        <v>0.44</v>
      </c>
      <c r="P4942">
        <v>11</v>
      </c>
      <c r="Q4942">
        <v>15</v>
      </c>
      <c r="R4942">
        <v>3</v>
      </c>
      <c r="S4942">
        <v>5</v>
      </c>
      <c r="T4942">
        <v>16</v>
      </c>
      <c r="U4942">
        <v>11</v>
      </c>
      <c r="V4942">
        <v>1</v>
      </c>
      <c r="W4942">
        <v>2</v>
      </c>
      <c r="X4942">
        <v>0</v>
      </c>
      <c r="Y4942">
        <v>0</v>
      </c>
      <c r="Z4942">
        <v>0</v>
      </c>
    </row>
    <row r="4943" spans="1:26" x14ac:dyDescent="0.2">
      <c r="A4943" t="s">
        <v>5061</v>
      </c>
      <c r="B4943" t="s">
        <v>92</v>
      </c>
      <c r="C4943">
        <v>2022</v>
      </c>
      <c r="D4943" t="s">
        <v>31</v>
      </c>
      <c r="E4943" t="s">
        <v>26</v>
      </c>
      <c r="F4943" t="s">
        <v>20</v>
      </c>
      <c r="G4943">
        <v>28500</v>
      </c>
      <c r="H4943">
        <v>22800</v>
      </c>
      <c r="I4943" s="13">
        <v>1</v>
      </c>
      <c r="J4943" t="s">
        <v>6207</v>
      </c>
      <c r="K4943">
        <v>2</v>
      </c>
      <c r="L4943">
        <v>2</v>
      </c>
      <c r="M4943" t="s">
        <v>58</v>
      </c>
      <c r="N4943" s="3">
        <v>0.33</v>
      </c>
      <c r="O4943" s="3">
        <v>0.67</v>
      </c>
      <c r="P4943">
        <v>11</v>
      </c>
      <c r="Q4943">
        <v>10</v>
      </c>
      <c r="R4943">
        <v>4</v>
      </c>
      <c r="S4943">
        <v>4</v>
      </c>
      <c r="T4943">
        <v>7</v>
      </c>
      <c r="U4943">
        <v>9</v>
      </c>
      <c r="V4943">
        <v>2</v>
      </c>
      <c r="W4943">
        <v>0</v>
      </c>
      <c r="X4943">
        <v>0</v>
      </c>
      <c r="Y4943">
        <v>0</v>
      </c>
      <c r="Z4943">
        <v>1</v>
      </c>
    </row>
    <row r="4944" spans="1:26" x14ac:dyDescent="0.2">
      <c r="A4944" t="s">
        <v>5062</v>
      </c>
      <c r="B4944" t="s">
        <v>37</v>
      </c>
      <c r="C4944">
        <v>2022</v>
      </c>
      <c r="D4944" t="s">
        <v>51</v>
      </c>
      <c r="E4944" t="s">
        <v>73</v>
      </c>
      <c r="F4944" t="s">
        <v>20</v>
      </c>
      <c r="G4944">
        <v>36284</v>
      </c>
      <c r="H4944">
        <v>29027.200000000001</v>
      </c>
      <c r="I4944" s="13">
        <v>0.66666666666666663</v>
      </c>
      <c r="J4944" t="s">
        <v>6206</v>
      </c>
      <c r="K4944">
        <v>4</v>
      </c>
      <c r="L4944">
        <v>1</v>
      </c>
      <c r="M4944" t="s">
        <v>0</v>
      </c>
      <c r="N4944" s="3">
        <v>0.57999999999999996</v>
      </c>
      <c r="O4944" s="3">
        <v>0.42</v>
      </c>
      <c r="P4944">
        <v>6</v>
      </c>
      <c r="Q4944">
        <v>13</v>
      </c>
      <c r="R4944">
        <v>10</v>
      </c>
      <c r="S4944">
        <v>2</v>
      </c>
      <c r="T4944">
        <v>11</v>
      </c>
      <c r="U4944">
        <v>6</v>
      </c>
      <c r="V4944">
        <v>3</v>
      </c>
      <c r="W4944">
        <v>0</v>
      </c>
      <c r="X4944">
        <v>0</v>
      </c>
      <c r="Y4944">
        <v>0</v>
      </c>
      <c r="Z4944">
        <v>0</v>
      </c>
    </row>
    <row r="4945" spans="1:26" x14ac:dyDescent="0.2">
      <c r="A4945" t="s">
        <v>5063</v>
      </c>
      <c r="B4945" t="s">
        <v>84</v>
      </c>
      <c r="C4945">
        <v>2022</v>
      </c>
      <c r="D4945" t="s">
        <v>64</v>
      </c>
      <c r="E4945" t="s">
        <v>94</v>
      </c>
      <c r="F4945" t="s">
        <v>64</v>
      </c>
      <c r="G4945">
        <v>52264</v>
      </c>
      <c r="H4945">
        <v>41811.200000000004</v>
      </c>
      <c r="I4945" s="13">
        <v>0.33333333333333331</v>
      </c>
      <c r="J4945" t="s">
        <v>6208</v>
      </c>
      <c r="K4945">
        <v>2</v>
      </c>
      <c r="L4945">
        <v>0</v>
      </c>
      <c r="M4945" t="s">
        <v>0</v>
      </c>
      <c r="N4945" s="3">
        <v>0.62</v>
      </c>
      <c r="O4945" s="3">
        <v>0.38</v>
      </c>
      <c r="P4945">
        <v>13</v>
      </c>
      <c r="Q4945">
        <v>11</v>
      </c>
      <c r="R4945">
        <v>11</v>
      </c>
      <c r="S4945">
        <v>1</v>
      </c>
      <c r="T4945">
        <v>9</v>
      </c>
      <c r="U4945">
        <v>14</v>
      </c>
      <c r="V4945">
        <v>0</v>
      </c>
      <c r="W4945">
        <v>3</v>
      </c>
      <c r="X4945">
        <v>0</v>
      </c>
      <c r="Y4945">
        <v>0</v>
      </c>
      <c r="Z4945">
        <v>0</v>
      </c>
    </row>
    <row r="4946" spans="1:26" x14ac:dyDescent="0.2">
      <c r="A4946" t="s">
        <v>5064</v>
      </c>
      <c r="B4946" t="s">
        <v>99</v>
      </c>
      <c r="C4946">
        <v>2022</v>
      </c>
      <c r="D4946" t="s">
        <v>33</v>
      </c>
      <c r="E4946" t="s">
        <v>22</v>
      </c>
      <c r="F4946" t="s">
        <v>33</v>
      </c>
      <c r="G4946">
        <v>37645</v>
      </c>
      <c r="H4946">
        <v>30116</v>
      </c>
      <c r="I4946" s="13">
        <v>0.5</v>
      </c>
      <c r="J4946" t="s">
        <v>6207</v>
      </c>
      <c r="K4946">
        <v>2</v>
      </c>
      <c r="L4946">
        <v>1</v>
      </c>
      <c r="M4946" t="s">
        <v>0</v>
      </c>
      <c r="N4946" s="3">
        <v>0.39</v>
      </c>
      <c r="O4946" s="3">
        <v>0.61</v>
      </c>
      <c r="P4946">
        <v>10</v>
      </c>
      <c r="Q4946">
        <v>13</v>
      </c>
      <c r="R4946">
        <v>6</v>
      </c>
      <c r="S4946">
        <v>4</v>
      </c>
      <c r="T4946">
        <v>13</v>
      </c>
      <c r="U4946">
        <v>9</v>
      </c>
      <c r="V4946">
        <v>2</v>
      </c>
      <c r="W4946">
        <v>0</v>
      </c>
      <c r="X4946">
        <v>0</v>
      </c>
      <c r="Y4946">
        <v>0</v>
      </c>
      <c r="Z4946">
        <v>0</v>
      </c>
    </row>
    <row r="4947" spans="1:26" x14ac:dyDescent="0.2">
      <c r="A4947" t="s">
        <v>5065</v>
      </c>
      <c r="B4947" t="s">
        <v>97</v>
      </c>
      <c r="C4947">
        <v>2022</v>
      </c>
      <c r="D4947" t="s">
        <v>86</v>
      </c>
      <c r="E4947" t="s">
        <v>42</v>
      </c>
      <c r="F4947" t="s">
        <v>86</v>
      </c>
      <c r="G4947">
        <v>11364</v>
      </c>
      <c r="H4947">
        <v>9091.2000000000007</v>
      </c>
      <c r="I4947" s="13">
        <v>0.33333333333333331</v>
      </c>
      <c r="J4947" t="s">
        <v>6207</v>
      </c>
      <c r="K4947">
        <v>2</v>
      </c>
      <c r="L4947">
        <v>0</v>
      </c>
      <c r="M4947" t="s">
        <v>0</v>
      </c>
      <c r="N4947" s="3">
        <v>0.34</v>
      </c>
      <c r="O4947" s="3">
        <v>0.66</v>
      </c>
      <c r="P4947">
        <v>21</v>
      </c>
      <c r="Q4947">
        <v>19</v>
      </c>
      <c r="R4947">
        <v>5</v>
      </c>
      <c r="S4947">
        <v>5</v>
      </c>
      <c r="T4947">
        <v>18</v>
      </c>
      <c r="U4947">
        <v>16</v>
      </c>
      <c r="V4947">
        <v>3</v>
      </c>
      <c r="W4947">
        <v>3</v>
      </c>
      <c r="X4947">
        <v>0</v>
      </c>
      <c r="Y4947">
        <v>0</v>
      </c>
      <c r="Z4947">
        <v>0</v>
      </c>
    </row>
    <row r="4948" spans="1:26" x14ac:dyDescent="0.2">
      <c r="A4948" t="s">
        <v>5066</v>
      </c>
      <c r="B4948" t="s">
        <v>76</v>
      </c>
      <c r="C4948">
        <v>2022</v>
      </c>
      <c r="D4948" t="s">
        <v>45</v>
      </c>
      <c r="E4948" t="s">
        <v>18</v>
      </c>
      <c r="F4948" t="s">
        <v>26</v>
      </c>
      <c r="G4948">
        <v>39572</v>
      </c>
      <c r="H4948">
        <v>31657.600000000002</v>
      </c>
      <c r="I4948" s="13">
        <v>0.8</v>
      </c>
      <c r="J4948" t="s">
        <v>6207</v>
      </c>
      <c r="K4948">
        <v>0</v>
      </c>
      <c r="L4948">
        <v>1</v>
      </c>
      <c r="M4948" t="s">
        <v>1</v>
      </c>
      <c r="N4948" s="3">
        <v>0.37</v>
      </c>
      <c r="O4948" s="3">
        <v>0.63</v>
      </c>
      <c r="P4948">
        <v>12</v>
      </c>
      <c r="Q4948">
        <v>13</v>
      </c>
      <c r="R4948">
        <v>4</v>
      </c>
      <c r="S4948">
        <v>16</v>
      </c>
      <c r="T4948">
        <v>14</v>
      </c>
      <c r="U4948">
        <v>11</v>
      </c>
      <c r="V4948">
        <v>3</v>
      </c>
      <c r="W4948">
        <v>2</v>
      </c>
      <c r="X4948">
        <v>0</v>
      </c>
      <c r="Y4948">
        <v>0</v>
      </c>
      <c r="Z4948">
        <v>1</v>
      </c>
    </row>
    <row r="4949" spans="1:26" x14ac:dyDescent="0.2">
      <c r="A4949" t="s">
        <v>5067</v>
      </c>
      <c r="B4949" t="s">
        <v>81</v>
      </c>
      <c r="C4949">
        <v>2022</v>
      </c>
      <c r="D4949" t="s">
        <v>48</v>
      </c>
      <c r="E4949" t="s">
        <v>90</v>
      </c>
      <c r="F4949" t="s">
        <v>49</v>
      </c>
      <c r="G4949">
        <v>74197</v>
      </c>
      <c r="H4949">
        <v>59357.600000000006</v>
      </c>
      <c r="I4949" s="13">
        <v>0.4</v>
      </c>
      <c r="J4949" t="s">
        <v>6207</v>
      </c>
      <c r="K4949">
        <v>1</v>
      </c>
      <c r="L4949">
        <v>2</v>
      </c>
      <c r="M4949" t="s">
        <v>1</v>
      </c>
      <c r="N4949" s="3">
        <v>0.63</v>
      </c>
      <c r="O4949" s="3">
        <v>0.37</v>
      </c>
      <c r="P4949">
        <v>13</v>
      </c>
      <c r="Q4949">
        <v>8</v>
      </c>
      <c r="R4949">
        <v>6</v>
      </c>
      <c r="S4949">
        <v>2</v>
      </c>
      <c r="T4949">
        <v>7</v>
      </c>
      <c r="U4949">
        <v>12</v>
      </c>
      <c r="V4949">
        <v>4</v>
      </c>
      <c r="W4949">
        <v>1</v>
      </c>
      <c r="X4949">
        <v>0</v>
      </c>
      <c r="Y4949">
        <v>0</v>
      </c>
      <c r="Z4949">
        <v>0</v>
      </c>
    </row>
    <row r="4950" spans="1:26" x14ac:dyDescent="0.2">
      <c r="A4950" t="s">
        <v>5068</v>
      </c>
      <c r="B4950" t="s">
        <v>102</v>
      </c>
      <c r="C4950">
        <v>2022</v>
      </c>
      <c r="D4950" t="s">
        <v>80</v>
      </c>
      <c r="E4950" t="s">
        <v>101</v>
      </c>
      <c r="F4950" t="s">
        <v>80</v>
      </c>
      <c r="G4950">
        <v>32261</v>
      </c>
      <c r="H4950">
        <v>25808.800000000003</v>
      </c>
      <c r="I4950" s="13">
        <v>0</v>
      </c>
      <c r="J4950" t="s">
        <v>6209</v>
      </c>
      <c r="K4950">
        <v>2</v>
      </c>
      <c r="L4950">
        <v>2</v>
      </c>
      <c r="M4950" t="s">
        <v>58</v>
      </c>
      <c r="N4950" s="3">
        <v>0.55000000000000004</v>
      </c>
      <c r="O4950" s="3">
        <v>0.45</v>
      </c>
      <c r="P4950">
        <v>7</v>
      </c>
      <c r="Q4950">
        <v>8</v>
      </c>
      <c r="R4950">
        <v>5</v>
      </c>
      <c r="S4950">
        <v>6</v>
      </c>
      <c r="T4950">
        <v>6</v>
      </c>
      <c r="U4950">
        <v>5</v>
      </c>
      <c r="V4950">
        <v>0</v>
      </c>
      <c r="W4950">
        <v>0</v>
      </c>
      <c r="X4950">
        <v>0</v>
      </c>
      <c r="Y4950">
        <v>0</v>
      </c>
      <c r="Z4950">
        <v>0</v>
      </c>
    </row>
    <row r="4951" spans="1:26" x14ac:dyDescent="0.2">
      <c r="A4951" t="s">
        <v>5069</v>
      </c>
      <c r="B4951" t="s">
        <v>66</v>
      </c>
      <c r="C4951">
        <v>2022</v>
      </c>
      <c r="D4951" t="s">
        <v>23</v>
      </c>
      <c r="E4951" t="s">
        <v>40</v>
      </c>
      <c r="F4951" t="s">
        <v>20</v>
      </c>
      <c r="G4951">
        <v>62500</v>
      </c>
      <c r="H4951">
        <v>50000</v>
      </c>
      <c r="I4951" s="13">
        <v>1</v>
      </c>
      <c r="J4951" t="s">
        <v>6207</v>
      </c>
      <c r="K4951">
        <v>0</v>
      </c>
      <c r="L4951">
        <v>2</v>
      </c>
      <c r="M4951" t="s">
        <v>1</v>
      </c>
      <c r="N4951" s="3">
        <v>0.25</v>
      </c>
      <c r="O4951" s="3">
        <v>0.75</v>
      </c>
      <c r="P4951">
        <v>4</v>
      </c>
      <c r="Q4951">
        <v>10</v>
      </c>
      <c r="R4951">
        <v>1</v>
      </c>
      <c r="S4951">
        <v>4</v>
      </c>
      <c r="T4951">
        <v>8</v>
      </c>
      <c r="U4951">
        <v>4</v>
      </c>
      <c r="V4951">
        <v>0</v>
      </c>
      <c r="W4951">
        <v>1</v>
      </c>
      <c r="X4951">
        <v>0</v>
      </c>
      <c r="Y4951">
        <v>0</v>
      </c>
      <c r="Z4951">
        <v>1</v>
      </c>
    </row>
    <row r="4952" spans="1:26" x14ac:dyDescent="0.2">
      <c r="A4952" t="s">
        <v>5070</v>
      </c>
      <c r="B4952" t="s">
        <v>66</v>
      </c>
      <c r="C4952">
        <v>2022</v>
      </c>
      <c r="D4952" t="s">
        <v>42</v>
      </c>
      <c r="E4952" t="s">
        <v>45</v>
      </c>
      <c r="F4952" t="s">
        <v>38</v>
      </c>
      <c r="G4952">
        <v>42918</v>
      </c>
      <c r="H4952">
        <v>34334.400000000001</v>
      </c>
      <c r="I4952" s="13">
        <v>0.4</v>
      </c>
      <c r="J4952" t="s">
        <v>6207</v>
      </c>
      <c r="K4952">
        <v>2</v>
      </c>
      <c r="L4952">
        <v>1</v>
      </c>
      <c r="M4952" t="s">
        <v>0</v>
      </c>
      <c r="N4952" s="3">
        <v>0.56999999999999995</v>
      </c>
      <c r="O4952" s="3">
        <v>0.43</v>
      </c>
      <c r="P4952">
        <v>10</v>
      </c>
      <c r="Q4952">
        <v>10</v>
      </c>
      <c r="R4952">
        <v>5</v>
      </c>
      <c r="S4952">
        <v>8</v>
      </c>
      <c r="T4952">
        <v>9</v>
      </c>
      <c r="U4952">
        <v>7</v>
      </c>
      <c r="V4952">
        <v>4</v>
      </c>
      <c r="W4952">
        <v>1</v>
      </c>
      <c r="X4952">
        <v>0</v>
      </c>
      <c r="Y4952">
        <v>0</v>
      </c>
      <c r="Z4952">
        <v>0</v>
      </c>
    </row>
    <row r="4953" spans="1:26" x14ac:dyDescent="0.2">
      <c r="A4953" t="s">
        <v>5071</v>
      </c>
      <c r="B4953" t="s">
        <v>104</v>
      </c>
      <c r="C4953">
        <v>2022</v>
      </c>
      <c r="D4953" t="s">
        <v>22</v>
      </c>
      <c r="E4953" t="s">
        <v>31</v>
      </c>
      <c r="F4953" t="s">
        <v>24</v>
      </c>
      <c r="G4953">
        <v>31750</v>
      </c>
      <c r="H4953">
        <v>25400</v>
      </c>
      <c r="I4953" s="13">
        <v>0.66666666666666663</v>
      </c>
      <c r="J4953" t="s">
        <v>6206</v>
      </c>
      <c r="K4953">
        <v>0</v>
      </c>
      <c r="L4953">
        <v>0</v>
      </c>
      <c r="M4953" t="s">
        <v>58</v>
      </c>
      <c r="N4953" s="3">
        <v>0.6</v>
      </c>
      <c r="O4953" s="3">
        <v>0.4</v>
      </c>
      <c r="P4953">
        <v>13</v>
      </c>
      <c r="Q4953">
        <v>7</v>
      </c>
      <c r="R4953">
        <v>5</v>
      </c>
      <c r="S4953">
        <v>3</v>
      </c>
      <c r="T4953">
        <v>7</v>
      </c>
      <c r="U4953">
        <v>14</v>
      </c>
      <c r="V4953">
        <v>3</v>
      </c>
      <c r="W4953">
        <v>3</v>
      </c>
      <c r="X4953">
        <v>0</v>
      </c>
      <c r="Y4953">
        <v>0</v>
      </c>
      <c r="Z4953">
        <v>1</v>
      </c>
    </row>
    <row r="4954" spans="1:26" x14ac:dyDescent="0.2">
      <c r="A4954" t="s">
        <v>5072</v>
      </c>
      <c r="B4954" t="s">
        <v>105</v>
      </c>
      <c r="C4954">
        <v>2022</v>
      </c>
      <c r="D4954" t="s">
        <v>73</v>
      </c>
      <c r="E4954" t="s">
        <v>33</v>
      </c>
      <c r="F4954" t="s">
        <v>73</v>
      </c>
      <c r="G4954">
        <v>32384</v>
      </c>
      <c r="H4954">
        <v>25907.200000000001</v>
      </c>
      <c r="I4954" s="13">
        <v>0.75</v>
      </c>
      <c r="J4954" t="s">
        <v>6207</v>
      </c>
      <c r="K4954">
        <v>2</v>
      </c>
      <c r="L4954">
        <v>2</v>
      </c>
      <c r="M4954" t="s">
        <v>58</v>
      </c>
      <c r="N4954" s="3">
        <v>0.43</v>
      </c>
      <c r="O4954" s="3">
        <v>0.56999999999999995</v>
      </c>
      <c r="P4954">
        <v>13</v>
      </c>
      <c r="Q4954">
        <v>10</v>
      </c>
      <c r="R4954">
        <v>2</v>
      </c>
      <c r="S4954">
        <v>5</v>
      </c>
      <c r="T4954">
        <v>10</v>
      </c>
      <c r="U4954">
        <v>12</v>
      </c>
      <c r="V4954">
        <v>1</v>
      </c>
      <c r="W4954">
        <v>3</v>
      </c>
      <c r="X4954">
        <v>0</v>
      </c>
      <c r="Y4954">
        <v>0</v>
      </c>
      <c r="Z4954">
        <v>0</v>
      </c>
    </row>
    <row r="4955" spans="1:26" x14ac:dyDescent="0.2">
      <c r="A4955" t="s">
        <v>5073</v>
      </c>
      <c r="B4955" t="s">
        <v>93</v>
      </c>
      <c r="C4955">
        <v>2022</v>
      </c>
      <c r="D4955" t="s">
        <v>40</v>
      </c>
      <c r="E4955" t="s">
        <v>86</v>
      </c>
      <c r="F4955" t="s">
        <v>49</v>
      </c>
      <c r="G4955">
        <v>53400</v>
      </c>
      <c r="H4955">
        <v>42720</v>
      </c>
      <c r="I4955" s="13">
        <v>0</v>
      </c>
      <c r="J4955" t="s">
        <v>6206</v>
      </c>
      <c r="K4955">
        <v>4</v>
      </c>
      <c r="L4955">
        <v>0</v>
      </c>
      <c r="M4955" t="s">
        <v>0</v>
      </c>
      <c r="N4955" s="3">
        <v>0.67</v>
      </c>
      <c r="O4955" s="3">
        <v>0.33</v>
      </c>
      <c r="P4955">
        <v>9</v>
      </c>
      <c r="Q4955">
        <v>11</v>
      </c>
      <c r="R4955">
        <v>11</v>
      </c>
      <c r="S4955">
        <v>1</v>
      </c>
      <c r="T4955">
        <v>9</v>
      </c>
      <c r="U4955">
        <v>9</v>
      </c>
      <c r="V4955">
        <v>0</v>
      </c>
      <c r="W4955">
        <v>3</v>
      </c>
      <c r="X4955">
        <v>0</v>
      </c>
      <c r="Y4955">
        <v>0</v>
      </c>
      <c r="Z4955">
        <v>0</v>
      </c>
    </row>
    <row r="4956" spans="1:26" x14ac:dyDescent="0.2">
      <c r="A4956" t="s">
        <v>5074</v>
      </c>
      <c r="B4956" t="s">
        <v>83</v>
      </c>
      <c r="C4956">
        <v>2022</v>
      </c>
      <c r="D4956" t="s">
        <v>90</v>
      </c>
      <c r="E4956" t="s">
        <v>64</v>
      </c>
      <c r="F4956" t="s">
        <v>91</v>
      </c>
      <c r="G4956">
        <v>31876</v>
      </c>
      <c r="H4956">
        <v>25500.800000000003</v>
      </c>
      <c r="I4956" s="13">
        <v>0.8</v>
      </c>
      <c r="J4956" t="s">
        <v>6208</v>
      </c>
      <c r="K4956">
        <v>0</v>
      </c>
      <c r="L4956">
        <v>0</v>
      </c>
      <c r="M4956" t="s">
        <v>58</v>
      </c>
      <c r="N4956" s="3">
        <v>0.55000000000000004</v>
      </c>
      <c r="O4956" s="3">
        <v>0.45</v>
      </c>
      <c r="P4956">
        <v>10</v>
      </c>
      <c r="Q4956">
        <v>8</v>
      </c>
      <c r="R4956">
        <v>7</v>
      </c>
      <c r="S4956">
        <v>3</v>
      </c>
      <c r="T4956">
        <v>8</v>
      </c>
      <c r="U4956">
        <v>6</v>
      </c>
      <c r="V4956">
        <v>2</v>
      </c>
      <c r="W4956">
        <v>3</v>
      </c>
      <c r="X4956">
        <v>0</v>
      </c>
      <c r="Y4956">
        <v>0</v>
      </c>
      <c r="Z4956">
        <v>0</v>
      </c>
    </row>
    <row r="4957" spans="1:26" x14ac:dyDescent="0.2">
      <c r="A4957" t="s">
        <v>5075</v>
      </c>
      <c r="B4957" t="s">
        <v>100</v>
      </c>
      <c r="C4957">
        <v>2022</v>
      </c>
      <c r="D4957" t="s">
        <v>46</v>
      </c>
      <c r="E4957" t="s">
        <v>80</v>
      </c>
      <c r="F4957" t="s">
        <v>20</v>
      </c>
      <c r="G4957">
        <v>60704</v>
      </c>
      <c r="H4957">
        <v>48563.200000000004</v>
      </c>
      <c r="I4957" s="13">
        <v>1</v>
      </c>
      <c r="J4957" t="s">
        <v>6207</v>
      </c>
      <c r="K4957">
        <v>4</v>
      </c>
      <c r="L4957">
        <v>2</v>
      </c>
      <c r="M4957" t="s">
        <v>0</v>
      </c>
      <c r="N4957" s="3">
        <v>0.5</v>
      </c>
      <c r="O4957" s="3">
        <v>0.5</v>
      </c>
      <c r="P4957">
        <v>12</v>
      </c>
      <c r="Q4957">
        <v>15</v>
      </c>
      <c r="R4957">
        <v>6</v>
      </c>
      <c r="S4957">
        <v>2</v>
      </c>
      <c r="T4957">
        <v>15</v>
      </c>
      <c r="U4957">
        <v>9</v>
      </c>
      <c r="V4957">
        <v>1</v>
      </c>
      <c r="W4957">
        <v>1</v>
      </c>
      <c r="X4957">
        <v>0</v>
      </c>
      <c r="Y4957">
        <v>0</v>
      </c>
      <c r="Z4957">
        <v>0</v>
      </c>
    </row>
    <row r="4958" spans="1:26" x14ac:dyDescent="0.2">
      <c r="A4958" t="s">
        <v>5076</v>
      </c>
      <c r="B4958" t="s">
        <v>59</v>
      </c>
      <c r="C4958">
        <v>2022</v>
      </c>
      <c r="D4958" t="s">
        <v>101</v>
      </c>
      <c r="E4958" t="s">
        <v>48</v>
      </c>
      <c r="F4958" t="s">
        <v>101</v>
      </c>
      <c r="G4958">
        <v>17250</v>
      </c>
      <c r="H4958">
        <v>13800</v>
      </c>
      <c r="I4958" s="13">
        <v>0.25</v>
      </c>
      <c r="J4958" t="s">
        <v>6206</v>
      </c>
      <c r="K4958">
        <v>4</v>
      </c>
      <c r="L4958">
        <v>0</v>
      </c>
      <c r="M4958" t="s">
        <v>0</v>
      </c>
      <c r="N4958" s="3">
        <v>0.33</v>
      </c>
      <c r="O4958" s="3">
        <v>0.67</v>
      </c>
      <c r="P4958">
        <v>14</v>
      </c>
      <c r="Q4958">
        <v>7</v>
      </c>
      <c r="R4958">
        <v>8</v>
      </c>
      <c r="S4958">
        <v>2</v>
      </c>
      <c r="T4958">
        <v>6</v>
      </c>
      <c r="U4958">
        <v>15</v>
      </c>
      <c r="V4958">
        <v>0</v>
      </c>
      <c r="W4958">
        <v>4</v>
      </c>
      <c r="X4958">
        <v>0</v>
      </c>
      <c r="Y4958">
        <v>0</v>
      </c>
      <c r="Z4958">
        <v>0</v>
      </c>
    </row>
    <row r="4959" spans="1:26" x14ac:dyDescent="0.2">
      <c r="A4959" t="s">
        <v>5077</v>
      </c>
      <c r="B4959" t="s">
        <v>99</v>
      </c>
      <c r="C4959">
        <v>2022</v>
      </c>
      <c r="D4959" t="s">
        <v>94</v>
      </c>
      <c r="E4959" t="s">
        <v>23</v>
      </c>
      <c r="F4959" t="s">
        <v>106</v>
      </c>
      <c r="G4959">
        <v>30445</v>
      </c>
      <c r="H4959">
        <v>24356</v>
      </c>
      <c r="I4959" s="13">
        <v>0</v>
      </c>
      <c r="J4959" t="s">
        <v>6207</v>
      </c>
      <c r="K4959">
        <v>1</v>
      </c>
      <c r="L4959">
        <v>0</v>
      </c>
      <c r="M4959" t="s">
        <v>0</v>
      </c>
      <c r="N4959" s="3">
        <v>0.43</v>
      </c>
      <c r="O4959" s="3">
        <v>0.56999999999999995</v>
      </c>
      <c r="P4959">
        <v>11</v>
      </c>
      <c r="Q4959">
        <v>10</v>
      </c>
      <c r="R4959">
        <v>6</v>
      </c>
      <c r="S4959">
        <v>7</v>
      </c>
      <c r="T4959">
        <v>10</v>
      </c>
      <c r="U4959">
        <v>11</v>
      </c>
      <c r="V4959">
        <v>4</v>
      </c>
      <c r="W4959">
        <v>1</v>
      </c>
      <c r="X4959">
        <v>0</v>
      </c>
      <c r="Y4959">
        <v>0</v>
      </c>
      <c r="Z4959">
        <v>1</v>
      </c>
    </row>
    <row r="4960" spans="1:26" x14ac:dyDescent="0.2">
      <c r="A4960" t="s">
        <v>5078</v>
      </c>
      <c r="B4960" t="s">
        <v>61</v>
      </c>
      <c r="C4960">
        <v>2022</v>
      </c>
      <c r="D4960" t="s">
        <v>18</v>
      </c>
      <c r="E4960" t="s">
        <v>51</v>
      </c>
      <c r="F4960" t="s">
        <v>20</v>
      </c>
      <c r="G4960">
        <v>40341</v>
      </c>
      <c r="H4960">
        <v>32272.800000000003</v>
      </c>
      <c r="I4960" s="13">
        <v>0.2857142857142857</v>
      </c>
      <c r="J4960" t="s">
        <v>6207</v>
      </c>
      <c r="K4960">
        <v>2</v>
      </c>
      <c r="L4960">
        <v>2</v>
      </c>
      <c r="M4960" t="s">
        <v>58</v>
      </c>
      <c r="N4960" s="3">
        <v>0.64</v>
      </c>
      <c r="O4960" s="3">
        <v>0.36</v>
      </c>
      <c r="P4960">
        <v>7</v>
      </c>
      <c r="Q4960">
        <v>9</v>
      </c>
      <c r="R4960">
        <v>8</v>
      </c>
      <c r="S4960">
        <v>5</v>
      </c>
      <c r="T4960">
        <v>9</v>
      </c>
      <c r="U4960">
        <v>9</v>
      </c>
      <c r="V4960">
        <v>4</v>
      </c>
      <c r="W4960">
        <v>1</v>
      </c>
      <c r="X4960">
        <v>1</v>
      </c>
      <c r="Y4960">
        <v>1</v>
      </c>
      <c r="Z4960">
        <v>0</v>
      </c>
    </row>
    <row r="4961" spans="1:26" x14ac:dyDescent="0.2">
      <c r="A4961" t="s">
        <v>5079</v>
      </c>
      <c r="B4961" t="s">
        <v>81</v>
      </c>
      <c r="C4961">
        <v>2022</v>
      </c>
      <c r="D4961" t="s">
        <v>26</v>
      </c>
      <c r="E4961" t="s">
        <v>79</v>
      </c>
      <c r="F4961" t="s">
        <v>26</v>
      </c>
      <c r="G4961">
        <v>61276</v>
      </c>
      <c r="H4961">
        <v>49020.800000000003</v>
      </c>
      <c r="I4961" s="13">
        <v>0.8571428571428571</v>
      </c>
      <c r="J4961" t="s">
        <v>6207</v>
      </c>
      <c r="K4961">
        <v>1</v>
      </c>
      <c r="L4961">
        <v>1</v>
      </c>
      <c r="M4961" t="s">
        <v>58</v>
      </c>
      <c r="N4961" s="3">
        <v>0.73</v>
      </c>
      <c r="O4961" s="3">
        <v>0.27</v>
      </c>
      <c r="P4961">
        <v>9</v>
      </c>
      <c r="Q4961">
        <v>10</v>
      </c>
      <c r="R4961">
        <v>4</v>
      </c>
      <c r="S4961">
        <v>2</v>
      </c>
      <c r="T4961">
        <v>7</v>
      </c>
      <c r="U4961">
        <v>8</v>
      </c>
      <c r="V4961">
        <v>2</v>
      </c>
      <c r="W4961">
        <v>4</v>
      </c>
      <c r="X4961">
        <v>1</v>
      </c>
      <c r="Y4961">
        <v>0</v>
      </c>
      <c r="Z4961">
        <v>0</v>
      </c>
    </row>
    <row r="4962" spans="1:26" x14ac:dyDescent="0.2">
      <c r="A4962" t="s">
        <v>5080</v>
      </c>
      <c r="B4962" t="s">
        <v>84</v>
      </c>
      <c r="C4962">
        <v>2022</v>
      </c>
      <c r="D4962" t="s">
        <v>51</v>
      </c>
      <c r="E4962" t="s">
        <v>22</v>
      </c>
      <c r="F4962" t="s">
        <v>20</v>
      </c>
      <c r="G4962">
        <v>36284</v>
      </c>
      <c r="H4962">
        <v>29027.200000000001</v>
      </c>
      <c r="I4962" s="13">
        <v>0.75</v>
      </c>
      <c r="J4962" t="s">
        <v>6208</v>
      </c>
      <c r="K4962">
        <v>1</v>
      </c>
      <c r="L4962">
        <v>0</v>
      </c>
      <c r="M4962" t="s">
        <v>0</v>
      </c>
      <c r="N4962" s="3">
        <v>0.5</v>
      </c>
      <c r="O4962" s="3">
        <v>0.5</v>
      </c>
      <c r="P4962">
        <v>7</v>
      </c>
      <c r="Q4962">
        <v>10</v>
      </c>
      <c r="R4962">
        <v>8</v>
      </c>
      <c r="S4962">
        <v>6</v>
      </c>
      <c r="T4962">
        <v>10</v>
      </c>
      <c r="U4962">
        <v>8</v>
      </c>
      <c r="V4962">
        <v>2</v>
      </c>
      <c r="W4962">
        <v>2</v>
      </c>
      <c r="X4962">
        <v>0</v>
      </c>
      <c r="Y4962">
        <v>0</v>
      </c>
      <c r="Z4962">
        <v>0</v>
      </c>
    </row>
    <row r="4963" spans="1:26" x14ac:dyDescent="0.2">
      <c r="A4963" t="s">
        <v>5081</v>
      </c>
      <c r="B4963" t="s">
        <v>103</v>
      </c>
      <c r="C4963">
        <v>2022</v>
      </c>
      <c r="D4963" t="s">
        <v>80</v>
      </c>
      <c r="E4963" t="s">
        <v>73</v>
      </c>
      <c r="F4963" t="s">
        <v>80</v>
      </c>
      <c r="G4963">
        <v>32261</v>
      </c>
      <c r="H4963">
        <v>25808.800000000003</v>
      </c>
      <c r="I4963" s="13">
        <v>0.8</v>
      </c>
      <c r="J4963" t="s">
        <v>6207</v>
      </c>
      <c r="K4963">
        <v>1</v>
      </c>
      <c r="L4963">
        <v>2</v>
      </c>
      <c r="M4963" t="s">
        <v>1</v>
      </c>
      <c r="N4963" s="3">
        <v>0.62</v>
      </c>
      <c r="O4963" s="3">
        <v>0.38</v>
      </c>
      <c r="P4963">
        <v>14</v>
      </c>
      <c r="Q4963">
        <v>11</v>
      </c>
      <c r="R4963">
        <v>2</v>
      </c>
      <c r="S4963">
        <v>5</v>
      </c>
      <c r="T4963">
        <v>11</v>
      </c>
      <c r="U4963">
        <v>15</v>
      </c>
      <c r="V4963">
        <v>2</v>
      </c>
      <c r="W4963">
        <v>3</v>
      </c>
      <c r="X4963">
        <v>0</v>
      </c>
      <c r="Y4963">
        <v>0</v>
      </c>
      <c r="Z4963">
        <v>0</v>
      </c>
    </row>
    <row r="4964" spans="1:26" x14ac:dyDescent="0.2">
      <c r="A4964" t="s">
        <v>5082</v>
      </c>
      <c r="B4964" t="s">
        <v>97</v>
      </c>
      <c r="C4964">
        <v>2022</v>
      </c>
      <c r="D4964" t="s">
        <v>31</v>
      </c>
      <c r="E4964" t="s">
        <v>101</v>
      </c>
      <c r="F4964" t="s">
        <v>20</v>
      </c>
      <c r="G4964">
        <v>28500</v>
      </c>
      <c r="H4964">
        <v>22800</v>
      </c>
      <c r="I4964" s="13">
        <v>0.6</v>
      </c>
      <c r="J4964" t="s">
        <v>6207</v>
      </c>
      <c r="K4964">
        <v>3</v>
      </c>
      <c r="L4964">
        <v>2</v>
      </c>
      <c r="M4964" t="s">
        <v>0</v>
      </c>
      <c r="N4964" s="3">
        <v>0.44</v>
      </c>
      <c r="O4964" s="3">
        <v>0.56000000000000005</v>
      </c>
      <c r="P4964">
        <v>13</v>
      </c>
      <c r="Q4964">
        <v>18</v>
      </c>
      <c r="R4964">
        <v>6</v>
      </c>
      <c r="S4964">
        <v>3</v>
      </c>
      <c r="T4964">
        <v>13</v>
      </c>
      <c r="U4964">
        <v>7</v>
      </c>
      <c r="V4964">
        <v>3</v>
      </c>
      <c r="W4964">
        <v>2</v>
      </c>
      <c r="X4964">
        <v>0</v>
      </c>
      <c r="Y4964">
        <v>0</v>
      </c>
      <c r="Z4964">
        <v>0</v>
      </c>
    </row>
    <row r="4965" spans="1:26" x14ac:dyDescent="0.2">
      <c r="A4965" t="s">
        <v>5083</v>
      </c>
      <c r="B4965" t="s">
        <v>37</v>
      </c>
      <c r="C4965">
        <v>2022</v>
      </c>
      <c r="D4965" t="s">
        <v>45</v>
      </c>
      <c r="E4965" t="s">
        <v>94</v>
      </c>
      <c r="F4965" t="s">
        <v>26</v>
      </c>
      <c r="G4965">
        <v>39572</v>
      </c>
      <c r="H4965">
        <v>31657.600000000002</v>
      </c>
      <c r="I4965" s="13">
        <v>0.4</v>
      </c>
      <c r="J4965" t="s">
        <v>6206</v>
      </c>
      <c r="K4965">
        <v>1</v>
      </c>
      <c r="L4965">
        <v>1</v>
      </c>
      <c r="M4965" t="s">
        <v>58</v>
      </c>
      <c r="N4965" s="3">
        <v>0.48</v>
      </c>
      <c r="O4965" s="3">
        <v>0.52</v>
      </c>
      <c r="P4965">
        <v>7</v>
      </c>
      <c r="Q4965">
        <v>12</v>
      </c>
      <c r="R4965">
        <v>6</v>
      </c>
      <c r="S4965">
        <v>2</v>
      </c>
      <c r="T4965">
        <v>6</v>
      </c>
      <c r="U4965">
        <v>9</v>
      </c>
      <c r="V4965">
        <v>3</v>
      </c>
      <c r="W4965">
        <v>2</v>
      </c>
      <c r="X4965">
        <v>0</v>
      </c>
      <c r="Y4965">
        <v>0</v>
      </c>
      <c r="Z4965">
        <v>0</v>
      </c>
    </row>
    <row r="4966" spans="1:26" x14ac:dyDescent="0.2">
      <c r="A4966" t="s">
        <v>5084</v>
      </c>
      <c r="B4966" t="s">
        <v>92</v>
      </c>
      <c r="C4966">
        <v>2022</v>
      </c>
      <c r="D4966" t="s">
        <v>79</v>
      </c>
      <c r="E4966" t="s">
        <v>42</v>
      </c>
      <c r="F4966" t="s">
        <v>20</v>
      </c>
      <c r="G4966">
        <v>25486</v>
      </c>
      <c r="H4966">
        <v>20388.800000000003</v>
      </c>
      <c r="I4966" s="13">
        <v>0.66666666666666663</v>
      </c>
      <c r="J4966" t="s">
        <v>6207</v>
      </c>
      <c r="K4966">
        <v>3</v>
      </c>
      <c r="L4966">
        <v>1</v>
      </c>
      <c r="M4966" t="s">
        <v>0</v>
      </c>
      <c r="N4966" s="3">
        <v>0.51</v>
      </c>
      <c r="O4966" s="3">
        <v>0.49</v>
      </c>
      <c r="P4966">
        <v>13</v>
      </c>
      <c r="Q4966">
        <v>16</v>
      </c>
      <c r="R4966">
        <v>4</v>
      </c>
      <c r="S4966">
        <v>2</v>
      </c>
      <c r="T4966">
        <v>16</v>
      </c>
      <c r="U4966">
        <v>14</v>
      </c>
      <c r="V4966">
        <v>2</v>
      </c>
      <c r="W4966">
        <v>1</v>
      </c>
      <c r="X4966">
        <v>0</v>
      </c>
      <c r="Y4966">
        <v>0</v>
      </c>
      <c r="Z4966">
        <v>1</v>
      </c>
    </row>
    <row r="4967" spans="1:26" x14ac:dyDescent="0.2">
      <c r="A4967" t="s">
        <v>5085</v>
      </c>
      <c r="B4967" t="s">
        <v>76</v>
      </c>
      <c r="C4967">
        <v>2022</v>
      </c>
      <c r="D4967" t="s">
        <v>86</v>
      </c>
      <c r="E4967" t="s">
        <v>46</v>
      </c>
      <c r="F4967" t="s">
        <v>86</v>
      </c>
      <c r="G4967">
        <v>11364</v>
      </c>
      <c r="H4967">
        <v>9091.2000000000007</v>
      </c>
      <c r="I4967" s="13">
        <v>0.66666666666666663</v>
      </c>
      <c r="J4967" t="s">
        <v>6207</v>
      </c>
      <c r="K4967">
        <v>0</v>
      </c>
      <c r="L4967">
        <v>3</v>
      </c>
      <c r="M4967" t="s">
        <v>1</v>
      </c>
      <c r="N4967" s="3">
        <v>0.42</v>
      </c>
      <c r="O4967" s="3">
        <v>0.57999999999999996</v>
      </c>
      <c r="P4967">
        <v>12</v>
      </c>
      <c r="Q4967">
        <v>11</v>
      </c>
      <c r="R4967">
        <v>3</v>
      </c>
      <c r="S4967">
        <v>4</v>
      </c>
      <c r="T4967">
        <v>12</v>
      </c>
      <c r="U4967">
        <v>10</v>
      </c>
      <c r="V4967">
        <v>2</v>
      </c>
      <c r="W4967">
        <v>1</v>
      </c>
      <c r="X4967">
        <v>0</v>
      </c>
      <c r="Y4967">
        <v>0</v>
      </c>
      <c r="Z4967">
        <v>0</v>
      </c>
    </row>
    <row r="4968" spans="1:26" x14ac:dyDescent="0.2">
      <c r="A4968" t="s">
        <v>5086</v>
      </c>
      <c r="B4968" t="s">
        <v>61</v>
      </c>
      <c r="C4968">
        <v>2022</v>
      </c>
      <c r="D4968" t="s">
        <v>23</v>
      </c>
      <c r="E4968" t="s">
        <v>90</v>
      </c>
      <c r="F4968" t="s">
        <v>20</v>
      </c>
      <c r="G4968">
        <v>62500</v>
      </c>
      <c r="H4968">
        <v>50000</v>
      </c>
      <c r="I4968" s="13">
        <v>0.5</v>
      </c>
      <c r="J4968" t="s">
        <v>6207</v>
      </c>
      <c r="K4968">
        <v>0</v>
      </c>
      <c r="L4968">
        <v>2</v>
      </c>
      <c r="M4968" t="s">
        <v>1</v>
      </c>
      <c r="N4968" s="3">
        <v>0.49</v>
      </c>
      <c r="O4968" s="3">
        <v>0.51</v>
      </c>
      <c r="P4968">
        <v>8</v>
      </c>
      <c r="Q4968">
        <v>12</v>
      </c>
      <c r="R4968">
        <v>5</v>
      </c>
      <c r="S4968">
        <v>4</v>
      </c>
      <c r="T4968">
        <v>10</v>
      </c>
      <c r="U4968">
        <v>7</v>
      </c>
      <c r="V4968">
        <v>2</v>
      </c>
      <c r="W4968">
        <v>0</v>
      </c>
      <c r="X4968">
        <v>0</v>
      </c>
      <c r="Y4968">
        <v>0</v>
      </c>
      <c r="Z4968">
        <v>1</v>
      </c>
    </row>
    <row r="4969" spans="1:26" x14ac:dyDescent="0.2">
      <c r="A4969" t="s">
        <v>5087</v>
      </c>
      <c r="B4969" t="s">
        <v>59</v>
      </c>
      <c r="C4969">
        <v>2022</v>
      </c>
      <c r="D4969" t="s">
        <v>33</v>
      </c>
      <c r="E4969" t="s">
        <v>18</v>
      </c>
      <c r="F4969" t="s">
        <v>33</v>
      </c>
      <c r="G4969">
        <v>37645</v>
      </c>
      <c r="H4969">
        <v>30116</v>
      </c>
      <c r="I4969" s="13">
        <v>0.33333333333333331</v>
      </c>
      <c r="J4969" t="s">
        <v>6206</v>
      </c>
      <c r="K4969">
        <v>3</v>
      </c>
      <c r="L4969">
        <v>0</v>
      </c>
      <c r="M4969" t="s">
        <v>0</v>
      </c>
      <c r="N4969" s="3">
        <v>0.4</v>
      </c>
      <c r="O4969" s="3">
        <v>0.6</v>
      </c>
      <c r="P4969">
        <v>22</v>
      </c>
      <c r="Q4969">
        <v>17</v>
      </c>
      <c r="R4969">
        <v>4</v>
      </c>
      <c r="S4969">
        <v>6</v>
      </c>
      <c r="T4969">
        <v>16</v>
      </c>
      <c r="U4969">
        <v>15</v>
      </c>
      <c r="V4969">
        <v>0</v>
      </c>
      <c r="W4969">
        <v>2</v>
      </c>
      <c r="X4969">
        <v>0</v>
      </c>
      <c r="Y4969">
        <v>1</v>
      </c>
      <c r="Z4969">
        <v>0</v>
      </c>
    </row>
    <row r="4970" spans="1:26" x14ac:dyDescent="0.2">
      <c r="A4970" t="s">
        <v>5088</v>
      </c>
      <c r="B4970" t="s">
        <v>102</v>
      </c>
      <c r="C4970">
        <v>2022</v>
      </c>
      <c r="D4970" t="s">
        <v>64</v>
      </c>
      <c r="E4970" t="s">
        <v>40</v>
      </c>
      <c r="F4970" t="s">
        <v>64</v>
      </c>
      <c r="G4970">
        <v>52264</v>
      </c>
      <c r="H4970">
        <v>41811.200000000004</v>
      </c>
      <c r="I4970" s="13">
        <v>0.66666666666666663</v>
      </c>
      <c r="J4970" t="s">
        <v>6209</v>
      </c>
      <c r="K4970">
        <v>3</v>
      </c>
      <c r="L4970">
        <v>3</v>
      </c>
      <c r="M4970" t="s">
        <v>58</v>
      </c>
      <c r="N4970" s="3">
        <v>0.31</v>
      </c>
      <c r="O4970" s="3">
        <v>0.69</v>
      </c>
      <c r="P4970">
        <v>8</v>
      </c>
      <c r="Q4970">
        <v>16</v>
      </c>
      <c r="R4970">
        <v>5</v>
      </c>
      <c r="S4970">
        <v>5</v>
      </c>
      <c r="T4970">
        <v>14</v>
      </c>
      <c r="U4970">
        <v>7</v>
      </c>
      <c r="V4970">
        <v>4</v>
      </c>
      <c r="W4970">
        <v>2</v>
      </c>
      <c r="X4970">
        <v>0</v>
      </c>
      <c r="Y4970">
        <v>0</v>
      </c>
      <c r="Z4970">
        <v>0</v>
      </c>
    </row>
    <row r="4971" spans="1:26" x14ac:dyDescent="0.2">
      <c r="A4971" t="s">
        <v>5089</v>
      </c>
      <c r="B4971" t="s">
        <v>66</v>
      </c>
      <c r="C4971">
        <v>2022</v>
      </c>
      <c r="D4971" t="s">
        <v>48</v>
      </c>
      <c r="E4971" t="s">
        <v>26</v>
      </c>
      <c r="F4971" t="s">
        <v>49</v>
      </c>
      <c r="G4971">
        <v>74197</v>
      </c>
      <c r="H4971">
        <v>59357.600000000006</v>
      </c>
      <c r="I4971" s="13">
        <v>0.75</v>
      </c>
      <c r="J4971" t="s">
        <v>6207</v>
      </c>
      <c r="K4971">
        <v>2</v>
      </c>
      <c r="L4971">
        <v>1</v>
      </c>
      <c r="M4971" t="s">
        <v>0</v>
      </c>
      <c r="N4971" s="3">
        <v>0.3</v>
      </c>
      <c r="O4971" s="3">
        <v>0.7</v>
      </c>
      <c r="P4971">
        <v>6</v>
      </c>
      <c r="Q4971">
        <v>12</v>
      </c>
      <c r="R4971">
        <v>6</v>
      </c>
      <c r="S4971">
        <v>8</v>
      </c>
      <c r="T4971">
        <v>11</v>
      </c>
      <c r="U4971">
        <v>7</v>
      </c>
      <c r="V4971">
        <v>3</v>
      </c>
      <c r="W4971">
        <v>1</v>
      </c>
      <c r="X4971">
        <v>0</v>
      </c>
      <c r="Y4971">
        <v>0</v>
      </c>
      <c r="Z4971">
        <v>0</v>
      </c>
    </row>
    <row r="4972" spans="1:26" x14ac:dyDescent="0.2">
      <c r="A4972" t="s">
        <v>5090</v>
      </c>
      <c r="B4972" t="s">
        <v>92</v>
      </c>
      <c r="C4972">
        <v>2022</v>
      </c>
      <c r="D4972" t="s">
        <v>73</v>
      </c>
      <c r="E4972" t="s">
        <v>48</v>
      </c>
      <c r="F4972" t="s">
        <v>73</v>
      </c>
      <c r="G4972">
        <v>32384</v>
      </c>
      <c r="H4972">
        <v>25907.200000000001</v>
      </c>
      <c r="I4972" s="13">
        <v>0.66666666666666663</v>
      </c>
      <c r="J4972" t="s">
        <v>6207</v>
      </c>
      <c r="K4972">
        <v>0</v>
      </c>
      <c r="L4972">
        <v>1</v>
      </c>
      <c r="M4972" t="s">
        <v>1</v>
      </c>
      <c r="N4972" s="3">
        <v>0.48</v>
      </c>
      <c r="O4972" s="3">
        <v>0.52</v>
      </c>
      <c r="P4972">
        <v>13</v>
      </c>
      <c r="Q4972">
        <v>4</v>
      </c>
      <c r="R4972">
        <v>5</v>
      </c>
      <c r="S4972">
        <v>3</v>
      </c>
      <c r="T4972">
        <v>4</v>
      </c>
      <c r="U4972">
        <v>14</v>
      </c>
      <c r="V4972">
        <v>0</v>
      </c>
      <c r="W4972">
        <v>3</v>
      </c>
      <c r="X4972">
        <v>0</v>
      </c>
      <c r="Y4972">
        <v>0</v>
      </c>
      <c r="Z4972">
        <v>0</v>
      </c>
    </row>
    <row r="4973" spans="1:26" x14ac:dyDescent="0.2">
      <c r="A4973" t="s">
        <v>5091</v>
      </c>
      <c r="B4973" t="s">
        <v>100</v>
      </c>
      <c r="C4973">
        <v>2022</v>
      </c>
      <c r="D4973" t="s">
        <v>40</v>
      </c>
      <c r="E4973" t="s">
        <v>79</v>
      </c>
      <c r="F4973" t="s">
        <v>49</v>
      </c>
      <c r="G4973">
        <v>53400</v>
      </c>
      <c r="H4973">
        <v>42720</v>
      </c>
      <c r="I4973" s="13">
        <v>0.33333333333333331</v>
      </c>
      <c r="J4973" t="s">
        <v>6207</v>
      </c>
      <c r="K4973">
        <v>4</v>
      </c>
      <c r="L4973">
        <v>2</v>
      </c>
      <c r="M4973" t="s">
        <v>0</v>
      </c>
      <c r="N4973" s="3">
        <v>0.75</v>
      </c>
      <c r="O4973" s="3">
        <v>0.25</v>
      </c>
      <c r="P4973">
        <v>9</v>
      </c>
      <c r="Q4973">
        <v>14</v>
      </c>
      <c r="R4973">
        <v>6</v>
      </c>
      <c r="S4973">
        <v>1</v>
      </c>
      <c r="T4973">
        <v>14</v>
      </c>
      <c r="U4973">
        <v>8</v>
      </c>
      <c r="V4973">
        <v>1</v>
      </c>
      <c r="W4973">
        <v>2</v>
      </c>
      <c r="X4973">
        <v>0</v>
      </c>
      <c r="Y4973">
        <v>0</v>
      </c>
      <c r="Z4973">
        <v>0</v>
      </c>
    </row>
    <row r="4974" spans="1:26" x14ac:dyDescent="0.2">
      <c r="A4974" t="s">
        <v>5092</v>
      </c>
      <c r="B4974" t="s">
        <v>59</v>
      </c>
      <c r="C4974">
        <v>2022</v>
      </c>
      <c r="D4974" t="s">
        <v>26</v>
      </c>
      <c r="E4974" t="s">
        <v>86</v>
      </c>
      <c r="F4974" t="s">
        <v>26</v>
      </c>
      <c r="G4974">
        <v>61276</v>
      </c>
      <c r="H4974">
        <v>49020.800000000003</v>
      </c>
      <c r="I4974" s="13">
        <v>0</v>
      </c>
      <c r="J4974" t="s">
        <v>6206</v>
      </c>
      <c r="K4974">
        <v>9</v>
      </c>
      <c r="L4974">
        <v>0</v>
      </c>
      <c r="M4974" t="s">
        <v>0</v>
      </c>
      <c r="N4974" s="3">
        <v>0.69</v>
      </c>
      <c r="O4974" s="3">
        <v>0.31</v>
      </c>
      <c r="P4974">
        <v>6</v>
      </c>
      <c r="Q4974">
        <v>9</v>
      </c>
      <c r="R4974">
        <v>8</v>
      </c>
      <c r="S4974">
        <v>1</v>
      </c>
      <c r="T4974">
        <v>6</v>
      </c>
      <c r="U4974">
        <v>5</v>
      </c>
      <c r="V4974">
        <v>0</v>
      </c>
      <c r="W4974">
        <v>1</v>
      </c>
      <c r="X4974">
        <v>0</v>
      </c>
      <c r="Y4974">
        <v>0</v>
      </c>
      <c r="Z4974">
        <v>0</v>
      </c>
    </row>
    <row r="4975" spans="1:26" x14ac:dyDescent="0.2">
      <c r="A4975" t="s">
        <v>5093</v>
      </c>
      <c r="B4975" t="s">
        <v>81</v>
      </c>
      <c r="C4975">
        <v>2022</v>
      </c>
      <c r="D4975" t="s">
        <v>18</v>
      </c>
      <c r="E4975" t="s">
        <v>80</v>
      </c>
      <c r="F4975" t="s">
        <v>20</v>
      </c>
      <c r="G4975">
        <v>40341</v>
      </c>
      <c r="H4975">
        <v>32272.800000000003</v>
      </c>
      <c r="I4975" s="13">
        <v>0.4</v>
      </c>
      <c r="J4975" t="s">
        <v>6207</v>
      </c>
      <c r="K4975">
        <v>2</v>
      </c>
      <c r="L4975">
        <v>1</v>
      </c>
      <c r="M4975" t="s">
        <v>0</v>
      </c>
      <c r="N4975" s="3">
        <v>0.45</v>
      </c>
      <c r="O4975" s="3">
        <v>0.55000000000000004</v>
      </c>
      <c r="P4975">
        <v>7</v>
      </c>
      <c r="Q4975">
        <v>11</v>
      </c>
      <c r="R4975">
        <v>3</v>
      </c>
      <c r="S4975">
        <v>11</v>
      </c>
      <c r="T4975">
        <v>10</v>
      </c>
      <c r="U4975">
        <v>7</v>
      </c>
      <c r="V4975">
        <v>2</v>
      </c>
      <c r="W4975">
        <v>2</v>
      </c>
      <c r="X4975">
        <v>1</v>
      </c>
      <c r="Y4975">
        <v>0</v>
      </c>
      <c r="Z4975">
        <v>0</v>
      </c>
    </row>
    <row r="4976" spans="1:26" x14ac:dyDescent="0.2">
      <c r="A4976" t="s">
        <v>5094</v>
      </c>
      <c r="B4976" t="s">
        <v>103</v>
      </c>
      <c r="C4976">
        <v>2022</v>
      </c>
      <c r="D4976" t="s">
        <v>90</v>
      </c>
      <c r="E4976" t="s">
        <v>33</v>
      </c>
      <c r="F4976" t="s">
        <v>91</v>
      </c>
      <c r="G4976">
        <v>31876</v>
      </c>
      <c r="H4976">
        <v>25500.800000000003</v>
      </c>
      <c r="I4976" s="13">
        <v>0.66666666666666663</v>
      </c>
      <c r="J4976" t="s">
        <v>6207</v>
      </c>
      <c r="K4976">
        <v>1</v>
      </c>
      <c r="L4976">
        <v>0</v>
      </c>
      <c r="M4976" t="s">
        <v>0</v>
      </c>
      <c r="N4976" s="3">
        <v>0.43</v>
      </c>
      <c r="O4976" s="3">
        <v>0.56999999999999995</v>
      </c>
      <c r="P4976">
        <v>14</v>
      </c>
      <c r="Q4976">
        <v>9</v>
      </c>
      <c r="R4976">
        <v>5</v>
      </c>
      <c r="S4976">
        <v>3</v>
      </c>
      <c r="T4976">
        <v>10</v>
      </c>
      <c r="U4976">
        <v>14</v>
      </c>
      <c r="V4976">
        <v>2</v>
      </c>
      <c r="W4976">
        <v>4</v>
      </c>
      <c r="X4976">
        <v>0</v>
      </c>
      <c r="Y4976">
        <v>0</v>
      </c>
      <c r="Z4976">
        <v>0</v>
      </c>
    </row>
    <row r="4977" spans="1:26" x14ac:dyDescent="0.2">
      <c r="A4977" t="s">
        <v>5095</v>
      </c>
      <c r="B4977" t="s">
        <v>104</v>
      </c>
      <c r="C4977">
        <v>2022</v>
      </c>
      <c r="D4977" t="s">
        <v>101</v>
      </c>
      <c r="E4977" t="s">
        <v>45</v>
      </c>
      <c r="F4977" t="s">
        <v>101</v>
      </c>
      <c r="G4977">
        <v>17250</v>
      </c>
      <c r="H4977">
        <v>13800</v>
      </c>
      <c r="I4977" s="13">
        <v>0.25</v>
      </c>
      <c r="J4977" t="s">
        <v>6206</v>
      </c>
      <c r="K4977">
        <v>1</v>
      </c>
      <c r="L4977">
        <v>1</v>
      </c>
      <c r="M4977" t="s">
        <v>58</v>
      </c>
      <c r="N4977" s="3">
        <v>0.57999999999999996</v>
      </c>
      <c r="O4977" s="3">
        <v>0.42</v>
      </c>
      <c r="P4977">
        <v>10</v>
      </c>
      <c r="Q4977">
        <v>8</v>
      </c>
      <c r="R4977">
        <v>8</v>
      </c>
      <c r="S4977">
        <v>5</v>
      </c>
      <c r="T4977">
        <v>8</v>
      </c>
      <c r="U4977">
        <v>8</v>
      </c>
      <c r="V4977">
        <v>2</v>
      </c>
      <c r="W4977">
        <v>2</v>
      </c>
      <c r="X4977">
        <v>0</v>
      </c>
      <c r="Y4977">
        <v>0</v>
      </c>
      <c r="Z4977">
        <v>0</v>
      </c>
    </row>
    <row r="4978" spans="1:26" x14ac:dyDescent="0.2">
      <c r="A4978" t="s">
        <v>5096</v>
      </c>
      <c r="B4978" t="s">
        <v>102</v>
      </c>
      <c r="C4978">
        <v>2022</v>
      </c>
      <c r="D4978" t="s">
        <v>46</v>
      </c>
      <c r="E4978" t="s">
        <v>31</v>
      </c>
      <c r="F4978" t="s">
        <v>20</v>
      </c>
      <c r="G4978">
        <v>60704</v>
      </c>
      <c r="H4978">
        <v>48563.200000000004</v>
      </c>
      <c r="I4978" s="13">
        <v>0.8</v>
      </c>
      <c r="J4978" t="s">
        <v>6209</v>
      </c>
      <c r="K4978">
        <v>2</v>
      </c>
      <c r="L4978">
        <v>1</v>
      </c>
      <c r="M4978" t="s">
        <v>0</v>
      </c>
      <c r="N4978" s="3">
        <v>0.72</v>
      </c>
      <c r="O4978" s="3">
        <v>0.28000000000000003</v>
      </c>
      <c r="P4978">
        <v>10</v>
      </c>
      <c r="Q4978">
        <v>7</v>
      </c>
      <c r="R4978">
        <v>9</v>
      </c>
      <c r="S4978">
        <v>2</v>
      </c>
      <c r="T4978">
        <v>6</v>
      </c>
      <c r="U4978">
        <v>12</v>
      </c>
      <c r="V4978">
        <v>2</v>
      </c>
      <c r="W4978">
        <v>3</v>
      </c>
      <c r="X4978">
        <v>0</v>
      </c>
      <c r="Y4978">
        <v>0</v>
      </c>
      <c r="Z4978">
        <v>0</v>
      </c>
    </row>
    <row r="4979" spans="1:26" x14ac:dyDescent="0.2">
      <c r="A4979" t="s">
        <v>5097</v>
      </c>
      <c r="B4979" t="s">
        <v>97</v>
      </c>
      <c r="C4979">
        <v>2022</v>
      </c>
      <c r="D4979" t="s">
        <v>22</v>
      </c>
      <c r="E4979" t="s">
        <v>64</v>
      </c>
      <c r="F4979" t="s">
        <v>24</v>
      </c>
      <c r="G4979">
        <v>31750</v>
      </c>
      <c r="H4979">
        <v>25400</v>
      </c>
      <c r="I4979" s="13">
        <v>1</v>
      </c>
      <c r="J4979" t="s">
        <v>6207</v>
      </c>
      <c r="K4979">
        <v>1</v>
      </c>
      <c r="L4979">
        <v>1</v>
      </c>
      <c r="M4979" t="s">
        <v>58</v>
      </c>
      <c r="N4979" s="3">
        <v>0.36</v>
      </c>
      <c r="O4979" s="3">
        <v>0.64</v>
      </c>
      <c r="P4979">
        <v>12</v>
      </c>
      <c r="Q4979">
        <v>12</v>
      </c>
      <c r="R4979">
        <v>4</v>
      </c>
      <c r="S4979">
        <v>13</v>
      </c>
      <c r="T4979">
        <v>10</v>
      </c>
      <c r="U4979">
        <v>11</v>
      </c>
      <c r="V4979">
        <v>2</v>
      </c>
      <c r="W4979">
        <v>1</v>
      </c>
      <c r="X4979">
        <v>0</v>
      </c>
      <c r="Y4979">
        <v>0</v>
      </c>
      <c r="Z4979">
        <v>0</v>
      </c>
    </row>
    <row r="4980" spans="1:26" x14ac:dyDescent="0.2">
      <c r="A4980" t="s">
        <v>5098</v>
      </c>
      <c r="B4980" t="s">
        <v>93</v>
      </c>
      <c r="C4980">
        <v>2022</v>
      </c>
      <c r="D4980" t="s">
        <v>42</v>
      </c>
      <c r="E4980" t="s">
        <v>23</v>
      </c>
      <c r="F4980" t="s">
        <v>38</v>
      </c>
      <c r="G4980">
        <v>42918</v>
      </c>
      <c r="H4980">
        <v>34334.400000000001</v>
      </c>
      <c r="I4980" s="13">
        <v>1</v>
      </c>
      <c r="J4980" t="s">
        <v>6206</v>
      </c>
      <c r="K4980">
        <v>0</v>
      </c>
      <c r="L4980">
        <v>1</v>
      </c>
      <c r="M4980" t="s">
        <v>1</v>
      </c>
      <c r="N4980" s="3">
        <v>0.57999999999999996</v>
      </c>
      <c r="O4980" s="3">
        <v>0.42</v>
      </c>
      <c r="P4980">
        <v>10</v>
      </c>
      <c r="Q4980">
        <v>13</v>
      </c>
      <c r="R4980">
        <v>3</v>
      </c>
      <c r="S4980">
        <v>2</v>
      </c>
      <c r="T4980">
        <v>10</v>
      </c>
      <c r="U4980">
        <v>10</v>
      </c>
      <c r="V4980">
        <v>2</v>
      </c>
      <c r="W4980">
        <v>0</v>
      </c>
      <c r="X4980">
        <v>0</v>
      </c>
      <c r="Y4980">
        <v>0</v>
      </c>
      <c r="Z4980">
        <v>0</v>
      </c>
    </row>
    <row r="4981" spans="1:26" x14ac:dyDescent="0.2">
      <c r="A4981" t="s">
        <v>5099</v>
      </c>
      <c r="B4981" t="s">
        <v>76</v>
      </c>
      <c r="C4981">
        <v>2022</v>
      </c>
      <c r="D4981" t="s">
        <v>94</v>
      </c>
      <c r="E4981" t="s">
        <v>51</v>
      </c>
      <c r="F4981" t="s">
        <v>106</v>
      </c>
      <c r="G4981">
        <v>30445</v>
      </c>
      <c r="H4981">
        <v>24356</v>
      </c>
      <c r="I4981" s="13">
        <v>0.2857142857142857</v>
      </c>
      <c r="J4981" t="s">
        <v>6207</v>
      </c>
      <c r="K4981">
        <v>0</v>
      </c>
      <c r="L4981">
        <v>2</v>
      </c>
      <c r="M4981" t="s">
        <v>1</v>
      </c>
      <c r="N4981" s="3">
        <v>0.55000000000000004</v>
      </c>
      <c r="O4981" s="3">
        <v>0.45</v>
      </c>
      <c r="P4981">
        <v>13</v>
      </c>
      <c r="Q4981">
        <v>10</v>
      </c>
      <c r="R4981">
        <v>6</v>
      </c>
      <c r="S4981">
        <v>1</v>
      </c>
      <c r="T4981">
        <v>11</v>
      </c>
      <c r="U4981">
        <v>13</v>
      </c>
      <c r="V4981">
        <v>6</v>
      </c>
      <c r="W4981">
        <v>1</v>
      </c>
      <c r="X4981">
        <v>0</v>
      </c>
      <c r="Y4981">
        <v>0</v>
      </c>
      <c r="Z4981">
        <v>1</v>
      </c>
    </row>
    <row r="4982" spans="1:26" x14ac:dyDescent="0.2">
      <c r="A4982" t="s">
        <v>5100</v>
      </c>
      <c r="B4982" t="s">
        <v>107</v>
      </c>
      <c r="C4982">
        <v>2022</v>
      </c>
      <c r="D4982" t="s">
        <v>31</v>
      </c>
      <c r="E4982" t="s">
        <v>90</v>
      </c>
      <c r="F4982" t="s">
        <v>20</v>
      </c>
      <c r="G4982">
        <v>28500</v>
      </c>
      <c r="H4982">
        <v>22800</v>
      </c>
      <c r="I4982" s="13">
        <v>0.66666666666666663</v>
      </c>
      <c r="J4982" t="s">
        <v>6207</v>
      </c>
      <c r="K4982">
        <v>2</v>
      </c>
      <c r="L4982">
        <v>1</v>
      </c>
      <c r="M4982" t="s">
        <v>0</v>
      </c>
      <c r="N4982" s="3">
        <v>0.39</v>
      </c>
      <c r="O4982" s="3">
        <v>0.61</v>
      </c>
      <c r="P4982">
        <v>10</v>
      </c>
      <c r="Q4982">
        <v>7</v>
      </c>
      <c r="R4982">
        <v>3</v>
      </c>
      <c r="S4982">
        <v>3</v>
      </c>
      <c r="T4982">
        <v>9</v>
      </c>
      <c r="U4982">
        <v>11</v>
      </c>
      <c r="V4982">
        <v>2</v>
      </c>
      <c r="W4982">
        <v>1</v>
      </c>
      <c r="X4982">
        <v>0</v>
      </c>
      <c r="Y4982">
        <v>0</v>
      </c>
      <c r="Z4982">
        <v>1</v>
      </c>
    </row>
    <row r="4983" spans="1:26" x14ac:dyDescent="0.2">
      <c r="A4983" t="s">
        <v>5101</v>
      </c>
      <c r="B4983" t="s">
        <v>84</v>
      </c>
      <c r="C4983">
        <v>2022</v>
      </c>
      <c r="D4983" t="s">
        <v>79</v>
      </c>
      <c r="E4983" t="s">
        <v>101</v>
      </c>
      <c r="F4983" t="s">
        <v>20</v>
      </c>
      <c r="G4983">
        <v>25486</v>
      </c>
      <c r="H4983">
        <v>20388.800000000003</v>
      </c>
      <c r="I4983" s="13">
        <v>0.33333333333333331</v>
      </c>
      <c r="J4983" t="s">
        <v>6208</v>
      </c>
      <c r="K4983">
        <v>1</v>
      </c>
      <c r="L4983">
        <v>1</v>
      </c>
      <c r="M4983" t="s">
        <v>58</v>
      </c>
      <c r="N4983" s="3">
        <v>0.49</v>
      </c>
      <c r="O4983" s="3">
        <v>0.51</v>
      </c>
      <c r="P4983">
        <v>8</v>
      </c>
      <c r="Q4983">
        <v>10</v>
      </c>
      <c r="R4983">
        <v>4</v>
      </c>
      <c r="S4983">
        <v>6</v>
      </c>
      <c r="T4983">
        <v>11</v>
      </c>
      <c r="U4983">
        <v>8</v>
      </c>
      <c r="V4983">
        <v>1</v>
      </c>
      <c r="W4983">
        <v>2</v>
      </c>
      <c r="X4983">
        <v>0</v>
      </c>
      <c r="Y4983">
        <v>0</v>
      </c>
      <c r="Z4983">
        <v>0</v>
      </c>
    </row>
    <row r="4984" spans="1:26" x14ac:dyDescent="0.2">
      <c r="A4984" t="s">
        <v>5102</v>
      </c>
      <c r="B4984" t="s">
        <v>66</v>
      </c>
      <c r="C4984">
        <v>2022</v>
      </c>
      <c r="D4984" t="s">
        <v>73</v>
      </c>
      <c r="E4984" t="s">
        <v>18</v>
      </c>
      <c r="F4984" t="s">
        <v>73</v>
      </c>
      <c r="G4984">
        <v>32384</v>
      </c>
      <c r="H4984">
        <v>25907.200000000001</v>
      </c>
      <c r="I4984" s="13">
        <v>0.66666666666666663</v>
      </c>
      <c r="J4984" t="s">
        <v>6207</v>
      </c>
      <c r="K4984">
        <v>2</v>
      </c>
      <c r="L4984">
        <v>1</v>
      </c>
      <c r="M4984" t="s">
        <v>0</v>
      </c>
      <c r="N4984" s="3">
        <v>0.32</v>
      </c>
      <c r="O4984" s="3">
        <v>0.68</v>
      </c>
      <c r="P4984">
        <v>13</v>
      </c>
      <c r="Q4984">
        <v>14</v>
      </c>
      <c r="R4984">
        <v>5</v>
      </c>
      <c r="S4984">
        <v>3</v>
      </c>
      <c r="T4984">
        <v>15</v>
      </c>
      <c r="U4984">
        <v>10</v>
      </c>
      <c r="V4984">
        <v>2</v>
      </c>
      <c r="W4984">
        <v>1</v>
      </c>
      <c r="X4984">
        <v>0</v>
      </c>
      <c r="Y4984">
        <v>0</v>
      </c>
      <c r="Z4984">
        <v>0</v>
      </c>
    </row>
    <row r="4985" spans="1:26" x14ac:dyDescent="0.2">
      <c r="A4985" t="s">
        <v>5103</v>
      </c>
      <c r="B4985" t="s">
        <v>100</v>
      </c>
      <c r="C4985">
        <v>2022</v>
      </c>
      <c r="D4985" t="s">
        <v>33</v>
      </c>
      <c r="E4985" t="s">
        <v>45</v>
      </c>
      <c r="F4985" t="s">
        <v>33</v>
      </c>
      <c r="G4985">
        <v>37645</v>
      </c>
      <c r="H4985">
        <v>30116</v>
      </c>
      <c r="I4985" s="13">
        <v>0.5</v>
      </c>
      <c r="J4985" t="s">
        <v>6207</v>
      </c>
      <c r="K4985">
        <v>1</v>
      </c>
      <c r="L4985">
        <v>1</v>
      </c>
      <c r="M4985" t="s">
        <v>58</v>
      </c>
      <c r="N4985" s="3">
        <v>0.69</v>
      </c>
      <c r="O4985" s="3">
        <v>0.31</v>
      </c>
      <c r="P4985">
        <v>13</v>
      </c>
      <c r="Q4985">
        <v>12</v>
      </c>
      <c r="R4985">
        <v>10</v>
      </c>
      <c r="S4985">
        <v>2</v>
      </c>
      <c r="T4985">
        <v>10</v>
      </c>
      <c r="U4985">
        <v>9</v>
      </c>
      <c r="V4985">
        <v>3</v>
      </c>
      <c r="W4985">
        <v>3</v>
      </c>
      <c r="X4985">
        <v>0</v>
      </c>
      <c r="Y4985">
        <v>0</v>
      </c>
      <c r="Z4985">
        <v>0</v>
      </c>
    </row>
    <row r="4986" spans="1:26" x14ac:dyDescent="0.2">
      <c r="A4986" t="s">
        <v>5104</v>
      </c>
      <c r="B4986" t="s">
        <v>81</v>
      </c>
      <c r="C4986">
        <v>2022</v>
      </c>
      <c r="D4986" t="s">
        <v>40</v>
      </c>
      <c r="E4986" t="s">
        <v>94</v>
      </c>
      <c r="F4986" t="s">
        <v>49</v>
      </c>
      <c r="G4986">
        <v>53400</v>
      </c>
      <c r="H4986">
        <v>42720</v>
      </c>
      <c r="I4986" s="13">
        <v>1</v>
      </c>
      <c r="J4986" t="s">
        <v>6207</v>
      </c>
      <c r="K4986">
        <v>6</v>
      </c>
      <c r="L4986">
        <v>0</v>
      </c>
      <c r="M4986" t="s">
        <v>0</v>
      </c>
      <c r="N4986" s="3">
        <v>0.75</v>
      </c>
      <c r="O4986" s="3">
        <v>0.25</v>
      </c>
      <c r="P4986">
        <v>9</v>
      </c>
      <c r="Q4986">
        <v>11</v>
      </c>
      <c r="R4986">
        <v>10</v>
      </c>
      <c r="S4986">
        <v>1</v>
      </c>
      <c r="T4986">
        <v>9</v>
      </c>
      <c r="U4986">
        <v>7</v>
      </c>
      <c r="V4986">
        <v>0</v>
      </c>
      <c r="W4986">
        <v>1</v>
      </c>
      <c r="X4986">
        <v>0</v>
      </c>
      <c r="Y4986">
        <v>0</v>
      </c>
      <c r="Z4986">
        <v>0</v>
      </c>
    </row>
    <row r="4987" spans="1:26" x14ac:dyDescent="0.2">
      <c r="A4987" t="s">
        <v>5105</v>
      </c>
      <c r="B4987" t="s">
        <v>61</v>
      </c>
      <c r="C4987">
        <v>2022</v>
      </c>
      <c r="D4987" t="s">
        <v>86</v>
      </c>
      <c r="E4987" t="s">
        <v>22</v>
      </c>
      <c r="F4987" t="s">
        <v>86</v>
      </c>
      <c r="G4987">
        <v>11364</v>
      </c>
      <c r="H4987">
        <v>9091.2000000000007</v>
      </c>
      <c r="I4987" s="13">
        <v>0.66666666666666663</v>
      </c>
      <c r="J4987" t="s">
        <v>6207</v>
      </c>
      <c r="K4987">
        <v>0</v>
      </c>
      <c r="L4987">
        <v>0</v>
      </c>
      <c r="M4987" t="s">
        <v>58</v>
      </c>
      <c r="N4987" s="3">
        <v>0.34</v>
      </c>
      <c r="O4987" s="3">
        <v>0.66</v>
      </c>
      <c r="P4987">
        <v>15</v>
      </c>
      <c r="Q4987">
        <v>12</v>
      </c>
      <c r="R4987">
        <v>2</v>
      </c>
      <c r="S4987">
        <v>5</v>
      </c>
      <c r="T4987">
        <v>12</v>
      </c>
      <c r="U4987">
        <v>12</v>
      </c>
      <c r="V4987">
        <v>2</v>
      </c>
      <c r="W4987">
        <v>1</v>
      </c>
      <c r="X4987">
        <v>0</v>
      </c>
      <c r="Y4987">
        <v>0</v>
      </c>
      <c r="Z4987">
        <v>0</v>
      </c>
    </row>
    <row r="4988" spans="1:26" x14ac:dyDescent="0.2">
      <c r="A4988" t="s">
        <v>5106</v>
      </c>
      <c r="B4988" t="s">
        <v>99</v>
      </c>
      <c r="C4988">
        <v>2022</v>
      </c>
      <c r="D4988" t="s">
        <v>46</v>
      </c>
      <c r="E4988" t="s">
        <v>42</v>
      </c>
      <c r="F4988" t="s">
        <v>20</v>
      </c>
      <c r="G4988">
        <v>60704</v>
      </c>
      <c r="H4988">
        <v>48563.200000000004</v>
      </c>
      <c r="I4988" s="13">
        <v>0.4</v>
      </c>
      <c r="J4988" t="s">
        <v>6207</v>
      </c>
      <c r="K4988">
        <v>2</v>
      </c>
      <c r="L4988">
        <v>1</v>
      </c>
      <c r="M4988" t="s">
        <v>0</v>
      </c>
      <c r="N4988" s="3">
        <v>0.59</v>
      </c>
      <c r="O4988" s="3">
        <v>0.41</v>
      </c>
      <c r="P4988">
        <v>15</v>
      </c>
      <c r="Q4988">
        <v>11</v>
      </c>
      <c r="R4988">
        <v>10</v>
      </c>
      <c r="S4988">
        <v>3</v>
      </c>
      <c r="T4988">
        <v>10</v>
      </c>
      <c r="U4988">
        <v>14</v>
      </c>
      <c r="V4988">
        <v>2</v>
      </c>
      <c r="W4988">
        <v>3</v>
      </c>
      <c r="X4988">
        <v>0</v>
      </c>
      <c r="Y4988">
        <v>0</v>
      </c>
      <c r="Z4988">
        <v>0</v>
      </c>
    </row>
    <row r="4989" spans="1:26" x14ac:dyDescent="0.2">
      <c r="A4989" t="s">
        <v>5107</v>
      </c>
      <c r="B4989" t="s">
        <v>97</v>
      </c>
      <c r="C4989">
        <v>2022</v>
      </c>
      <c r="D4989" t="s">
        <v>23</v>
      </c>
      <c r="E4989" t="s">
        <v>51</v>
      </c>
      <c r="F4989" t="s">
        <v>20</v>
      </c>
      <c r="G4989">
        <v>62500</v>
      </c>
      <c r="H4989">
        <v>50000</v>
      </c>
      <c r="I4989" s="13">
        <v>0.8571428571428571</v>
      </c>
      <c r="J4989" t="s">
        <v>6207</v>
      </c>
      <c r="K4989">
        <v>1</v>
      </c>
      <c r="L4989">
        <v>1</v>
      </c>
      <c r="M4989" t="s">
        <v>58</v>
      </c>
      <c r="N4989" s="3">
        <v>0.38</v>
      </c>
      <c r="O4989" s="3">
        <v>0.62</v>
      </c>
      <c r="P4989">
        <v>10</v>
      </c>
      <c r="Q4989">
        <v>11</v>
      </c>
      <c r="R4989">
        <v>3</v>
      </c>
      <c r="S4989">
        <v>4</v>
      </c>
      <c r="T4989">
        <v>10</v>
      </c>
      <c r="U4989">
        <v>10</v>
      </c>
      <c r="V4989">
        <v>2</v>
      </c>
      <c r="W4989">
        <v>5</v>
      </c>
      <c r="X4989">
        <v>0</v>
      </c>
      <c r="Y4989">
        <v>0</v>
      </c>
      <c r="Z4989">
        <v>0</v>
      </c>
    </row>
    <row r="4990" spans="1:26" x14ac:dyDescent="0.2">
      <c r="A4990" t="s">
        <v>5108</v>
      </c>
      <c r="B4990" t="s">
        <v>37</v>
      </c>
      <c r="C4990">
        <v>2022</v>
      </c>
      <c r="D4990" t="s">
        <v>26</v>
      </c>
      <c r="E4990" t="s">
        <v>64</v>
      </c>
      <c r="F4990" t="s">
        <v>26</v>
      </c>
      <c r="G4990">
        <v>61276</v>
      </c>
      <c r="H4990">
        <v>49020.800000000003</v>
      </c>
      <c r="I4990" s="13">
        <v>0</v>
      </c>
      <c r="J4990" t="s">
        <v>6206</v>
      </c>
      <c r="K4990">
        <v>2</v>
      </c>
      <c r="L4990">
        <v>1</v>
      </c>
      <c r="M4990" t="s">
        <v>0</v>
      </c>
      <c r="N4990" s="3">
        <v>0.72</v>
      </c>
      <c r="O4990" s="3">
        <v>0.28000000000000003</v>
      </c>
      <c r="P4990">
        <v>12</v>
      </c>
      <c r="Q4990">
        <v>11</v>
      </c>
      <c r="R4990">
        <v>13</v>
      </c>
      <c r="S4990">
        <v>0</v>
      </c>
      <c r="T4990">
        <v>9</v>
      </c>
      <c r="U4990">
        <v>10</v>
      </c>
      <c r="V4990">
        <v>0</v>
      </c>
      <c r="W4990">
        <v>2</v>
      </c>
      <c r="X4990">
        <v>0</v>
      </c>
      <c r="Y4990">
        <v>0</v>
      </c>
      <c r="Z4990">
        <v>0</v>
      </c>
    </row>
    <row r="4991" spans="1:26" x14ac:dyDescent="0.2">
      <c r="A4991" t="s">
        <v>5109</v>
      </c>
      <c r="B4991" t="s">
        <v>76</v>
      </c>
      <c r="C4991">
        <v>2022</v>
      </c>
      <c r="D4991" t="s">
        <v>80</v>
      </c>
      <c r="E4991" t="s">
        <v>48</v>
      </c>
      <c r="F4991" t="s">
        <v>80</v>
      </c>
      <c r="G4991">
        <v>32261</v>
      </c>
      <c r="H4991">
        <v>25808.800000000003</v>
      </c>
      <c r="I4991" s="13">
        <v>0.75</v>
      </c>
      <c r="J4991" t="s">
        <v>6207</v>
      </c>
      <c r="K4991">
        <v>0</v>
      </c>
      <c r="L4991">
        <v>1</v>
      </c>
      <c r="M4991" t="s">
        <v>1</v>
      </c>
      <c r="N4991" s="3">
        <v>0.54</v>
      </c>
      <c r="O4991" s="3">
        <v>0.46</v>
      </c>
      <c r="P4991">
        <v>17</v>
      </c>
      <c r="Q4991">
        <v>7</v>
      </c>
      <c r="R4991">
        <v>1</v>
      </c>
      <c r="S4991">
        <v>3</v>
      </c>
      <c r="T4991">
        <v>7</v>
      </c>
      <c r="U4991">
        <v>15</v>
      </c>
      <c r="V4991">
        <v>1</v>
      </c>
      <c r="W4991">
        <v>3</v>
      </c>
      <c r="X4991">
        <v>0</v>
      </c>
      <c r="Y4991">
        <v>0</v>
      </c>
      <c r="Z4991">
        <v>0</v>
      </c>
    </row>
    <row r="4992" spans="1:26" x14ac:dyDescent="0.2">
      <c r="A4992" t="s">
        <v>5110</v>
      </c>
      <c r="B4992" t="s">
        <v>61</v>
      </c>
      <c r="C4992">
        <v>2022</v>
      </c>
      <c r="D4992" t="s">
        <v>45</v>
      </c>
      <c r="E4992" t="s">
        <v>26</v>
      </c>
      <c r="F4992" t="s">
        <v>26</v>
      </c>
      <c r="G4992">
        <v>39572</v>
      </c>
      <c r="H4992">
        <v>31657.600000000002</v>
      </c>
      <c r="I4992" s="13">
        <v>0.5</v>
      </c>
      <c r="J4992" t="s">
        <v>6207</v>
      </c>
      <c r="K4992">
        <v>0</v>
      </c>
      <c r="L4992">
        <v>0</v>
      </c>
      <c r="M4992" t="s">
        <v>58</v>
      </c>
      <c r="N4992" s="3">
        <v>0.39</v>
      </c>
      <c r="O4992" s="3">
        <v>0.61</v>
      </c>
      <c r="P4992">
        <v>13</v>
      </c>
      <c r="Q4992">
        <v>10</v>
      </c>
      <c r="R4992">
        <v>7</v>
      </c>
      <c r="S4992">
        <v>9</v>
      </c>
      <c r="T4992">
        <v>7</v>
      </c>
      <c r="U4992">
        <v>11</v>
      </c>
      <c r="V4992">
        <v>2</v>
      </c>
      <c r="W4992">
        <v>2</v>
      </c>
      <c r="X4992">
        <v>0</v>
      </c>
      <c r="Y4992">
        <v>0</v>
      </c>
      <c r="Z4992">
        <v>0</v>
      </c>
    </row>
    <row r="4993" spans="1:26" x14ac:dyDescent="0.2">
      <c r="A4993" t="s">
        <v>5111</v>
      </c>
      <c r="B4993" t="s">
        <v>104</v>
      </c>
      <c r="C4993">
        <v>2022</v>
      </c>
      <c r="D4993" t="s">
        <v>22</v>
      </c>
      <c r="E4993" t="s">
        <v>73</v>
      </c>
      <c r="F4993" t="s">
        <v>24</v>
      </c>
      <c r="G4993">
        <v>31750</v>
      </c>
      <c r="H4993">
        <v>25400</v>
      </c>
      <c r="I4993" s="13">
        <v>0.83333333333333337</v>
      </c>
      <c r="J4993" t="s">
        <v>6206</v>
      </c>
      <c r="K4993">
        <v>1</v>
      </c>
      <c r="L4993">
        <v>0</v>
      </c>
      <c r="M4993" t="s">
        <v>0</v>
      </c>
      <c r="N4993" s="3">
        <v>0.51</v>
      </c>
      <c r="O4993" s="3">
        <v>0.49</v>
      </c>
      <c r="P4993">
        <v>14</v>
      </c>
      <c r="Q4993">
        <v>9</v>
      </c>
      <c r="R4993">
        <v>5</v>
      </c>
      <c r="S4993">
        <v>6</v>
      </c>
      <c r="T4993">
        <v>10</v>
      </c>
      <c r="U4993">
        <v>14</v>
      </c>
      <c r="V4993">
        <v>4</v>
      </c>
      <c r="W4993">
        <v>2</v>
      </c>
      <c r="X4993">
        <v>0</v>
      </c>
      <c r="Y4993">
        <v>0</v>
      </c>
      <c r="Z4993">
        <v>0</v>
      </c>
    </row>
    <row r="4994" spans="1:26" x14ac:dyDescent="0.2">
      <c r="A4994" t="s">
        <v>5112</v>
      </c>
      <c r="B4994" t="s">
        <v>59</v>
      </c>
      <c r="C4994">
        <v>2022</v>
      </c>
      <c r="D4994" t="s">
        <v>51</v>
      </c>
      <c r="E4994" t="s">
        <v>31</v>
      </c>
      <c r="F4994" t="s">
        <v>20</v>
      </c>
      <c r="G4994">
        <v>36284</v>
      </c>
      <c r="H4994">
        <v>29027.200000000001</v>
      </c>
      <c r="I4994" s="13">
        <v>1</v>
      </c>
      <c r="J4994" t="s">
        <v>6206</v>
      </c>
      <c r="K4994">
        <v>2</v>
      </c>
      <c r="L4994">
        <v>1</v>
      </c>
      <c r="M4994" t="s">
        <v>0</v>
      </c>
      <c r="N4994" s="3">
        <v>0.52</v>
      </c>
      <c r="O4994" s="3">
        <v>0.48</v>
      </c>
      <c r="P4994">
        <v>5</v>
      </c>
      <c r="Q4994">
        <v>10</v>
      </c>
      <c r="R4994">
        <v>10</v>
      </c>
      <c r="S4994">
        <v>3</v>
      </c>
      <c r="T4994">
        <v>9</v>
      </c>
      <c r="U4994">
        <v>6</v>
      </c>
      <c r="V4994">
        <v>3</v>
      </c>
      <c r="W4994">
        <v>4</v>
      </c>
      <c r="X4994">
        <v>0</v>
      </c>
      <c r="Y4994">
        <v>0</v>
      </c>
      <c r="Z4994">
        <v>0</v>
      </c>
    </row>
    <row r="4995" spans="1:26" x14ac:dyDescent="0.2">
      <c r="A4995" t="s">
        <v>5113</v>
      </c>
      <c r="B4995" t="s">
        <v>66</v>
      </c>
      <c r="C4995">
        <v>2022</v>
      </c>
      <c r="D4995" t="s">
        <v>94</v>
      </c>
      <c r="E4995" t="s">
        <v>86</v>
      </c>
      <c r="F4995" t="s">
        <v>106</v>
      </c>
      <c r="G4995">
        <v>30445</v>
      </c>
      <c r="H4995">
        <v>24356</v>
      </c>
      <c r="I4995" s="13">
        <v>0.66666666666666663</v>
      </c>
      <c r="J4995" t="s">
        <v>6207</v>
      </c>
      <c r="K4995">
        <v>2</v>
      </c>
      <c r="L4995">
        <v>3</v>
      </c>
      <c r="M4995" t="s">
        <v>1</v>
      </c>
      <c r="N4995" s="3">
        <v>0.52</v>
      </c>
      <c r="O4995" s="3">
        <v>0.48</v>
      </c>
      <c r="P4995">
        <v>10</v>
      </c>
      <c r="Q4995">
        <v>13</v>
      </c>
      <c r="R4995">
        <v>4</v>
      </c>
      <c r="S4995">
        <v>6</v>
      </c>
      <c r="T4995">
        <v>13</v>
      </c>
      <c r="U4995">
        <v>10</v>
      </c>
      <c r="V4995">
        <v>2</v>
      </c>
      <c r="W4995">
        <v>1</v>
      </c>
      <c r="X4995">
        <v>0</v>
      </c>
      <c r="Y4995">
        <v>0</v>
      </c>
      <c r="Z4995">
        <v>1</v>
      </c>
    </row>
    <row r="4996" spans="1:26" x14ac:dyDescent="0.2">
      <c r="A4996" t="s">
        <v>5114</v>
      </c>
      <c r="B4996" t="s">
        <v>103</v>
      </c>
      <c r="C4996">
        <v>2022</v>
      </c>
      <c r="D4996" t="s">
        <v>64</v>
      </c>
      <c r="E4996" t="s">
        <v>79</v>
      </c>
      <c r="F4996" t="s">
        <v>64</v>
      </c>
      <c r="G4996">
        <v>52264</v>
      </c>
      <c r="H4996">
        <v>41811.200000000004</v>
      </c>
      <c r="I4996" s="13">
        <v>0</v>
      </c>
      <c r="J4996" t="s">
        <v>6207</v>
      </c>
      <c r="K4996">
        <v>0</v>
      </c>
      <c r="L4996">
        <v>0</v>
      </c>
      <c r="M4996" t="s">
        <v>58</v>
      </c>
      <c r="N4996" s="3">
        <v>0.52</v>
      </c>
      <c r="O4996" s="3">
        <v>0.48</v>
      </c>
      <c r="P4996">
        <v>6</v>
      </c>
      <c r="Q4996">
        <v>17</v>
      </c>
      <c r="R4996">
        <v>13</v>
      </c>
      <c r="S4996">
        <v>5</v>
      </c>
      <c r="T4996">
        <v>19</v>
      </c>
      <c r="U4996">
        <v>12</v>
      </c>
      <c r="V4996">
        <v>2</v>
      </c>
      <c r="W4996">
        <v>1</v>
      </c>
      <c r="X4996">
        <v>0</v>
      </c>
      <c r="Y4996">
        <v>0</v>
      </c>
      <c r="Z4996">
        <v>0</v>
      </c>
    </row>
    <row r="4997" spans="1:26" x14ac:dyDescent="0.2">
      <c r="A4997" t="s">
        <v>5115</v>
      </c>
      <c r="B4997" t="s">
        <v>92</v>
      </c>
      <c r="C4997">
        <v>2022</v>
      </c>
      <c r="D4997" t="s">
        <v>18</v>
      </c>
      <c r="E4997" t="s">
        <v>23</v>
      </c>
      <c r="F4997" t="s">
        <v>20</v>
      </c>
      <c r="G4997">
        <v>40341</v>
      </c>
      <c r="H4997">
        <v>32272.800000000003</v>
      </c>
      <c r="I4997" s="13">
        <v>0.66666666666666663</v>
      </c>
      <c r="J4997" t="s">
        <v>6207</v>
      </c>
      <c r="K4997">
        <v>2</v>
      </c>
      <c r="L4997">
        <v>1</v>
      </c>
      <c r="M4997" t="s">
        <v>0</v>
      </c>
      <c r="N4997" s="3">
        <v>0.69</v>
      </c>
      <c r="O4997" s="3">
        <v>0.31</v>
      </c>
      <c r="P4997">
        <v>12</v>
      </c>
      <c r="Q4997">
        <v>6</v>
      </c>
      <c r="R4997">
        <v>10</v>
      </c>
      <c r="S4997">
        <v>3</v>
      </c>
      <c r="T4997">
        <v>6</v>
      </c>
      <c r="U4997">
        <v>11</v>
      </c>
      <c r="V4997">
        <v>4</v>
      </c>
      <c r="W4997">
        <v>2</v>
      </c>
      <c r="X4997">
        <v>0</v>
      </c>
      <c r="Y4997">
        <v>0</v>
      </c>
      <c r="Z4997">
        <v>0</v>
      </c>
    </row>
    <row r="4998" spans="1:26" x14ac:dyDescent="0.2">
      <c r="A4998" t="s">
        <v>5116</v>
      </c>
      <c r="B4998" t="s">
        <v>99</v>
      </c>
      <c r="C4998">
        <v>2022</v>
      </c>
      <c r="D4998" t="s">
        <v>101</v>
      </c>
      <c r="E4998" t="s">
        <v>33</v>
      </c>
      <c r="F4998" t="s">
        <v>101</v>
      </c>
      <c r="G4998">
        <v>17250</v>
      </c>
      <c r="H4998">
        <v>13800</v>
      </c>
      <c r="I4998" s="13">
        <v>0.6</v>
      </c>
      <c r="J4998" t="s">
        <v>6207</v>
      </c>
      <c r="K4998">
        <v>5</v>
      </c>
      <c r="L4998">
        <v>2</v>
      </c>
      <c r="M4998" t="s">
        <v>0</v>
      </c>
      <c r="N4998" s="3">
        <v>0.31</v>
      </c>
      <c r="O4998" s="3">
        <v>0.69</v>
      </c>
      <c r="P4998">
        <v>5</v>
      </c>
      <c r="Q4998">
        <v>7</v>
      </c>
      <c r="R4998">
        <v>2</v>
      </c>
      <c r="S4998">
        <v>6</v>
      </c>
      <c r="T4998">
        <v>8</v>
      </c>
      <c r="U4998">
        <v>9</v>
      </c>
      <c r="V4998">
        <v>2</v>
      </c>
      <c r="W4998">
        <v>2</v>
      </c>
      <c r="X4998">
        <v>0</v>
      </c>
      <c r="Y4998">
        <v>1</v>
      </c>
      <c r="Z4998">
        <v>1</v>
      </c>
    </row>
    <row r="4999" spans="1:26" x14ac:dyDescent="0.2">
      <c r="A4999" t="s">
        <v>5117</v>
      </c>
      <c r="B4999" t="s">
        <v>84</v>
      </c>
      <c r="C4999">
        <v>2022</v>
      </c>
      <c r="D4999" t="s">
        <v>42</v>
      </c>
      <c r="E4999" t="s">
        <v>40</v>
      </c>
      <c r="F4999" t="s">
        <v>38</v>
      </c>
      <c r="G4999">
        <v>42918</v>
      </c>
      <c r="H4999">
        <v>34334.400000000001</v>
      </c>
      <c r="I4999" s="13">
        <v>1</v>
      </c>
      <c r="J4999" t="s">
        <v>6208</v>
      </c>
      <c r="K4999">
        <v>1</v>
      </c>
      <c r="L4999">
        <v>1</v>
      </c>
      <c r="M4999" t="s">
        <v>58</v>
      </c>
      <c r="N4999" s="3">
        <v>0.28000000000000003</v>
      </c>
      <c r="O4999" s="3">
        <v>0.72</v>
      </c>
      <c r="P4999">
        <v>15</v>
      </c>
      <c r="Q4999">
        <v>20</v>
      </c>
      <c r="R4999">
        <v>1</v>
      </c>
      <c r="S4999">
        <v>4</v>
      </c>
      <c r="T4999">
        <v>7</v>
      </c>
      <c r="U4999">
        <v>6</v>
      </c>
      <c r="V4999">
        <v>2</v>
      </c>
      <c r="W4999">
        <v>0</v>
      </c>
      <c r="X4999">
        <v>0</v>
      </c>
      <c r="Y4999">
        <v>0</v>
      </c>
      <c r="Z4999">
        <v>0</v>
      </c>
    </row>
    <row r="5000" spans="1:26" x14ac:dyDescent="0.2">
      <c r="A5000" t="s">
        <v>5118</v>
      </c>
      <c r="B5000" t="s">
        <v>105</v>
      </c>
      <c r="C5000">
        <v>2022</v>
      </c>
      <c r="D5000" t="s">
        <v>90</v>
      </c>
      <c r="E5000" t="s">
        <v>80</v>
      </c>
      <c r="F5000" t="s">
        <v>91</v>
      </c>
      <c r="G5000">
        <v>31876</v>
      </c>
      <c r="H5000">
        <v>25500.800000000003</v>
      </c>
      <c r="I5000" s="13">
        <v>0.5</v>
      </c>
      <c r="J5000" t="s">
        <v>6207</v>
      </c>
      <c r="K5000">
        <v>5</v>
      </c>
      <c r="L5000">
        <v>2</v>
      </c>
      <c r="M5000" t="s">
        <v>0</v>
      </c>
      <c r="N5000" s="3">
        <v>0.54</v>
      </c>
      <c r="O5000" s="3">
        <v>0.46</v>
      </c>
      <c r="P5000">
        <v>6</v>
      </c>
      <c r="Q5000">
        <v>8</v>
      </c>
      <c r="R5000">
        <v>10</v>
      </c>
      <c r="S5000">
        <v>1</v>
      </c>
      <c r="T5000">
        <v>6</v>
      </c>
      <c r="U5000">
        <v>8</v>
      </c>
      <c r="V5000">
        <v>1</v>
      </c>
      <c r="W5000">
        <v>1</v>
      </c>
      <c r="X5000">
        <v>0</v>
      </c>
      <c r="Y5000">
        <v>0</v>
      </c>
      <c r="Z5000">
        <v>1</v>
      </c>
    </row>
    <row r="5001" spans="1:26" x14ac:dyDescent="0.2">
      <c r="A5001" t="s">
        <v>5119</v>
      </c>
      <c r="B5001" t="s">
        <v>81</v>
      </c>
      <c r="C5001">
        <v>2022</v>
      </c>
      <c r="D5001" t="s">
        <v>48</v>
      </c>
      <c r="E5001" t="s">
        <v>46</v>
      </c>
      <c r="F5001" t="s">
        <v>49</v>
      </c>
      <c r="G5001">
        <v>74197</v>
      </c>
      <c r="H5001">
        <v>59357.600000000006</v>
      </c>
      <c r="I5001" s="13">
        <v>0.5</v>
      </c>
      <c r="J5001" t="s">
        <v>6207</v>
      </c>
      <c r="K5001">
        <v>3</v>
      </c>
      <c r="L5001">
        <v>1</v>
      </c>
      <c r="M5001" t="s">
        <v>0</v>
      </c>
      <c r="N5001" s="3">
        <v>0.39</v>
      </c>
      <c r="O5001" s="3">
        <v>0.61</v>
      </c>
      <c r="P5001">
        <v>8</v>
      </c>
      <c r="Q5001">
        <v>14</v>
      </c>
      <c r="R5001">
        <v>2</v>
      </c>
      <c r="S5001">
        <v>5</v>
      </c>
      <c r="T5001">
        <v>13</v>
      </c>
      <c r="U5001">
        <v>9</v>
      </c>
      <c r="V5001">
        <v>3</v>
      </c>
      <c r="W5001">
        <v>3</v>
      </c>
      <c r="X5001">
        <v>0</v>
      </c>
      <c r="Y5001">
        <v>0</v>
      </c>
      <c r="Z5001">
        <v>0</v>
      </c>
    </row>
    <row r="5002" spans="1:26" x14ac:dyDescent="0.2">
      <c r="A5002" t="s">
        <v>5120</v>
      </c>
      <c r="B5002" t="s">
        <v>93</v>
      </c>
      <c r="C5002">
        <v>2022</v>
      </c>
      <c r="D5002" t="s">
        <v>31</v>
      </c>
      <c r="E5002" t="s">
        <v>18</v>
      </c>
      <c r="F5002" t="s">
        <v>20</v>
      </c>
      <c r="G5002">
        <v>28500</v>
      </c>
      <c r="H5002">
        <v>22800</v>
      </c>
      <c r="I5002" s="13">
        <v>0.5</v>
      </c>
      <c r="J5002" t="s">
        <v>6206</v>
      </c>
      <c r="K5002">
        <v>2</v>
      </c>
      <c r="L5002">
        <v>1</v>
      </c>
      <c r="M5002" t="s">
        <v>0</v>
      </c>
      <c r="N5002" s="3">
        <v>0.48</v>
      </c>
      <c r="O5002" s="3">
        <v>0.52</v>
      </c>
      <c r="P5002">
        <v>19</v>
      </c>
      <c r="Q5002">
        <v>14</v>
      </c>
      <c r="R5002">
        <v>5</v>
      </c>
      <c r="S5002">
        <v>7</v>
      </c>
      <c r="T5002">
        <v>12</v>
      </c>
      <c r="U5002">
        <v>16</v>
      </c>
      <c r="V5002">
        <v>4</v>
      </c>
      <c r="W5002">
        <v>3</v>
      </c>
      <c r="X5002">
        <v>0</v>
      </c>
      <c r="Y5002">
        <v>1</v>
      </c>
      <c r="Z5002">
        <v>0</v>
      </c>
    </row>
    <row r="5003" spans="1:26" x14ac:dyDescent="0.2">
      <c r="A5003" t="s">
        <v>5121</v>
      </c>
      <c r="B5003" t="s">
        <v>99</v>
      </c>
      <c r="C5003">
        <v>2022</v>
      </c>
      <c r="D5003" t="s">
        <v>79</v>
      </c>
      <c r="E5003" t="s">
        <v>48</v>
      </c>
      <c r="F5003" t="s">
        <v>20</v>
      </c>
      <c r="G5003">
        <v>25486</v>
      </c>
      <c r="H5003">
        <v>20388.800000000003</v>
      </c>
      <c r="I5003" s="13">
        <v>0.66666666666666663</v>
      </c>
      <c r="J5003" t="s">
        <v>6207</v>
      </c>
      <c r="K5003">
        <v>1</v>
      </c>
      <c r="L5003">
        <v>1</v>
      </c>
      <c r="M5003" t="s">
        <v>58</v>
      </c>
      <c r="N5003" s="3">
        <v>0.39</v>
      </c>
      <c r="O5003" s="3">
        <v>0.61</v>
      </c>
      <c r="P5003">
        <v>6</v>
      </c>
      <c r="Q5003">
        <v>8</v>
      </c>
      <c r="R5003">
        <v>3</v>
      </c>
      <c r="S5003">
        <v>3</v>
      </c>
      <c r="T5003">
        <v>9</v>
      </c>
      <c r="U5003">
        <v>10</v>
      </c>
      <c r="V5003">
        <v>1</v>
      </c>
      <c r="W5003">
        <v>2</v>
      </c>
      <c r="X5003">
        <v>0</v>
      </c>
      <c r="Y5003">
        <v>0</v>
      </c>
      <c r="Z5003">
        <v>0</v>
      </c>
    </row>
    <row r="5004" spans="1:26" x14ac:dyDescent="0.2">
      <c r="A5004" t="s">
        <v>5122</v>
      </c>
      <c r="B5004" t="s">
        <v>84</v>
      </c>
      <c r="C5004">
        <v>2022</v>
      </c>
      <c r="D5004" t="s">
        <v>40</v>
      </c>
      <c r="E5004" t="s">
        <v>51</v>
      </c>
      <c r="F5004" t="s">
        <v>49</v>
      </c>
      <c r="G5004">
        <v>53400</v>
      </c>
      <c r="H5004">
        <v>42720</v>
      </c>
      <c r="I5004" s="13">
        <v>1</v>
      </c>
      <c r="J5004" t="s">
        <v>6208</v>
      </c>
      <c r="K5004">
        <v>4</v>
      </c>
      <c r="L5004">
        <v>2</v>
      </c>
      <c r="M5004" t="s">
        <v>0</v>
      </c>
      <c r="N5004" s="3">
        <v>0.57999999999999996</v>
      </c>
      <c r="O5004" s="3">
        <v>0.42</v>
      </c>
      <c r="P5004">
        <v>15</v>
      </c>
      <c r="Q5004">
        <v>10</v>
      </c>
      <c r="R5004">
        <v>8</v>
      </c>
      <c r="S5004">
        <v>3</v>
      </c>
      <c r="T5004">
        <v>10</v>
      </c>
      <c r="U5004">
        <v>14</v>
      </c>
      <c r="V5004">
        <v>1</v>
      </c>
      <c r="W5004">
        <v>2</v>
      </c>
      <c r="X5004">
        <v>0</v>
      </c>
      <c r="Y5004">
        <v>0</v>
      </c>
      <c r="Z5004">
        <v>0</v>
      </c>
    </row>
    <row r="5005" spans="1:26" x14ac:dyDescent="0.2">
      <c r="A5005" t="s">
        <v>5123</v>
      </c>
      <c r="B5005" t="s">
        <v>66</v>
      </c>
      <c r="C5005">
        <v>2022</v>
      </c>
      <c r="D5005" t="s">
        <v>46</v>
      </c>
      <c r="E5005" t="s">
        <v>45</v>
      </c>
      <c r="F5005" t="s">
        <v>20</v>
      </c>
      <c r="G5005">
        <v>60704</v>
      </c>
      <c r="H5005">
        <v>48563.200000000004</v>
      </c>
      <c r="I5005" s="13">
        <v>0</v>
      </c>
      <c r="J5005" t="s">
        <v>6207</v>
      </c>
      <c r="K5005">
        <v>4</v>
      </c>
      <c r="L5005">
        <v>0</v>
      </c>
      <c r="M5005" t="s">
        <v>0</v>
      </c>
      <c r="N5005" s="3">
        <v>0.73</v>
      </c>
      <c r="O5005" s="3">
        <v>0.27</v>
      </c>
      <c r="P5005">
        <v>14</v>
      </c>
      <c r="Q5005">
        <v>9</v>
      </c>
      <c r="R5005">
        <v>5</v>
      </c>
      <c r="S5005">
        <v>1</v>
      </c>
      <c r="T5005">
        <v>5</v>
      </c>
      <c r="U5005">
        <v>12</v>
      </c>
      <c r="V5005">
        <v>0</v>
      </c>
      <c r="W5005">
        <v>2</v>
      </c>
      <c r="X5005">
        <v>0</v>
      </c>
      <c r="Y5005">
        <v>0</v>
      </c>
      <c r="Z5005">
        <v>0</v>
      </c>
    </row>
    <row r="5006" spans="1:26" x14ac:dyDescent="0.2">
      <c r="A5006" t="s">
        <v>5124</v>
      </c>
      <c r="B5006" t="s">
        <v>81</v>
      </c>
      <c r="C5006">
        <v>2022</v>
      </c>
      <c r="D5006" t="s">
        <v>26</v>
      </c>
      <c r="E5006" t="s">
        <v>22</v>
      </c>
      <c r="F5006" t="s">
        <v>26</v>
      </c>
      <c r="G5006">
        <v>61276</v>
      </c>
      <c r="H5006">
        <v>49020.800000000003</v>
      </c>
      <c r="I5006" s="13">
        <v>1</v>
      </c>
      <c r="J5006" t="s">
        <v>6207</v>
      </c>
      <c r="K5006">
        <v>2</v>
      </c>
      <c r="L5006">
        <v>0</v>
      </c>
      <c r="M5006" t="s">
        <v>0</v>
      </c>
      <c r="N5006" s="3">
        <v>0.56999999999999995</v>
      </c>
      <c r="O5006" s="3">
        <v>0.43</v>
      </c>
      <c r="P5006">
        <v>18</v>
      </c>
      <c r="Q5006">
        <v>11</v>
      </c>
      <c r="R5006">
        <v>5</v>
      </c>
      <c r="S5006">
        <v>2</v>
      </c>
      <c r="T5006">
        <v>13</v>
      </c>
      <c r="U5006">
        <v>14</v>
      </c>
      <c r="V5006">
        <v>2</v>
      </c>
      <c r="W5006">
        <v>3</v>
      </c>
      <c r="X5006">
        <v>0</v>
      </c>
      <c r="Y5006">
        <v>0</v>
      </c>
      <c r="Z5006">
        <v>0</v>
      </c>
    </row>
    <row r="5007" spans="1:26" x14ac:dyDescent="0.2">
      <c r="A5007" t="s">
        <v>5125</v>
      </c>
      <c r="B5007" t="s">
        <v>103</v>
      </c>
      <c r="C5007">
        <v>2022</v>
      </c>
      <c r="D5007" t="s">
        <v>73</v>
      </c>
      <c r="E5007" t="s">
        <v>101</v>
      </c>
      <c r="F5007" t="s">
        <v>73</v>
      </c>
      <c r="G5007">
        <v>32384</v>
      </c>
      <c r="H5007">
        <v>25907.200000000001</v>
      </c>
      <c r="I5007" s="13">
        <v>0.33333333333333331</v>
      </c>
      <c r="J5007" t="s">
        <v>6207</v>
      </c>
      <c r="K5007">
        <v>0</v>
      </c>
      <c r="L5007">
        <v>2</v>
      </c>
      <c r="M5007" t="s">
        <v>1</v>
      </c>
      <c r="N5007" s="3">
        <v>0.66</v>
      </c>
      <c r="O5007" s="3">
        <v>0.34</v>
      </c>
      <c r="P5007">
        <v>9</v>
      </c>
      <c r="Q5007">
        <v>14</v>
      </c>
      <c r="R5007">
        <v>3</v>
      </c>
      <c r="S5007">
        <v>3</v>
      </c>
      <c r="T5007">
        <v>14</v>
      </c>
      <c r="U5007">
        <v>10</v>
      </c>
      <c r="V5007">
        <v>1</v>
      </c>
      <c r="W5007">
        <v>2</v>
      </c>
      <c r="X5007">
        <v>0</v>
      </c>
      <c r="Y5007">
        <v>0</v>
      </c>
      <c r="Z5007">
        <v>0</v>
      </c>
    </row>
    <row r="5008" spans="1:26" x14ac:dyDescent="0.2">
      <c r="A5008" t="s">
        <v>5126</v>
      </c>
      <c r="B5008" t="s">
        <v>83</v>
      </c>
      <c r="C5008">
        <v>2022</v>
      </c>
      <c r="D5008" t="s">
        <v>80</v>
      </c>
      <c r="E5008" t="s">
        <v>42</v>
      </c>
      <c r="F5008" t="s">
        <v>80</v>
      </c>
      <c r="G5008">
        <v>32261</v>
      </c>
      <c r="H5008">
        <v>25808.800000000003</v>
      </c>
      <c r="I5008" s="13">
        <v>0.5</v>
      </c>
      <c r="J5008" t="s">
        <v>6208</v>
      </c>
      <c r="K5008">
        <v>1</v>
      </c>
      <c r="L5008">
        <v>2</v>
      </c>
      <c r="M5008" t="s">
        <v>1</v>
      </c>
      <c r="N5008" s="3">
        <v>0.36</v>
      </c>
      <c r="O5008" s="3">
        <v>0.64</v>
      </c>
      <c r="P5008">
        <v>15</v>
      </c>
      <c r="Q5008">
        <v>13</v>
      </c>
      <c r="R5008">
        <v>4</v>
      </c>
      <c r="S5008">
        <v>8</v>
      </c>
      <c r="T5008">
        <v>10</v>
      </c>
      <c r="U5008">
        <v>14</v>
      </c>
      <c r="V5008">
        <v>3</v>
      </c>
      <c r="W5008">
        <v>0</v>
      </c>
      <c r="X5008">
        <v>1</v>
      </c>
      <c r="Y5008">
        <v>0</v>
      </c>
      <c r="Z5008">
        <v>0</v>
      </c>
    </row>
    <row r="5009" spans="1:26" x14ac:dyDescent="0.2">
      <c r="A5009" t="s">
        <v>5127</v>
      </c>
      <c r="B5009" t="s">
        <v>99</v>
      </c>
      <c r="C5009">
        <v>2022</v>
      </c>
      <c r="D5009" t="s">
        <v>33</v>
      </c>
      <c r="E5009" t="s">
        <v>94</v>
      </c>
      <c r="F5009" t="s">
        <v>33</v>
      </c>
      <c r="G5009">
        <v>37645</v>
      </c>
      <c r="H5009">
        <v>30116</v>
      </c>
      <c r="I5009" s="13">
        <v>0.6</v>
      </c>
      <c r="J5009" t="s">
        <v>6207</v>
      </c>
      <c r="K5009">
        <v>2</v>
      </c>
      <c r="L5009">
        <v>1</v>
      </c>
      <c r="M5009" t="s">
        <v>0</v>
      </c>
      <c r="N5009" s="3">
        <v>0.63</v>
      </c>
      <c r="O5009" s="3">
        <v>0.37</v>
      </c>
      <c r="P5009">
        <v>13</v>
      </c>
      <c r="Q5009">
        <v>14</v>
      </c>
      <c r="R5009">
        <v>11</v>
      </c>
      <c r="S5009">
        <v>4</v>
      </c>
      <c r="T5009">
        <v>11</v>
      </c>
      <c r="U5009">
        <v>13</v>
      </c>
      <c r="V5009">
        <v>1</v>
      </c>
      <c r="W5009">
        <v>4</v>
      </c>
      <c r="X5009">
        <v>0</v>
      </c>
      <c r="Y5009">
        <v>0</v>
      </c>
      <c r="Z5009">
        <v>0</v>
      </c>
    </row>
    <row r="5010" spans="1:26" x14ac:dyDescent="0.2">
      <c r="A5010" t="s">
        <v>5128</v>
      </c>
      <c r="B5010" t="s">
        <v>108</v>
      </c>
      <c r="C5010">
        <v>2022</v>
      </c>
      <c r="D5010" t="s">
        <v>86</v>
      </c>
      <c r="E5010" t="s">
        <v>90</v>
      </c>
      <c r="F5010" t="s">
        <v>86</v>
      </c>
      <c r="G5010">
        <v>11364</v>
      </c>
      <c r="H5010">
        <v>9091.2000000000007</v>
      </c>
      <c r="I5010" s="13">
        <v>0</v>
      </c>
      <c r="J5010" t="s">
        <v>6207</v>
      </c>
      <c r="K5010">
        <v>0</v>
      </c>
      <c r="L5010">
        <v>2</v>
      </c>
      <c r="M5010" t="s">
        <v>1</v>
      </c>
      <c r="N5010" s="3">
        <v>0.36</v>
      </c>
      <c r="O5010" s="3">
        <v>0.64</v>
      </c>
      <c r="P5010">
        <v>3</v>
      </c>
      <c r="Q5010">
        <v>10</v>
      </c>
      <c r="R5010">
        <v>5</v>
      </c>
      <c r="S5010">
        <v>5</v>
      </c>
      <c r="T5010">
        <v>11</v>
      </c>
      <c r="U5010">
        <v>5</v>
      </c>
      <c r="V5010">
        <v>1</v>
      </c>
      <c r="W5010">
        <v>1</v>
      </c>
      <c r="X5010">
        <v>0</v>
      </c>
      <c r="Y5010">
        <v>0</v>
      </c>
      <c r="Z5010">
        <v>0</v>
      </c>
    </row>
    <row r="5011" spans="1:26" x14ac:dyDescent="0.2">
      <c r="A5011" t="s">
        <v>5129</v>
      </c>
      <c r="B5011" t="s">
        <v>76</v>
      </c>
      <c r="C5011">
        <v>2022</v>
      </c>
      <c r="D5011" t="s">
        <v>23</v>
      </c>
      <c r="E5011" t="s">
        <v>64</v>
      </c>
      <c r="F5011" t="s">
        <v>20</v>
      </c>
      <c r="G5011">
        <v>62500</v>
      </c>
      <c r="H5011">
        <v>50000</v>
      </c>
      <c r="I5011" s="13">
        <v>0.66666666666666663</v>
      </c>
      <c r="J5011" t="s">
        <v>6207</v>
      </c>
      <c r="K5011">
        <v>1</v>
      </c>
      <c r="L5011">
        <v>5</v>
      </c>
      <c r="M5011" t="s">
        <v>1</v>
      </c>
      <c r="N5011" s="3">
        <v>0.42</v>
      </c>
      <c r="O5011" s="3">
        <v>0.57999999999999996</v>
      </c>
      <c r="P5011">
        <v>10</v>
      </c>
      <c r="Q5011">
        <v>11</v>
      </c>
      <c r="R5011">
        <v>7</v>
      </c>
      <c r="S5011">
        <v>6</v>
      </c>
      <c r="T5011">
        <v>11</v>
      </c>
      <c r="U5011">
        <v>12</v>
      </c>
      <c r="V5011">
        <v>2</v>
      </c>
      <c r="W5011">
        <v>1</v>
      </c>
      <c r="X5011">
        <v>0</v>
      </c>
      <c r="Y5011">
        <v>0</v>
      </c>
      <c r="Z5011">
        <v>0</v>
      </c>
    </row>
    <row r="5012" spans="1:26" x14ac:dyDescent="0.2">
      <c r="A5012" t="s">
        <v>5130</v>
      </c>
      <c r="B5012" t="s">
        <v>102</v>
      </c>
      <c r="C5012">
        <v>2022</v>
      </c>
      <c r="D5012" t="s">
        <v>94</v>
      </c>
      <c r="E5012" t="s">
        <v>31</v>
      </c>
      <c r="F5012" t="s">
        <v>106</v>
      </c>
      <c r="G5012">
        <v>30445</v>
      </c>
      <c r="H5012">
        <v>24356</v>
      </c>
      <c r="I5012" s="13">
        <v>0.83333333333333337</v>
      </c>
      <c r="J5012" t="s">
        <v>6209</v>
      </c>
      <c r="K5012">
        <v>2</v>
      </c>
      <c r="L5012">
        <v>3</v>
      </c>
      <c r="M5012" t="s">
        <v>1</v>
      </c>
      <c r="N5012" s="3">
        <v>0.41</v>
      </c>
      <c r="O5012" s="3">
        <v>0.59</v>
      </c>
      <c r="P5012">
        <v>11</v>
      </c>
      <c r="Q5012">
        <v>12</v>
      </c>
      <c r="R5012">
        <v>2</v>
      </c>
      <c r="S5012">
        <v>10</v>
      </c>
      <c r="T5012">
        <v>11</v>
      </c>
      <c r="U5012">
        <v>10</v>
      </c>
      <c r="V5012">
        <v>2</v>
      </c>
      <c r="W5012">
        <v>4</v>
      </c>
      <c r="X5012">
        <v>0</v>
      </c>
      <c r="Y5012">
        <v>0</v>
      </c>
      <c r="Z5012">
        <v>0</v>
      </c>
    </row>
    <row r="5013" spans="1:26" x14ac:dyDescent="0.2">
      <c r="A5013" t="s">
        <v>5131</v>
      </c>
      <c r="B5013" t="s">
        <v>105</v>
      </c>
      <c r="C5013">
        <v>2022</v>
      </c>
      <c r="D5013" t="s">
        <v>42</v>
      </c>
      <c r="E5013" t="s">
        <v>73</v>
      </c>
      <c r="F5013" t="s">
        <v>38</v>
      </c>
      <c r="G5013">
        <v>42918</v>
      </c>
      <c r="H5013">
        <v>34334.400000000001</v>
      </c>
      <c r="I5013" s="13">
        <v>0.25</v>
      </c>
      <c r="J5013" t="s">
        <v>6207</v>
      </c>
      <c r="K5013">
        <v>1</v>
      </c>
      <c r="L5013">
        <v>0</v>
      </c>
      <c r="M5013" t="s">
        <v>0</v>
      </c>
      <c r="N5013" s="3">
        <v>0.53</v>
      </c>
      <c r="O5013" s="3">
        <v>0.47</v>
      </c>
      <c r="P5013">
        <v>13</v>
      </c>
      <c r="Q5013">
        <v>15</v>
      </c>
      <c r="R5013">
        <v>6</v>
      </c>
      <c r="S5013">
        <v>3</v>
      </c>
      <c r="T5013">
        <v>13</v>
      </c>
      <c r="U5013">
        <v>13</v>
      </c>
      <c r="V5013">
        <v>3</v>
      </c>
      <c r="W5013">
        <v>1</v>
      </c>
      <c r="X5013">
        <v>0</v>
      </c>
      <c r="Y5013">
        <v>0</v>
      </c>
      <c r="Z5013">
        <v>0</v>
      </c>
    </row>
    <row r="5014" spans="1:26" x14ac:dyDescent="0.2">
      <c r="A5014" t="s">
        <v>5132</v>
      </c>
      <c r="B5014" t="s">
        <v>61</v>
      </c>
      <c r="C5014">
        <v>2022</v>
      </c>
      <c r="D5014" t="s">
        <v>22</v>
      </c>
      <c r="E5014" t="s">
        <v>40</v>
      </c>
      <c r="F5014" t="s">
        <v>24</v>
      </c>
      <c r="G5014">
        <v>31750</v>
      </c>
      <c r="H5014">
        <v>25400</v>
      </c>
      <c r="I5014" s="13">
        <v>1</v>
      </c>
      <c r="J5014" t="s">
        <v>6207</v>
      </c>
      <c r="K5014">
        <v>0</v>
      </c>
      <c r="L5014">
        <v>3</v>
      </c>
      <c r="M5014" t="s">
        <v>1</v>
      </c>
      <c r="N5014" s="3">
        <v>0.41</v>
      </c>
      <c r="O5014" s="3">
        <v>0.59</v>
      </c>
      <c r="P5014">
        <v>10</v>
      </c>
      <c r="Q5014">
        <v>8</v>
      </c>
      <c r="R5014">
        <v>5</v>
      </c>
      <c r="S5014">
        <v>7</v>
      </c>
      <c r="T5014">
        <v>7</v>
      </c>
      <c r="U5014">
        <v>9</v>
      </c>
      <c r="V5014">
        <v>2</v>
      </c>
      <c r="W5014">
        <v>1</v>
      </c>
      <c r="X5014">
        <v>1</v>
      </c>
      <c r="Y5014">
        <v>0</v>
      </c>
      <c r="Z5014">
        <v>0</v>
      </c>
    </row>
    <row r="5015" spans="1:26" x14ac:dyDescent="0.2">
      <c r="A5015" t="s">
        <v>5133</v>
      </c>
      <c r="B5015" t="s">
        <v>76</v>
      </c>
      <c r="C5015">
        <v>2022</v>
      </c>
      <c r="D5015" t="s">
        <v>64</v>
      </c>
      <c r="E5015" t="s">
        <v>86</v>
      </c>
      <c r="F5015" t="s">
        <v>64</v>
      </c>
      <c r="G5015">
        <v>52264</v>
      </c>
      <c r="H5015">
        <v>41811.200000000004</v>
      </c>
      <c r="I5015" s="13">
        <v>0.25</v>
      </c>
      <c r="J5015" t="s">
        <v>6207</v>
      </c>
      <c r="K5015">
        <v>1</v>
      </c>
      <c r="L5015">
        <v>1</v>
      </c>
      <c r="M5015" t="s">
        <v>58</v>
      </c>
      <c r="N5015" s="3">
        <v>0.72</v>
      </c>
      <c r="O5015" s="3">
        <v>0.28000000000000003</v>
      </c>
      <c r="P5015">
        <v>5</v>
      </c>
      <c r="Q5015">
        <v>11</v>
      </c>
      <c r="R5015">
        <v>8</v>
      </c>
      <c r="S5015">
        <v>1</v>
      </c>
      <c r="T5015">
        <v>10</v>
      </c>
      <c r="U5015">
        <v>11</v>
      </c>
      <c r="V5015">
        <v>2</v>
      </c>
      <c r="W5015">
        <v>2</v>
      </c>
      <c r="X5015">
        <v>0</v>
      </c>
      <c r="Y5015">
        <v>0</v>
      </c>
      <c r="Z5015">
        <v>1</v>
      </c>
    </row>
    <row r="5016" spans="1:26" x14ac:dyDescent="0.2">
      <c r="A5016" t="s">
        <v>5134</v>
      </c>
      <c r="B5016" t="s">
        <v>84</v>
      </c>
      <c r="C5016">
        <v>2022</v>
      </c>
      <c r="D5016" t="s">
        <v>51</v>
      </c>
      <c r="E5016" t="s">
        <v>80</v>
      </c>
      <c r="F5016" t="s">
        <v>20</v>
      </c>
      <c r="G5016">
        <v>36284</v>
      </c>
      <c r="H5016">
        <v>29027.200000000001</v>
      </c>
      <c r="I5016" s="13">
        <v>1</v>
      </c>
      <c r="J5016" t="s">
        <v>6208</v>
      </c>
      <c r="K5016">
        <v>6</v>
      </c>
      <c r="L5016">
        <v>2</v>
      </c>
      <c r="M5016" t="s">
        <v>0</v>
      </c>
      <c r="N5016" s="3">
        <v>0.44</v>
      </c>
      <c r="O5016" s="3">
        <v>0.56000000000000005</v>
      </c>
      <c r="P5016">
        <v>11</v>
      </c>
      <c r="Q5016">
        <v>9</v>
      </c>
      <c r="R5016">
        <v>6</v>
      </c>
      <c r="S5016">
        <v>1</v>
      </c>
      <c r="T5016">
        <v>9</v>
      </c>
      <c r="U5016">
        <v>9</v>
      </c>
      <c r="V5016">
        <v>1</v>
      </c>
      <c r="W5016">
        <v>2</v>
      </c>
      <c r="X5016">
        <v>0</v>
      </c>
      <c r="Y5016">
        <v>0</v>
      </c>
      <c r="Z5016">
        <v>1</v>
      </c>
    </row>
    <row r="5017" spans="1:26" x14ac:dyDescent="0.2">
      <c r="A5017" t="s">
        <v>5135</v>
      </c>
      <c r="B5017" t="s">
        <v>93</v>
      </c>
      <c r="C5017">
        <v>2022</v>
      </c>
      <c r="D5017" t="s">
        <v>101</v>
      </c>
      <c r="E5017" t="s">
        <v>46</v>
      </c>
      <c r="F5017" t="s">
        <v>101</v>
      </c>
      <c r="G5017">
        <v>17250</v>
      </c>
      <c r="H5017">
        <v>13800</v>
      </c>
      <c r="I5017" s="13">
        <v>1</v>
      </c>
      <c r="J5017" t="s">
        <v>6206</v>
      </c>
      <c r="K5017">
        <v>0</v>
      </c>
      <c r="L5017">
        <v>3</v>
      </c>
      <c r="M5017" t="s">
        <v>1</v>
      </c>
      <c r="N5017" s="3">
        <v>0.36</v>
      </c>
      <c r="O5017" s="3">
        <v>0.64</v>
      </c>
      <c r="P5017">
        <v>10</v>
      </c>
      <c r="Q5017">
        <v>12</v>
      </c>
      <c r="R5017">
        <v>3</v>
      </c>
      <c r="S5017">
        <v>3</v>
      </c>
      <c r="T5017">
        <v>10</v>
      </c>
      <c r="U5017">
        <v>10</v>
      </c>
      <c r="V5017">
        <v>0</v>
      </c>
      <c r="W5017">
        <v>2</v>
      </c>
      <c r="X5017">
        <v>0</v>
      </c>
      <c r="Y5017">
        <v>0</v>
      </c>
      <c r="Z5017">
        <v>0</v>
      </c>
    </row>
    <row r="5018" spans="1:26" x14ac:dyDescent="0.2">
      <c r="A5018" t="s">
        <v>5136</v>
      </c>
      <c r="B5018" t="s">
        <v>66</v>
      </c>
      <c r="C5018">
        <v>2022</v>
      </c>
      <c r="D5018" t="s">
        <v>45</v>
      </c>
      <c r="E5018" t="s">
        <v>23</v>
      </c>
      <c r="F5018" t="s">
        <v>26</v>
      </c>
      <c r="G5018">
        <v>39572</v>
      </c>
      <c r="H5018">
        <v>31657.600000000002</v>
      </c>
      <c r="I5018" s="13">
        <v>0.25</v>
      </c>
      <c r="J5018" t="s">
        <v>6207</v>
      </c>
      <c r="K5018">
        <v>1</v>
      </c>
      <c r="L5018">
        <v>0</v>
      </c>
      <c r="M5018" t="s">
        <v>0</v>
      </c>
      <c r="N5018" s="3">
        <v>0.53</v>
      </c>
      <c r="O5018" s="3">
        <v>0.47</v>
      </c>
      <c r="P5018">
        <v>10</v>
      </c>
      <c r="Q5018">
        <v>9</v>
      </c>
      <c r="R5018">
        <v>5</v>
      </c>
      <c r="S5018">
        <v>14</v>
      </c>
      <c r="T5018">
        <v>8</v>
      </c>
      <c r="U5018">
        <v>11</v>
      </c>
      <c r="V5018">
        <v>3</v>
      </c>
      <c r="W5018">
        <v>1</v>
      </c>
      <c r="X5018">
        <v>0</v>
      </c>
      <c r="Y5018">
        <v>0</v>
      </c>
      <c r="Z5018">
        <v>0</v>
      </c>
    </row>
    <row r="5019" spans="1:26" x14ac:dyDescent="0.2">
      <c r="A5019" t="s">
        <v>5137</v>
      </c>
      <c r="B5019" t="s">
        <v>84</v>
      </c>
      <c r="C5019">
        <v>2022</v>
      </c>
      <c r="D5019" t="s">
        <v>48</v>
      </c>
      <c r="E5019" t="s">
        <v>33</v>
      </c>
      <c r="F5019" t="s">
        <v>49</v>
      </c>
      <c r="G5019">
        <v>74197</v>
      </c>
      <c r="H5019">
        <v>59357.600000000006</v>
      </c>
      <c r="I5019" s="13">
        <v>1</v>
      </c>
      <c r="J5019" t="s">
        <v>6208</v>
      </c>
      <c r="K5019">
        <v>2</v>
      </c>
      <c r="L5019">
        <v>2</v>
      </c>
      <c r="M5019" t="s">
        <v>58</v>
      </c>
      <c r="N5019" s="3">
        <v>0.66</v>
      </c>
      <c r="O5019" s="3">
        <v>0.34</v>
      </c>
      <c r="P5019">
        <v>8</v>
      </c>
      <c r="Q5019">
        <v>7</v>
      </c>
      <c r="R5019">
        <v>6</v>
      </c>
      <c r="S5019">
        <v>5</v>
      </c>
      <c r="T5019">
        <v>7</v>
      </c>
      <c r="U5019">
        <v>11</v>
      </c>
      <c r="V5019">
        <v>1</v>
      </c>
      <c r="W5019">
        <v>3</v>
      </c>
      <c r="X5019">
        <v>0</v>
      </c>
      <c r="Y5019">
        <v>0</v>
      </c>
      <c r="Z5019">
        <v>0</v>
      </c>
    </row>
    <row r="5020" spans="1:26" x14ac:dyDescent="0.2">
      <c r="A5020" t="s">
        <v>5138</v>
      </c>
      <c r="B5020" t="s">
        <v>97</v>
      </c>
      <c r="C5020">
        <v>2022</v>
      </c>
      <c r="D5020" t="s">
        <v>90</v>
      </c>
      <c r="E5020" t="s">
        <v>79</v>
      </c>
      <c r="F5020" t="s">
        <v>91</v>
      </c>
      <c r="G5020">
        <v>31876</v>
      </c>
      <c r="H5020">
        <v>25500.800000000003</v>
      </c>
      <c r="I5020" s="13">
        <v>0.75</v>
      </c>
      <c r="J5020" t="s">
        <v>6207</v>
      </c>
      <c r="K5020">
        <v>1</v>
      </c>
      <c r="L5020">
        <v>0</v>
      </c>
      <c r="M5020" t="s">
        <v>0</v>
      </c>
      <c r="N5020" s="3">
        <v>0.56999999999999995</v>
      </c>
      <c r="O5020" s="3">
        <v>0.43</v>
      </c>
      <c r="P5020">
        <v>18</v>
      </c>
      <c r="Q5020">
        <v>13</v>
      </c>
      <c r="R5020">
        <v>1</v>
      </c>
      <c r="S5020">
        <v>4</v>
      </c>
      <c r="T5020">
        <v>13</v>
      </c>
      <c r="U5020">
        <v>20</v>
      </c>
      <c r="V5020">
        <v>2</v>
      </c>
      <c r="W5020">
        <v>2</v>
      </c>
      <c r="X5020">
        <v>0</v>
      </c>
      <c r="Y5020">
        <v>0</v>
      </c>
      <c r="Z5020">
        <v>0</v>
      </c>
    </row>
    <row r="5021" spans="1:26" x14ac:dyDescent="0.2">
      <c r="A5021" t="s">
        <v>5139</v>
      </c>
      <c r="B5021" t="s">
        <v>61</v>
      </c>
      <c r="C5021">
        <v>2022</v>
      </c>
      <c r="D5021" t="s">
        <v>18</v>
      </c>
      <c r="E5021" t="s">
        <v>26</v>
      </c>
      <c r="F5021" t="s">
        <v>20</v>
      </c>
      <c r="G5021">
        <v>40341</v>
      </c>
      <c r="H5021">
        <v>32272.800000000003</v>
      </c>
      <c r="I5021" s="13">
        <v>1</v>
      </c>
      <c r="J5021" t="s">
        <v>6207</v>
      </c>
      <c r="K5021">
        <v>0</v>
      </c>
      <c r="L5021">
        <v>0</v>
      </c>
      <c r="M5021" t="s">
        <v>58</v>
      </c>
      <c r="N5021" s="3">
        <v>0.5</v>
      </c>
      <c r="O5021" s="3">
        <v>0.5</v>
      </c>
      <c r="P5021">
        <v>19</v>
      </c>
      <c r="Q5021">
        <v>10</v>
      </c>
      <c r="R5021">
        <v>3</v>
      </c>
      <c r="S5021">
        <v>5</v>
      </c>
      <c r="T5021">
        <v>6</v>
      </c>
      <c r="U5021">
        <v>17</v>
      </c>
      <c r="V5021">
        <v>1</v>
      </c>
      <c r="W5021">
        <v>4</v>
      </c>
      <c r="X5021">
        <v>0</v>
      </c>
      <c r="Y5021">
        <v>0</v>
      </c>
      <c r="Z5021">
        <v>0</v>
      </c>
    </row>
    <row r="5022" spans="1:26" x14ac:dyDescent="0.2">
      <c r="A5022" t="s">
        <v>5140</v>
      </c>
      <c r="B5022" t="s">
        <v>61</v>
      </c>
      <c r="C5022">
        <v>2022</v>
      </c>
      <c r="D5022" t="s">
        <v>46</v>
      </c>
      <c r="E5022" t="s">
        <v>51</v>
      </c>
      <c r="F5022" t="s">
        <v>20</v>
      </c>
      <c r="G5022">
        <v>60704</v>
      </c>
      <c r="H5022">
        <v>48563.200000000004</v>
      </c>
      <c r="I5022" s="13">
        <v>0.5</v>
      </c>
      <c r="J5022" t="s">
        <v>6207</v>
      </c>
      <c r="K5022">
        <v>3</v>
      </c>
      <c r="L5022">
        <v>1</v>
      </c>
      <c r="M5022" t="s">
        <v>0</v>
      </c>
      <c r="N5022" s="3">
        <v>0.65</v>
      </c>
      <c r="O5022" s="3">
        <v>0.35</v>
      </c>
      <c r="P5022">
        <v>14</v>
      </c>
      <c r="Q5022">
        <v>10</v>
      </c>
      <c r="R5022">
        <v>5</v>
      </c>
      <c r="S5022">
        <v>2</v>
      </c>
      <c r="T5022">
        <v>10</v>
      </c>
      <c r="U5022">
        <v>10</v>
      </c>
      <c r="V5022">
        <v>2</v>
      </c>
      <c r="W5022">
        <v>1</v>
      </c>
      <c r="X5022">
        <v>0</v>
      </c>
      <c r="Y5022">
        <v>1</v>
      </c>
      <c r="Z5022">
        <v>1</v>
      </c>
    </row>
    <row r="5023" spans="1:26" x14ac:dyDescent="0.2">
      <c r="A5023" t="s">
        <v>5141</v>
      </c>
      <c r="B5023" t="s">
        <v>37</v>
      </c>
      <c r="C5023">
        <v>2022</v>
      </c>
      <c r="D5023" t="s">
        <v>73</v>
      </c>
      <c r="E5023" t="s">
        <v>45</v>
      </c>
      <c r="F5023" t="s">
        <v>73</v>
      </c>
      <c r="G5023">
        <v>32384</v>
      </c>
      <c r="H5023">
        <v>25907.200000000001</v>
      </c>
      <c r="I5023" s="13">
        <v>0.25</v>
      </c>
      <c r="J5023" t="s">
        <v>6206</v>
      </c>
      <c r="K5023">
        <v>1</v>
      </c>
      <c r="L5023">
        <v>2</v>
      </c>
      <c r="M5023" t="s">
        <v>1</v>
      </c>
      <c r="N5023" s="3">
        <v>0.54</v>
      </c>
      <c r="O5023" s="3">
        <v>0.46</v>
      </c>
      <c r="P5023">
        <v>11</v>
      </c>
      <c r="Q5023">
        <v>11</v>
      </c>
      <c r="R5023">
        <v>7</v>
      </c>
      <c r="S5023">
        <v>6</v>
      </c>
      <c r="T5023">
        <v>11</v>
      </c>
      <c r="U5023">
        <v>10</v>
      </c>
      <c r="V5023">
        <v>2</v>
      </c>
      <c r="W5023">
        <v>2</v>
      </c>
      <c r="X5023">
        <v>0</v>
      </c>
      <c r="Y5023">
        <v>0</v>
      </c>
      <c r="Z5023">
        <v>0</v>
      </c>
    </row>
    <row r="5024" spans="1:26" x14ac:dyDescent="0.2">
      <c r="A5024" t="s">
        <v>5142</v>
      </c>
      <c r="B5024" t="s">
        <v>92</v>
      </c>
      <c r="C5024">
        <v>2022</v>
      </c>
      <c r="D5024" t="s">
        <v>26</v>
      </c>
      <c r="E5024" t="s">
        <v>90</v>
      </c>
      <c r="F5024" t="s">
        <v>26</v>
      </c>
      <c r="G5024">
        <v>61276</v>
      </c>
      <c r="H5024">
        <v>49020.800000000003</v>
      </c>
      <c r="I5024" s="13">
        <v>0.5</v>
      </c>
      <c r="J5024" t="s">
        <v>6207</v>
      </c>
      <c r="K5024">
        <v>3</v>
      </c>
      <c r="L5024">
        <v>3</v>
      </c>
      <c r="M5024" t="s">
        <v>58</v>
      </c>
      <c r="N5024" s="3">
        <v>0.54</v>
      </c>
      <c r="O5024" s="3">
        <v>0.46</v>
      </c>
      <c r="P5024">
        <v>13</v>
      </c>
      <c r="Q5024">
        <v>10</v>
      </c>
      <c r="R5024">
        <v>9</v>
      </c>
      <c r="S5024">
        <v>2</v>
      </c>
      <c r="T5024">
        <v>9</v>
      </c>
      <c r="U5024">
        <v>13</v>
      </c>
      <c r="V5024">
        <v>1</v>
      </c>
      <c r="W5024">
        <v>1</v>
      </c>
      <c r="X5024">
        <v>0</v>
      </c>
      <c r="Y5024">
        <v>0</v>
      </c>
      <c r="Z5024">
        <v>0</v>
      </c>
    </row>
    <row r="5025" spans="1:26" x14ac:dyDescent="0.2">
      <c r="A5025" t="s">
        <v>5143</v>
      </c>
      <c r="B5025" t="s">
        <v>100</v>
      </c>
      <c r="C5025">
        <v>2022</v>
      </c>
      <c r="D5025" t="s">
        <v>31</v>
      </c>
      <c r="E5025" t="s">
        <v>64</v>
      </c>
      <c r="F5025" t="s">
        <v>20</v>
      </c>
      <c r="G5025">
        <v>28500</v>
      </c>
      <c r="H5025">
        <v>22800</v>
      </c>
      <c r="I5025" s="13">
        <v>0.33333333333333331</v>
      </c>
      <c r="J5025" t="s">
        <v>6207</v>
      </c>
      <c r="K5025">
        <v>1</v>
      </c>
      <c r="L5025">
        <v>4</v>
      </c>
      <c r="M5025" t="s">
        <v>1</v>
      </c>
      <c r="N5025" s="3">
        <v>0.31</v>
      </c>
      <c r="O5025" s="3">
        <v>0.69</v>
      </c>
      <c r="P5025">
        <v>17</v>
      </c>
      <c r="Q5025">
        <v>12</v>
      </c>
      <c r="R5025">
        <v>1</v>
      </c>
      <c r="S5025">
        <v>8</v>
      </c>
      <c r="T5025">
        <v>8</v>
      </c>
      <c r="U5025">
        <v>9</v>
      </c>
      <c r="V5025">
        <v>2</v>
      </c>
      <c r="W5025">
        <v>0</v>
      </c>
      <c r="X5025">
        <v>1</v>
      </c>
      <c r="Y5025">
        <v>0</v>
      </c>
      <c r="Z5025">
        <v>0</v>
      </c>
    </row>
    <row r="5026" spans="1:26" x14ac:dyDescent="0.2">
      <c r="A5026" t="s">
        <v>5144</v>
      </c>
      <c r="B5026" t="s">
        <v>88</v>
      </c>
      <c r="C5026">
        <v>2022</v>
      </c>
      <c r="D5026" t="s">
        <v>79</v>
      </c>
      <c r="E5026" t="s">
        <v>18</v>
      </c>
      <c r="F5026" t="s">
        <v>20</v>
      </c>
      <c r="G5026">
        <v>25486</v>
      </c>
      <c r="H5026">
        <v>20388.800000000003</v>
      </c>
      <c r="I5026" s="13">
        <v>0.8</v>
      </c>
      <c r="J5026" t="s">
        <v>6207</v>
      </c>
      <c r="K5026">
        <v>1</v>
      </c>
      <c r="L5026">
        <v>2</v>
      </c>
      <c r="M5026" t="s">
        <v>1</v>
      </c>
      <c r="N5026" s="3">
        <v>0.36</v>
      </c>
      <c r="O5026" s="3">
        <v>0.64</v>
      </c>
      <c r="P5026">
        <v>11</v>
      </c>
      <c r="Q5026">
        <v>12</v>
      </c>
      <c r="R5026">
        <v>5</v>
      </c>
      <c r="S5026">
        <v>2</v>
      </c>
      <c r="T5026">
        <v>11</v>
      </c>
      <c r="U5026">
        <v>13</v>
      </c>
      <c r="V5026">
        <v>2</v>
      </c>
      <c r="W5026">
        <v>3</v>
      </c>
      <c r="X5026">
        <v>0</v>
      </c>
      <c r="Y5026">
        <v>0</v>
      </c>
      <c r="Z5026">
        <v>0</v>
      </c>
    </row>
    <row r="5027" spans="1:26" x14ac:dyDescent="0.2">
      <c r="A5027" t="s">
        <v>5145</v>
      </c>
      <c r="B5027" t="s">
        <v>107</v>
      </c>
      <c r="C5027">
        <v>2022</v>
      </c>
      <c r="D5027" t="s">
        <v>86</v>
      </c>
      <c r="E5027" t="s">
        <v>101</v>
      </c>
      <c r="F5027" t="s">
        <v>86</v>
      </c>
      <c r="G5027">
        <v>11364</v>
      </c>
      <c r="H5027">
        <v>9091.2000000000007</v>
      </c>
      <c r="I5027" s="13">
        <v>0.33333333333333331</v>
      </c>
      <c r="J5027" t="s">
        <v>6207</v>
      </c>
      <c r="K5027">
        <v>0</v>
      </c>
      <c r="L5027">
        <v>0</v>
      </c>
      <c r="M5027" t="s">
        <v>58</v>
      </c>
      <c r="N5027" s="3">
        <v>0.42</v>
      </c>
      <c r="O5027" s="3">
        <v>0.57999999999999996</v>
      </c>
      <c r="P5027">
        <v>11</v>
      </c>
      <c r="Q5027">
        <v>12</v>
      </c>
      <c r="R5027">
        <v>7</v>
      </c>
      <c r="S5027">
        <v>8</v>
      </c>
      <c r="T5027">
        <v>11</v>
      </c>
      <c r="U5027">
        <v>10</v>
      </c>
      <c r="V5027">
        <v>1</v>
      </c>
      <c r="W5027">
        <v>2</v>
      </c>
      <c r="X5027">
        <v>0</v>
      </c>
      <c r="Y5027">
        <v>0</v>
      </c>
      <c r="Z5027">
        <v>0</v>
      </c>
    </row>
    <row r="5028" spans="1:26" x14ac:dyDescent="0.2">
      <c r="A5028" t="s">
        <v>5146</v>
      </c>
      <c r="B5028" t="s">
        <v>81</v>
      </c>
      <c r="C5028">
        <v>2022</v>
      </c>
      <c r="D5028" t="s">
        <v>23</v>
      </c>
      <c r="E5028" t="s">
        <v>22</v>
      </c>
      <c r="F5028" t="s">
        <v>20</v>
      </c>
      <c r="G5028">
        <v>62500</v>
      </c>
      <c r="H5028">
        <v>50000</v>
      </c>
      <c r="I5028" s="13">
        <v>0.5</v>
      </c>
      <c r="J5028" t="s">
        <v>6207</v>
      </c>
      <c r="K5028">
        <v>2</v>
      </c>
      <c r="L5028">
        <v>0</v>
      </c>
      <c r="M5028" t="s">
        <v>0</v>
      </c>
      <c r="N5028" s="3">
        <v>0.39</v>
      </c>
      <c r="O5028" s="3">
        <v>0.61</v>
      </c>
      <c r="P5028">
        <v>6</v>
      </c>
      <c r="Q5028">
        <v>8</v>
      </c>
      <c r="R5028">
        <v>1</v>
      </c>
      <c r="S5028">
        <v>6</v>
      </c>
      <c r="T5028">
        <v>9</v>
      </c>
      <c r="U5028">
        <v>6</v>
      </c>
      <c r="V5028">
        <v>2</v>
      </c>
      <c r="W5028">
        <v>2</v>
      </c>
      <c r="X5028">
        <v>0</v>
      </c>
      <c r="Y5028">
        <v>0</v>
      </c>
      <c r="Z5028">
        <v>0</v>
      </c>
    </row>
    <row r="5029" spans="1:26" x14ac:dyDescent="0.2">
      <c r="A5029" t="s">
        <v>5147</v>
      </c>
      <c r="B5029" t="s">
        <v>66</v>
      </c>
      <c r="C5029">
        <v>2022</v>
      </c>
      <c r="D5029" t="s">
        <v>40</v>
      </c>
      <c r="E5029" t="s">
        <v>48</v>
      </c>
      <c r="F5029" t="s">
        <v>49</v>
      </c>
      <c r="G5029">
        <v>53400</v>
      </c>
      <c r="H5029">
        <v>42720</v>
      </c>
      <c r="I5029" s="13">
        <v>1</v>
      </c>
      <c r="J5029" t="s">
        <v>6207</v>
      </c>
      <c r="K5029">
        <v>6</v>
      </c>
      <c r="L5029">
        <v>3</v>
      </c>
      <c r="M5029" t="s">
        <v>0</v>
      </c>
      <c r="N5029" s="3">
        <v>0.54</v>
      </c>
      <c r="O5029" s="3">
        <v>0.46</v>
      </c>
      <c r="P5029">
        <v>7</v>
      </c>
      <c r="Q5029">
        <v>2</v>
      </c>
      <c r="R5029">
        <v>5</v>
      </c>
      <c r="S5029">
        <v>1</v>
      </c>
      <c r="T5029">
        <v>3</v>
      </c>
      <c r="U5029">
        <v>9</v>
      </c>
      <c r="V5029">
        <v>0</v>
      </c>
      <c r="W5029">
        <v>3</v>
      </c>
      <c r="X5029">
        <v>0</v>
      </c>
      <c r="Y5029">
        <v>0</v>
      </c>
      <c r="Z5029">
        <v>1</v>
      </c>
    </row>
    <row r="5030" spans="1:26" x14ac:dyDescent="0.2">
      <c r="A5030" t="s">
        <v>5148</v>
      </c>
      <c r="B5030" t="s">
        <v>59</v>
      </c>
      <c r="C5030">
        <v>2022</v>
      </c>
      <c r="D5030" t="s">
        <v>33</v>
      </c>
      <c r="E5030" t="s">
        <v>42</v>
      </c>
      <c r="F5030" t="s">
        <v>33</v>
      </c>
      <c r="G5030">
        <v>37645</v>
      </c>
      <c r="H5030">
        <v>30116</v>
      </c>
      <c r="I5030" s="13">
        <v>0.8571428571428571</v>
      </c>
      <c r="J5030" t="s">
        <v>6206</v>
      </c>
      <c r="K5030">
        <v>0</v>
      </c>
      <c r="L5030">
        <v>0</v>
      </c>
      <c r="M5030" t="s">
        <v>58</v>
      </c>
      <c r="N5030" s="3">
        <v>0.44</v>
      </c>
      <c r="O5030" s="3">
        <v>0.56000000000000005</v>
      </c>
      <c r="P5030">
        <v>14</v>
      </c>
      <c r="Q5030">
        <v>23</v>
      </c>
      <c r="R5030">
        <v>2</v>
      </c>
      <c r="S5030">
        <v>9</v>
      </c>
      <c r="T5030">
        <v>23</v>
      </c>
      <c r="U5030">
        <v>12</v>
      </c>
      <c r="V5030">
        <v>4</v>
      </c>
      <c r="W5030">
        <v>2</v>
      </c>
      <c r="X5030">
        <v>1</v>
      </c>
      <c r="Y5030">
        <v>0</v>
      </c>
      <c r="Z5030">
        <v>0</v>
      </c>
    </row>
    <row r="5031" spans="1:26" x14ac:dyDescent="0.2">
      <c r="A5031" t="s">
        <v>5149</v>
      </c>
      <c r="B5031" t="s">
        <v>99</v>
      </c>
      <c r="C5031">
        <v>2022</v>
      </c>
      <c r="D5031" t="s">
        <v>80</v>
      </c>
      <c r="E5031" t="s">
        <v>94</v>
      </c>
      <c r="F5031" t="s">
        <v>80</v>
      </c>
      <c r="G5031">
        <v>32261</v>
      </c>
      <c r="H5031">
        <v>25808.800000000003</v>
      </c>
      <c r="I5031" s="13">
        <v>0.33333333333333331</v>
      </c>
      <c r="J5031" t="s">
        <v>6207</v>
      </c>
      <c r="K5031">
        <v>4</v>
      </c>
      <c r="L5031">
        <v>0</v>
      </c>
      <c r="M5031" t="s">
        <v>0</v>
      </c>
      <c r="N5031" s="3">
        <v>0.52</v>
      </c>
      <c r="O5031" s="3">
        <v>0.48</v>
      </c>
      <c r="P5031">
        <v>14</v>
      </c>
      <c r="Q5031">
        <v>14</v>
      </c>
      <c r="R5031">
        <v>6</v>
      </c>
      <c r="S5031">
        <v>6</v>
      </c>
      <c r="T5031">
        <v>13</v>
      </c>
      <c r="U5031">
        <v>12</v>
      </c>
      <c r="V5031">
        <v>2</v>
      </c>
      <c r="W5031">
        <v>4</v>
      </c>
      <c r="X5031">
        <v>0</v>
      </c>
      <c r="Y5031">
        <v>0</v>
      </c>
      <c r="Z5031">
        <v>0</v>
      </c>
    </row>
    <row r="5032" spans="1:26" x14ac:dyDescent="0.2">
      <c r="A5032" t="s">
        <v>5150</v>
      </c>
      <c r="B5032" t="s">
        <v>104</v>
      </c>
      <c r="C5032">
        <v>2022</v>
      </c>
      <c r="D5032" t="s">
        <v>64</v>
      </c>
      <c r="E5032" t="s">
        <v>101</v>
      </c>
      <c r="F5032" t="s">
        <v>64</v>
      </c>
      <c r="G5032">
        <v>52264</v>
      </c>
      <c r="H5032">
        <v>41811.200000000004</v>
      </c>
      <c r="I5032" s="13">
        <v>0</v>
      </c>
      <c r="J5032" t="s">
        <v>6206</v>
      </c>
      <c r="K5032">
        <v>5</v>
      </c>
      <c r="L5032">
        <v>1</v>
      </c>
      <c r="M5032" t="s">
        <v>0</v>
      </c>
      <c r="N5032" s="3">
        <v>0.54</v>
      </c>
      <c r="O5032" s="3">
        <v>0.46</v>
      </c>
      <c r="P5032">
        <v>12</v>
      </c>
      <c r="Q5032">
        <v>15</v>
      </c>
      <c r="R5032">
        <v>9</v>
      </c>
      <c r="S5032">
        <v>5</v>
      </c>
      <c r="T5032">
        <v>14</v>
      </c>
      <c r="U5032">
        <v>9</v>
      </c>
      <c r="V5032">
        <v>0</v>
      </c>
      <c r="W5032">
        <v>1</v>
      </c>
      <c r="X5032">
        <v>0</v>
      </c>
      <c r="Y5032">
        <v>0</v>
      </c>
      <c r="Z5032">
        <v>1</v>
      </c>
    </row>
    <row r="5033" spans="1:26" x14ac:dyDescent="0.2">
      <c r="A5033" t="s">
        <v>5151</v>
      </c>
      <c r="B5033" t="s">
        <v>92</v>
      </c>
      <c r="C5033">
        <v>2022</v>
      </c>
      <c r="D5033" t="s">
        <v>40</v>
      </c>
      <c r="E5033" t="s">
        <v>73</v>
      </c>
      <c r="F5033" t="s">
        <v>49</v>
      </c>
      <c r="G5033">
        <v>53400</v>
      </c>
      <c r="H5033">
        <v>42720</v>
      </c>
      <c r="I5033" s="13">
        <v>0</v>
      </c>
      <c r="J5033" t="s">
        <v>6207</v>
      </c>
      <c r="K5033">
        <v>4</v>
      </c>
      <c r="L5033">
        <v>0</v>
      </c>
      <c r="M5033" t="s">
        <v>0</v>
      </c>
      <c r="N5033" s="3">
        <v>0.66</v>
      </c>
      <c r="O5033" s="3">
        <v>0.34</v>
      </c>
      <c r="P5033">
        <v>9</v>
      </c>
      <c r="Q5033">
        <v>5</v>
      </c>
      <c r="R5033">
        <v>9</v>
      </c>
      <c r="S5033">
        <v>1</v>
      </c>
      <c r="T5033">
        <v>4</v>
      </c>
      <c r="U5033">
        <v>8</v>
      </c>
      <c r="V5033">
        <v>0</v>
      </c>
      <c r="W5033">
        <v>1</v>
      </c>
      <c r="X5033">
        <v>0</v>
      </c>
      <c r="Y5033">
        <v>0</v>
      </c>
      <c r="Z5033">
        <v>0</v>
      </c>
    </row>
    <row r="5034" spans="1:26" x14ac:dyDescent="0.2">
      <c r="A5034" t="s">
        <v>5152</v>
      </c>
      <c r="B5034" t="s">
        <v>84</v>
      </c>
      <c r="C5034">
        <v>2022</v>
      </c>
      <c r="D5034" t="s">
        <v>18</v>
      </c>
      <c r="E5034" t="s">
        <v>22</v>
      </c>
      <c r="F5034" t="s">
        <v>20</v>
      </c>
      <c r="G5034">
        <v>40341</v>
      </c>
      <c r="H5034">
        <v>32272.800000000003</v>
      </c>
      <c r="I5034" s="13">
        <v>1</v>
      </c>
      <c r="J5034" t="s">
        <v>6208</v>
      </c>
      <c r="K5034">
        <v>3</v>
      </c>
      <c r="L5034">
        <v>0</v>
      </c>
      <c r="M5034" t="s">
        <v>0</v>
      </c>
      <c r="N5034" s="3">
        <v>0.56999999999999995</v>
      </c>
      <c r="O5034" s="3">
        <v>0.43</v>
      </c>
      <c r="P5034">
        <v>9</v>
      </c>
      <c r="Q5034">
        <v>11</v>
      </c>
      <c r="R5034">
        <v>4</v>
      </c>
      <c r="S5034">
        <v>2</v>
      </c>
      <c r="T5034">
        <v>8</v>
      </c>
      <c r="U5034">
        <v>8</v>
      </c>
      <c r="V5034">
        <v>2</v>
      </c>
      <c r="W5034">
        <v>0</v>
      </c>
      <c r="X5034">
        <v>0</v>
      </c>
      <c r="Y5034">
        <v>0</v>
      </c>
      <c r="Z5034">
        <v>0</v>
      </c>
    </row>
    <row r="5035" spans="1:26" x14ac:dyDescent="0.2">
      <c r="A5035" t="s">
        <v>5153</v>
      </c>
      <c r="B5035" t="s">
        <v>103</v>
      </c>
      <c r="C5035">
        <v>2022</v>
      </c>
      <c r="D5035" t="s">
        <v>86</v>
      </c>
      <c r="E5035" t="s">
        <v>80</v>
      </c>
      <c r="F5035" t="s">
        <v>86</v>
      </c>
      <c r="G5035">
        <v>11364</v>
      </c>
      <c r="H5035">
        <v>9091.2000000000007</v>
      </c>
      <c r="I5035" s="13">
        <v>0.33333333333333331</v>
      </c>
      <c r="J5035" t="s">
        <v>6207</v>
      </c>
      <c r="K5035">
        <v>2</v>
      </c>
      <c r="L5035">
        <v>1</v>
      </c>
      <c r="M5035" t="s">
        <v>0</v>
      </c>
      <c r="N5035" s="3">
        <v>0.44</v>
      </c>
      <c r="O5035" s="3">
        <v>0.56000000000000005</v>
      </c>
      <c r="P5035">
        <v>16</v>
      </c>
      <c r="Q5035">
        <v>11</v>
      </c>
      <c r="R5035">
        <v>7</v>
      </c>
      <c r="S5035">
        <v>2</v>
      </c>
      <c r="T5035">
        <v>8</v>
      </c>
      <c r="U5035">
        <v>16</v>
      </c>
      <c r="V5035">
        <v>1</v>
      </c>
      <c r="W5035">
        <v>2</v>
      </c>
      <c r="X5035">
        <v>0</v>
      </c>
      <c r="Y5035">
        <v>0</v>
      </c>
      <c r="Z5035">
        <v>0</v>
      </c>
    </row>
    <row r="5036" spans="1:26" x14ac:dyDescent="0.2">
      <c r="A5036" t="s">
        <v>5154</v>
      </c>
      <c r="B5036" t="s">
        <v>105</v>
      </c>
      <c r="C5036">
        <v>2022</v>
      </c>
      <c r="D5036" t="s">
        <v>90</v>
      </c>
      <c r="E5036" t="s">
        <v>51</v>
      </c>
      <c r="F5036" t="s">
        <v>91</v>
      </c>
      <c r="G5036">
        <v>31876</v>
      </c>
      <c r="H5036">
        <v>25500.800000000003</v>
      </c>
      <c r="I5036" s="13">
        <v>0.66666666666666663</v>
      </c>
      <c r="J5036" t="s">
        <v>6207</v>
      </c>
      <c r="K5036">
        <v>0</v>
      </c>
      <c r="L5036">
        <v>1</v>
      </c>
      <c r="M5036" t="s">
        <v>1</v>
      </c>
      <c r="N5036" s="3">
        <v>0.59</v>
      </c>
      <c r="O5036" s="3">
        <v>0.41</v>
      </c>
      <c r="P5036">
        <v>17</v>
      </c>
      <c r="Q5036">
        <v>11</v>
      </c>
      <c r="R5036">
        <v>6</v>
      </c>
      <c r="S5036">
        <v>2</v>
      </c>
      <c r="T5036">
        <v>9</v>
      </c>
      <c r="U5036">
        <v>14</v>
      </c>
      <c r="V5036">
        <v>1</v>
      </c>
      <c r="W5036">
        <v>2</v>
      </c>
      <c r="X5036">
        <v>0</v>
      </c>
      <c r="Y5036">
        <v>0</v>
      </c>
      <c r="Z5036">
        <v>0</v>
      </c>
    </row>
    <row r="5037" spans="1:26" x14ac:dyDescent="0.2">
      <c r="A5037" t="s">
        <v>5155</v>
      </c>
      <c r="B5037" t="s">
        <v>88</v>
      </c>
      <c r="C5037">
        <v>2022</v>
      </c>
      <c r="D5037" t="s">
        <v>23</v>
      </c>
      <c r="E5037" t="s">
        <v>31</v>
      </c>
      <c r="F5037" t="s">
        <v>20</v>
      </c>
      <c r="G5037">
        <v>62500</v>
      </c>
      <c r="H5037">
        <v>50000</v>
      </c>
      <c r="I5037" s="13">
        <v>0.6</v>
      </c>
      <c r="J5037" t="s">
        <v>6207</v>
      </c>
      <c r="K5037">
        <v>3</v>
      </c>
      <c r="L5037">
        <v>1</v>
      </c>
      <c r="M5037" t="s">
        <v>0</v>
      </c>
      <c r="N5037" s="3">
        <v>0.5</v>
      </c>
      <c r="O5037" s="3">
        <v>0.5</v>
      </c>
      <c r="P5037">
        <v>8</v>
      </c>
      <c r="Q5037">
        <v>9</v>
      </c>
      <c r="R5037">
        <v>4</v>
      </c>
      <c r="S5037">
        <v>2</v>
      </c>
      <c r="T5037">
        <v>9</v>
      </c>
      <c r="U5037">
        <v>7</v>
      </c>
      <c r="V5037">
        <v>1</v>
      </c>
      <c r="W5037">
        <v>4</v>
      </c>
      <c r="X5037">
        <v>0</v>
      </c>
      <c r="Y5037">
        <v>0</v>
      </c>
      <c r="Z5037">
        <v>1</v>
      </c>
    </row>
    <row r="5038" spans="1:26" x14ac:dyDescent="0.2">
      <c r="A5038" t="s">
        <v>5156</v>
      </c>
      <c r="B5038" t="s">
        <v>81</v>
      </c>
      <c r="C5038">
        <v>2022</v>
      </c>
      <c r="D5038" t="s">
        <v>79</v>
      </c>
      <c r="E5038" t="s">
        <v>33</v>
      </c>
      <c r="F5038" t="s">
        <v>20</v>
      </c>
      <c r="G5038">
        <v>25486</v>
      </c>
      <c r="H5038">
        <v>20388.800000000003</v>
      </c>
      <c r="I5038" s="13">
        <v>0.83333333333333337</v>
      </c>
      <c r="J5038" t="s">
        <v>6207</v>
      </c>
      <c r="K5038">
        <v>2</v>
      </c>
      <c r="L5038">
        <v>1</v>
      </c>
      <c r="M5038" t="s">
        <v>0</v>
      </c>
      <c r="N5038" s="3">
        <v>0.55000000000000004</v>
      </c>
      <c r="O5038" s="3">
        <v>0.45</v>
      </c>
      <c r="P5038">
        <v>22</v>
      </c>
      <c r="Q5038">
        <v>11</v>
      </c>
      <c r="R5038">
        <v>5</v>
      </c>
      <c r="S5038">
        <v>3</v>
      </c>
      <c r="T5038">
        <v>13</v>
      </c>
      <c r="U5038">
        <v>23</v>
      </c>
      <c r="V5038">
        <v>3</v>
      </c>
      <c r="W5038">
        <v>3</v>
      </c>
      <c r="X5038">
        <v>0</v>
      </c>
      <c r="Y5038">
        <v>0</v>
      </c>
      <c r="Z5038">
        <v>0</v>
      </c>
    </row>
    <row r="5039" spans="1:26" x14ac:dyDescent="0.2">
      <c r="A5039" t="s">
        <v>5157</v>
      </c>
      <c r="B5039" t="s">
        <v>66</v>
      </c>
      <c r="C5039">
        <v>2022</v>
      </c>
      <c r="D5039" t="s">
        <v>46</v>
      </c>
      <c r="E5039" t="s">
        <v>26</v>
      </c>
      <c r="F5039" t="s">
        <v>20</v>
      </c>
      <c r="G5039">
        <v>60704</v>
      </c>
      <c r="H5039">
        <v>48563.200000000004</v>
      </c>
      <c r="I5039" s="13">
        <v>1</v>
      </c>
      <c r="J5039" t="s">
        <v>6207</v>
      </c>
      <c r="K5039">
        <v>3</v>
      </c>
      <c r="L5039">
        <v>2</v>
      </c>
      <c r="M5039" t="s">
        <v>0</v>
      </c>
      <c r="N5039" s="3">
        <v>0.44</v>
      </c>
      <c r="O5039" s="3">
        <v>0.56000000000000005</v>
      </c>
      <c r="P5039">
        <v>14</v>
      </c>
      <c r="Q5039">
        <v>15</v>
      </c>
      <c r="R5039">
        <v>4</v>
      </c>
      <c r="S5039">
        <v>3</v>
      </c>
      <c r="T5039">
        <v>11</v>
      </c>
      <c r="U5039">
        <v>11</v>
      </c>
      <c r="V5039">
        <v>1</v>
      </c>
      <c r="W5039">
        <v>2</v>
      </c>
      <c r="X5039">
        <v>0</v>
      </c>
      <c r="Y5039">
        <v>0</v>
      </c>
      <c r="Z5039">
        <v>1</v>
      </c>
    </row>
    <row r="5040" spans="1:26" x14ac:dyDescent="0.2">
      <c r="A5040" t="s">
        <v>5158</v>
      </c>
      <c r="B5040" t="s">
        <v>93</v>
      </c>
      <c r="C5040">
        <v>2022</v>
      </c>
      <c r="D5040" t="s">
        <v>45</v>
      </c>
      <c r="E5040" t="s">
        <v>48</v>
      </c>
      <c r="F5040" t="s">
        <v>26</v>
      </c>
      <c r="G5040">
        <v>39572</v>
      </c>
      <c r="H5040">
        <v>31657.600000000002</v>
      </c>
      <c r="I5040" s="13">
        <v>0.33333333333333331</v>
      </c>
      <c r="J5040" t="s">
        <v>6206</v>
      </c>
      <c r="K5040">
        <v>1</v>
      </c>
      <c r="L5040">
        <v>2</v>
      </c>
      <c r="M5040" t="s">
        <v>1</v>
      </c>
      <c r="N5040" s="3">
        <v>0.39</v>
      </c>
      <c r="O5040" s="3">
        <v>0.61</v>
      </c>
      <c r="P5040">
        <v>17</v>
      </c>
      <c r="Q5040">
        <v>7</v>
      </c>
      <c r="R5040">
        <v>5</v>
      </c>
      <c r="S5040">
        <v>4</v>
      </c>
      <c r="T5040">
        <v>7</v>
      </c>
      <c r="U5040">
        <v>13</v>
      </c>
      <c r="V5040">
        <v>2</v>
      </c>
      <c r="W5040">
        <v>1</v>
      </c>
      <c r="X5040">
        <v>0</v>
      </c>
      <c r="Y5040">
        <v>0</v>
      </c>
      <c r="Z5040">
        <v>0</v>
      </c>
    </row>
    <row r="5041" spans="1:26" x14ac:dyDescent="0.2">
      <c r="A5041" t="s">
        <v>5159</v>
      </c>
      <c r="B5041" t="s">
        <v>61</v>
      </c>
      <c r="C5041">
        <v>2022</v>
      </c>
      <c r="D5041" t="s">
        <v>94</v>
      </c>
      <c r="E5041" t="s">
        <v>42</v>
      </c>
      <c r="F5041" t="s">
        <v>106</v>
      </c>
      <c r="G5041">
        <v>30445</v>
      </c>
      <c r="H5041">
        <v>24356</v>
      </c>
      <c r="I5041" s="13">
        <v>0.16666666666666666</v>
      </c>
      <c r="J5041" t="s">
        <v>6207</v>
      </c>
      <c r="K5041">
        <v>1</v>
      </c>
      <c r="L5041">
        <v>1</v>
      </c>
      <c r="M5041" t="s">
        <v>58</v>
      </c>
      <c r="N5041" s="3">
        <v>0.4</v>
      </c>
      <c r="O5041" s="3">
        <v>0.6</v>
      </c>
      <c r="P5041">
        <v>21</v>
      </c>
      <c r="Q5041">
        <v>10</v>
      </c>
      <c r="R5041">
        <v>1</v>
      </c>
      <c r="S5041">
        <v>4</v>
      </c>
      <c r="T5041">
        <v>13</v>
      </c>
      <c r="U5041">
        <v>19</v>
      </c>
      <c r="V5041">
        <v>3</v>
      </c>
      <c r="W5041">
        <v>3</v>
      </c>
      <c r="X5041">
        <v>0</v>
      </c>
      <c r="Y5041">
        <v>0</v>
      </c>
      <c r="Z5041">
        <v>0</v>
      </c>
    </row>
    <row r="5042" spans="1:26" x14ac:dyDescent="0.2">
      <c r="A5042" t="s">
        <v>5160</v>
      </c>
      <c r="B5042" t="s">
        <v>103</v>
      </c>
      <c r="C5042">
        <v>2022</v>
      </c>
      <c r="D5042" t="s">
        <v>101</v>
      </c>
      <c r="E5042" t="s">
        <v>90</v>
      </c>
      <c r="F5042" t="s">
        <v>101</v>
      </c>
      <c r="G5042">
        <v>17250</v>
      </c>
      <c r="H5042">
        <v>13800</v>
      </c>
      <c r="I5042" s="13">
        <v>0.5</v>
      </c>
      <c r="J5042" t="s">
        <v>6207</v>
      </c>
      <c r="K5042">
        <v>2</v>
      </c>
      <c r="L5042">
        <v>0</v>
      </c>
      <c r="M5042" t="s">
        <v>0</v>
      </c>
      <c r="N5042" s="3">
        <v>0.28000000000000003</v>
      </c>
      <c r="O5042" s="3">
        <v>0.72</v>
      </c>
      <c r="P5042">
        <v>17</v>
      </c>
      <c r="Q5042">
        <v>12</v>
      </c>
      <c r="R5042">
        <v>2</v>
      </c>
      <c r="S5042">
        <v>11</v>
      </c>
      <c r="T5042">
        <v>12</v>
      </c>
      <c r="U5042">
        <v>15</v>
      </c>
      <c r="V5042">
        <v>4</v>
      </c>
      <c r="W5042">
        <v>2</v>
      </c>
      <c r="X5042">
        <v>0</v>
      </c>
      <c r="Y5042">
        <v>0</v>
      </c>
      <c r="Z5042">
        <v>1</v>
      </c>
    </row>
    <row r="5043" spans="1:26" x14ac:dyDescent="0.2">
      <c r="A5043" t="s">
        <v>5161</v>
      </c>
      <c r="B5043" t="s">
        <v>92</v>
      </c>
      <c r="C5043">
        <v>2022</v>
      </c>
      <c r="D5043" t="s">
        <v>80</v>
      </c>
      <c r="E5043" t="s">
        <v>79</v>
      </c>
      <c r="F5043" t="s">
        <v>80</v>
      </c>
      <c r="G5043">
        <v>32261</v>
      </c>
      <c r="H5043">
        <v>25808.800000000003</v>
      </c>
      <c r="I5043" s="13">
        <v>0.5</v>
      </c>
      <c r="J5043" t="s">
        <v>6207</v>
      </c>
      <c r="K5043">
        <v>0</v>
      </c>
      <c r="L5043">
        <v>0</v>
      </c>
      <c r="M5043" t="s">
        <v>58</v>
      </c>
      <c r="N5043" s="3">
        <v>0.53</v>
      </c>
      <c r="O5043" s="3">
        <v>0.47</v>
      </c>
      <c r="P5043">
        <v>12</v>
      </c>
      <c r="Q5043">
        <v>19</v>
      </c>
      <c r="R5043">
        <v>9</v>
      </c>
      <c r="S5043">
        <v>2</v>
      </c>
      <c r="T5043">
        <v>18</v>
      </c>
      <c r="U5043">
        <v>13</v>
      </c>
      <c r="V5043">
        <v>2</v>
      </c>
      <c r="W5043">
        <v>2</v>
      </c>
      <c r="X5043">
        <v>0</v>
      </c>
      <c r="Y5043">
        <v>0</v>
      </c>
      <c r="Z5043">
        <v>0</v>
      </c>
    </row>
    <row r="5044" spans="1:26" x14ac:dyDescent="0.2">
      <c r="A5044" t="s">
        <v>5162</v>
      </c>
      <c r="B5044" t="s">
        <v>107</v>
      </c>
      <c r="C5044">
        <v>2022</v>
      </c>
      <c r="D5044" t="s">
        <v>22</v>
      </c>
      <c r="E5044" t="s">
        <v>94</v>
      </c>
      <c r="F5044" t="s">
        <v>24</v>
      </c>
      <c r="G5044">
        <v>31750</v>
      </c>
      <c r="H5044">
        <v>25400</v>
      </c>
      <c r="I5044" s="13">
        <v>0.75</v>
      </c>
      <c r="J5044" t="s">
        <v>6207</v>
      </c>
      <c r="K5044">
        <v>1</v>
      </c>
      <c r="L5044">
        <v>0</v>
      </c>
      <c r="M5044" t="s">
        <v>0</v>
      </c>
      <c r="N5044" s="3">
        <v>0.57999999999999996</v>
      </c>
      <c r="O5044" s="3">
        <v>0.42</v>
      </c>
      <c r="P5044">
        <v>13</v>
      </c>
      <c r="Q5044">
        <v>18</v>
      </c>
      <c r="R5044">
        <v>4</v>
      </c>
      <c r="S5044">
        <v>5</v>
      </c>
      <c r="T5044">
        <v>17</v>
      </c>
      <c r="U5044">
        <v>13</v>
      </c>
      <c r="V5044">
        <v>2</v>
      </c>
      <c r="W5044">
        <v>2</v>
      </c>
      <c r="X5044">
        <v>0</v>
      </c>
      <c r="Y5044">
        <v>0</v>
      </c>
      <c r="Z5044">
        <v>2</v>
      </c>
    </row>
    <row r="5045" spans="1:26" x14ac:dyDescent="0.2">
      <c r="A5045" t="s">
        <v>5163</v>
      </c>
      <c r="B5045" t="s">
        <v>83</v>
      </c>
      <c r="C5045">
        <v>2022</v>
      </c>
      <c r="D5045" t="s">
        <v>31</v>
      </c>
      <c r="E5045" t="s">
        <v>86</v>
      </c>
      <c r="F5045" t="s">
        <v>20</v>
      </c>
      <c r="G5045">
        <v>28500</v>
      </c>
      <c r="H5045">
        <v>22800</v>
      </c>
      <c r="I5045" s="13">
        <v>1</v>
      </c>
      <c r="J5045" t="s">
        <v>6208</v>
      </c>
      <c r="K5045">
        <v>2</v>
      </c>
      <c r="L5045">
        <v>2</v>
      </c>
      <c r="M5045" t="s">
        <v>58</v>
      </c>
      <c r="N5045" s="3">
        <v>0.69</v>
      </c>
      <c r="O5045" s="3">
        <v>0.31</v>
      </c>
      <c r="P5045">
        <v>9</v>
      </c>
      <c r="Q5045">
        <v>9</v>
      </c>
      <c r="R5045">
        <v>5</v>
      </c>
      <c r="S5045">
        <v>6</v>
      </c>
      <c r="T5045">
        <v>9</v>
      </c>
      <c r="U5045">
        <v>11</v>
      </c>
      <c r="V5045">
        <v>2</v>
      </c>
      <c r="W5045">
        <v>0</v>
      </c>
      <c r="X5045">
        <v>0</v>
      </c>
      <c r="Y5045">
        <v>0</v>
      </c>
      <c r="Z5045">
        <v>1</v>
      </c>
    </row>
    <row r="5046" spans="1:26" x14ac:dyDescent="0.2">
      <c r="A5046" t="s">
        <v>5164</v>
      </c>
      <c r="B5046" t="s">
        <v>81</v>
      </c>
      <c r="C5046">
        <v>2022</v>
      </c>
      <c r="D5046" t="s">
        <v>51</v>
      </c>
      <c r="E5046" t="s">
        <v>45</v>
      </c>
      <c r="F5046" t="s">
        <v>20</v>
      </c>
      <c r="G5046">
        <v>36284</v>
      </c>
      <c r="H5046">
        <v>29027.200000000001</v>
      </c>
      <c r="I5046" s="13">
        <v>0.8</v>
      </c>
      <c r="J5046" t="s">
        <v>6207</v>
      </c>
      <c r="K5046">
        <v>2</v>
      </c>
      <c r="L5046">
        <v>0</v>
      </c>
      <c r="M5046" t="s">
        <v>0</v>
      </c>
      <c r="N5046" s="3">
        <v>0.62</v>
      </c>
      <c r="O5046" s="3">
        <v>0.38</v>
      </c>
      <c r="P5046">
        <v>12</v>
      </c>
      <c r="Q5046">
        <v>12</v>
      </c>
      <c r="R5046">
        <v>7</v>
      </c>
      <c r="S5046">
        <v>1</v>
      </c>
      <c r="T5046">
        <v>12</v>
      </c>
      <c r="U5046">
        <v>13</v>
      </c>
      <c r="V5046">
        <v>1</v>
      </c>
      <c r="W5046">
        <v>4</v>
      </c>
      <c r="X5046">
        <v>0</v>
      </c>
      <c r="Y5046">
        <v>0</v>
      </c>
      <c r="Z5046">
        <v>1</v>
      </c>
    </row>
    <row r="5047" spans="1:26" x14ac:dyDescent="0.2">
      <c r="A5047" t="s">
        <v>5165</v>
      </c>
      <c r="B5047" t="s">
        <v>97</v>
      </c>
      <c r="C5047">
        <v>2022</v>
      </c>
      <c r="D5047" t="s">
        <v>73</v>
      </c>
      <c r="E5047" t="s">
        <v>23</v>
      </c>
      <c r="F5047" t="s">
        <v>73</v>
      </c>
      <c r="G5047">
        <v>32384</v>
      </c>
      <c r="H5047">
        <v>25907.200000000001</v>
      </c>
      <c r="I5047" s="13">
        <v>0.5</v>
      </c>
      <c r="J5047" t="s">
        <v>6207</v>
      </c>
      <c r="K5047">
        <v>1</v>
      </c>
      <c r="L5047">
        <v>1</v>
      </c>
      <c r="M5047" t="s">
        <v>58</v>
      </c>
      <c r="N5047" s="3">
        <v>0.39</v>
      </c>
      <c r="O5047" s="3">
        <v>0.61</v>
      </c>
      <c r="P5047">
        <v>3</v>
      </c>
      <c r="Q5047">
        <v>6</v>
      </c>
      <c r="R5047">
        <v>4</v>
      </c>
      <c r="S5047">
        <v>14</v>
      </c>
      <c r="T5047">
        <v>7</v>
      </c>
      <c r="U5047">
        <v>3</v>
      </c>
      <c r="V5047">
        <v>1</v>
      </c>
      <c r="W5047">
        <v>1</v>
      </c>
      <c r="X5047">
        <v>0</v>
      </c>
      <c r="Y5047">
        <v>0</v>
      </c>
      <c r="Z5047">
        <v>0</v>
      </c>
    </row>
    <row r="5048" spans="1:26" x14ac:dyDescent="0.2">
      <c r="A5048" t="s">
        <v>5166</v>
      </c>
      <c r="B5048" t="s">
        <v>76</v>
      </c>
      <c r="C5048">
        <v>2022</v>
      </c>
      <c r="D5048" t="s">
        <v>48</v>
      </c>
      <c r="E5048" t="s">
        <v>64</v>
      </c>
      <c r="F5048" t="s">
        <v>49</v>
      </c>
      <c r="G5048">
        <v>74197</v>
      </c>
      <c r="H5048">
        <v>59357.600000000006</v>
      </c>
      <c r="I5048" s="13">
        <v>0.75</v>
      </c>
      <c r="J5048" t="s">
        <v>6207</v>
      </c>
      <c r="K5048">
        <v>0</v>
      </c>
      <c r="L5048">
        <v>0</v>
      </c>
      <c r="M5048" t="s">
        <v>58</v>
      </c>
      <c r="N5048" s="3">
        <v>0.63</v>
      </c>
      <c r="O5048" s="3">
        <v>0.37</v>
      </c>
      <c r="P5048">
        <v>10</v>
      </c>
      <c r="Q5048">
        <v>13</v>
      </c>
      <c r="R5048">
        <v>4</v>
      </c>
      <c r="S5048">
        <v>4</v>
      </c>
      <c r="T5048">
        <v>13</v>
      </c>
      <c r="U5048">
        <v>11</v>
      </c>
      <c r="V5048">
        <v>3</v>
      </c>
      <c r="W5048">
        <v>1</v>
      </c>
      <c r="X5048">
        <v>0</v>
      </c>
      <c r="Y5048">
        <v>0</v>
      </c>
      <c r="Z5048">
        <v>0</v>
      </c>
    </row>
    <row r="5049" spans="1:26" x14ac:dyDescent="0.2">
      <c r="A5049" t="s">
        <v>5167</v>
      </c>
      <c r="B5049" t="s">
        <v>88</v>
      </c>
      <c r="C5049">
        <v>2022</v>
      </c>
      <c r="D5049" t="s">
        <v>33</v>
      </c>
      <c r="E5049" t="s">
        <v>46</v>
      </c>
      <c r="F5049" t="s">
        <v>33</v>
      </c>
      <c r="G5049">
        <v>37645</v>
      </c>
      <c r="H5049">
        <v>30116</v>
      </c>
      <c r="I5049" s="13">
        <v>1</v>
      </c>
      <c r="J5049" t="s">
        <v>6207</v>
      </c>
      <c r="K5049">
        <v>0</v>
      </c>
      <c r="L5049">
        <v>1</v>
      </c>
      <c r="M5049" t="s">
        <v>1</v>
      </c>
      <c r="N5049" s="3">
        <v>0.47</v>
      </c>
      <c r="O5049" s="3">
        <v>0.53</v>
      </c>
      <c r="P5049">
        <v>8</v>
      </c>
      <c r="Q5049">
        <v>10</v>
      </c>
      <c r="R5049">
        <v>6</v>
      </c>
      <c r="S5049">
        <v>3</v>
      </c>
      <c r="T5049">
        <v>10</v>
      </c>
      <c r="U5049">
        <v>11</v>
      </c>
      <c r="V5049">
        <v>0</v>
      </c>
      <c r="W5049">
        <v>2</v>
      </c>
      <c r="X5049">
        <v>0</v>
      </c>
      <c r="Y5049">
        <v>0</v>
      </c>
      <c r="Z5049">
        <v>1</v>
      </c>
    </row>
    <row r="5050" spans="1:26" x14ac:dyDescent="0.2">
      <c r="A5050" t="s">
        <v>5168</v>
      </c>
      <c r="B5050" t="s">
        <v>99</v>
      </c>
      <c r="C5050">
        <v>2022</v>
      </c>
      <c r="D5050" t="s">
        <v>42</v>
      </c>
      <c r="E5050" t="s">
        <v>18</v>
      </c>
      <c r="F5050" t="s">
        <v>38</v>
      </c>
      <c r="G5050">
        <v>42918</v>
      </c>
      <c r="H5050">
        <v>34334.400000000001</v>
      </c>
      <c r="I5050" s="13">
        <v>0.33333333333333331</v>
      </c>
      <c r="J5050" t="s">
        <v>6207</v>
      </c>
      <c r="K5050">
        <v>0</v>
      </c>
      <c r="L5050">
        <v>2</v>
      </c>
      <c r="M5050" t="s">
        <v>1</v>
      </c>
      <c r="N5050" s="3">
        <v>0.41</v>
      </c>
      <c r="O5050" s="3">
        <v>0.59</v>
      </c>
      <c r="P5050">
        <v>12</v>
      </c>
      <c r="Q5050">
        <v>16</v>
      </c>
      <c r="R5050">
        <v>7</v>
      </c>
      <c r="S5050">
        <v>1</v>
      </c>
      <c r="T5050">
        <v>12</v>
      </c>
      <c r="U5050">
        <v>11</v>
      </c>
      <c r="V5050">
        <v>0</v>
      </c>
      <c r="W5050">
        <v>3</v>
      </c>
      <c r="X5050">
        <v>0</v>
      </c>
      <c r="Y5050">
        <v>0</v>
      </c>
      <c r="Z5050">
        <v>0</v>
      </c>
    </row>
    <row r="5051" spans="1:26" x14ac:dyDescent="0.2">
      <c r="A5051" t="s">
        <v>5169</v>
      </c>
      <c r="B5051" t="s">
        <v>61</v>
      </c>
      <c r="C5051">
        <v>2022</v>
      </c>
      <c r="D5051" t="s">
        <v>26</v>
      </c>
      <c r="E5051" t="s">
        <v>40</v>
      </c>
      <c r="F5051" t="s">
        <v>26</v>
      </c>
      <c r="G5051">
        <v>61276</v>
      </c>
      <c r="H5051">
        <v>49020.800000000003</v>
      </c>
      <c r="I5051" s="13">
        <v>0.8</v>
      </c>
      <c r="J5051" t="s">
        <v>6207</v>
      </c>
      <c r="K5051">
        <v>1</v>
      </c>
      <c r="L5051">
        <v>0</v>
      </c>
      <c r="M5051" t="s">
        <v>0</v>
      </c>
      <c r="N5051" s="3">
        <v>0.37</v>
      </c>
      <c r="O5051" s="3">
        <v>0.63</v>
      </c>
      <c r="P5051">
        <v>6</v>
      </c>
      <c r="Q5051">
        <v>13</v>
      </c>
      <c r="R5051">
        <v>5</v>
      </c>
      <c r="S5051">
        <v>6</v>
      </c>
      <c r="T5051">
        <v>10</v>
      </c>
      <c r="U5051">
        <v>7</v>
      </c>
      <c r="V5051">
        <v>3</v>
      </c>
      <c r="W5051">
        <v>1</v>
      </c>
      <c r="X5051">
        <v>1</v>
      </c>
      <c r="Y5051">
        <v>0</v>
      </c>
      <c r="Z5051">
        <v>0</v>
      </c>
    </row>
    <row r="5052" spans="1:26" x14ac:dyDescent="0.2">
      <c r="A5052" t="s">
        <v>5170</v>
      </c>
      <c r="B5052" t="s">
        <v>100</v>
      </c>
      <c r="C5052">
        <v>2022</v>
      </c>
      <c r="D5052" t="s">
        <v>90</v>
      </c>
      <c r="E5052" t="s">
        <v>94</v>
      </c>
      <c r="F5052" t="s">
        <v>91</v>
      </c>
      <c r="G5052">
        <v>31876</v>
      </c>
      <c r="H5052">
        <v>25500.800000000003</v>
      </c>
      <c r="I5052" s="13">
        <v>1</v>
      </c>
      <c r="J5052" t="s">
        <v>6207</v>
      </c>
      <c r="K5052">
        <v>0</v>
      </c>
      <c r="L5052">
        <v>0</v>
      </c>
      <c r="M5052" t="s">
        <v>58</v>
      </c>
      <c r="N5052" s="3">
        <v>0.7</v>
      </c>
      <c r="O5052" s="3">
        <v>0.3</v>
      </c>
      <c r="P5052">
        <v>11</v>
      </c>
      <c r="Q5052">
        <v>11</v>
      </c>
      <c r="R5052">
        <v>9</v>
      </c>
      <c r="S5052">
        <v>1</v>
      </c>
      <c r="T5052">
        <v>10</v>
      </c>
      <c r="U5052">
        <v>14</v>
      </c>
      <c r="V5052">
        <v>3</v>
      </c>
      <c r="W5052">
        <v>1</v>
      </c>
      <c r="X5052">
        <v>0</v>
      </c>
      <c r="Y5052">
        <v>0</v>
      </c>
      <c r="Z5052">
        <v>0</v>
      </c>
    </row>
    <row r="5053" spans="1:26" x14ac:dyDescent="0.2">
      <c r="A5053" t="s">
        <v>5171</v>
      </c>
      <c r="B5053" t="s">
        <v>93</v>
      </c>
      <c r="C5053">
        <v>2022</v>
      </c>
      <c r="D5053" t="s">
        <v>79</v>
      </c>
      <c r="E5053" t="s">
        <v>22</v>
      </c>
      <c r="F5053" t="s">
        <v>20</v>
      </c>
      <c r="G5053">
        <v>25486</v>
      </c>
      <c r="H5053">
        <v>20388.800000000003</v>
      </c>
      <c r="I5053" s="13">
        <v>0.5</v>
      </c>
      <c r="J5053" t="s">
        <v>6206</v>
      </c>
      <c r="K5053">
        <v>2</v>
      </c>
      <c r="L5053">
        <v>1</v>
      </c>
      <c r="M5053" t="s">
        <v>0</v>
      </c>
      <c r="N5053" s="3">
        <v>0.51</v>
      </c>
      <c r="O5053" s="3">
        <v>0.49</v>
      </c>
      <c r="P5053">
        <v>18</v>
      </c>
      <c r="Q5053">
        <v>14</v>
      </c>
      <c r="R5053">
        <v>4</v>
      </c>
      <c r="S5053">
        <v>2</v>
      </c>
      <c r="T5053">
        <v>14</v>
      </c>
      <c r="U5053">
        <v>18</v>
      </c>
      <c r="V5053">
        <v>3</v>
      </c>
      <c r="W5053">
        <v>1</v>
      </c>
      <c r="X5053">
        <v>0</v>
      </c>
      <c r="Y5053">
        <v>0</v>
      </c>
      <c r="Z5053">
        <v>0</v>
      </c>
    </row>
    <row r="5054" spans="1:26" x14ac:dyDescent="0.2">
      <c r="A5054" t="s">
        <v>5172</v>
      </c>
      <c r="B5054" t="s">
        <v>105</v>
      </c>
      <c r="C5054">
        <v>2022</v>
      </c>
      <c r="D5054" t="s">
        <v>64</v>
      </c>
      <c r="E5054" t="s">
        <v>45</v>
      </c>
      <c r="F5054" t="s">
        <v>64</v>
      </c>
      <c r="G5054">
        <v>52264</v>
      </c>
      <c r="H5054">
        <v>41811.200000000004</v>
      </c>
      <c r="I5054" s="13">
        <v>0.5</v>
      </c>
      <c r="J5054" t="s">
        <v>6207</v>
      </c>
      <c r="K5054">
        <v>1</v>
      </c>
      <c r="L5054">
        <v>0</v>
      </c>
      <c r="M5054" t="s">
        <v>0</v>
      </c>
      <c r="N5054" s="3">
        <v>0.5</v>
      </c>
      <c r="O5054" s="3">
        <v>0.5</v>
      </c>
      <c r="P5054">
        <v>12</v>
      </c>
      <c r="Q5054">
        <v>9</v>
      </c>
      <c r="R5054">
        <v>8</v>
      </c>
      <c r="S5054">
        <v>2</v>
      </c>
      <c r="T5054">
        <v>9</v>
      </c>
      <c r="U5054">
        <v>12</v>
      </c>
      <c r="V5054">
        <v>2</v>
      </c>
      <c r="W5054">
        <v>4</v>
      </c>
      <c r="X5054">
        <v>0</v>
      </c>
      <c r="Y5054">
        <v>0</v>
      </c>
      <c r="Z5054">
        <v>0</v>
      </c>
    </row>
    <row r="5055" spans="1:26" x14ac:dyDescent="0.2">
      <c r="A5055" t="s">
        <v>5173</v>
      </c>
      <c r="B5055" t="s">
        <v>59</v>
      </c>
      <c r="C5055">
        <v>2022</v>
      </c>
      <c r="D5055" t="s">
        <v>26</v>
      </c>
      <c r="E5055" t="s">
        <v>23</v>
      </c>
      <c r="F5055" t="s">
        <v>26</v>
      </c>
      <c r="G5055">
        <v>61276</v>
      </c>
      <c r="H5055">
        <v>49020.800000000003</v>
      </c>
      <c r="I5055" s="13">
        <v>0</v>
      </c>
      <c r="J5055" t="s">
        <v>6206</v>
      </c>
      <c r="K5055">
        <v>1</v>
      </c>
      <c r="L5055">
        <v>0</v>
      </c>
      <c r="M5055" t="s">
        <v>0</v>
      </c>
      <c r="N5055" s="3">
        <v>0.54</v>
      </c>
      <c r="O5055" s="3">
        <v>0.46</v>
      </c>
      <c r="P5055">
        <v>8</v>
      </c>
      <c r="Q5055">
        <v>8</v>
      </c>
      <c r="R5055">
        <v>8</v>
      </c>
      <c r="S5055">
        <v>3</v>
      </c>
      <c r="T5055">
        <v>9</v>
      </c>
      <c r="U5055">
        <v>8</v>
      </c>
      <c r="V5055">
        <v>0</v>
      </c>
      <c r="W5055">
        <v>0</v>
      </c>
      <c r="X5055">
        <v>0</v>
      </c>
      <c r="Y5055">
        <v>0</v>
      </c>
      <c r="Z5055">
        <v>1</v>
      </c>
    </row>
    <row r="5056" spans="1:26" x14ac:dyDescent="0.2">
      <c r="A5056" t="s">
        <v>5174</v>
      </c>
      <c r="B5056" t="s">
        <v>102</v>
      </c>
      <c r="C5056">
        <v>2022</v>
      </c>
      <c r="D5056" t="s">
        <v>101</v>
      </c>
      <c r="E5056" t="s">
        <v>18</v>
      </c>
      <c r="F5056" t="s">
        <v>101</v>
      </c>
      <c r="G5056">
        <v>17250</v>
      </c>
      <c r="H5056">
        <v>13800</v>
      </c>
      <c r="I5056" s="13">
        <v>0</v>
      </c>
      <c r="J5056" t="s">
        <v>6209</v>
      </c>
      <c r="K5056">
        <v>0</v>
      </c>
      <c r="L5056">
        <v>0</v>
      </c>
      <c r="M5056" t="s">
        <v>58</v>
      </c>
      <c r="N5056" s="3">
        <v>0.34</v>
      </c>
      <c r="O5056" s="3">
        <v>0.66</v>
      </c>
      <c r="P5056">
        <v>6</v>
      </c>
      <c r="Q5056">
        <v>9</v>
      </c>
      <c r="R5056">
        <v>6</v>
      </c>
      <c r="S5056">
        <v>2</v>
      </c>
      <c r="T5056">
        <v>7</v>
      </c>
      <c r="U5056">
        <v>7</v>
      </c>
      <c r="V5056">
        <v>0</v>
      </c>
      <c r="W5056">
        <v>0</v>
      </c>
      <c r="X5056">
        <v>0</v>
      </c>
      <c r="Y5056">
        <v>0</v>
      </c>
      <c r="Z5056">
        <v>0</v>
      </c>
    </row>
    <row r="5057" spans="1:26" x14ac:dyDescent="0.2">
      <c r="A5057" t="s">
        <v>5175</v>
      </c>
      <c r="B5057" t="s">
        <v>104</v>
      </c>
      <c r="C5057">
        <v>2022</v>
      </c>
      <c r="D5057" t="s">
        <v>86</v>
      </c>
      <c r="E5057" t="s">
        <v>73</v>
      </c>
      <c r="F5057" t="s">
        <v>86</v>
      </c>
      <c r="G5057">
        <v>11364</v>
      </c>
      <c r="H5057">
        <v>9091.2000000000007</v>
      </c>
      <c r="I5057" s="13">
        <v>0.25</v>
      </c>
      <c r="J5057" t="s">
        <v>6206</v>
      </c>
      <c r="K5057">
        <v>0</v>
      </c>
      <c r="L5057">
        <v>1</v>
      </c>
      <c r="M5057" t="s">
        <v>1</v>
      </c>
      <c r="N5057" s="3">
        <v>0.53</v>
      </c>
      <c r="O5057" s="3">
        <v>0.47</v>
      </c>
      <c r="P5057">
        <v>11</v>
      </c>
      <c r="Q5057">
        <v>10</v>
      </c>
      <c r="R5057">
        <v>7</v>
      </c>
      <c r="S5057">
        <v>3</v>
      </c>
      <c r="T5057">
        <v>8</v>
      </c>
      <c r="U5057">
        <v>13</v>
      </c>
      <c r="V5057">
        <v>1</v>
      </c>
      <c r="W5057">
        <v>3</v>
      </c>
      <c r="X5057">
        <v>0</v>
      </c>
      <c r="Y5057">
        <v>0</v>
      </c>
      <c r="Z5057">
        <v>0</v>
      </c>
    </row>
    <row r="5058" spans="1:26" x14ac:dyDescent="0.2">
      <c r="A5058" t="s">
        <v>5176</v>
      </c>
      <c r="B5058" t="s">
        <v>84</v>
      </c>
      <c r="C5058">
        <v>2022</v>
      </c>
      <c r="D5058" t="s">
        <v>48</v>
      </c>
      <c r="E5058" t="s">
        <v>51</v>
      </c>
      <c r="F5058" t="s">
        <v>49</v>
      </c>
      <c r="G5058">
        <v>74197</v>
      </c>
      <c r="H5058">
        <v>59357.600000000006</v>
      </c>
      <c r="I5058" s="13">
        <v>1</v>
      </c>
      <c r="J5058" t="s">
        <v>6208</v>
      </c>
      <c r="K5058">
        <v>2</v>
      </c>
      <c r="L5058">
        <v>0</v>
      </c>
      <c r="M5058" t="s">
        <v>0</v>
      </c>
      <c r="N5058" s="3">
        <v>0.52</v>
      </c>
      <c r="O5058" s="3">
        <v>0.48</v>
      </c>
      <c r="P5058">
        <v>5</v>
      </c>
      <c r="Q5058">
        <v>12</v>
      </c>
      <c r="R5058">
        <v>8</v>
      </c>
      <c r="S5058">
        <v>3</v>
      </c>
      <c r="T5058">
        <v>7</v>
      </c>
      <c r="U5058">
        <v>7</v>
      </c>
      <c r="V5058">
        <v>1</v>
      </c>
      <c r="W5058">
        <v>0</v>
      </c>
      <c r="X5058">
        <v>0</v>
      </c>
      <c r="Y5058">
        <v>0</v>
      </c>
      <c r="Z5058">
        <v>0</v>
      </c>
    </row>
    <row r="5059" spans="1:26" x14ac:dyDescent="0.2">
      <c r="A5059" t="s">
        <v>5177</v>
      </c>
      <c r="B5059" t="s">
        <v>66</v>
      </c>
      <c r="C5059">
        <v>2022</v>
      </c>
      <c r="D5059" t="s">
        <v>31</v>
      </c>
      <c r="E5059" t="s">
        <v>42</v>
      </c>
      <c r="F5059" t="s">
        <v>20</v>
      </c>
      <c r="G5059">
        <v>28500</v>
      </c>
      <c r="H5059">
        <v>22800</v>
      </c>
      <c r="I5059" s="13">
        <v>0.66666666666666663</v>
      </c>
      <c r="J5059" t="s">
        <v>6207</v>
      </c>
      <c r="K5059">
        <v>3</v>
      </c>
      <c r="L5059">
        <v>0</v>
      </c>
      <c r="M5059" t="s">
        <v>0</v>
      </c>
      <c r="N5059" s="3">
        <v>0.61</v>
      </c>
      <c r="O5059" s="3">
        <v>0.39</v>
      </c>
      <c r="P5059">
        <v>9</v>
      </c>
      <c r="Q5059">
        <v>11</v>
      </c>
      <c r="R5059">
        <v>9</v>
      </c>
      <c r="S5059">
        <v>7</v>
      </c>
      <c r="T5059">
        <v>11</v>
      </c>
      <c r="U5059">
        <v>11</v>
      </c>
      <c r="V5059">
        <v>0</v>
      </c>
      <c r="W5059">
        <v>2</v>
      </c>
      <c r="X5059">
        <v>0</v>
      </c>
      <c r="Y5059">
        <v>1</v>
      </c>
      <c r="Z5059">
        <v>1</v>
      </c>
    </row>
    <row r="5060" spans="1:26" x14ac:dyDescent="0.2">
      <c r="A5060" t="s">
        <v>5178</v>
      </c>
      <c r="B5060" t="s">
        <v>97</v>
      </c>
      <c r="C5060">
        <v>2022</v>
      </c>
      <c r="D5060" t="s">
        <v>80</v>
      </c>
      <c r="E5060" t="s">
        <v>33</v>
      </c>
      <c r="F5060" t="s">
        <v>80</v>
      </c>
      <c r="G5060">
        <v>32261</v>
      </c>
      <c r="H5060">
        <v>25808.800000000003</v>
      </c>
      <c r="I5060" s="13">
        <v>1</v>
      </c>
      <c r="J5060" t="s">
        <v>6207</v>
      </c>
      <c r="K5060">
        <v>2</v>
      </c>
      <c r="L5060">
        <v>0</v>
      </c>
      <c r="M5060" t="s">
        <v>0</v>
      </c>
      <c r="N5060" s="3">
        <v>0.47</v>
      </c>
      <c r="O5060" s="3">
        <v>0.53</v>
      </c>
      <c r="P5060">
        <v>13</v>
      </c>
      <c r="Q5060">
        <v>16</v>
      </c>
      <c r="R5060">
        <v>2</v>
      </c>
      <c r="S5060">
        <v>9</v>
      </c>
      <c r="T5060">
        <v>15</v>
      </c>
      <c r="U5060">
        <v>11</v>
      </c>
      <c r="V5060">
        <v>2</v>
      </c>
      <c r="W5060">
        <v>1</v>
      </c>
      <c r="X5060">
        <v>0</v>
      </c>
      <c r="Y5060">
        <v>0</v>
      </c>
      <c r="Z5060">
        <v>0</v>
      </c>
    </row>
    <row r="5061" spans="1:26" x14ac:dyDescent="0.2">
      <c r="A5061" t="s">
        <v>5179</v>
      </c>
      <c r="B5061" t="s">
        <v>61</v>
      </c>
      <c r="C5061">
        <v>2022</v>
      </c>
      <c r="D5061" t="s">
        <v>46</v>
      </c>
      <c r="E5061" t="s">
        <v>40</v>
      </c>
      <c r="F5061" t="s">
        <v>20</v>
      </c>
      <c r="G5061">
        <v>60704</v>
      </c>
      <c r="H5061">
        <v>48563.200000000004</v>
      </c>
      <c r="I5061" s="13">
        <v>0.5</v>
      </c>
      <c r="J5061" t="s">
        <v>6207</v>
      </c>
      <c r="K5061">
        <v>1</v>
      </c>
      <c r="L5061">
        <v>3</v>
      </c>
      <c r="M5061" t="s">
        <v>1</v>
      </c>
      <c r="N5061" s="3">
        <v>0.64</v>
      </c>
      <c r="O5061" s="3">
        <v>0.36</v>
      </c>
      <c r="P5061">
        <v>16</v>
      </c>
      <c r="Q5061">
        <v>11</v>
      </c>
      <c r="R5061">
        <v>1</v>
      </c>
      <c r="S5061">
        <v>2</v>
      </c>
      <c r="T5061">
        <v>11</v>
      </c>
      <c r="U5061">
        <v>15</v>
      </c>
      <c r="V5061">
        <v>2</v>
      </c>
      <c r="W5061">
        <v>4</v>
      </c>
      <c r="X5061">
        <v>0</v>
      </c>
      <c r="Y5061">
        <v>0</v>
      </c>
      <c r="Z5061">
        <v>1</v>
      </c>
    </row>
    <row r="5062" spans="1:26" x14ac:dyDescent="0.2">
      <c r="A5062" t="s">
        <v>5180</v>
      </c>
      <c r="B5062" t="s">
        <v>81</v>
      </c>
      <c r="C5062">
        <v>2022</v>
      </c>
      <c r="D5062" t="s">
        <v>94</v>
      </c>
      <c r="E5062" t="s">
        <v>26</v>
      </c>
      <c r="F5062" t="s">
        <v>106</v>
      </c>
      <c r="G5062">
        <v>30445</v>
      </c>
      <c r="H5062">
        <v>24356</v>
      </c>
      <c r="I5062" s="13">
        <v>0.66666666666666663</v>
      </c>
      <c r="J5062" t="s">
        <v>6207</v>
      </c>
      <c r="K5062">
        <v>1</v>
      </c>
      <c r="L5062">
        <v>0</v>
      </c>
      <c r="M5062" t="s">
        <v>0</v>
      </c>
      <c r="N5062" s="3">
        <v>0.25</v>
      </c>
      <c r="O5062" s="3">
        <v>0.75</v>
      </c>
      <c r="P5062">
        <v>7</v>
      </c>
      <c r="Q5062">
        <v>17</v>
      </c>
      <c r="R5062">
        <v>2</v>
      </c>
      <c r="S5062">
        <v>11</v>
      </c>
      <c r="T5062">
        <v>14</v>
      </c>
      <c r="U5062">
        <v>8</v>
      </c>
      <c r="V5062">
        <v>2</v>
      </c>
      <c r="W5062">
        <v>1</v>
      </c>
      <c r="X5062">
        <v>0</v>
      </c>
      <c r="Y5062">
        <v>0</v>
      </c>
      <c r="Z5062">
        <v>0</v>
      </c>
    </row>
    <row r="5063" spans="1:26" x14ac:dyDescent="0.2">
      <c r="A5063" t="s">
        <v>5181</v>
      </c>
      <c r="B5063" t="s">
        <v>76</v>
      </c>
      <c r="C5063">
        <v>2022</v>
      </c>
      <c r="D5063" t="s">
        <v>40</v>
      </c>
      <c r="E5063" t="s">
        <v>90</v>
      </c>
      <c r="F5063" t="s">
        <v>49</v>
      </c>
      <c r="G5063">
        <v>53400</v>
      </c>
      <c r="H5063">
        <v>42720</v>
      </c>
      <c r="I5063" s="13">
        <v>1</v>
      </c>
      <c r="J5063" t="s">
        <v>6207</v>
      </c>
      <c r="K5063">
        <v>3</v>
      </c>
      <c r="L5063">
        <v>1</v>
      </c>
      <c r="M5063" t="s">
        <v>0</v>
      </c>
      <c r="N5063" s="3">
        <v>0.48</v>
      </c>
      <c r="O5063" s="3">
        <v>0.52</v>
      </c>
      <c r="P5063">
        <v>14</v>
      </c>
      <c r="Q5063">
        <v>10</v>
      </c>
      <c r="R5063">
        <v>6</v>
      </c>
      <c r="S5063">
        <v>3</v>
      </c>
      <c r="T5063">
        <v>11</v>
      </c>
      <c r="U5063">
        <v>12</v>
      </c>
      <c r="V5063">
        <v>1</v>
      </c>
      <c r="W5063">
        <v>3</v>
      </c>
      <c r="X5063">
        <v>0</v>
      </c>
      <c r="Y5063">
        <v>0</v>
      </c>
      <c r="Z5063">
        <v>1</v>
      </c>
    </row>
    <row r="5064" spans="1:26" x14ac:dyDescent="0.2">
      <c r="A5064" t="s">
        <v>5182</v>
      </c>
      <c r="B5064" t="s">
        <v>84</v>
      </c>
      <c r="C5064">
        <v>2022</v>
      </c>
      <c r="D5064" t="s">
        <v>45</v>
      </c>
      <c r="E5064" t="s">
        <v>79</v>
      </c>
      <c r="F5064" t="s">
        <v>26</v>
      </c>
      <c r="G5064">
        <v>39572</v>
      </c>
      <c r="H5064">
        <v>31657.600000000002</v>
      </c>
      <c r="I5064" s="13">
        <v>0.5714285714285714</v>
      </c>
      <c r="J5064" t="s">
        <v>6208</v>
      </c>
      <c r="K5064">
        <v>3</v>
      </c>
      <c r="L5064">
        <v>0</v>
      </c>
      <c r="M5064" t="s">
        <v>0</v>
      </c>
      <c r="N5064" s="3">
        <v>0.46</v>
      </c>
      <c r="O5064" s="3">
        <v>0.54</v>
      </c>
      <c r="P5064">
        <v>16</v>
      </c>
      <c r="Q5064">
        <v>17</v>
      </c>
      <c r="R5064">
        <v>3</v>
      </c>
      <c r="S5064">
        <v>4</v>
      </c>
      <c r="T5064">
        <v>16</v>
      </c>
      <c r="U5064">
        <v>14</v>
      </c>
      <c r="V5064">
        <v>3</v>
      </c>
      <c r="W5064">
        <v>4</v>
      </c>
      <c r="X5064">
        <v>0</v>
      </c>
      <c r="Y5064">
        <v>0</v>
      </c>
      <c r="Z5064">
        <v>0</v>
      </c>
    </row>
    <row r="5065" spans="1:26" x14ac:dyDescent="0.2">
      <c r="A5065" t="s">
        <v>5183</v>
      </c>
      <c r="B5065" t="s">
        <v>59</v>
      </c>
      <c r="C5065">
        <v>2022</v>
      </c>
      <c r="D5065" t="s">
        <v>18</v>
      </c>
      <c r="E5065" t="s">
        <v>48</v>
      </c>
      <c r="F5065" t="s">
        <v>20</v>
      </c>
      <c r="G5065">
        <v>40341</v>
      </c>
      <c r="H5065">
        <v>32272.800000000003</v>
      </c>
      <c r="I5065" s="13">
        <v>0.8</v>
      </c>
      <c r="J5065" t="s">
        <v>6206</v>
      </c>
      <c r="K5065">
        <v>1</v>
      </c>
      <c r="L5065">
        <v>1</v>
      </c>
      <c r="M5065" t="s">
        <v>58</v>
      </c>
      <c r="N5065" s="3">
        <v>0.48</v>
      </c>
      <c r="O5065" s="3">
        <v>0.52</v>
      </c>
      <c r="P5065">
        <v>12</v>
      </c>
      <c r="Q5065">
        <v>9</v>
      </c>
      <c r="R5065">
        <v>6</v>
      </c>
      <c r="S5065">
        <v>4</v>
      </c>
      <c r="T5065">
        <v>8</v>
      </c>
      <c r="U5065">
        <v>10</v>
      </c>
      <c r="V5065">
        <v>1</v>
      </c>
      <c r="W5065">
        <v>4</v>
      </c>
      <c r="X5065">
        <v>0</v>
      </c>
      <c r="Y5065">
        <v>0</v>
      </c>
      <c r="Z5065">
        <v>1</v>
      </c>
    </row>
    <row r="5066" spans="1:26" x14ac:dyDescent="0.2">
      <c r="A5066" t="s">
        <v>5184</v>
      </c>
      <c r="B5066" t="s">
        <v>66</v>
      </c>
      <c r="C5066">
        <v>2022</v>
      </c>
      <c r="D5066" t="s">
        <v>22</v>
      </c>
      <c r="E5066" t="s">
        <v>80</v>
      </c>
      <c r="F5066" t="s">
        <v>24</v>
      </c>
      <c r="G5066">
        <v>31750</v>
      </c>
      <c r="H5066">
        <v>25400</v>
      </c>
      <c r="I5066" s="13">
        <v>0.66666666666666663</v>
      </c>
      <c r="J5066" t="s">
        <v>6207</v>
      </c>
      <c r="K5066">
        <v>0</v>
      </c>
      <c r="L5066">
        <v>4</v>
      </c>
      <c r="M5066" t="s">
        <v>1</v>
      </c>
      <c r="N5066" s="3">
        <v>0.61</v>
      </c>
      <c r="O5066" s="3">
        <v>0.39</v>
      </c>
      <c r="P5066">
        <v>13</v>
      </c>
      <c r="Q5066">
        <v>12</v>
      </c>
      <c r="R5066">
        <v>9</v>
      </c>
      <c r="S5066">
        <v>2</v>
      </c>
      <c r="T5066">
        <v>10</v>
      </c>
      <c r="U5066">
        <v>13</v>
      </c>
      <c r="V5066">
        <v>2</v>
      </c>
      <c r="W5066">
        <v>1</v>
      </c>
      <c r="X5066">
        <v>0</v>
      </c>
      <c r="Y5066">
        <v>0</v>
      </c>
      <c r="Z5066">
        <v>0</v>
      </c>
    </row>
    <row r="5067" spans="1:26" x14ac:dyDescent="0.2">
      <c r="A5067" t="s">
        <v>5185</v>
      </c>
      <c r="B5067" t="s">
        <v>99</v>
      </c>
      <c r="C5067">
        <v>2022</v>
      </c>
      <c r="D5067" t="s">
        <v>73</v>
      </c>
      <c r="E5067" t="s">
        <v>46</v>
      </c>
      <c r="F5067" t="s">
        <v>73</v>
      </c>
      <c r="G5067">
        <v>32384</v>
      </c>
      <c r="H5067">
        <v>25907.200000000001</v>
      </c>
      <c r="I5067" s="13">
        <v>0.33333333333333331</v>
      </c>
      <c r="J5067" t="s">
        <v>6207</v>
      </c>
      <c r="K5067">
        <v>1</v>
      </c>
      <c r="L5067">
        <v>1</v>
      </c>
      <c r="M5067" t="s">
        <v>58</v>
      </c>
      <c r="N5067" s="3">
        <v>0.4</v>
      </c>
      <c r="O5067" s="3">
        <v>0.6</v>
      </c>
      <c r="P5067">
        <v>11</v>
      </c>
      <c r="Q5067">
        <v>16</v>
      </c>
      <c r="R5067">
        <v>9</v>
      </c>
      <c r="S5067">
        <v>4</v>
      </c>
      <c r="T5067">
        <v>11</v>
      </c>
      <c r="U5067">
        <v>8</v>
      </c>
      <c r="V5067">
        <v>2</v>
      </c>
      <c r="W5067">
        <v>1</v>
      </c>
      <c r="X5067">
        <v>0</v>
      </c>
      <c r="Y5067">
        <v>0</v>
      </c>
      <c r="Z5067">
        <v>0</v>
      </c>
    </row>
    <row r="5068" spans="1:26" x14ac:dyDescent="0.2">
      <c r="A5068" t="s">
        <v>5186</v>
      </c>
      <c r="B5068" t="s">
        <v>61</v>
      </c>
      <c r="C5068">
        <v>2022</v>
      </c>
      <c r="D5068" t="s">
        <v>33</v>
      </c>
      <c r="E5068" t="s">
        <v>31</v>
      </c>
      <c r="F5068" t="s">
        <v>33</v>
      </c>
      <c r="G5068">
        <v>37645</v>
      </c>
      <c r="H5068">
        <v>30116</v>
      </c>
      <c r="I5068" s="13">
        <v>0.5</v>
      </c>
      <c r="J5068" t="s">
        <v>6207</v>
      </c>
      <c r="K5068">
        <v>2</v>
      </c>
      <c r="L5068">
        <v>3</v>
      </c>
      <c r="M5068" t="s">
        <v>1</v>
      </c>
      <c r="N5068" s="3">
        <v>0.56999999999999995</v>
      </c>
      <c r="O5068" s="3">
        <v>0.43</v>
      </c>
      <c r="P5068">
        <v>11</v>
      </c>
      <c r="Q5068">
        <v>15</v>
      </c>
      <c r="R5068">
        <v>3</v>
      </c>
      <c r="S5068">
        <v>6</v>
      </c>
      <c r="T5068">
        <v>12</v>
      </c>
      <c r="U5068">
        <v>8</v>
      </c>
      <c r="V5068">
        <v>1</v>
      </c>
      <c r="W5068">
        <v>1</v>
      </c>
      <c r="X5068">
        <v>0</v>
      </c>
      <c r="Y5068">
        <v>0</v>
      </c>
      <c r="Z5068">
        <v>0</v>
      </c>
    </row>
    <row r="5069" spans="1:26" x14ac:dyDescent="0.2">
      <c r="A5069" t="s">
        <v>5187</v>
      </c>
      <c r="B5069" t="s">
        <v>100</v>
      </c>
      <c r="C5069">
        <v>2022</v>
      </c>
      <c r="D5069" t="s">
        <v>42</v>
      </c>
      <c r="E5069" t="s">
        <v>101</v>
      </c>
      <c r="F5069" t="s">
        <v>38</v>
      </c>
      <c r="G5069">
        <v>42918</v>
      </c>
      <c r="H5069">
        <v>34334.400000000001</v>
      </c>
      <c r="I5069" s="13">
        <v>0</v>
      </c>
      <c r="J5069" t="s">
        <v>6207</v>
      </c>
      <c r="K5069">
        <v>4</v>
      </c>
      <c r="L5069">
        <v>0</v>
      </c>
      <c r="M5069" t="s">
        <v>0</v>
      </c>
      <c r="N5069" s="3">
        <v>0.45</v>
      </c>
      <c r="O5069" s="3">
        <v>0.55000000000000004</v>
      </c>
      <c r="P5069">
        <v>12</v>
      </c>
      <c r="Q5069">
        <v>13</v>
      </c>
      <c r="R5069">
        <v>7</v>
      </c>
      <c r="S5069">
        <v>6</v>
      </c>
      <c r="T5069">
        <v>14</v>
      </c>
      <c r="U5069">
        <v>11</v>
      </c>
      <c r="V5069">
        <v>1</v>
      </c>
      <c r="W5069">
        <v>0</v>
      </c>
      <c r="X5069">
        <v>0</v>
      </c>
      <c r="Y5069">
        <v>0</v>
      </c>
      <c r="Z5069">
        <v>1</v>
      </c>
    </row>
    <row r="5070" spans="1:26" x14ac:dyDescent="0.2">
      <c r="A5070" t="s">
        <v>5188</v>
      </c>
      <c r="B5070" t="s">
        <v>102</v>
      </c>
      <c r="C5070">
        <v>2022</v>
      </c>
      <c r="D5070" t="s">
        <v>51</v>
      </c>
      <c r="E5070" t="s">
        <v>64</v>
      </c>
      <c r="F5070" t="s">
        <v>20</v>
      </c>
      <c r="G5070">
        <v>36284</v>
      </c>
      <c r="H5070">
        <v>29027.200000000001</v>
      </c>
      <c r="I5070" s="13">
        <v>0.16666666666666666</v>
      </c>
      <c r="J5070" t="s">
        <v>6209</v>
      </c>
      <c r="K5070">
        <v>1</v>
      </c>
      <c r="L5070">
        <v>2</v>
      </c>
      <c r="M5070" t="s">
        <v>1</v>
      </c>
      <c r="N5070" s="3">
        <v>0.52</v>
      </c>
      <c r="O5070" s="3">
        <v>0.48</v>
      </c>
      <c r="P5070">
        <v>10</v>
      </c>
      <c r="Q5070">
        <v>15</v>
      </c>
      <c r="R5070">
        <v>6</v>
      </c>
      <c r="S5070">
        <v>7</v>
      </c>
      <c r="T5070">
        <v>12</v>
      </c>
      <c r="U5070">
        <v>6</v>
      </c>
      <c r="V5070">
        <v>4</v>
      </c>
      <c r="W5070">
        <v>2</v>
      </c>
      <c r="X5070">
        <v>0</v>
      </c>
      <c r="Y5070">
        <v>0</v>
      </c>
      <c r="Z5070">
        <v>0</v>
      </c>
    </row>
    <row r="5071" spans="1:26" x14ac:dyDescent="0.2">
      <c r="A5071" t="s">
        <v>5189</v>
      </c>
      <c r="B5071" t="s">
        <v>93</v>
      </c>
      <c r="C5071">
        <v>2022</v>
      </c>
      <c r="D5071" t="s">
        <v>23</v>
      </c>
      <c r="E5071" t="s">
        <v>86</v>
      </c>
      <c r="F5071" t="s">
        <v>20</v>
      </c>
      <c r="G5071">
        <v>62500</v>
      </c>
      <c r="H5071">
        <v>50000</v>
      </c>
      <c r="I5071" s="13">
        <v>0.5</v>
      </c>
      <c r="J5071" t="s">
        <v>6206</v>
      </c>
      <c r="K5071">
        <v>2</v>
      </c>
      <c r="L5071">
        <v>0</v>
      </c>
      <c r="M5071" t="s">
        <v>0</v>
      </c>
      <c r="N5071" s="3">
        <v>0.54</v>
      </c>
      <c r="O5071" s="3">
        <v>0.46</v>
      </c>
      <c r="P5071">
        <v>9</v>
      </c>
      <c r="Q5071">
        <v>10</v>
      </c>
      <c r="R5071">
        <v>5</v>
      </c>
      <c r="S5071">
        <v>0</v>
      </c>
      <c r="T5071">
        <v>9</v>
      </c>
      <c r="U5071">
        <v>11</v>
      </c>
      <c r="V5071">
        <v>0</v>
      </c>
      <c r="W5071">
        <v>2</v>
      </c>
      <c r="X5071">
        <v>0</v>
      </c>
      <c r="Y5071">
        <v>0</v>
      </c>
      <c r="Z5071">
        <v>1</v>
      </c>
    </row>
    <row r="5072" spans="1:26" x14ac:dyDescent="0.2">
      <c r="A5072" t="s">
        <v>5190</v>
      </c>
      <c r="B5072" t="s">
        <v>99</v>
      </c>
      <c r="C5072">
        <v>2022</v>
      </c>
      <c r="D5072" t="s">
        <v>80</v>
      </c>
      <c r="E5072" t="s">
        <v>40</v>
      </c>
      <c r="F5072" t="s">
        <v>80</v>
      </c>
      <c r="G5072">
        <v>32261</v>
      </c>
      <c r="H5072">
        <v>25808.800000000003</v>
      </c>
      <c r="I5072" s="13">
        <v>0</v>
      </c>
      <c r="J5072" t="s">
        <v>6207</v>
      </c>
      <c r="K5072">
        <v>0</v>
      </c>
      <c r="L5072">
        <v>1</v>
      </c>
      <c r="M5072" t="s">
        <v>1</v>
      </c>
      <c r="N5072" s="3">
        <v>0.36</v>
      </c>
      <c r="O5072" s="3">
        <v>0.64</v>
      </c>
      <c r="P5072">
        <v>12</v>
      </c>
      <c r="Q5072">
        <v>5</v>
      </c>
      <c r="R5072">
        <v>3</v>
      </c>
      <c r="S5072">
        <v>10</v>
      </c>
      <c r="T5072">
        <v>5</v>
      </c>
      <c r="U5072">
        <v>10</v>
      </c>
      <c r="V5072">
        <v>0</v>
      </c>
      <c r="W5072">
        <v>0</v>
      </c>
      <c r="X5072">
        <v>0</v>
      </c>
      <c r="Y5072">
        <v>0</v>
      </c>
      <c r="Z5072">
        <v>0</v>
      </c>
    </row>
    <row r="5073" spans="1:26" x14ac:dyDescent="0.2">
      <c r="A5073" t="s">
        <v>5191</v>
      </c>
      <c r="B5073" t="s">
        <v>81</v>
      </c>
      <c r="C5073">
        <v>2022</v>
      </c>
      <c r="D5073" t="s">
        <v>64</v>
      </c>
      <c r="E5073" t="s">
        <v>42</v>
      </c>
      <c r="F5073" t="s">
        <v>64</v>
      </c>
      <c r="G5073">
        <v>52264</v>
      </c>
      <c r="H5073">
        <v>41811.200000000004</v>
      </c>
      <c r="I5073" s="13">
        <v>0.5</v>
      </c>
      <c r="J5073" t="s">
        <v>6207</v>
      </c>
      <c r="K5073">
        <v>4</v>
      </c>
      <c r="L5073">
        <v>0</v>
      </c>
      <c r="M5073" t="s">
        <v>0</v>
      </c>
      <c r="N5073" s="3">
        <v>0.6</v>
      </c>
      <c r="O5073" s="3">
        <v>0.4</v>
      </c>
      <c r="P5073">
        <v>14</v>
      </c>
      <c r="Q5073">
        <v>14</v>
      </c>
      <c r="R5073">
        <v>3</v>
      </c>
      <c r="S5073">
        <v>0</v>
      </c>
      <c r="T5073">
        <v>11</v>
      </c>
      <c r="U5073">
        <v>11</v>
      </c>
      <c r="V5073">
        <v>1</v>
      </c>
      <c r="W5073">
        <v>1</v>
      </c>
      <c r="X5073">
        <v>0</v>
      </c>
      <c r="Y5073">
        <v>0</v>
      </c>
      <c r="Z5073">
        <v>1</v>
      </c>
    </row>
    <row r="5074" spans="1:26" x14ac:dyDescent="0.2">
      <c r="A5074" t="s">
        <v>5192</v>
      </c>
      <c r="B5074" t="s">
        <v>103</v>
      </c>
      <c r="C5074">
        <v>2022</v>
      </c>
      <c r="D5074" t="s">
        <v>79</v>
      </c>
      <c r="E5074" t="s">
        <v>73</v>
      </c>
      <c r="F5074" t="s">
        <v>20</v>
      </c>
      <c r="G5074">
        <v>25486</v>
      </c>
      <c r="H5074">
        <v>20388.800000000003</v>
      </c>
      <c r="I5074" s="13">
        <v>0.83333333333333337</v>
      </c>
      <c r="J5074" t="s">
        <v>6207</v>
      </c>
      <c r="K5074">
        <v>1</v>
      </c>
      <c r="L5074">
        <v>0</v>
      </c>
      <c r="M5074" t="s">
        <v>0</v>
      </c>
      <c r="N5074" s="3">
        <v>0.45</v>
      </c>
      <c r="O5074" s="3">
        <v>0.55000000000000004</v>
      </c>
      <c r="P5074">
        <v>16</v>
      </c>
      <c r="Q5074">
        <v>18</v>
      </c>
      <c r="R5074">
        <v>8</v>
      </c>
      <c r="S5074">
        <v>4</v>
      </c>
      <c r="T5074">
        <v>13</v>
      </c>
      <c r="U5074">
        <v>12</v>
      </c>
      <c r="V5074">
        <v>3</v>
      </c>
      <c r="W5074">
        <v>3</v>
      </c>
      <c r="X5074">
        <v>0</v>
      </c>
      <c r="Y5074">
        <v>0</v>
      </c>
      <c r="Z5074">
        <v>0</v>
      </c>
    </row>
    <row r="5075" spans="1:26" x14ac:dyDescent="0.2">
      <c r="A5075" t="s">
        <v>5193</v>
      </c>
      <c r="B5075" t="s">
        <v>92</v>
      </c>
      <c r="C5075">
        <v>2022</v>
      </c>
      <c r="D5075" t="s">
        <v>90</v>
      </c>
      <c r="E5075" t="s">
        <v>18</v>
      </c>
      <c r="F5075" t="s">
        <v>91</v>
      </c>
      <c r="G5075">
        <v>31876</v>
      </c>
      <c r="H5075">
        <v>25500.800000000003</v>
      </c>
      <c r="I5075" s="13">
        <v>0.66666666666666663</v>
      </c>
      <c r="J5075" t="s">
        <v>6207</v>
      </c>
      <c r="K5075">
        <v>4</v>
      </c>
      <c r="L5075">
        <v>1</v>
      </c>
      <c r="M5075" t="s">
        <v>0</v>
      </c>
      <c r="N5075" s="3">
        <v>0.41</v>
      </c>
      <c r="O5075" s="3">
        <v>0.59</v>
      </c>
      <c r="P5075">
        <v>5</v>
      </c>
      <c r="Q5075">
        <v>14</v>
      </c>
      <c r="R5075">
        <v>8</v>
      </c>
      <c r="S5075">
        <v>7</v>
      </c>
      <c r="T5075">
        <v>16</v>
      </c>
      <c r="U5075">
        <v>6</v>
      </c>
      <c r="V5075">
        <v>1</v>
      </c>
      <c r="W5075">
        <v>2</v>
      </c>
      <c r="X5075">
        <v>0</v>
      </c>
      <c r="Y5075">
        <v>0</v>
      </c>
      <c r="Z5075">
        <v>0</v>
      </c>
    </row>
    <row r="5076" spans="1:26" x14ac:dyDescent="0.2">
      <c r="A5076" t="s">
        <v>5194</v>
      </c>
      <c r="B5076" t="s">
        <v>77</v>
      </c>
      <c r="C5076">
        <v>2022</v>
      </c>
      <c r="D5076" t="s">
        <v>101</v>
      </c>
      <c r="E5076" t="s">
        <v>22</v>
      </c>
      <c r="F5076" t="s">
        <v>101</v>
      </c>
      <c r="G5076">
        <v>17250</v>
      </c>
      <c r="H5076">
        <v>13800</v>
      </c>
      <c r="I5076" s="13">
        <v>0.8571428571428571</v>
      </c>
      <c r="J5076" t="s">
        <v>6207</v>
      </c>
      <c r="K5076">
        <v>1</v>
      </c>
      <c r="L5076">
        <v>1</v>
      </c>
      <c r="M5076" t="s">
        <v>58</v>
      </c>
      <c r="N5076" s="3">
        <v>0.57999999999999996</v>
      </c>
      <c r="O5076" s="3">
        <v>0.42</v>
      </c>
      <c r="P5076">
        <v>16</v>
      </c>
      <c r="Q5076">
        <v>10</v>
      </c>
      <c r="R5076">
        <v>3</v>
      </c>
      <c r="S5076">
        <v>6</v>
      </c>
      <c r="T5076">
        <v>10</v>
      </c>
      <c r="U5076">
        <v>17</v>
      </c>
      <c r="V5076">
        <v>3</v>
      </c>
      <c r="W5076">
        <v>3</v>
      </c>
      <c r="X5076">
        <v>0</v>
      </c>
      <c r="Y5076">
        <v>1</v>
      </c>
      <c r="Z5076">
        <v>0</v>
      </c>
    </row>
    <row r="5077" spans="1:26" x14ac:dyDescent="0.2">
      <c r="A5077" t="s">
        <v>5195</v>
      </c>
      <c r="B5077" t="s">
        <v>61</v>
      </c>
      <c r="C5077">
        <v>2022</v>
      </c>
      <c r="D5077" t="s">
        <v>86</v>
      </c>
      <c r="E5077" t="s">
        <v>51</v>
      </c>
      <c r="F5077" t="s">
        <v>86</v>
      </c>
      <c r="G5077">
        <v>11364</v>
      </c>
      <c r="H5077">
        <v>9091.2000000000007</v>
      </c>
      <c r="I5077" s="13">
        <v>0</v>
      </c>
      <c r="J5077" t="s">
        <v>6207</v>
      </c>
      <c r="K5077">
        <v>2</v>
      </c>
      <c r="L5077">
        <v>3</v>
      </c>
      <c r="M5077" t="s">
        <v>1</v>
      </c>
      <c r="N5077" s="3">
        <v>0.31</v>
      </c>
      <c r="O5077" s="3">
        <v>0.69</v>
      </c>
      <c r="P5077">
        <v>8</v>
      </c>
      <c r="Q5077">
        <v>8</v>
      </c>
      <c r="R5077">
        <v>2</v>
      </c>
      <c r="S5077">
        <v>19</v>
      </c>
      <c r="T5077">
        <v>10</v>
      </c>
      <c r="U5077">
        <v>5</v>
      </c>
      <c r="V5077">
        <v>1</v>
      </c>
      <c r="W5077">
        <v>2</v>
      </c>
      <c r="X5077">
        <v>0</v>
      </c>
      <c r="Y5077">
        <v>0</v>
      </c>
      <c r="Z5077">
        <v>0</v>
      </c>
    </row>
    <row r="5078" spans="1:26" x14ac:dyDescent="0.2">
      <c r="A5078" t="s">
        <v>5196</v>
      </c>
      <c r="B5078" t="s">
        <v>104</v>
      </c>
      <c r="C5078">
        <v>2022</v>
      </c>
      <c r="D5078" t="s">
        <v>31</v>
      </c>
      <c r="E5078" t="s">
        <v>45</v>
      </c>
      <c r="F5078" t="s">
        <v>20</v>
      </c>
      <c r="G5078">
        <v>28500</v>
      </c>
      <c r="H5078">
        <v>22800</v>
      </c>
      <c r="I5078" s="13">
        <v>1</v>
      </c>
      <c r="J5078" t="s">
        <v>6206</v>
      </c>
      <c r="K5078">
        <v>0</v>
      </c>
      <c r="L5078">
        <v>0</v>
      </c>
      <c r="M5078" t="s">
        <v>58</v>
      </c>
      <c r="N5078" s="3">
        <v>0.56999999999999995</v>
      </c>
      <c r="O5078" s="3">
        <v>0.43</v>
      </c>
      <c r="P5078">
        <v>12</v>
      </c>
      <c r="Q5078">
        <v>10</v>
      </c>
      <c r="R5078">
        <v>13</v>
      </c>
      <c r="S5078">
        <v>4</v>
      </c>
      <c r="T5078">
        <v>10</v>
      </c>
      <c r="U5078">
        <v>8</v>
      </c>
      <c r="V5078">
        <v>2</v>
      </c>
      <c r="W5078">
        <v>1</v>
      </c>
      <c r="X5078">
        <v>0</v>
      </c>
      <c r="Y5078">
        <v>0</v>
      </c>
      <c r="Z5078">
        <v>0</v>
      </c>
    </row>
    <row r="5079" spans="1:26" x14ac:dyDescent="0.2">
      <c r="A5079" t="s">
        <v>5197</v>
      </c>
      <c r="B5079" t="s">
        <v>66</v>
      </c>
      <c r="C5079">
        <v>2022</v>
      </c>
      <c r="D5079" t="s">
        <v>26</v>
      </c>
      <c r="E5079" t="s">
        <v>33</v>
      </c>
      <c r="F5079" t="s">
        <v>26</v>
      </c>
      <c r="G5079">
        <v>61276</v>
      </c>
      <c r="H5079">
        <v>49020.800000000003</v>
      </c>
      <c r="I5079" s="13">
        <v>1</v>
      </c>
      <c r="J5079" t="s">
        <v>6207</v>
      </c>
      <c r="K5079">
        <v>1</v>
      </c>
      <c r="L5079">
        <v>2</v>
      </c>
      <c r="M5079" t="s">
        <v>1</v>
      </c>
      <c r="N5079" s="3">
        <v>0.69</v>
      </c>
      <c r="O5079" s="3">
        <v>0.31</v>
      </c>
      <c r="P5079">
        <v>3</v>
      </c>
      <c r="Q5079">
        <v>9</v>
      </c>
      <c r="R5079">
        <v>14</v>
      </c>
      <c r="S5079">
        <v>4</v>
      </c>
      <c r="T5079">
        <v>9</v>
      </c>
      <c r="U5079">
        <v>3</v>
      </c>
      <c r="V5079">
        <v>0</v>
      </c>
      <c r="W5079">
        <v>1</v>
      </c>
      <c r="X5079">
        <v>0</v>
      </c>
      <c r="Y5079">
        <v>0</v>
      </c>
      <c r="Z5079">
        <v>0</v>
      </c>
    </row>
    <row r="5080" spans="1:26" x14ac:dyDescent="0.2">
      <c r="A5080" t="s">
        <v>5198</v>
      </c>
      <c r="B5080" t="s">
        <v>84</v>
      </c>
      <c r="C5080">
        <v>2022</v>
      </c>
      <c r="D5080" t="s">
        <v>46</v>
      </c>
      <c r="E5080" t="s">
        <v>94</v>
      </c>
      <c r="F5080" t="s">
        <v>20</v>
      </c>
      <c r="G5080">
        <v>60704</v>
      </c>
      <c r="H5080">
        <v>48563.200000000004</v>
      </c>
      <c r="I5080" s="13">
        <v>0</v>
      </c>
      <c r="J5080" t="s">
        <v>6208</v>
      </c>
      <c r="K5080">
        <v>5</v>
      </c>
      <c r="L5080">
        <v>0</v>
      </c>
      <c r="M5080" t="s">
        <v>0</v>
      </c>
      <c r="N5080" s="3">
        <v>0.69</v>
      </c>
      <c r="O5080" s="3">
        <v>0.31</v>
      </c>
      <c r="P5080">
        <v>8</v>
      </c>
      <c r="Q5080">
        <v>9</v>
      </c>
      <c r="R5080">
        <v>9</v>
      </c>
      <c r="S5080">
        <v>4</v>
      </c>
      <c r="T5080">
        <v>9</v>
      </c>
      <c r="U5080">
        <v>8</v>
      </c>
      <c r="V5080">
        <v>0</v>
      </c>
      <c r="W5080">
        <v>1</v>
      </c>
      <c r="X5080">
        <v>0</v>
      </c>
      <c r="Y5080">
        <v>0</v>
      </c>
      <c r="Z5080">
        <v>0</v>
      </c>
    </row>
    <row r="5081" spans="1:26" x14ac:dyDescent="0.2">
      <c r="A5081" t="s">
        <v>5199</v>
      </c>
      <c r="B5081" t="s">
        <v>88</v>
      </c>
      <c r="C5081">
        <v>2022</v>
      </c>
      <c r="D5081" t="s">
        <v>48</v>
      </c>
      <c r="E5081" t="s">
        <v>23</v>
      </c>
      <c r="F5081" t="s">
        <v>49</v>
      </c>
      <c r="G5081">
        <v>74197</v>
      </c>
      <c r="H5081">
        <v>59357.600000000006</v>
      </c>
      <c r="I5081" s="13">
        <v>1</v>
      </c>
      <c r="J5081" t="s">
        <v>6207</v>
      </c>
      <c r="K5081">
        <v>1</v>
      </c>
      <c r="L5081">
        <v>0</v>
      </c>
      <c r="M5081" t="s">
        <v>0</v>
      </c>
      <c r="N5081" s="3">
        <v>0.53</v>
      </c>
      <c r="O5081" s="3">
        <v>0.47</v>
      </c>
      <c r="P5081">
        <v>9</v>
      </c>
      <c r="Q5081">
        <v>12</v>
      </c>
      <c r="R5081">
        <v>5</v>
      </c>
      <c r="S5081">
        <v>10</v>
      </c>
      <c r="T5081">
        <v>12</v>
      </c>
      <c r="U5081">
        <v>10</v>
      </c>
      <c r="V5081">
        <v>1</v>
      </c>
      <c r="W5081">
        <v>3</v>
      </c>
      <c r="X5081">
        <v>0</v>
      </c>
      <c r="Y5081">
        <v>0</v>
      </c>
      <c r="Z5081">
        <v>0</v>
      </c>
    </row>
    <row r="5082" spans="1:26" x14ac:dyDescent="0.2">
      <c r="A5082" t="s">
        <v>5200</v>
      </c>
      <c r="B5082" t="s">
        <v>83</v>
      </c>
      <c r="C5082">
        <v>2022</v>
      </c>
      <c r="D5082" t="s">
        <v>22</v>
      </c>
      <c r="E5082" t="s">
        <v>90</v>
      </c>
      <c r="F5082" t="s">
        <v>24</v>
      </c>
      <c r="G5082">
        <v>31750</v>
      </c>
      <c r="H5082">
        <v>25400</v>
      </c>
      <c r="I5082" s="13">
        <v>0.66666666666666663</v>
      </c>
      <c r="J5082" t="s">
        <v>6208</v>
      </c>
      <c r="K5082">
        <v>2</v>
      </c>
      <c r="L5082">
        <v>3</v>
      </c>
      <c r="M5082" t="s">
        <v>1</v>
      </c>
      <c r="N5082" s="3">
        <v>0.28999999999999998</v>
      </c>
      <c r="O5082" s="3">
        <v>0.71</v>
      </c>
      <c r="P5082">
        <v>11</v>
      </c>
      <c r="Q5082">
        <v>13</v>
      </c>
      <c r="R5082">
        <v>4</v>
      </c>
      <c r="S5082">
        <v>9</v>
      </c>
      <c r="T5082">
        <v>15</v>
      </c>
      <c r="U5082">
        <v>11</v>
      </c>
      <c r="V5082">
        <v>2</v>
      </c>
      <c r="W5082">
        <v>0</v>
      </c>
      <c r="X5082">
        <v>1</v>
      </c>
      <c r="Y5082">
        <v>0</v>
      </c>
      <c r="Z5082">
        <v>1</v>
      </c>
    </row>
    <row r="5083" spans="1:26" x14ac:dyDescent="0.2">
      <c r="A5083" t="s">
        <v>5201</v>
      </c>
      <c r="B5083" t="s">
        <v>37</v>
      </c>
      <c r="C5083">
        <v>2022</v>
      </c>
      <c r="D5083" t="s">
        <v>94</v>
      </c>
      <c r="E5083" t="s">
        <v>101</v>
      </c>
      <c r="F5083" t="s">
        <v>106</v>
      </c>
      <c r="G5083">
        <v>30445</v>
      </c>
      <c r="H5083">
        <v>24356</v>
      </c>
      <c r="I5083" s="13">
        <v>0.5</v>
      </c>
      <c r="J5083" t="s">
        <v>6206</v>
      </c>
      <c r="K5083">
        <v>2</v>
      </c>
      <c r="L5083">
        <v>2</v>
      </c>
      <c r="M5083" t="s">
        <v>58</v>
      </c>
      <c r="N5083" s="3">
        <v>0.48</v>
      </c>
      <c r="O5083" s="3">
        <v>0.52</v>
      </c>
      <c r="P5083">
        <v>12</v>
      </c>
      <c r="Q5083">
        <v>10</v>
      </c>
      <c r="R5083">
        <v>3</v>
      </c>
      <c r="S5083">
        <v>3</v>
      </c>
      <c r="T5083">
        <v>10</v>
      </c>
      <c r="U5083">
        <v>11</v>
      </c>
      <c r="V5083">
        <v>2</v>
      </c>
      <c r="W5083">
        <v>2</v>
      </c>
      <c r="X5083">
        <v>0</v>
      </c>
      <c r="Y5083">
        <v>0</v>
      </c>
      <c r="Z5083">
        <v>1</v>
      </c>
    </row>
    <row r="5084" spans="1:26" x14ac:dyDescent="0.2">
      <c r="A5084" t="s">
        <v>5202</v>
      </c>
      <c r="B5084" t="s">
        <v>100</v>
      </c>
      <c r="C5084">
        <v>2022</v>
      </c>
      <c r="D5084" t="s">
        <v>40</v>
      </c>
      <c r="E5084" t="s">
        <v>31</v>
      </c>
      <c r="F5084" t="s">
        <v>49</v>
      </c>
      <c r="G5084">
        <v>53400</v>
      </c>
      <c r="H5084">
        <v>42720</v>
      </c>
      <c r="I5084" s="13">
        <v>0.8571428571428571</v>
      </c>
      <c r="J5084" t="s">
        <v>6207</v>
      </c>
      <c r="K5084">
        <v>2</v>
      </c>
      <c r="L5084">
        <v>1</v>
      </c>
      <c r="M5084" t="s">
        <v>0</v>
      </c>
      <c r="N5084" s="3">
        <v>0.71</v>
      </c>
      <c r="O5084" s="3">
        <v>0.28999999999999998</v>
      </c>
      <c r="P5084">
        <v>10</v>
      </c>
      <c r="Q5084">
        <v>9</v>
      </c>
      <c r="R5084">
        <v>9</v>
      </c>
      <c r="S5084">
        <v>0</v>
      </c>
      <c r="T5084">
        <v>6</v>
      </c>
      <c r="U5084">
        <v>11</v>
      </c>
      <c r="V5084">
        <v>2</v>
      </c>
      <c r="W5084">
        <v>4</v>
      </c>
      <c r="X5084">
        <v>1</v>
      </c>
      <c r="Y5084">
        <v>0</v>
      </c>
      <c r="Z5084">
        <v>2</v>
      </c>
    </row>
    <row r="5085" spans="1:26" x14ac:dyDescent="0.2">
      <c r="A5085" t="s">
        <v>5203</v>
      </c>
      <c r="B5085" t="s">
        <v>105</v>
      </c>
      <c r="C5085">
        <v>2022</v>
      </c>
      <c r="D5085" t="s">
        <v>33</v>
      </c>
      <c r="E5085" t="s">
        <v>86</v>
      </c>
      <c r="F5085" t="s">
        <v>33</v>
      </c>
      <c r="G5085">
        <v>37645</v>
      </c>
      <c r="H5085">
        <v>30116</v>
      </c>
      <c r="I5085" s="13">
        <v>0.5</v>
      </c>
      <c r="J5085" t="s">
        <v>6207</v>
      </c>
      <c r="K5085">
        <v>4</v>
      </c>
      <c r="L5085">
        <v>3</v>
      </c>
      <c r="M5085" t="s">
        <v>0</v>
      </c>
      <c r="N5085" s="3">
        <v>0.61</v>
      </c>
      <c r="O5085" s="3">
        <v>0.39</v>
      </c>
      <c r="P5085">
        <v>8</v>
      </c>
      <c r="Q5085">
        <v>16</v>
      </c>
      <c r="R5085">
        <v>13</v>
      </c>
      <c r="S5085">
        <v>3</v>
      </c>
      <c r="T5085">
        <v>16</v>
      </c>
      <c r="U5085">
        <v>10</v>
      </c>
      <c r="V5085">
        <v>2</v>
      </c>
      <c r="W5085">
        <v>2</v>
      </c>
      <c r="X5085">
        <v>0</v>
      </c>
      <c r="Y5085">
        <v>0</v>
      </c>
      <c r="Z5085">
        <v>1</v>
      </c>
    </row>
    <row r="5086" spans="1:26" x14ac:dyDescent="0.2">
      <c r="A5086" t="s">
        <v>5204</v>
      </c>
      <c r="B5086" t="s">
        <v>93</v>
      </c>
      <c r="C5086">
        <v>2022</v>
      </c>
      <c r="D5086" t="s">
        <v>45</v>
      </c>
      <c r="E5086" t="s">
        <v>80</v>
      </c>
      <c r="F5086" t="s">
        <v>26</v>
      </c>
      <c r="G5086">
        <v>39572</v>
      </c>
      <c r="H5086">
        <v>31657.600000000002</v>
      </c>
      <c r="I5086" s="13">
        <v>0</v>
      </c>
      <c r="J5086" t="s">
        <v>6206</v>
      </c>
      <c r="K5086">
        <v>0</v>
      </c>
      <c r="L5086">
        <v>2</v>
      </c>
      <c r="M5086" t="s">
        <v>1</v>
      </c>
      <c r="N5086" s="3">
        <v>0.49</v>
      </c>
      <c r="O5086" s="3">
        <v>0.51</v>
      </c>
      <c r="P5086">
        <v>6</v>
      </c>
      <c r="Q5086">
        <v>9</v>
      </c>
      <c r="R5086">
        <v>8</v>
      </c>
      <c r="S5086">
        <v>3</v>
      </c>
      <c r="T5086">
        <v>9</v>
      </c>
      <c r="U5086">
        <v>5</v>
      </c>
      <c r="V5086">
        <v>0</v>
      </c>
      <c r="W5086">
        <v>0</v>
      </c>
      <c r="X5086">
        <v>0</v>
      </c>
      <c r="Y5086">
        <v>0</v>
      </c>
      <c r="Z5086">
        <v>0</v>
      </c>
    </row>
    <row r="5087" spans="1:26" x14ac:dyDescent="0.2">
      <c r="A5087" t="s">
        <v>5205</v>
      </c>
      <c r="B5087" t="s">
        <v>66</v>
      </c>
      <c r="C5087">
        <v>2022</v>
      </c>
      <c r="D5087" t="s">
        <v>18</v>
      </c>
      <c r="E5087" t="s">
        <v>46</v>
      </c>
      <c r="F5087" t="s">
        <v>20</v>
      </c>
      <c r="G5087">
        <v>40341</v>
      </c>
      <c r="H5087">
        <v>32272.800000000003</v>
      </c>
      <c r="I5087" s="13">
        <v>0.2857142857142857</v>
      </c>
      <c r="J5087" t="s">
        <v>6207</v>
      </c>
      <c r="K5087">
        <v>0</v>
      </c>
      <c r="L5087">
        <v>1</v>
      </c>
      <c r="M5087" t="s">
        <v>1</v>
      </c>
      <c r="N5087" s="3">
        <v>0.44</v>
      </c>
      <c r="O5087" s="3">
        <v>0.56000000000000005</v>
      </c>
      <c r="P5087">
        <v>12</v>
      </c>
      <c r="Q5087">
        <v>19</v>
      </c>
      <c r="R5087">
        <v>4</v>
      </c>
      <c r="S5087">
        <v>6</v>
      </c>
      <c r="T5087">
        <v>20</v>
      </c>
      <c r="U5087">
        <v>13</v>
      </c>
      <c r="V5087">
        <v>5</v>
      </c>
      <c r="W5087">
        <v>2</v>
      </c>
      <c r="X5087">
        <v>0</v>
      </c>
      <c r="Y5087">
        <v>0</v>
      </c>
      <c r="Z5087">
        <v>0</v>
      </c>
    </row>
    <row r="5088" spans="1:26" x14ac:dyDescent="0.2">
      <c r="A5088" t="s">
        <v>5206</v>
      </c>
      <c r="B5088" t="s">
        <v>81</v>
      </c>
      <c r="C5088">
        <v>2022</v>
      </c>
      <c r="D5088" t="s">
        <v>23</v>
      </c>
      <c r="E5088" t="s">
        <v>79</v>
      </c>
      <c r="F5088" t="s">
        <v>20</v>
      </c>
      <c r="G5088">
        <v>62500</v>
      </c>
      <c r="H5088">
        <v>50000</v>
      </c>
      <c r="I5088" s="13">
        <v>0.5</v>
      </c>
      <c r="J5088" t="s">
        <v>6207</v>
      </c>
      <c r="K5088">
        <v>1</v>
      </c>
      <c r="L5088">
        <v>2</v>
      </c>
      <c r="M5088" t="s">
        <v>1</v>
      </c>
      <c r="N5088" s="3">
        <v>0.42</v>
      </c>
      <c r="O5088" s="3">
        <v>0.57999999999999996</v>
      </c>
      <c r="P5088">
        <v>7</v>
      </c>
      <c r="Q5088">
        <v>13</v>
      </c>
      <c r="R5088">
        <v>2</v>
      </c>
      <c r="S5088">
        <v>5</v>
      </c>
      <c r="T5088">
        <v>10</v>
      </c>
      <c r="U5088">
        <v>7</v>
      </c>
      <c r="V5088">
        <v>1</v>
      </c>
      <c r="W5088">
        <v>1</v>
      </c>
      <c r="X5088">
        <v>0</v>
      </c>
      <c r="Y5088">
        <v>0</v>
      </c>
      <c r="Z5088">
        <v>0</v>
      </c>
    </row>
    <row r="5089" spans="1:26" x14ac:dyDescent="0.2">
      <c r="A5089" t="s">
        <v>5207</v>
      </c>
      <c r="B5089" t="s">
        <v>59</v>
      </c>
      <c r="C5089">
        <v>2022</v>
      </c>
      <c r="D5089" t="s">
        <v>73</v>
      </c>
      <c r="E5089" t="s">
        <v>64</v>
      </c>
      <c r="F5089" t="s">
        <v>73</v>
      </c>
      <c r="G5089">
        <v>32384</v>
      </c>
      <c r="H5089">
        <v>25907.200000000001</v>
      </c>
      <c r="I5089" s="13">
        <v>1</v>
      </c>
      <c r="J5089" t="s">
        <v>6206</v>
      </c>
      <c r="K5089">
        <v>1</v>
      </c>
      <c r="L5089">
        <v>4</v>
      </c>
      <c r="M5089" t="s">
        <v>1</v>
      </c>
      <c r="N5089" s="3">
        <v>0.55000000000000004</v>
      </c>
      <c r="O5089" s="3">
        <v>0.45</v>
      </c>
      <c r="P5089">
        <v>10</v>
      </c>
      <c r="Q5089">
        <v>11</v>
      </c>
      <c r="R5089">
        <v>8</v>
      </c>
      <c r="S5089">
        <v>2</v>
      </c>
      <c r="T5089">
        <v>7</v>
      </c>
      <c r="U5089">
        <v>10</v>
      </c>
      <c r="V5089">
        <v>1</v>
      </c>
      <c r="W5089">
        <v>0</v>
      </c>
      <c r="X5089">
        <v>0</v>
      </c>
      <c r="Y5089">
        <v>0</v>
      </c>
      <c r="Z5089">
        <v>0</v>
      </c>
    </row>
    <row r="5090" spans="1:26" x14ac:dyDescent="0.2">
      <c r="A5090" t="s">
        <v>5208</v>
      </c>
      <c r="B5090" t="s">
        <v>61</v>
      </c>
      <c r="C5090">
        <v>2022</v>
      </c>
      <c r="D5090" t="s">
        <v>42</v>
      </c>
      <c r="E5090" t="s">
        <v>48</v>
      </c>
      <c r="F5090" t="s">
        <v>38</v>
      </c>
      <c r="G5090">
        <v>42918</v>
      </c>
      <c r="H5090">
        <v>34334.400000000001</v>
      </c>
      <c r="I5090" s="13">
        <v>0.66666666666666663</v>
      </c>
      <c r="J5090" t="s">
        <v>6207</v>
      </c>
      <c r="K5090">
        <v>3</v>
      </c>
      <c r="L5090">
        <v>1</v>
      </c>
      <c r="M5090" t="s">
        <v>0</v>
      </c>
      <c r="N5090" s="3">
        <v>0.42</v>
      </c>
      <c r="O5090" s="3">
        <v>0.57999999999999996</v>
      </c>
      <c r="P5090">
        <v>14</v>
      </c>
      <c r="Q5090">
        <v>6</v>
      </c>
      <c r="R5090">
        <v>3</v>
      </c>
      <c r="S5090">
        <v>5</v>
      </c>
      <c r="T5090">
        <v>6</v>
      </c>
      <c r="U5090">
        <v>12</v>
      </c>
      <c r="V5090">
        <v>3</v>
      </c>
      <c r="W5090">
        <v>3</v>
      </c>
      <c r="X5090">
        <v>0</v>
      </c>
      <c r="Y5090">
        <v>0</v>
      </c>
      <c r="Z5090">
        <v>0</v>
      </c>
    </row>
    <row r="5091" spans="1:26" x14ac:dyDescent="0.2">
      <c r="A5091" t="s">
        <v>5209</v>
      </c>
      <c r="B5091" t="s">
        <v>92</v>
      </c>
      <c r="C5091">
        <v>2022</v>
      </c>
      <c r="D5091" t="s">
        <v>51</v>
      </c>
      <c r="E5091" t="s">
        <v>26</v>
      </c>
      <c r="F5091" t="s">
        <v>20</v>
      </c>
      <c r="G5091">
        <v>36284</v>
      </c>
      <c r="H5091">
        <v>29027.200000000001</v>
      </c>
      <c r="I5091" s="13">
        <v>0</v>
      </c>
      <c r="J5091" t="s">
        <v>6207</v>
      </c>
      <c r="K5091">
        <v>1</v>
      </c>
      <c r="L5091">
        <v>2</v>
      </c>
      <c r="M5091" t="s">
        <v>1</v>
      </c>
      <c r="N5091" s="3">
        <v>0.47</v>
      </c>
      <c r="O5091" s="3">
        <v>0.53</v>
      </c>
      <c r="P5091">
        <v>9</v>
      </c>
      <c r="Q5091">
        <v>11</v>
      </c>
      <c r="R5091">
        <v>5</v>
      </c>
      <c r="S5091">
        <v>3</v>
      </c>
      <c r="T5091">
        <v>10</v>
      </c>
      <c r="U5091">
        <v>8</v>
      </c>
      <c r="V5091">
        <v>1</v>
      </c>
      <c r="W5091">
        <v>0</v>
      </c>
      <c r="X5091">
        <v>0</v>
      </c>
      <c r="Y5091">
        <v>0</v>
      </c>
      <c r="Z5091">
        <v>0</v>
      </c>
    </row>
    <row r="5092" spans="1:26" x14ac:dyDescent="0.2">
      <c r="A5092" t="s">
        <v>5210</v>
      </c>
      <c r="B5092" t="s">
        <v>97</v>
      </c>
      <c r="C5092">
        <v>2022</v>
      </c>
      <c r="D5092" t="s">
        <v>40</v>
      </c>
      <c r="E5092" t="s">
        <v>101</v>
      </c>
      <c r="F5092" t="s">
        <v>49</v>
      </c>
      <c r="G5092">
        <v>53400</v>
      </c>
      <c r="H5092">
        <v>42720</v>
      </c>
      <c r="I5092" s="13">
        <v>1</v>
      </c>
      <c r="J5092" t="s">
        <v>6207</v>
      </c>
      <c r="K5092">
        <v>1</v>
      </c>
      <c r="L5092">
        <v>2</v>
      </c>
      <c r="M5092" t="s">
        <v>1</v>
      </c>
      <c r="N5092" s="3">
        <v>0.75</v>
      </c>
      <c r="O5092" s="3">
        <v>0.25</v>
      </c>
      <c r="P5092">
        <v>8</v>
      </c>
      <c r="Q5092">
        <v>10</v>
      </c>
      <c r="R5092">
        <v>10</v>
      </c>
      <c r="S5092">
        <v>2</v>
      </c>
      <c r="T5092">
        <v>9</v>
      </c>
      <c r="U5092">
        <v>7</v>
      </c>
      <c r="V5092">
        <v>2</v>
      </c>
      <c r="W5092">
        <v>2</v>
      </c>
      <c r="X5092">
        <v>0</v>
      </c>
      <c r="Y5092">
        <v>0</v>
      </c>
      <c r="Z5092">
        <v>0</v>
      </c>
    </row>
    <row r="5093" spans="1:26" x14ac:dyDescent="0.2">
      <c r="A5093" t="s">
        <v>5211</v>
      </c>
      <c r="B5093" t="s">
        <v>102</v>
      </c>
      <c r="C5093">
        <v>2022</v>
      </c>
      <c r="D5093" t="s">
        <v>23</v>
      </c>
      <c r="E5093" t="s">
        <v>80</v>
      </c>
      <c r="F5093" t="s">
        <v>20</v>
      </c>
      <c r="G5093">
        <v>62500</v>
      </c>
      <c r="H5093">
        <v>50000</v>
      </c>
      <c r="I5093" s="13">
        <v>0.75</v>
      </c>
      <c r="J5093" t="s">
        <v>6209</v>
      </c>
      <c r="K5093">
        <v>0</v>
      </c>
      <c r="L5093">
        <v>2</v>
      </c>
      <c r="M5093" t="s">
        <v>1</v>
      </c>
      <c r="N5093" s="3">
        <v>0.54</v>
      </c>
      <c r="O5093" s="3">
        <v>0.46</v>
      </c>
      <c r="P5093">
        <v>9</v>
      </c>
      <c r="Q5093">
        <v>9</v>
      </c>
      <c r="R5093">
        <v>7</v>
      </c>
      <c r="S5093">
        <v>2</v>
      </c>
      <c r="T5093">
        <v>9</v>
      </c>
      <c r="U5093">
        <v>8</v>
      </c>
      <c r="V5093">
        <v>3</v>
      </c>
      <c r="W5093">
        <v>1</v>
      </c>
      <c r="X5093">
        <v>0</v>
      </c>
      <c r="Y5093">
        <v>0</v>
      </c>
      <c r="Z5093">
        <v>1</v>
      </c>
    </row>
    <row r="5094" spans="1:26" x14ac:dyDescent="0.2">
      <c r="A5094" t="s">
        <v>5212</v>
      </c>
      <c r="B5094" t="s">
        <v>103</v>
      </c>
      <c r="C5094">
        <v>2022</v>
      </c>
      <c r="D5094" t="s">
        <v>51</v>
      </c>
      <c r="E5094" t="s">
        <v>33</v>
      </c>
      <c r="F5094" t="s">
        <v>20</v>
      </c>
      <c r="G5094">
        <v>36284</v>
      </c>
      <c r="H5094">
        <v>29027.200000000001</v>
      </c>
      <c r="I5094" s="13">
        <v>0.75</v>
      </c>
      <c r="J5094" t="s">
        <v>6207</v>
      </c>
      <c r="K5094">
        <v>4</v>
      </c>
      <c r="L5094">
        <v>3</v>
      </c>
      <c r="M5094" t="s">
        <v>0</v>
      </c>
      <c r="N5094" s="3">
        <v>0.55000000000000004</v>
      </c>
      <c r="O5094" s="3">
        <v>0.45</v>
      </c>
      <c r="P5094">
        <v>8</v>
      </c>
      <c r="Q5094">
        <v>8</v>
      </c>
      <c r="R5094">
        <v>9</v>
      </c>
      <c r="S5094">
        <v>2</v>
      </c>
      <c r="T5094">
        <v>8</v>
      </c>
      <c r="U5094">
        <v>7</v>
      </c>
      <c r="V5094">
        <v>1</v>
      </c>
      <c r="W5094">
        <v>2</v>
      </c>
      <c r="X5094">
        <v>0</v>
      </c>
      <c r="Y5094">
        <v>1</v>
      </c>
      <c r="Z5094">
        <v>0</v>
      </c>
    </row>
    <row r="5095" spans="1:26" x14ac:dyDescent="0.2">
      <c r="A5095" t="s">
        <v>5213</v>
      </c>
      <c r="B5095" t="s">
        <v>104</v>
      </c>
      <c r="C5095">
        <v>2022</v>
      </c>
      <c r="D5095" t="s">
        <v>94</v>
      </c>
      <c r="E5095" t="s">
        <v>79</v>
      </c>
      <c r="F5095" t="s">
        <v>106</v>
      </c>
      <c r="G5095">
        <v>30445</v>
      </c>
      <c r="H5095">
        <v>24356</v>
      </c>
      <c r="I5095" s="13">
        <v>0.2</v>
      </c>
      <c r="J5095" t="s">
        <v>6206</v>
      </c>
      <c r="K5095">
        <v>1</v>
      </c>
      <c r="L5095">
        <v>0</v>
      </c>
      <c r="M5095" t="s">
        <v>0</v>
      </c>
      <c r="N5095" s="3">
        <v>0.32</v>
      </c>
      <c r="O5095" s="3">
        <v>0.68</v>
      </c>
      <c r="P5095">
        <v>12</v>
      </c>
      <c r="Q5095">
        <v>14</v>
      </c>
      <c r="R5095">
        <v>1</v>
      </c>
      <c r="S5095">
        <v>5</v>
      </c>
      <c r="T5095">
        <v>11</v>
      </c>
      <c r="U5095">
        <v>13</v>
      </c>
      <c r="V5095">
        <v>1</v>
      </c>
      <c r="W5095">
        <v>4</v>
      </c>
      <c r="X5095">
        <v>0</v>
      </c>
      <c r="Y5095">
        <v>0</v>
      </c>
      <c r="Z5095">
        <v>1</v>
      </c>
    </row>
    <row r="5096" spans="1:26" x14ac:dyDescent="0.2">
      <c r="A5096" t="s">
        <v>5214</v>
      </c>
      <c r="B5096" t="s">
        <v>84</v>
      </c>
      <c r="C5096">
        <v>2022</v>
      </c>
      <c r="D5096" t="s">
        <v>26</v>
      </c>
      <c r="E5096" t="s">
        <v>73</v>
      </c>
      <c r="F5096" t="s">
        <v>26</v>
      </c>
      <c r="G5096">
        <v>61276</v>
      </c>
      <c r="H5096">
        <v>49020.800000000003</v>
      </c>
      <c r="I5096" s="13">
        <v>1</v>
      </c>
      <c r="J5096" t="s">
        <v>6208</v>
      </c>
      <c r="K5096">
        <v>3</v>
      </c>
      <c r="L5096">
        <v>1</v>
      </c>
      <c r="M5096" t="s">
        <v>0</v>
      </c>
      <c r="N5096" s="3">
        <v>0.6</v>
      </c>
      <c r="O5096" s="3">
        <v>0.4</v>
      </c>
      <c r="P5096">
        <v>10</v>
      </c>
      <c r="Q5096">
        <v>8</v>
      </c>
      <c r="R5096">
        <v>6</v>
      </c>
      <c r="S5096">
        <v>0</v>
      </c>
      <c r="T5096">
        <v>8</v>
      </c>
      <c r="U5096">
        <v>8</v>
      </c>
      <c r="V5096">
        <v>0</v>
      </c>
      <c r="W5096">
        <v>2</v>
      </c>
      <c r="X5096">
        <v>0</v>
      </c>
      <c r="Y5096">
        <v>0</v>
      </c>
      <c r="Z5096">
        <v>0</v>
      </c>
    </row>
    <row r="5097" spans="1:26" x14ac:dyDescent="0.2">
      <c r="A5097" t="s">
        <v>5215</v>
      </c>
      <c r="B5097" t="s">
        <v>76</v>
      </c>
      <c r="C5097">
        <v>2022</v>
      </c>
      <c r="D5097" t="s">
        <v>86</v>
      </c>
      <c r="E5097" t="s">
        <v>45</v>
      </c>
      <c r="F5097" t="s">
        <v>86</v>
      </c>
      <c r="G5097">
        <v>11364</v>
      </c>
      <c r="H5097">
        <v>9091.2000000000007</v>
      </c>
      <c r="I5097" s="13">
        <v>0.5</v>
      </c>
      <c r="J5097" t="s">
        <v>6207</v>
      </c>
      <c r="K5097">
        <v>3</v>
      </c>
      <c r="L5097">
        <v>0</v>
      </c>
      <c r="M5097" t="s">
        <v>0</v>
      </c>
      <c r="N5097" s="3">
        <v>0.36</v>
      </c>
      <c r="O5097" s="3">
        <v>0.64</v>
      </c>
      <c r="P5097">
        <v>8</v>
      </c>
      <c r="Q5097">
        <v>13</v>
      </c>
      <c r="R5097">
        <v>3</v>
      </c>
      <c r="S5097">
        <v>5</v>
      </c>
      <c r="T5097">
        <v>12</v>
      </c>
      <c r="U5097">
        <v>8</v>
      </c>
      <c r="V5097">
        <v>2</v>
      </c>
      <c r="W5097">
        <v>0</v>
      </c>
      <c r="X5097">
        <v>0</v>
      </c>
      <c r="Y5097">
        <v>0</v>
      </c>
      <c r="Z5097">
        <v>0</v>
      </c>
    </row>
    <row r="5098" spans="1:26" x14ac:dyDescent="0.2">
      <c r="A5098" t="s">
        <v>5216</v>
      </c>
      <c r="B5098" t="s">
        <v>99</v>
      </c>
      <c r="C5098">
        <v>2022</v>
      </c>
      <c r="D5098" t="s">
        <v>64</v>
      </c>
      <c r="E5098" t="s">
        <v>18</v>
      </c>
      <c r="F5098" t="s">
        <v>64</v>
      </c>
      <c r="G5098">
        <v>52264</v>
      </c>
      <c r="H5098">
        <v>41811.200000000004</v>
      </c>
      <c r="I5098" s="13">
        <v>0.33333333333333331</v>
      </c>
      <c r="J5098" t="s">
        <v>6207</v>
      </c>
      <c r="K5098">
        <v>1</v>
      </c>
      <c r="L5098">
        <v>0</v>
      </c>
      <c r="M5098" t="s">
        <v>0</v>
      </c>
      <c r="N5098" s="3">
        <v>0.49</v>
      </c>
      <c r="O5098" s="3">
        <v>0.51</v>
      </c>
      <c r="P5098">
        <v>10</v>
      </c>
      <c r="Q5098">
        <v>16</v>
      </c>
      <c r="R5098">
        <v>5</v>
      </c>
      <c r="S5098">
        <v>3</v>
      </c>
      <c r="T5098">
        <v>14</v>
      </c>
      <c r="U5098">
        <v>11</v>
      </c>
      <c r="V5098">
        <v>4</v>
      </c>
      <c r="W5098">
        <v>2</v>
      </c>
      <c r="X5098">
        <v>0</v>
      </c>
      <c r="Y5098">
        <v>0</v>
      </c>
      <c r="Z5098">
        <v>0</v>
      </c>
    </row>
    <row r="5099" spans="1:26" x14ac:dyDescent="0.2">
      <c r="A5099" t="s">
        <v>5217</v>
      </c>
      <c r="B5099" t="s">
        <v>59</v>
      </c>
      <c r="C5099">
        <v>2022</v>
      </c>
      <c r="D5099" t="s">
        <v>22</v>
      </c>
      <c r="E5099" t="s">
        <v>46</v>
      </c>
      <c r="F5099" t="s">
        <v>24</v>
      </c>
      <c r="G5099">
        <v>31750</v>
      </c>
      <c r="H5099">
        <v>25400</v>
      </c>
      <c r="I5099" s="13">
        <v>1</v>
      </c>
      <c r="J5099" t="s">
        <v>6206</v>
      </c>
      <c r="K5099">
        <v>0</v>
      </c>
      <c r="L5099">
        <v>2</v>
      </c>
      <c r="M5099" t="s">
        <v>1</v>
      </c>
      <c r="N5099" s="3">
        <v>0.37</v>
      </c>
      <c r="O5099" s="3">
        <v>0.63</v>
      </c>
      <c r="P5099">
        <v>7</v>
      </c>
      <c r="Q5099">
        <v>8</v>
      </c>
      <c r="R5099">
        <v>6</v>
      </c>
      <c r="S5099">
        <v>4</v>
      </c>
      <c r="T5099">
        <v>5</v>
      </c>
      <c r="U5099">
        <v>6</v>
      </c>
      <c r="V5099">
        <v>3</v>
      </c>
      <c r="W5099">
        <v>2</v>
      </c>
      <c r="X5099">
        <v>0</v>
      </c>
      <c r="Y5099">
        <v>0</v>
      </c>
      <c r="Z5099">
        <v>0</v>
      </c>
    </row>
    <row r="5100" spans="1:26" x14ac:dyDescent="0.2">
      <c r="A5100" t="s">
        <v>5218</v>
      </c>
      <c r="B5100" t="s">
        <v>88</v>
      </c>
      <c r="C5100">
        <v>2022</v>
      </c>
      <c r="D5100" t="s">
        <v>90</v>
      </c>
      <c r="E5100" t="s">
        <v>42</v>
      </c>
      <c r="F5100" t="s">
        <v>91</v>
      </c>
      <c r="G5100">
        <v>31876</v>
      </c>
      <c r="H5100">
        <v>25500.800000000003</v>
      </c>
      <c r="I5100" s="13">
        <v>0.6</v>
      </c>
      <c r="J5100" t="s">
        <v>6207</v>
      </c>
      <c r="K5100">
        <v>1</v>
      </c>
      <c r="L5100">
        <v>2</v>
      </c>
      <c r="M5100" t="s">
        <v>1</v>
      </c>
      <c r="N5100" s="3">
        <v>0.65</v>
      </c>
      <c r="O5100" s="3">
        <v>0.35</v>
      </c>
      <c r="P5100">
        <v>11</v>
      </c>
      <c r="Q5100">
        <v>15</v>
      </c>
      <c r="R5100">
        <v>11</v>
      </c>
      <c r="S5100">
        <v>4</v>
      </c>
      <c r="T5100">
        <v>14</v>
      </c>
      <c r="U5100">
        <v>11</v>
      </c>
      <c r="V5100">
        <v>3</v>
      </c>
      <c r="W5100">
        <v>7</v>
      </c>
      <c r="X5100">
        <v>0</v>
      </c>
      <c r="Y5100">
        <v>0</v>
      </c>
      <c r="Z5100">
        <v>1</v>
      </c>
    </row>
    <row r="5101" spans="1:26" x14ac:dyDescent="0.2">
      <c r="A5101" t="s">
        <v>5219</v>
      </c>
      <c r="B5101" t="s">
        <v>81</v>
      </c>
      <c r="C5101">
        <v>2022</v>
      </c>
      <c r="D5101" t="s">
        <v>31</v>
      </c>
      <c r="E5101" t="s">
        <v>48</v>
      </c>
      <c r="F5101" t="s">
        <v>20</v>
      </c>
      <c r="G5101">
        <v>28500</v>
      </c>
      <c r="H5101">
        <v>22800</v>
      </c>
      <c r="I5101" s="13">
        <v>1</v>
      </c>
      <c r="J5101" t="s">
        <v>6207</v>
      </c>
      <c r="K5101">
        <v>1</v>
      </c>
      <c r="L5101">
        <v>2</v>
      </c>
      <c r="M5101" t="s">
        <v>1</v>
      </c>
      <c r="N5101" s="3">
        <v>0.53</v>
      </c>
      <c r="O5101" s="3">
        <v>0.47</v>
      </c>
      <c r="P5101">
        <v>10</v>
      </c>
      <c r="Q5101">
        <v>10</v>
      </c>
      <c r="R5101">
        <v>10</v>
      </c>
      <c r="S5101">
        <v>3</v>
      </c>
      <c r="T5101">
        <v>9</v>
      </c>
      <c r="U5101">
        <v>10</v>
      </c>
      <c r="V5101">
        <v>1</v>
      </c>
      <c r="W5101">
        <v>1</v>
      </c>
      <c r="X5101">
        <v>0</v>
      </c>
      <c r="Y5101">
        <v>0</v>
      </c>
      <c r="Z5101">
        <v>0</v>
      </c>
    </row>
    <row r="5102" spans="1:26" x14ac:dyDescent="0.2">
      <c r="A5102" t="s">
        <v>5220</v>
      </c>
      <c r="B5102" t="s">
        <v>93</v>
      </c>
      <c r="C5102">
        <v>2022</v>
      </c>
      <c r="D5102" t="s">
        <v>101</v>
      </c>
      <c r="E5102" t="s">
        <v>51</v>
      </c>
      <c r="F5102" t="s">
        <v>101</v>
      </c>
      <c r="G5102">
        <v>17250</v>
      </c>
      <c r="H5102">
        <v>13800</v>
      </c>
      <c r="I5102" s="13">
        <v>0.75</v>
      </c>
      <c r="J5102" t="s">
        <v>6206</v>
      </c>
      <c r="K5102">
        <v>2</v>
      </c>
      <c r="L5102">
        <v>2</v>
      </c>
      <c r="M5102" t="s">
        <v>58</v>
      </c>
      <c r="N5102" s="3">
        <v>0.39</v>
      </c>
      <c r="O5102" s="3">
        <v>0.61</v>
      </c>
      <c r="P5102">
        <v>13</v>
      </c>
      <c r="Q5102">
        <v>11</v>
      </c>
      <c r="R5102">
        <v>6</v>
      </c>
      <c r="S5102">
        <v>5</v>
      </c>
      <c r="T5102">
        <v>11</v>
      </c>
      <c r="U5102">
        <v>10</v>
      </c>
      <c r="V5102">
        <v>3</v>
      </c>
      <c r="W5102">
        <v>1</v>
      </c>
      <c r="X5102">
        <v>0</v>
      </c>
      <c r="Y5102">
        <v>0</v>
      </c>
      <c r="Z5102">
        <v>0</v>
      </c>
    </row>
    <row r="5103" spans="1:26" x14ac:dyDescent="0.2">
      <c r="A5103" t="s">
        <v>5221</v>
      </c>
      <c r="B5103" t="s">
        <v>99</v>
      </c>
      <c r="C5103">
        <v>2022</v>
      </c>
      <c r="D5103" t="s">
        <v>73</v>
      </c>
      <c r="E5103" t="s">
        <v>90</v>
      </c>
      <c r="F5103" t="s">
        <v>73</v>
      </c>
      <c r="G5103">
        <v>32384</v>
      </c>
      <c r="H5103">
        <v>25907.200000000001</v>
      </c>
      <c r="I5103" s="13">
        <v>1</v>
      </c>
      <c r="J5103" t="s">
        <v>6207</v>
      </c>
      <c r="K5103">
        <v>1</v>
      </c>
      <c r="L5103">
        <v>3</v>
      </c>
      <c r="M5103" t="s">
        <v>1</v>
      </c>
      <c r="N5103" s="3">
        <v>0.34</v>
      </c>
      <c r="O5103" s="3">
        <v>0.66</v>
      </c>
      <c r="P5103">
        <v>9</v>
      </c>
      <c r="Q5103">
        <v>9</v>
      </c>
      <c r="R5103">
        <v>4</v>
      </c>
      <c r="S5103">
        <v>2</v>
      </c>
      <c r="T5103">
        <v>9</v>
      </c>
      <c r="U5103">
        <v>10</v>
      </c>
      <c r="V5103">
        <v>1</v>
      </c>
      <c r="W5103">
        <v>2</v>
      </c>
      <c r="X5103">
        <v>0</v>
      </c>
      <c r="Y5103">
        <v>0</v>
      </c>
      <c r="Z5103">
        <v>1</v>
      </c>
    </row>
    <row r="5104" spans="1:26" x14ac:dyDescent="0.2">
      <c r="A5104" t="s">
        <v>5222</v>
      </c>
      <c r="B5104" t="s">
        <v>102</v>
      </c>
      <c r="C5104">
        <v>2022</v>
      </c>
      <c r="D5104" t="s">
        <v>80</v>
      </c>
      <c r="E5104" t="s">
        <v>64</v>
      </c>
      <c r="F5104" t="s">
        <v>80</v>
      </c>
      <c r="G5104">
        <v>32261</v>
      </c>
      <c r="H5104">
        <v>25808.800000000003</v>
      </c>
      <c r="I5104" s="13">
        <v>0</v>
      </c>
      <c r="J5104" t="s">
        <v>6209</v>
      </c>
      <c r="K5104">
        <v>0</v>
      </c>
      <c r="L5104">
        <v>3</v>
      </c>
      <c r="M5104" t="s">
        <v>1</v>
      </c>
      <c r="N5104" s="3">
        <v>0.6</v>
      </c>
      <c r="O5104" s="3">
        <v>0.4</v>
      </c>
      <c r="P5104">
        <v>7</v>
      </c>
      <c r="Q5104">
        <v>11</v>
      </c>
      <c r="R5104">
        <v>5</v>
      </c>
      <c r="S5104">
        <v>5</v>
      </c>
      <c r="T5104">
        <v>9</v>
      </c>
      <c r="U5104">
        <v>6</v>
      </c>
      <c r="V5104">
        <v>0</v>
      </c>
      <c r="W5104">
        <v>0</v>
      </c>
      <c r="X5104">
        <v>0</v>
      </c>
      <c r="Y5104">
        <v>0</v>
      </c>
      <c r="Z5104">
        <v>1</v>
      </c>
    </row>
    <row r="5105" spans="1:26" x14ac:dyDescent="0.2">
      <c r="A5105" t="s">
        <v>5223</v>
      </c>
      <c r="B5105" t="s">
        <v>76</v>
      </c>
      <c r="C5105">
        <v>2022</v>
      </c>
      <c r="D5105" t="s">
        <v>45</v>
      </c>
      <c r="E5105" t="s">
        <v>22</v>
      </c>
      <c r="F5105" t="s">
        <v>26</v>
      </c>
      <c r="G5105">
        <v>39572</v>
      </c>
      <c r="H5105">
        <v>31657.600000000002</v>
      </c>
      <c r="I5105" s="13">
        <v>0.7142857142857143</v>
      </c>
      <c r="J5105" t="s">
        <v>6207</v>
      </c>
      <c r="K5105">
        <v>1</v>
      </c>
      <c r="L5105">
        <v>2</v>
      </c>
      <c r="M5105" t="s">
        <v>1</v>
      </c>
      <c r="N5105" s="3">
        <v>0.57999999999999996</v>
      </c>
      <c r="O5105" s="3">
        <v>0.42</v>
      </c>
      <c r="P5105">
        <v>21</v>
      </c>
      <c r="Q5105">
        <v>9</v>
      </c>
      <c r="R5105">
        <v>2</v>
      </c>
      <c r="S5105">
        <v>2</v>
      </c>
      <c r="T5105">
        <v>9</v>
      </c>
      <c r="U5105">
        <v>22</v>
      </c>
      <c r="V5105">
        <v>1</v>
      </c>
      <c r="W5105">
        <v>6</v>
      </c>
      <c r="X5105">
        <v>0</v>
      </c>
      <c r="Y5105">
        <v>0</v>
      </c>
      <c r="Z5105">
        <v>0</v>
      </c>
    </row>
    <row r="5106" spans="1:26" x14ac:dyDescent="0.2">
      <c r="A5106" t="s">
        <v>5224</v>
      </c>
      <c r="B5106" t="s">
        <v>92</v>
      </c>
      <c r="C5106">
        <v>2022</v>
      </c>
      <c r="D5106" t="s">
        <v>79</v>
      </c>
      <c r="E5106" t="s">
        <v>31</v>
      </c>
      <c r="F5106" t="s">
        <v>20</v>
      </c>
      <c r="G5106">
        <v>25486</v>
      </c>
      <c r="H5106">
        <v>20388.800000000003</v>
      </c>
      <c r="I5106" s="13">
        <v>0</v>
      </c>
      <c r="J5106" t="s">
        <v>6207</v>
      </c>
      <c r="K5106">
        <v>0</v>
      </c>
      <c r="L5106">
        <v>3</v>
      </c>
      <c r="M5106" t="s">
        <v>1</v>
      </c>
      <c r="N5106" s="3">
        <v>0.36</v>
      </c>
      <c r="O5106" s="3">
        <v>0.64</v>
      </c>
      <c r="P5106">
        <v>16</v>
      </c>
      <c r="Q5106">
        <v>11</v>
      </c>
      <c r="R5106">
        <v>1</v>
      </c>
      <c r="S5106">
        <v>7</v>
      </c>
      <c r="T5106">
        <v>12</v>
      </c>
      <c r="U5106">
        <v>15</v>
      </c>
      <c r="V5106">
        <v>1</v>
      </c>
      <c r="W5106">
        <v>0</v>
      </c>
      <c r="X5106">
        <v>2</v>
      </c>
      <c r="Y5106">
        <v>0</v>
      </c>
      <c r="Z5106">
        <v>0</v>
      </c>
    </row>
    <row r="5107" spans="1:26" x14ac:dyDescent="0.2">
      <c r="A5107" t="s">
        <v>5225</v>
      </c>
      <c r="B5107" t="s">
        <v>81</v>
      </c>
      <c r="C5107">
        <v>2022</v>
      </c>
      <c r="D5107" t="s">
        <v>42</v>
      </c>
      <c r="E5107" t="s">
        <v>26</v>
      </c>
      <c r="F5107" t="s">
        <v>38</v>
      </c>
      <c r="G5107">
        <v>42918</v>
      </c>
      <c r="H5107">
        <v>34334.400000000001</v>
      </c>
      <c r="I5107" s="13">
        <v>0</v>
      </c>
      <c r="J5107" t="s">
        <v>6207</v>
      </c>
      <c r="K5107">
        <v>1</v>
      </c>
      <c r="L5107">
        <v>3</v>
      </c>
      <c r="M5107" t="s">
        <v>1</v>
      </c>
      <c r="N5107" s="3">
        <v>0.47</v>
      </c>
      <c r="O5107" s="3">
        <v>0.53</v>
      </c>
      <c r="P5107">
        <v>15</v>
      </c>
      <c r="Q5107">
        <v>10</v>
      </c>
      <c r="R5107">
        <v>0</v>
      </c>
      <c r="S5107">
        <v>6</v>
      </c>
      <c r="T5107">
        <v>7</v>
      </c>
      <c r="U5107">
        <v>12</v>
      </c>
      <c r="V5107">
        <v>0</v>
      </c>
      <c r="W5107">
        <v>0</v>
      </c>
      <c r="X5107">
        <v>0</v>
      </c>
      <c r="Y5107">
        <v>0</v>
      </c>
      <c r="Z5107">
        <v>0</v>
      </c>
    </row>
    <row r="5108" spans="1:26" x14ac:dyDescent="0.2">
      <c r="A5108" t="s">
        <v>5226</v>
      </c>
      <c r="B5108" t="s">
        <v>66</v>
      </c>
      <c r="C5108">
        <v>2022</v>
      </c>
      <c r="D5108" t="s">
        <v>46</v>
      </c>
      <c r="E5108" t="s">
        <v>23</v>
      </c>
      <c r="F5108" t="s">
        <v>20</v>
      </c>
      <c r="G5108">
        <v>60704</v>
      </c>
      <c r="H5108">
        <v>48563.200000000004</v>
      </c>
      <c r="I5108" s="13">
        <v>0.5</v>
      </c>
      <c r="J5108" t="s">
        <v>6207</v>
      </c>
      <c r="K5108">
        <v>3</v>
      </c>
      <c r="L5108">
        <v>1</v>
      </c>
      <c r="M5108" t="s">
        <v>0</v>
      </c>
      <c r="N5108" s="3">
        <v>0.66</v>
      </c>
      <c r="O5108" s="3">
        <v>0.34</v>
      </c>
      <c r="P5108">
        <v>14</v>
      </c>
      <c r="Q5108">
        <v>15</v>
      </c>
      <c r="R5108">
        <v>7</v>
      </c>
      <c r="S5108">
        <v>5</v>
      </c>
      <c r="T5108">
        <v>13</v>
      </c>
      <c r="U5108">
        <v>17</v>
      </c>
      <c r="V5108">
        <v>0</v>
      </c>
      <c r="W5108">
        <v>2</v>
      </c>
      <c r="X5108">
        <v>0</v>
      </c>
      <c r="Y5108">
        <v>0</v>
      </c>
      <c r="Z5108">
        <v>1</v>
      </c>
    </row>
    <row r="5109" spans="1:26" x14ac:dyDescent="0.2">
      <c r="A5109" t="s">
        <v>5227</v>
      </c>
      <c r="B5109" t="s">
        <v>84</v>
      </c>
      <c r="C5109">
        <v>2022</v>
      </c>
      <c r="D5109" t="s">
        <v>18</v>
      </c>
      <c r="E5109" t="s">
        <v>86</v>
      </c>
      <c r="F5109" t="s">
        <v>20</v>
      </c>
      <c r="G5109">
        <v>40341</v>
      </c>
      <c r="H5109">
        <v>32272.800000000003</v>
      </c>
      <c r="I5109" s="13">
        <v>0</v>
      </c>
      <c r="J5109" t="s">
        <v>6208</v>
      </c>
      <c r="K5109">
        <v>2</v>
      </c>
      <c r="L5109">
        <v>0</v>
      </c>
      <c r="M5109" t="s">
        <v>0</v>
      </c>
      <c r="N5109" s="3">
        <v>0.6</v>
      </c>
      <c r="O5109" s="3">
        <v>0.4</v>
      </c>
      <c r="P5109">
        <v>8</v>
      </c>
      <c r="Q5109">
        <v>9</v>
      </c>
      <c r="R5109">
        <v>6</v>
      </c>
      <c r="S5109">
        <v>8</v>
      </c>
      <c r="T5109">
        <v>8</v>
      </c>
      <c r="U5109">
        <v>10</v>
      </c>
      <c r="V5109">
        <v>0</v>
      </c>
      <c r="W5109">
        <v>0</v>
      </c>
      <c r="X5109">
        <v>0</v>
      </c>
      <c r="Y5109">
        <v>0</v>
      </c>
      <c r="Z5109">
        <v>0</v>
      </c>
    </row>
    <row r="5110" spans="1:26" x14ac:dyDescent="0.2">
      <c r="A5110" t="s">
        <v>5228</v>
      </c>
      <c r="B5110" t="s">
        <v>61</v>
      </c>
      <c r="C5110">
        <v>2022</v>
      </c>
      <c r="D5110" t="s">
        <v>48</v>
      </c>
      <c r="E5110" t="s">
        <v>94</v>
      </c>
      <c r="F5110" t="s">
        <v>49</v>
      </c>
      <c r="G5110">
        <v>74197</v>
      </c>
      <c r="H5110">
        <v>59357.600000000006</v>
      </c>
      <c r="I5110" s="13">
        <v>1</v>
      </c>
      <c r="J5110" t="s">
        <v>6207</v>
      </c>
      <c r="K5110">
        <v>3</v>
      </c>
      <c r="L5110">
        <v>0</v>
      </c>
      <c r="M5110" t="s">
        <v>0</v>
      </c>
      <c r="N5110" s="3">
        <v>0.66</v>
      </c>
      <c r="O5110" s="3">
        <v>0.34</v>
      </c>
      <c r="P5110">
        <v>6</v>
      </c>
      <c r="Q5110">
        <v>14</v>
      </c>
      <c r="R5110">
        <v>9</v>
      </c>
      <c r="S5110">
        <v>9</v>
      </c>
      <c r="T5110">
        <v>13</v>
      </c>
      <c r="U5110">
        <v>4</v>
      </c>
      <c r="V5110">
        <v>3</v>
      </c>
      <c r="W5110">
        <v>1</v>
      </c>
      <c r="X5110">
        <v>0</v>
      </c>
      <c r="Y5110">
        <v>0</v>
      </c>
      <c r="Z5110">
        <v>0</v>
      </c>
    </row>
    <row r="5111" spans="1:26" x14ac:dyDescent="0.2">
      <c r="A5111" t="s">
        <v>5229</v>
      </c>
      <c r="B5111" t="s">
        <v>59</v>
      </c>
      <c r="C5111">
        <v>2022</v>
      </c>
      <c r="D5111" t="s">
        <v>33</v>
      </c>
      <c r="E5111" t="s">
        <v>40</v>
      </c>
      <c r="F5111" t="s">
        <v>33</v>
      </c>
      <c r="G5111">
        <v>37645</v>
      </c>
      <c r="H5111">
        <v>30116</v>
      </c>
      <c r="I5111" s="13">
        <v>0.5</v>
      </c>
      <c r="J5111" t="s">
        <v>6206</v>
      </c>
      <c r="K5111">
        <v>1</v>
      </c>
      <c r="L5111">
        <v>3</v>
      </c>
      <c r="M5111" t="s">
        <v>1</v>
      </c>
      <c r="N5111" s="3">
        <v>0.31</v>
      </c>
      <c r="O5111" s="3">
        <v>0.69</v>
      </c>
      <c r="P5111">
        <v>12</v>
      </c>
      <c r="Q5111">
        <v>11</v>
      </c>
      <c r="R5111">
        <v>3</v>
      </c>
      <c r="S5111">
        <v>5</v>
      </c>
      <c r="T5111">
        <v>11</v>
      </c>
      <c r="U5111">
        <v>14</v>
      </c>
      <c r="V5111">
        <v>3</v>
      </c>
      <c r="W5111">
        <v>3</v>
      </c>
      <c r="X5111">
        <v>0</v>
      </c>
      <c r="Y5111">
        <v>0</v>
      </c>
      <c r="Z5111">
        <v>0</v>
      </c>
    </row>
    <row r="5112" spans="1:26" x14ac:dyDescent="0.2">
      <c r="A5112" t="s">
        <v>5230</v>
      </c>
      <c r="B5112" t="s">
        <v>100</v>
      </c>
      <c r="C5112">
        <v>2022</v>
      </c>
      <c r="D5112" t="s">
        <v>23</v>
      </c>
      <c r="E5112" t="s">
        <v>101</v>
      </c>
      <c r="F5112" t="s">
        <v>20</v>
      </c>
      <c r="G5112">
        <v>62500</v>
      </c>
      <c r="H5112">
        <v>50000</v>
      </c>
      <c r="I5112" s="13">
        <v>1</v>
      </c>
      <c r="J5112" t="s">
        <v>6207</v>
      </c>
      <c r="K5112">
        <v>0</v>
      </c>
      <c r="L5112">
        <v>2</v>
      </c>
      <c r="M5112" t="s">
        <v>1</v>
      </c>
      <c r="N5112" s="3">
        <v>0.63</v>
      </c>
      <c r="O5112" s="3">
        <v>0.37</v>
      </c>
      <c r="P5112">
        <v>3</v>
      </c>
      <c r="Q5112">
        <v>7</v>
      </c>
      <c r="R5112">
        <v>8</v>
      </c>
      <c r="S5112">
        <v>1</v>
      </c>
      <c r="T5112">
        <v>9</v>
      </c>
      <c r="U5112">
        <v>5</v>
      </c>
      <c r="V5112">
        <v>1</v>
      </c>
      <c r="W5112">
        <v>0</v>
      </c>
      <c r="X5112">
        <v>0</v>
      </c>
      <c r="Y5112">
        <v>0</v>
      </c>
      <c r="Z5112">
        <v>0</v>
      </c>
    </row>
    <row r="5113" spans="1:26" x14ac:dyDescent="0.2">
      <c r="A5113" t="s">
        <v>5231</v>
      </c>
      <c r="B5113" t="s">
        <v>76</v>
      </c>
      <c r="C5113">
        <v>2022</v>
      </c>
      <c r="D5113" t="s">
        <v>26</v>
      </c>
      <c r="E5113" t="s">
        <v>80</v>
      </c>
      <c r="F5113" t="s">
        <v>26</v>
      </c>
      <c r="G5113">
        <v>61276</v>
      </c>
      <c r="H5113">
        <v>49020.800000000003</v>
      </c>
      <c r="I5113" s="13">
        <v>1</v>
      </c>
      <c r="J5113" t="s">
        <v>6207</v>
      </c>
      <c r="K5113">
        <v>2</v>
      </c>
      <c r="L5113">
        <v>1</v>
      </c>
      <c r="M5113" t="s">
        <v>0</v>
      </c>
      <c r="N5113" s="3">
        <v>0.56999999999999995</v>
      </c>
      <c r="O5113" s="3">
        <v>0.43</v>
      </c>
      <c r="P5113">
        <v>18</v>
      </c>
      <c r="Q5113">
        <v>10</v>
      </c>
      <c r="R5113">
        <v>4</v>
      </c>
      <c r="S5113">
        <v>5</v>
      </c>
      <c r="T5113">
        <v>8</v>
      </c>
      <c r="U5113">
        <v>15</v>
      </c>
      <c r="V5113">
        <v>0</v>
      </c>
      <c r="W5113">
        <v>1</v>
      </c>
      <c r="X5113">
        <v>0</v>
      </c>
      <c r="Y5113">
        <v>0</v>
      </c>
      <c r="Z5113">
        <v>0</v>
      </c>
    </row>
    <row r="5114" spans="1:26" x14ac:dyDescent="0.2">
      <c r="A5114" t="s">
        <v>5232</v>
      </c>
      <c r="B5114" t="s">
        <v>99</v>
      </c>
      <c r="C5114">
        <v>2022</v>
      </c>
      <c r="D5114" t="s">
        <v>22</v>
      </c>
      <c r="E5114" t="s">
        <v>48</v>
      </c>
      <c r="F5114" t="s">
        <v>24</v>
      </c>
      <c r="G5114">
        <v>31750</v>
      </c>
      <c r="H5114">
        <v>25400</v>
      </c>
      <c r="I5114" s="13">
        <v>0.75</v>
      </c>
      <c r="J5114" t="s">
        <v>6207</v>
      </c>
      <c r="K5114">
        <v>0</v>
      </c>
      <c r="L5114">
        <v>1</v>
      </c>
      <c r="M5114" t="s">
        <v>1</v>
      </c>
      <c r="N5114" s="3">
        <v>0.46</v>
      </c>
      <c r="O5114" s="3">
        <v>0.54</v>
      </c>
      <c r="P5114">
        <v>13</v>
      </c>
      <c r="Q5114">
        <v>13</v>
      </c>
      <c r="R5114">
        <v>7</v>
      </c>
      <c r="S5114">
        <v>5</v>
      </c>
      <c r="T5114">
        <v>11</v>
      </c>
      <c r="U5114">
        <v>11</v>
      </c>
      <c r="V5114">
        <v>1</v>
      </c>
      <c r="W5114">
        <v>3</v>
      </c>
      <c r="X5114">
        <v>0</v>
      </c>
      <c r="Y5114">
        <v>0</v>
      </c>
      <c r="Z5114">
        <v>0</v>
      </c>
    </row>
    <row r="5115" spans="1:26" x14ac:dyDescent="0.2">
      <c r="A5115" t="s">
        <v>5233</v>
      </c>
      <c r="B5115" t="s">
        <v>84</v>
      </c>
      <c r="C5115">
        <v>2022</v>
      </c>
      <c r="D5115" t="s">
        <v>64</v>
      </c>
      <c r="E5115" t="s">
        <v>33</v>
      </c>
      <c r="F5115" t="s">
        <v>64</v>
      </c>
      <c r="G5115">
        <v>52264</v>
      </c>
      <c r="H5115">
        <v>41811.200000000004</v>
      </c>
      <c r="I5115" s="13">
        <v>0.625</v>
      </c>
      <c r="J5115" t="s">
        <v>6208</v>
      </c>
      <c r="K5115">
        <v>0</v>
      </c>
      <c r="L5115">
        <v>0</v>
      </c>
      <c r="M5115" t="s">
        <v>58</v>
      </c>
      <c r="N5115" s="3">
        <v>0.59</v>
      </c>
      <c r="O5115" s="3">
        <v>0.41</v>
      </c>
      <c r="P5115">
        <v>17</v>
      </c>
      <c r="Q5115">
        <v>17</v>
      </c>
      <c r="R5115">
        <v>9</v>
      </c>
      <c r="S5115">
        <v>3</v>
      </c>
      <c r="T5115">
        <v>13</v>
      </c>
      <c r="U5115">
        <v>19</v>
      </c>
      <c r="V5115">
        <v>3</v>
      </c>
      <c r="W5115">
        <v>5</v>
      </c>
      <c r="X5115">
        <v>0</v>
      </c>
      <c r="Y5115">
        <v>0</v>
      </c>
      <c r="Z5115">
        <v>0</v>
      </c>
    </row>
    <row r="5116" spans="1:26" x14ac:dyDescent="0.2">
      <c r="A5116" t="s">
        <v>5234</v>
      </c>
      <c r="B5116" t="s">
        <v>92</v>
      </c>
      <c r="C5116">
        <v>2022</v>
      </c>
      <c r="D5116" t="s">
        <v>40</v>
      </c>
      <c r="E5116" t="s">
        <v>45</v>
      </c>
      <c r="F5116" t="s">
        <v>49</v>
      </c>
      <c r="G5116">
        <v>53400</v>
      </c>
      <c r="H5116">
        <v>42720</v>
      </c>
      <c r="I5116" s="13">
        <v>0.7142857142857143</v>
      </c>
      <c r="J5116" t="s">
        <v>6207</v>
      </c>
      <c r="K5116">
        <v>1</v>
      </c>
      <c r="L5116">
        <v>1</v>
      </c>
      <c r="M5116" t="s">
        <v>58</v>
      </c>
      <c r="N5116" s="3">
        <v>0.74</v>
      </c>
      <c r="O5116" s="3">
        <v>0.26</v>
      </c>
      <c r="P5116">
        <v>13</v>
      </c>
      <c r="Q5116">
        <v>16</v>
      </c>
      <c r="R5116">
        <v>7</v>
      </c>
      <c r="S5116">
        <v>1</v>
      </c>
      <c r="T5116">
        <v>13</v>
      </c>
      <c r="U5116">
        <v>14</v>
      </c>
      <c r="V5116">
        <v>3</v>
      </c>
      <c r="W5116">
        <v>4</v>
      </c>
      <c r="X5116">
        <v>0</v>
      </c>
      <c r="Y5116">
        <v>0</v>
      </c>
      <c r="Z5116">
        <v>0</v>
      </c>
    </row>
    <row r="5117" spans="1:26" x14ac:dyDescent="0.2">
      <c r="A5117" t="s">
        <v>5235</v>
      </c>
      <c r="B5117" t="s">
        <v>83</v>
      </c>
      <c r="C5117">
        <v>2022</v>
      </c>
      <c r="D5117" t="s">
        <v>31</v>
      </c>
      <c r="E5117" t="s">
        <v>73</v>
      </c>
      <c r="F5117" t="s">
        <v>20</v>
      </c>
      <c r="G5117">
        <v>28500</v>
      </c>
      <c r="H5117">
        <v>22800</v>
      </c>
      <c r="I5117" s="13">
        <v>1</v>
      </c>
      <c r="J5117" t="s">
        <v>6208</v>
      </c>
      <c r="K5117">
        <v>2</v>
      </c>
      <c r="L5117">
        <v>1</v>
      </c>
      <c r="M5117" t="s">
        <v>0</v>
      </c>
      <c r="N5117" s="3">
        <v>0.62</v>
      </c>
      <c r="O5117" s="3">
        <v>0.38</v>
      </c>
      <c r="P5117">
        <v>11</v>
      </c>
      <c r="Q5117">
        <v>9</v>
      </c>
      <c r="R5117">
        <v>4</v>
      </c>
      <c r="S5117">
        <v>4</v>
      </c>
      <c r="T5117">
        <v>8</v>
      </c>
      <c r="U5117">
        <v>13</v>
      </c>
      <c r="V5117">
        <v>0</v>
      </c>
      <c r="W5117">
        <v>1</v>
      </c>
      <c r="X5117">
        <v>0</v>
      </c>
      <c r="Y5117">
        <v>0</v>
      </c>
      <c r="Z5117">
        <v>1</v>
      </c>
    </row>
    <row r="5118" spans="1:26" x14ac:dyDescent="0.2">
      <c r="A5118" t="s">
        <v>5236</v>
      </c>
      <c r="B5118" t="s">
        <v>37</v>
      </c>
      <c r="C5118">
        <v>2022</v>
      </c>
      <c r="D5118" t="s">
        <v>86</v>
      </c>
      <c r="E5118" t="s">
        <v>79</v>
      </c>
      <c r="F5118" t="s">
        <v>86</v>
      </c>
      <c r="G5118">
        <v>11364</v>
      </c>
      <c r="H5118">
        <v>9091.2000000000007</v>
      </c>
      <c r="I5118" s="13">
        <v>0.4</v>
      </c>
      <c r="J5118" t="s">
        <v>6206</v>
      </c>
      <c r="K5118">
        <v>0</v>
      </c>
      <c r="L5118">
        <v>2</v>
      </c>
      <c r="M5118" t="s">
        <v>1</v>
      </c>
      <c r="N5118" s="3">
        <v>0.59</v>
      </c>
      <c r="O5118" s="3">
        <v>0.41</v>
      </c>
      <c r="P5118">
        <v>12</v>
      </c>
      <c r="Q5118">
        <v>14</v>
      </c>
      <c r="R5118">
        <v>2</v>
      </c>
      <c r="S5118">
        <v>7</v>
      </c>
      <c r="T5118">
        <v>17</v>
      </c>
      <c r="U5118">
        <v>11</v>
      </c>
      <c r="V5118">
        <v>4</v>
      </c>
      <c r="W5118">
        <v>1</v>
      </c>
      <c r="X5118">
        <v>0</v>
      </c>
      <c r="Y5118">
        <v>0</v>
      </c>
      <c r="Z5118">
        <v>0</v>
      </c>
    </row>
    <row r="5119" spans="1:26" x14ac:dyDescent="0.2">
      <c r="A5119" t="s">
        <v>5237</v>
      </c>
      <c r="B5119" t="s">
        <v>61</v>
      </c>
      <c r="C5119">
        <v>2022</v>
      </c>
      <c r="D5119" t="s">
        <v>90</v>
      </c>
      <c r="E5119" t="s">
        <v>46</v>
      </c>
      <c r="F5119" t="s">
        <v>91</v>
      </c>
      <c r="G5119">
        <v>31876</v>
      </c>
      <c r="H5119">
        <v>25500.800000000003</v>
      </c>
      <c r="I5119" s="13">
        <v>0.5</v>
      </c>
      <c r="J5119" t="s">
        <v>6207</v>
      </c>
      <c r="K5119">
        <v>2</v>
      </c>
      <c r="L5119">
        <v>4</v>
      </c>
      <c r="M5119" t="s">
        <v>1</v>
      </c>
      <c r="N5119" s="3">
        <v>0.68</v>
      </c>
      <c r="O5119" s="3">
        <v>0.32</v>
      </c>
      <c r="P5119">
        <v>10</v>
      </c>
      <c r="Q5119">
        <v>12</v>
      </c>
      <c r="R5119">
        <v>7</v>
      </c>
      <c r="S5119">
        <v>4</v>
      </c>
      <c r="T5119">
        <v>7</v>
      </c>
      <c r="U5119">
        <v>11</v>
      </c>
      <c r="V5119">
        <v>3</v>
      </c>
      <c r="W5119">
        <v>3</v>
      </c>
      <c r="X5119">
        <v>0</v>
      </c>
      <c r="Y5119">
        <v>0</v>
      </c>
      <c r="Z5119">
        <v>0</v>
      </c>
    </row>
    <row r="5120" spans="1:26" x14ac:dyDescent="0.2">
      <c r="A5120" t="s">
        <v>5238</v>
      </c>
      <c r="B5120" t="s">
        <v>104</v>
      </c>
      <c r="C5120">
        <v>2022</v>
      </c>
      <c r="D5120" t="s">
        <v>51</v>
      </c>
      <c r="E5120" t="s">
        <v>42</v>
      </c>
      <c r="F5120" t="s">
        <v>20</v>
      </c>
      <c r="G5120">
        <v>36284</v>
      </c>
      <c r="H5120">
        <v>29027.200000000001</v>
      </c>
      <c r="I5120" s="13">
        <v>0.42857142857142855</v>
      </c>
      <c r="J5120" t="s">
        <v>6206</v>
      </c>
      <c r="K5120">
        <v>0</v>
      </c>
      <c r="L5120">
        <v>2</v>
      </c>
      <c r="M5120" t="s">
        <v>1</v>
      </c>
      <c r="N5120" s="3">
        <v>0.59</v>
      </c>
      <c r="O5120" s="3">
        <v>0.41</v>
      </c>
      <c r="P5120">
        <v>9</v>
      </c>
      <c r="Q5120">
        <v>17</v>
      </c>
      <c r="R5120">
        <v>5</v>
      </c>
      <c r="S5120">
        <v>3</v>
      </c>
      <c r="T5120">
        <v>15</v>
      </c>
      <c r="U5120">
        <v>10</v>
      </c>
      <c r="V5120">
        <v>4</v>
      </c>
      <c r="W5120">
        <v>3</v>
      </c>
      <c r="X5120">
        <v>0</v>
      </c>
      <c r="Y5120">
        <v>0</v>
      </c>
      <c r="Z5120">
        <v>0</v>
      </c>
    </row>
    <row r="5121" spans="1:26" x14ac:dyDescent="0.2">
      <c r="A5121" t="s">
        <v>5239</v>
      </c>
      <c r="B5121" t="s">
        <v>97</v>
      </c>
      <c r="C5121">
        <v>2022</v>
      </c>
      <c r="D5121" t="s">
        <v>94</v>
      </c>
      <c r="E5121" t="s">
        <v>18</v>
      </c>
      <c r="F5121" t="s">
        <v>106</v>
      </c>
      <c r="G5121">
        <v>30445</v>
      </c>
      <c r="H5121">
        <v>24356</v>
      </c>
      <c r="I5121" s="13">
        <v>0.5</v>
      </c>
      <c r="J5121" t="s">
        <v>6207</v>
      </c>
      <c r="K5121">
        <v>1</v>
      </c>
      <c r="L5121">
        <v>1</v>
      </c>
      <c r="M5121" t="s">
        <v>58</v>
      </c>
      <c r="N5121" s="3">
        <v>0.28000000000000003</v>
      </c>
      <c r="O5121" s="3">
        <v>0.72</v>
      </c>
      <c r="P5121">
        <v>15</v>
      </c>
      <c r="Q5121">
        <v>17</v>
      </c>
      <c r="R5121">
        <v>1</v>
      </c>
      <c r="S5121">
        <v>2</v>
      </c>
      <c r="T5121">
        <v>16</v>
      </c>
      <c r="U5121">
        <v>14</v>
      </c>
      <c r="V5121">
        <v>2</v>
      </c>
      <c r="W5121">
        <v>2</v>
      </c>
      <c r="X5121">
        <v>0</v>
      </c>
      <c r="Y5121">
        <v>0</v>
      </c>
      <c r="Z5121">
        <v>0</v>
      </c>
    </row>
    <row r="5122" spans="1:26" x14ac:dyDescent="0.2">
      <c r="A5122" t="s">
        <v>5240</v>
      </c>
      <c r="B5122" t="s">
        <v>59</v>
      </c>
      <c r="C5122">
        <v>2022</v>
      </c>
      <c r="D5122" t="s">
        <v>101</v>
      </c>
      <c r="E5122" t="s">
        <v>26</v>
      </c>
      <c r="F5122" t="s">
        <v>101</v>
      </c>
      <c r="G5122">
        <v>17250</v>
      </c>
      <c r="H5122">
        <v>13800</v>
      </c>
      <c r="I5122" s="13">
        <v>0.75</v>
      </c>
      <c r="J5122" t="s">
        <v>6206</v>
      </c>
      <c r="K5122">
        <v>3</v>
      </c>
      <c r="L5122">
        <v>1</v>
      </c>
      <c r="M5122" t="s">
        <v>0</v>
      </c>
      <c r="N5122" s="3">
        <v>0.27</v>
      </c>
      <c r="O5122" s="3">
        <v>0.73</v>
      </c>
      <c r="P5122">
        <v>12</v>
      </c>
      <c r="Q5122">
        <v>12</v>
      </c>
      <c r="R5122">
        <v>4</v>
      </c>
      <c r="S5122">
        <v>9</v>
      </c>
      <c r="T5122">
        <v>5</v>
      </c>
      <c r="U5122">
        <v>8</v>
      </c>
      <c r="V5122">
        <v>1</v>
      </c>
      <c r="W5122">
        <v>3</v>
      </c>
      <c r="X5122">
        <v>0</v>
      </c>
      <c r="Y5122">
        <v>0</v>
      </c>
      <c r="Z5122">
        <v>0</v>
      </c>
    </row>
    <row r="5123" spans="1:26" x14ac:dyDescent="0.2">
      <c r="A5123" t="s">
        <v>5241</v>
      </c>
      <c r="B5123" t="s">
        <v>108</v>
      </c>
      <c r="C5123">
        <v>2022</v>
      </c>
      <c r="D5123" t="s">
        <v>80</v>
      </c>
      <c r="E5123" t="s">
        <v>31</v>
      </c>
      <c r="F5123" t="s">
        <v>80</v>
      </c>
      <c r="G5123">
        <v>32261</v>
      </c>
      <c r="H5123">
        <v>25808.800000000003</v>
      </c>
      <c r="I5123" s="13">
        <v>0.75</v>
      </c>
      <c r="J5123" t="s">
        <v>6207</v>
      </c>
      <c r="K5123">
        <v>0</v>
      </c>
      <c r="L5123">
        <v>1</v>
      </c>
      <c r="M5123" t="s">
        <v>1</v>
      </c>
      <c r="N5123" s="3">
        <v>0.61</v>
      </c>
      <c r="O5123" s="3">
        <v>0.39</v>
      </c>
      <c r="P5123">
        <v>11</v>
      </c>
      <c r="Q5123">
        <v>11</v>
      </c>
      <c r="R5123">
        <v>6</v>
      </c>
      <c r="S5123">
        <v>3</v>
      </c>
      <c r="T5123">
        <v>12</v>
      </c>
      <c r="U5123">
        <v>11</v>
      </c>
      <c r="V5123">
        <v>2</v>
      </c>
      <c r="W5123">
        <v>6</v>
      </c>
      <c r="X5123">
        <v>0</v>
      </c>
      <c r="Y5123">
        <v>0</v>
      </c>
      <c r="Z5123">
        <v>0</v>
      </c>
    </row>
    <row r="5124" spans="1:26" x14ac:dyDescent="0.2">
      <c r="A5124" t="s">
        <v>5242</v>
      </c>
      <c r="B5124" t="s">
        <v>37</v>
      </c>
      <c r="C5124">
        <v>2022</v>
      </c>
      <c r="D5124" t="s">
        <v>45</v>
      </c>
      <c r="E5124" t="s">
        <v>90</v>
      </c>
      <c r="F5124" t="s">
        <v>26</v>
      </c>
      <c r="G5124">
        <v>39572</v>
      </c>
      <c r="H5124">
        <v>31657.600000000002</v>
      </c>
      <c r="I5124" s="13">
        <v>0.75</v>
      </c>
      <c r="J5124" t="s">
        <v>6206</v>
      </c>
      <c r="K5124">
        <v>1</v>
      </c>
      <c r="L5124">
        <v>4</v>
      </c>
      <c r="M5124" t="s">
        <v>1</v>
      </c>
      <c r="N5124" s="3">
        <v>0.49</v>
      </c>
      <c r="O5124" s="3">
        <v>0.51</v>
      </c>
      <c r="P5124">
        <v>9</v>
      </c>
      <c r="Q5124">
        <v>9</v>
      </c>
      <c r="R5124">
        <v>5</v>
      </c>
      <c r="S5124">
        <v>2</v>
      </c>
      <c r="T5124">
        <v>8</v>
      </c>
      <c r="U5124">
        <v>10</v>
      </c>
      <c r="V5124">
        <v>3</v>
      </c>
      <c r="W5124">
        <v>1</v>
      </c>
      <c r="X5124">
        <v>0</v>
      </c>
      <c r="Y5124">
        <v>0</v>
      </c>
      <c r="Z5124">
        <v>1</v>
      </c>
    </row>
    <row r="5125" spans="1:26" x14ac:dyDescent="0.2">
      <c r="A5125" t="s">
        <v>5243</v>
      </c>
      <c r="B5125" t="s">
        <v>92</v>
      </c>
      <c r="C5125">
        <v>2022</v>
      </c>
      <c r="D5125" t="s">
        <v>46</v>
      </c>
      <c r="E5125" t="s">
        <v>64</v>
      </c>
      <c r="F5125" t="s">
        <v>20</v>
      </c>
      <c r="G5125">
        <v>60704</v>
      </c>
      <c r="H5125">
        <v>48563.200000000004</v>
      </c>
      <c r="I5125" s="13">
        <v>0.66666666666666663</v>
      </c>
      <c r="J5125" t="s">
        <v>6207</v>
      </c>
      <c r="K5125">
        <v>0</v>
      </c>
      <c r="L5125">
        <v>0</v>
      </c>
      <c r="M5125" t="s">
        <v>58</v>
      </c>
      <c r="N5125" s="3">
        <v>0.67</v>
      </c>
      <c r="O5125" s="3">
        <v>0.33</v>
      </c>
      <c r="P5125">
        <v>19</v>
      </c>
      <c r="Q5125">
        <v>11</v>
      </c>
      <c r="R5125">
        <v>5</v>
      </c>
      <c r="S5125">
        <v>5</v>
      </c>
      <c r="T5125">
        <v>10</v>
      </c>
      <c r="U5125">
        <v>16</v>
      </c>
      <c r="V5125">
        <v>4</v>
      </c>
      <c r="W5125">
        <v>5</v>
      </c>
      <c r="X5125">
        <v>0</v>
      </c>
      <c r="Y5125">
        <v>0</v>
      </c>
      <c r="Z5125">
        <v>0</v>
      </c>
    </row>
    <row r="5126" spans="1:26" x14ac:dyDescent="0.2">
      <c r="A5126" t="s">
        <v>5244</v>
      </c>
      <c r="B5126" t="s">
        <v>103</v>
      </c>
      <c r="C5126">
        <v>2022</v>
      </c>
      <c r="D5126" t="s">
        <v>48</v>
      </c>
      <c r="E5126" t="s">
        <v>86</v>
      </c>
      <c r="F5126" t="s">
        <v>49</v>
      </c>
      <c r="G5126">
        <v>74197</v>
      </c>
      <c r="H5126">
        <v>59357.600000000006</v>
      </c>
      <c r="I5126" s="13">
        <v>0.33333333333333331</v>
      </c>
      <c r="J5126" t="s">
        <v>6207</v>
      </c>
      <c r="K5126">
        <v>3</v>
      </c>
      <c r="L5126">
        <v>0</v>
      </c>
      <c r="M5126" t="s">
        <v>0</v>
      </c>
      <c r="N5126" s="3">
        <v>0.59</v>
      </c>
      <c r="O5126" s="3">
        <v>0.41</v>
      </c>
      <c r="P5126">
        <v>7</v>
      </c>
      <c r="Q5126">
        <v>11</v>
      </c>
      <c r="R5126">
        <v>6</v>
      </c>
      <c r="S5126">
        <v>5</v>
      </c>
      <c r="T5126">
        <v>13</v>
      </c>
      <c r="U5126">
        <v>7</v>
      </c>
      <c r="V5126">
        <v>0</v>
      </c>
      <c r="W5126">
        <v>3</v>
      </c>
      <c r="X5126">
        <v>0</v>
      </c>
      <c r="Y5126">
        <v>0</v>
      </c>
      <c r="Z5126">
        <v>0</v>
      </c>
    </row>
    <row r="5127" spans="1:26" x14ac:dyDescent="0.2">
      <c r="A5127" t="s">
        <v>5245</v>
      </c>
      <c r="B5127" t="s">
        <v>107</v>
      </c>
      <c r="C5127">
        <v>2022</v>
      </c>
      <c r="D5127" t="s">
        <v>73</v>
      </c>
      <c r="E5127" t="s">
        <v>94</v>
      </c>
      <c r="F5127" t="s">
        <v>73</v>
      </c>
      <c r="G5127">
        <v>32384</v>
      </c>
      <c r="H5127">
        <v>25907.200000000001</v>
      </c>
      <c r="I5127" s="13">
        <v>0.5</v>
      </c>
      <c r="J5127" t="s">
        <v>6207</v>
      </c>
      <c r="K5127">
        <v>0</v>
      </c>
      <c r="L5127">
        <v>1</v>
      </c>
      <c r="M5127" t="s">
        <v>1</v>
      </c>
      <c r="N5127" s="3">
        <v>0.62</v>
      </c>
      <c r="O5127" s="3">
        <v>0.38</v>
      </c>
      <c r="P5127">
        <v>15</v>
      </c>
      <c r="Q5127">
        <v>15</v>
      </c>
      <c r="R5127">
        <v>6</v>
      </c>
      <c r="S5127">
        <v>2</v>
      </c>
      <c r="T5127">
        <v>14</v>
      </c>
      <c r="U5127">
        <v>17</v>
      </c>
      <c r="V5127">
        <v>2</v>
      </c>
      <c r="W5127">
        <v>2</v>
      </c>
      <c r="X5127">
        <v>0</v>
      </c>
      <c r="Y5127">
        <v>0</v>
      </c>
      <c r="Z5127">
        <v>0</v>
      </c>
    </row>
    <row r="5128" spans="1:26" x14ac:dyDescent="0.2">
      <c r="A5128" t="s">
        <v>5246</v>
      </c>
      <c r="B5128" t="s">
        <v>93</v>
      </c>
      <c r="C5128">
        <v>2022</v>
      </c>
      <c r="D5128" t="s">
        <v>33</v>
      </c>
      <c r="E5128" t="s">
        <v>23</v>
      </c>
      <c r="F5128" t="s">
        <v>33</v>
      </c>
      <c r="G5128">
        <v>37645</v>
      </c>
      <c r="H5128">
        <v>30116</v>
      </c>
      <c r="I5128" s="13">
        <v>0.6</v>
      </c>
      <c r="J5128" t="s">
        <v>6206</v>
      </c>
      <c r="K5128">
        <v>2</v>
      </c>
      <c r="L5128">
        <v>2</v>
      </c>
      <c r="M5128" t="s">
        <v>58</v>
      </c>
      <c r="N5128" s="3">
        <v>0.63</v>
      </c>
      <c r="O5128" s="3">
        <v>0.37</v>
      </c>
      <c r="P5128">
        <v>17</v>
      </c>
      <c r="Q5128">
        <v>13</v>
      </c>
      <c r="R5128">
        <v>8</v>
      </c>
      <c r="S5128">
        <v>1</v>
      </c>
      <c r="T5128">
        <v>11</v>
      </c>
      <c r="U5128">
        <v>18</v>
      </c>
      <c r="V5128">
        <v>4</v>
      </c>
      <c r="W5128">
        <v>1</v>
      </c>
      <c r="X5128">
        <v>0</v>
      </c>
      <c r="Y5128">
        <v>0</v>
      </c>
      <c r="Z5128">
        <v>1</v>
      </c>
    </row>
    <row r="5129" spans="1:26" x14ac:dyDescent="0.2">
      <c r="A5129" t="s">
        <v>5247</v>
      </c>
      <c r="B5129" t="s">
        <v>66</v>
      </c>
      <c r="C5129">
        <v>2022</v>
      </c>
      <c r="D5129" t="s">
        <v>79</v>
      </c>
      <c r="E5129" t="s">
        <v>51</v>
      </c>
      <c r="F5129" t="s">
        <v>20</v>
      </c>
      <c r="G5129">
        <v>25486</v>
      </c>
      <c r="H5129">
        <v>20388.800000000003</v>
      </c>
      <c r="I5129" s="13">
        <v>0.66666666666666663</v>
      </c>
      <c r="J5129" t="s">
        <v>6207</v>
      </c>
      <c r="K5129">
        <v>0</v>
      </c>
      <c r="L5129">
        <v>4</v>
      </c>
      <c r="M5129" t="s">
        <v>1</v>
      </c>
      <c r="N5129" s="3">
        <v>0.47</v>
      </c>
      <c r="O5129" s="3">
        <v>0.53</v>
      </c>
      <c r="P5129">
        <v>9</v>
      </c>
      <c r="Q5129">
        <v>11</v>
      </c>
      <c r="R5129">
        <v>10</v>
      </c>
      <c r="S5129">
        <v>4</v>
      </c>
      <c r="T5129">
        <v>11</v>
      </c>
      <c r="U5129">
        <v>8</v>
      </c>
      <c r="V5129">
        <v>1</v>
      </c>
      <c r="W5129">
        <v>2</v>
      </c>
      <c r="X5129">
        <v>0</v>
      </c>
      <c r="Y5129">
        <v>0</v>
      </c>
      <c r="Z5129">
        <v>0</v>
      </c>
    </row>
    <row r="5130" spans="1:26" x14ac:dyDescent="0.2">
      <c r="A5130" t="s">
        <v>5248</v>
      </c>
      <c r="B5130" t="s">
        <v>102</v>
      </c>
      <c r="C5130">
        <v>2022</v>
      </c>
      <c r="D5130" t="s">
        <v>42</v>
      </c>
      <c r="E5130" t="s">
        <v>22</v>
      </c>
      <c r="F5130" t="s">
        <v>38</v>
      </c>
      <c r="G5130">
        <v>42918</v>
      </c>
      <c r="H5130">
        <v>34334.400000000001</v>
      </c>
      <c r="I5130" s="13">
        <v>0.5</v>
      </c>
      <c r="J5130" t="s">
        <v>6209</v>
      </c>
      <c r="K5130">
        <v>1</v>
      </c>
      <c r="L5130">
        <v>1</v>
      </c>
      <c r="M5130" t="s">
        <v>58</v>
      </c>
      <c r="N5130" s="3">
        <v>0.56000000000000005</v>
      </c>
      <c r="O5130" s="3">
        <v>0.44</v>
      </c>
      <c r="P5130">
        <v>15</v>
      </c>
      <c r="Q5130">
        <v>6</v>
      </c>
      <c r="R5130">
        <v>7</v>
      </c>
      <c r="S5130">
        <v>8</v>
      </c>
      <c r="T5130">
        <v>6</v>
      </c>
      <c r="U5130">
        <v>12</v>
      </c>
      <c r="V5130">
        <v>1</v>
      </c>
      <c r="W5130">
        <v>3</v>
      </c>
      <c r="X5130">
        <v>0</v>
      </c>
      <c r="Y5130">
        <v>0</v>
      </c>
      <c r="Z5130">
        <v>0</v>
      </c>
    </row>
    <row r="5131" spans="1:26" x14ac:dyDescent="0.2">
      <c r="A5131" t="s">
        <v>5249</v>
      </c>
      <c r="B5131" t="s">
        <v>81</v>
      </c>
      <c r="C5131">
        <v>2022</v>
      </c>
      <c r="D5131" t="s">
        <v>18</v>
      </c>
      <c r="E5131" t="s">
        <v>40</v>
      </c>
      <c r="F5131" t="s">
        <v>20</v>
      </c>
      <c r="G5131">
        <v>40341</v>
      </c>
      <c r="H5131">
        <v>32272.800000000003</v>
      </c>
      <c r="I5131" s="13">
        <v>1</v>
      </c>
      <c r="J5131" t="s">
        <v>6207</v>
      </c>
      <c r="K5131">
        <v>0</v>
      </c>
      <c r="L5131">
        <v>1</v>
      </c>
      <c r="M5131" t="s">
        <v>1</v>
      </c>
      <c r="N5131" s="3">
        <v>0.48</v>
      </c>
      <c r="O5131" s="3">
        <v>0.52</v>
      </c>
      <c r="P5131">
        <v>9</v>
      </c>
      <c r="Q5131">
        <v>10</v>
      </c>
      <c r="R5131">
        <v>3</v>
      </c>
      <c r="S5131">
        <v>2</v>
      </c>
      <c r="T5131">
        <v>9</v>
      </c>
      <c r="U5131">
        <v>9</v>
      </c>
      <c r="V5131">
        <v>2</v>
      </c>
      <c r="W5131">
        <v>0</v>
      </c>
      <c r="X5131">
        <v>0</v>
      </c>
      <c r="Y5131">
        <v>0</v>
      </c>
      <c r="Z5131">
        <v>0</v>
      </c>
    </row>
    <row r="5132" spans="1:26" x14ac:dyDescent="0.2">
      <c r="A5132" t="s">
        <v>5250</v>
      </c>
      <c r="B5132" t="s">
        <v>66</v>
      </c>
      <c r="C5132">
        <v>2022</v>
      </c>
      <c r="D5132" t="s">
        <v>42</v>
      </c>
      <c r="E5132" t="s">
        <v>33</v>
      </c>
      <c r="F5132" t="s">
        <v>38</v>
      </c>
      <c r="G5132">
        <v>42918</v>
      </c>
      <c r="H5132">
        <v>34334.400000000001</v>
      </c>
      <c r="I5132" s="13">
        <v>1</v>
      </c>
      <c r="J5132" t="s">
        <v>6207</v>
      </c>
      <c r="K5132">
        <v>2</v>
      </c>
      <c r="L5132">
        <v>1</v>
      </c>
      <c r="M5132" t="s">
        <v>0</v>
      </c>
      <c r="N5132" s="3">
        <v>0.54</v>
      </c>
      <c r="O5132" s="3">
        <v>0.46</v>
      </c>
      <c r="P5132">
        <v>23</v>
      </c>
      <c r="Q5132">
        <v>14</v>
      </c>
      <c r="R5132">
        <v>0</v>
      </c>
      <c r="S5132">
        <v>11</v>
      </c>
      <c r="T5132">
        <v>12</v>
      </c>
      <c r="U5132">
        <v>18</v>
      </c>
      <c r="V5132">
        <v>2</v>
      </c>
      <c r="W5132">
        <v>2</v>
      </c>
      <c r="X5132">
        <v>0</v>
      </c>
      <c r="Y5132">
        <v>0</v>
      </c>
      <c r="Z5132">
        <v>0</v>
      </c>
    </row>
    <row r="5133" spans="1:26" x14ac:dyDescent="0.2">
      <c r="A5133" t="s">
        <v>5251</v>
      </c>
      <c r="B5133" t="s">
        <v>59</v>
      </c>
      <c r="C5133">
        <v>2022</v>
      </c>
      <c r="D5133" t="s">
        <v>48</v>
      </c>
      <c r="E5133" t="s">
        <v>40</v>
      </c>
      <c r="F5133" t="s">
        <v>49</v>
      </c>
      <c r="G5133">
        <v>74197</v>
      </c>
      <c r="H5133">
        <v>59357.600000000006</v>
      </c>
      <c r="I5133" s="13">
        <v>1</v>
      </c>
      <c r="J5133" t="s">
        <v>6206</v>
      </c>
      <c r="K5133">
        <v>2</v>
      </c>
      <c r="L5133">
        <v>1</v>
      </c>
      <c r="M5133" t="s">
        <v>0</v>
      </c>
      <c r="N5133" s="3">
        <v>0.3</v>
      </c>
      <c r="O5133" s="3">
        <v>0.7</v>
      </c>
      <c r="P5133">
        <v>7</v>
      </c>
      <c r="Q5133">
        <v>21</v>
      </c>
      <c r="R5133">
        <v>1</v>
      </c>
      <c r="S5133">
        <v>2</v>
      </c>
      <c r="T5133">
        <v>15</v>
      </c>
      <c r="U5133">
        <v>5</v>
      </c>
      <c r="V5133">
        <v>3</v>
      </c>
      <c r="W5133">
        <v>0</v>
      </c>
      <c r="X5133">
        <v>0</v>
      </c>
      <c r="Y5133">
        <v>0</v>
      </c>
      <c r="Z5133">
        <v>0</v>
      </c>
    </row>
    <row r="5134" spans="1:26" x14ac:dyDescent="0.2">
      <c r="A5134" t="s">
        <v>5252</v>
      </c>
      <c r="B5134" t="s">
        <v>84</v>
      </c>
      <c r="C5134">
        <v>2022</v>
      </c>
      <c r="D5134" t="s">
        <v>22</v>
      </c>
      <c r="E5134" t="s">
        <v>23</v>
      </c>
      <c r="F5134" t="s">
        <v>24</v>
      </c>
      <c r="G5134">
        <v>31750</v>
      </c>
      <c r="H5134">
        <v>25400</v>
      </c>
      <c r="I5134" s="13">
        <v>0.5</v>
      </c>
      <c r="J5134" t="s">
        <v>6208</v>
      </c>
      <c r="K5134">
        <v>1</v>
      </c>
      <c r="L5134">
        <v>0</v>
      </c>
      <c r="M5134" t="s">
        <v>0</v>
      </c>
      <c r="N5134" s="3">
        <v>0.57999999999999996</v>
      </c>
      <c r="O5134" s="3">
        <v>0.42</v>
      </c>
      <c r="P5134">
        <v>8</v>
      </c>
      <c r="Q5134">
        <v>14</v>
      </c>
      <c r="R5134">
        <v>4</v>
      </c>
      <c r="S5134">
        <v>3</v>
      </c>
      <c r="T5134">
        <v>10</v>
      </c>
      <c r="U5134">
        <v>7</v>
      </c>
      <c r="V5134">
        <v>0</v>
      </c>
      <c r="W5134">
        <v>2</v>
      </c>
      <c r="X5134">
        <v>0</v>
      </c>
      <c r="Y5134">
        <v>0</v>
      </c>
      <c r="Z5134">
        <v>0</v>
      </c>
    </row>
    <row r="5135" spans="1:26" x14ac:dyDescent="0.2">
      <c r="A5135" t="s">
        <v>5253</v>
      </c>
      <c r="B5135" t="s">
        <v>81</v>
      </c>
      <c r="C5135">
        <v>2022</v>
      </c>
      <c r="D5135" t="s">
        <v>94</v>
      </c>
      <c r="E5135" t="s">
        <v>80</v>
      </c>
      <c r="F5135" t="s">
        <v>106</v>
      </c>
      <c r="G5135">
        <v>30445</v>
      </c>
      <c r="H5135">
        <v>24356</v>
      </c>
      <c r="I5135" s="13">
        <v>0.66666666666666663</v>
      </c>
      <c r="J5135" t="s">
        <v>6207</v>
      </c>
      <c r="K5135">
        <v>2</v>
      </c>
      <c r="L5135">
        <v>0</v>
      </c>
      <c r="M5135" t="s">
        <v>0</v>
      </c>
      <c r="N5135" s="3">
        <v>0.39</v>
      </c>
      <c r="O5135" s="3">
        <v>0.61</v>
      </c>
      <c r="P5135">
        <v>13</v>
      </c>
      <c r="Q5135">
        <v>13</v>
      </c>
      <c r="R5135">
        <v>3</v>
      </c>
      <c r="S5135">
        <v>5</v>
      </c>
      <c r="T5135">
        <v>11</v>
      </c>
      <c r="U5135">
        <v>12</v>
      </c>
      <c r="V5135">
        <v>1</v>
      </c>
      <c r="W5135">
        <v>2</v>
      </c>
      <c r="X5135">
        <v>0</v>
      </c>
      <c r="Y5135">
        <v>0</v>
      </c>
      <c r="Z5135">
        <v>0</v>
      </c>
    </row>
    <row r="5136" spans="1:26" x14ac:dyDescent="0.2">
      <c r="A5136" t="s">
        <v>5254</v>
      </c>
      <c r="B5136" t="s">
        <v>104</v>
      </c>
      <c r="C5136">
        <v>2022</v>
      </c>
      <c r="D5136" t="s">
        <v>45</v>
      </c>
      <c r="E5136" t="s">
        <v>73</v>
      </c>
      <c r="F5136" t="s">
        <v>26</v>
      </c>
      <c r="G5136">
        <v>39572</v>
      </c>
      <c r="H5136">
        <v>31657.600000000002</v>
      </c>
      <c r="I5136" s="13">
        <v>1</v>
      </c>
      <c r="J5136" t="s">
        <v>6206</v>
      </c>
      <c r="K5136">
        <v>1</v>
      </c>
      <c r="L5136">
        <v>2</v>
      </c>
      <c r="M5136" t="s">
        <v>1</v>
      </c>
      <c r="N5136" s="3">
        <v>0.53</v>
      </c>
      <c r="O5136" s="3">
        <v>0.47</v>
      </c>
      <c r="P5136">
        <v>21</v>
      </c>
      <c r="Q5136">
        <v>10</v>
      </c>
      <c r="R5136">
        <v>6</v>
      </c>
      <c r="S5136">
        <v>4</v>
      </c>
      <c r="T5136">
        <v>7</v>
      </c>
      <c r="U5136">
        <v>19</v>
      </c>
      <c r="V5136">
        <v>0</v>
      </c>
      <c r="W5136">
        <v>3</v>
      </c>
      <c r="X5136">
        <v>0</v>
      </c>
      <c r="Y5136">
        <v>0</v>
      </c>
      <c r="Z5136">
        <v>0</v>
      </c>
    </row>
    <row r="5137" spans="1:26" x14ac:dyDescent="0.2">
      <c r="A5137" t="s">
        <v>5255</v>
      </c>
      <c r="B5137" t="s">
        <v>100</v>
      </c>
      <c r="C5137">
        <v>2022</v>
      </c>
      <c r="D5137" t="s">
        <v>90</v>
      </c>
      <c r="E5137" t="s">
        <v>26</v>
      </c>
      <c r="F5137" t="s">
        <v>91</v>
      </c>
      <c r="G5137">
        <v>31876</v>
      </c>
      <c r="H5137">
        <v>25500.800000000003</v>
      </c>
      <c r="I5137" s="13">
        <v>0.25</v>
      </c>
      <c r="J5137" t="s">
        <v>6207</v>
      </c>
      <c r="K5137">
        <v>3</v>
      </c>
      <c r="L5137">
        <v>0</v>
      </c>
      <c r="M5137" t="s">
        <v>0</v>
      </c>
      <c r="N5137" s="3">
        <v>0.62</v>
      </c>
      <c r="O5137" s="3">
        <v>0.38</v>
      </c>
      <c r="P5137">
        <v>13</v>
      </c>
      <c r="Q5137">
        <v>13</v>
      </c>
      <c r="R5137">
        <v>7</v>
      </c>
      <c r="S5137">
        <v>1</v>
      </c>
      <c r="T5137">
        <v>8</v>
      </c>
      <c r="U5137">
        <v>15</v>
      </c>
      <c r="V5137">
        <v>1</v>
      </c>
      <c r="W5137">
        <v>3</v>
      </c>
      <c r="X5137">
        <v>0</v>
      </c>
      <c r="Y5137">
        <v>0</v>
      </c>
      <c r="Z5137">
        <v>0</v>
      </c>
    </row>
    <row r="5138" spans="1:26" x14ac:dyDescent="0.2">
      <c r="A5138" t="s">
        <v>5256</v>
      </c>
      <c r="B5138" t="s">
        <v>102</v>
      </c>
      <c r="C5138">
        <v>2022</v>
      </c>
      <c r="D5138" t="s">
        <v>101</v>
      </c>
      <c r="E5138" t="s">
        <v>86</v>
      </c>
      <c r="F5138" t="s">
        <v>101</v>
      </c>
      <c r="G5138">
        <v>17250</v>
      </c>
      <c r="H5138">
        <v>13800</v>
      </c>
      <c r="I5138" s="13">
        <v>1</v>
      </c>
      <c r="J5138" t="s">
        <v>6209</v>
      </c>
      <c r="K5138">
        <v>2</v>
      </c>
      <c r="L5138">
        <v>0</v>
      </c>
      <c r="M5138" t="s">
        <v>0</v>
      </c>
      <c r="N5138" s="3">
        <v>0.5</v>
      </c>
      <c r="O5138" s="3">
        <v>0.5</v>
      </c>
      <c r="P5138">
        <v>9</v>
      </c>
      <c r="Q5138">
        <v>7</v>
      </c>
      <c r="R5138">
        <v>5</v>
      </c>
      <c r="S5138">
        <v>3</v>
      </c>
      <c r="T5138">
        <v>5</v>
      </c>
      <c r="U5138">
        <v>9</v>
      </c>
      <c r="V5138">
        <v>1</v>
      </c>
      <c r="W5138">
        <v>1</v>
      </c>
      <c r="X5138">
        <v>0</v>
      </c>
      <c r="Y5138">
        <v>0</v>
      </c>
      <c r="Z5138">
        <v>1</v>
      </c>
    </row>
    <row r="5139" spans="1:26" x14ac:dyDescent="0.2">
      <c r="A5139" t="s">
        <v>5257</v>
      </c>
      <c r="B5139" t="s">
        <v>99</v>
      </c>
      <c r="C5139">
        <v>2022</v>
      </c>
      <c r="D5139" t="s">
        <v>64</v>
      </c>
      <c r="E5139" t="s">
        <v>31</v>
      </c>
      <c r="F5139" t="s">
        <v>64</v>
      </c>
      <c r="G5139">
        <v>52264</v>
      </c>
      <c r="H5139">
        <v>41811.200000000004</v>
      </c>
      <c r="I5139" s="13">
        <v>0.75</v>
      </c>
      <c r="J5139" t="s">
        <v>6207</v>
      </c>
      <c r="K5139">
        <v>1</v>
      </c>
      <c r="L5139">
        <v>0</v>
      </c>
      <c r="M5139" t="s">
        <v>0</v>
      </c>
      <c r="N5139" s="3">
        <v>0.62</v>
      </c>
      <c r="O5139" s="3">
        <v>0.38</v>
      </c>
      <c r="P5139">
        <v>12</v>
      </c>
      <c r="Q5139">
        <v>6</v>
      </c>
      <c r="R5139">
        <v>10</v>
      </c>
      <c r="S5139">
        <v>5</v>
      </c>
      <c r="T5139">
        <v>6</v>
      </c>
      <c r="U5139">
        <v>14</v>
      </c>
      <c r="V5139">
        <v>1</v>
      </c>
      <c r="W5139">
        <v>3</v>
      </c>
      <c r="X5139">
        <v>0</v>
      </c>
      <c r="Y5139">
        <v>0</v>
      </c>
      <c r="Z5139">
        <v>1</v>
      </c>
    </row>
    <row r="5140" spans="1:26" x14ac:dyDescent="0.2">
      <c r="A5140" t="s">
        <v>5258</v>
      </c>
      <c r="B5140" t="s">
        <v>97</v>
      </c>
      <c r="C5140">
        <v>2022</v>
      </c>
      <c r="D5140" t="s">
        <v>18</v>
      </c>
      <c r="E5140" t="s">
        <v>79</v>
      </c>
      <c r="F5140" t="s">
        <v>20</v>
      </c>
      <c r="G5140">
        <v>40341</v>
      </c>
      <c r="H5140">
        <v>32272.800000000003</v>
      </c>
      <c r="I5140" s="13">
        <v>0.375</v>
      </c>
      <c r="J5140" t="s">
        <v>6207</v>
      </c>
      <c r="K5140">
        <v>1</v>
      </c>
      <c r="L5140">
        <v>0</v>
      </c>
      <c r="M5140" t="s">
        <v>0</v>
      </c>
      <c r="N5140" s="3">
        <v>0.63</v>
      </c>
      <c r="O5140" s="3">
        <v>0.37</v>
      </c>
      <c r="P5140">
        <v>17</v>
      </c>
      <c r="Q5140">
        <v>12</v>
      </c>
      <c r="R5140">
        <v>11</v>
      </c>
      <c r="S5140">
        <v>7</v>
      </c>
      <c r="T5140">
        <v>10</v>
      </c>
      <c r="U5140">
        <v>17</v>
      </c>
      <c r="V5140">
        <v>2</v>
      </c>
      <c r="W5140">
        <v>6</v>
      </c>
      <c r="X5140">
        <v>0</v>
      </c>
      <c r="Y5140">
        <v>0</v>
      </c>
      <c r="Z5140">
        <v>0</v>
      </c>
    </row>
    <row r="5141" spans="1:26" x14ac:dyDescent="0.2">
      <c r="A5141" t="s">
        <v>5259</v>
      </c>
      <c r="B5141" t="s">
        <v>76</v>
      </c>
      <c r="C5141">
        <v>2022</v>
      </c>
      <c r="D5141" t="s">
        <v>51</v>
      </c>
      <c r="E5141" t="s">
        <v>46</v>
      </c>
      <c r="F5141" t="s">
        <v>20</v>
      </c>
      <c r="G5141">
        <v>36284</v>
      </c>
      <c r="H5141">
        <v>29027.200000000001</v>
      </c>
      <c r="I5141" s="13">
        <v>0.83333333333333337</v>
      </c>
      <c r="J5141" t="s">
        <v>6207</v>
      </c>
      <c r="K5141">
        <v>0</v>
      </c>
      <c r="L5141">
        <v>2</v>
      </c>
      <c r="M5141" t="s">
        <v>1</v>
      </c>
      <c r="N5141" s="3">
        <v>0.51</v>
      </c>
      <c r="O5141" s="3">
        <v>0.49</v>
      </c>
      <c r="P5141">
        <v>16</v>
      </c>
      <c r="Q5141">
        <v>13</v>
      </c>
      <c r="R5141">
        <v>4</v>
      </c>
      <c r="S5141">
        <v>3</v>
      </c>
      <c r="T5141">
        <v>16</v>
      </c>
      <c r="U5141">
        <v>15</v>
      </c>
      <c r="V5141">
        <v>4</v>
      </c>
      <c r="W5141">
        <v>2</v>
      </c>
      <c r="X5141">
        <v>0</v>
      </c>
      <c r="Y5141">
        <v>0</v>
      </c>
      <c r="Z5141">
        <v>0</v>
      </c>
    </row>
    <row r="5142" spans="1:26" x14ac:dyDescent="0.2">
      <c r="A5142" t="s">
        <v>5260</v>
      </c>
      <c r="B5142" t="s">
        <v>66</v>
      </c>
      <c r="C5142">
        <v>2022</v>
      </c>
      <c r="D5142" t="s">
        <v>26</v>
      </c>
      <c r="E5142" t="s">
        <v>18</v>
      </c>
      <c r="F5142" t="s">
        <v>26</v>
      </c>
      <c r="G5142">
        <v>61276</v>
      </c>
      <c r="H5142">
        <v>49020.800000000003</v>
      </c>
      <c r="I5142" s="13">
        <v>0.5</v>
      </c>
      <c r="J5142" t="s">
        <v>6207</v>
      </c>
      <c r="K5142">
        <v>0</v>
      </c>
      <c r="L5142">
        <v>0</v>
      </c>
      <c r="M5142" t="s">
        <v>58</v>
      </c>
      <c r="N5142" s="3">
        <v>0.48</v>
      </c>
      <c r="O5142" s="3">
        <v>0.52</v>
      </c>
      <c r="P5142">
        <v>9</v>
      </c>
      <c r="Q5142">
        <v>19</v>
      </c>
      <c r="R5142">
        <v>5</v>
      </c>
      <c r="S5142">
        <v>5</v>
      </c>
      <c r="T5142">
        <v>16</v>
      </c>
      <c r="U5142">
        <v>9</v>
      </c>
      <c r="V5142">
        <v>3</v>
      </c>
      <c r="W5142">
        <v>1</v>
      </c>
      <c r="X5142">
        <v>0</v>
      </c>
      <c r="Y5142">
        <v>0</v>
      </c>
      <c r="Z5142">
        <v>0</v>
      </c>
    </row>
    <row r="5143" spans="1:26" x14ac:dyDescent="0.2">
      <c r="A5143" t="s">
        <v>5261</v>
      </c>
      <c r="B5143" t="s">
        <v>59</v>
      </c>
      <c r="C5143">
        <v>2022</v>
      </c>
      <c r="D5143" t="s">
        <v>23</v>
      </c>
      <c r="E5143" t="s">
        <v>45</v>
      </c>
      <c r="F5143" t="s">
        <v>20</v>
      </c>
      <c r="G5143">
        <v>62500</v>
      </c>
      <c r="H5143">
        <v>50000</v>
      </c>
      <c r="I5143" s="13">
        <v>0.5</v>
      </c>
      <c r="J5143" t="s">
        <v>6206</v>
      </c>
      <c r="K5143">
        <v>2</v>
      </c>
      <c r="L5143">
        <v>0</v>
      </c>
      <c r="M5143" t="s">
        <v>0</v>
      </c>
      <c r="N5143" s="3">
        <v>0.32</v>
      </c>
      <c r="O5143" s="3">
        <v>0.68</v>
      </c>
      <c r="P5143">
        <v>8</v>
      </c>
      <c r="Q5143">
        <v>10</v>
      </c>
      <c r="R5143">
        <v>4</v>
      </c>
      <c r="S5143">
        <v>9</v>
      </c>
      <c r="T5143">
        <v>9</v>
      </c>
      <c r="U5143">
        <v>6</v>
      </c>
      <c r="V5143">
        <v>1</v>
      </c>
      <c r="W5143">
        <v>1</v>
      </c>
      <c r="X5143">
        <v>0</v>
      </c>
      <c r="Y5143">
        <v>0</v>
      </c>
      <c r="Z5143">
        <v>0</v>
      </c>
    </row>
    <row r="5144" spans="1:26" x14ac:dyDescent="0.2">
      <c r="A5144" t="s">
        <v>5262</v>
      </c>
      <c r="B5144" t="s">
        <v>103</v>
      </c>
      <c r="C5144">
        <v>2022</v>
      </c>
      <c r="D5144" t="s">
        <v>73</v>
      </c>
      <c r="E5144" t="s">
        <v>42</v>
      </c>
      <c r="F5144" t="s">
        <v>73</v>
      </c>
      <c r="G5144">
        <v>32384</v>
      </c>
      <c r="H5144">
        <v>25907.200000000001</v>
      </c>
      <c r="I5144" s="13">
        <v>1</v>
      </c>
      <c r="J5144" t="s">
        <v>6207</v>
      </c>
      <c r="K5144">
        <v>0</v>
      </c>
      <c r="L5144">
        <v>1</v>
      </c>
      <c r="M5144" t="s">
        <v>1</v>
      </c>
      <c r="N5144" s="3">
        <v>0.37</v>
      </c>
      <c r="O5144" s="3">
        <v>0.63</v>
      </c>
      <c r="P5144">
        <v>9</v>
      </c>
      <c r="Q5144">
        <v>22</v>
      </c>
      <c r="R5144">
        <v>2</v>
      </c>
      <c r="S5144">
        <v>2</v>
      </c>
      <c r="T5144">
        <v>19</v>
      </c>
      <c r="U5144">
        <v>9</v>
      </c>
      <c r="V5144">
        <v>1</v>
      </c>
      <c r="W5144">
        <v>2</v>
      </c>
      <c r="X5144">
        <v>0</v>
      </c>
      <c r="Y5144">
        <v>0</v>
      </c>
      <c r="Z5144">
        <v>0</v>
      </c>
    </row>
    <row r="5145" spans="1:26" x14ac:dyDescent="0.2">
      <c r="A5145" t="s">
        <v>5263</v>
      </c>
      <c r="B5145" t="s">
        <v>107</v>
      </c>
      <c r="C5145">
        <v>2022</v>
      </c>
      <c r="D5145" t="s">
        <v>80</v>
      </c>
      <c r="E5145" t="s">
        <v>90</v>
      </c>
      <c r="F5145" t="s">
        <v>80</v>
      </c>
      <c r="G5145">
        <v>32261</v>
      </c>
      <c r="H5145">
        <v>25808.800000000003</v>
      </c>
      <c r="I5145" s="13">
        <v>0.5</v>
      </c>
      <c r="J5145" t="s">
        <v>6207</v>
      </c>
      <c r="K5145">
        <v>2</v>
      </c>
      <c r="L5145">
        <v>2</v>
      </c>
      <c r="M5145" t="s">
        <v>58</v>
      </c>
      <c r="N5145" s="3">
        <v>0.36</v>
      </c>
      <c r="O5145" s="3">
        <v>0.64</v>
      </c>
      <c r="P5145">
        <v>11</v>
      </c>
      <c r="Q5145">
        <v>9</v>
      </c>
      <c r="R5145">
        <v>5</v>
      </c>
      <c r="S5145">
        <v>6</v>
      </c>
      <c r="T5145">
        <v>9</v>
      </c>
      <c r="U5145">
        <v>9</v>
      </c>
      <c r="V5145">
        <v>0</v>
      </c>
      <c r="W5145">
        <v>2</v>
      </c>
      <c r="X5145">
        <v>0</v>
      </c>
      <c r="Y5145">
        <v>0</v>
      </c>
      <c r="Z5145">
        <v>0</v>
      </c>
    </row>
    <row r="5146" spans="1:26" x14ac:dyDescent="0.2">
      <c r="A5146" t="s">
        <v>5264</v>
      </c>
      <c r="B5146" t="s">
        <v>92</v>
      </c>
      <c r="C5146">
        <v>2022</v>
      </c>
      <c r="D5146" t="s">
        <v>86</v>
      </c>
      <c r="E5146" t="s">
        <v>94</v>
      </c>
      <c r="F5146" t="s">
        <v>86</v>
      </c>
      <c r="G5146">
        <v>11364</v>
      </c>
      <c r="H5146">
        <v>9091.2000000000007</v>
      </c>
      <c r="I5146" s="13">
        <v>0.33333333333333331</v>
      </c>
      <c r="J5146" t="s">
        <v>6207</v>
      </c>
      <c r="K5146">
        <v>1</v>
      </c>
      <c r="L5146">
        <v>1</v>
      </c>
      <c r="M5146" t="s">
        <v>58</v>
      </c>
      <c r="N5146" s="3">
        <v>0.43</v>
      </c>
      <c r="O5146" s="3">
        <v>0.56999999999999995</v>
      </c>
      <c r="P5146">
        <v>10</v>
      </c>
      <c r="Q5146">
        <v>11</v>
      </c>
      <c r="R5146">
        <v>4</v>
      </c>
      <c r="S5146">
        <v>6</v>
      </c>
      <c r="T5146">
        <v>10</v>
      </c>
      <c r="U5146">
        <v>7</v>
      </c>
      <c r="V5146">
        <v>1</v>
      </c>
      <c r="W5146">
        <v>2</v>
      </c>
      <c r="X5146">
        <v>0</v>
      </c>
      <c r="Y5146">
        <v>0</v>
      </c>
      <c r="Z5146">
        <v>0</v>
      </c>
    </row>
    <row r="5147" spans="1:26" x14ac:dyDescent="0.2">
      <c r="A5147" t="s">
        <v>5265</v>
      </c>
      <c r="B5147" t="s">
        <v>76</v>
      </c>
      <c r="C5147">
        <v>2022</v>
      </c>
      <c r="D5147" t="s">
        <v>79</v>
      </c>
      <c r="E5147" t="s">
        <v>64</v>
      </c>
      <c r="F5147" t="s">
        <v>20</v>
      </c>
      <c r="G5147">
        <v>25486</v>
      </c>
      <c r="H5147">
        <v>20388.800000000003</v>
      </c>
      <c r="I5147" s="13">
        <v>0.5</v>
      </c>
      <c r="J5147" t="s">
        <v>6207</v>
      </c>
      <c r="K5147">
        <v>0</v>
      </c>
      <c r="L5147">
        <v>0</v>
      </c>
      <c r="M5147" t="s">
        <v>58</v>
      </c>
      <c r="N5147" s="3">
        <v>0.39</v>
      </c>
      <c r="O5147" s="3">
        <v>0.61</v>
      </c>
      <c r="P5147">
        <v>8</v>
      </c>
      <c r="Q5147">
        <v>11</v>
      </c>
      <c r="R5147">
        <v>3</v>
      </c>
      <c r="S5147">
        <v>15</v>
      </c>
      <c r="T5147">
        <v>13</v>
      </c>
      <c r="U5147">
        <v>7</v>
      </c>
      <c r="V5147">
        <v>4</v>
      </c>
      <c r="W5147">
        <v>2</v>
      </c>
      <c r="X5147">
        <v>0</v>
      </c>
      <c r="Y5147">
        <v>0</v>
      </c>
      <c r="Z5147">
        <v>0</v>
      </c>
    </row>
    <row r="5148" spans="1:26" x14ac:dyDescent="0.2">
      <c r="A5148" t="s">
        <v>5266</v>
      </c>
      <c r="B5148" t="s">
        <v>93</v>
      </c>
      <c r="C5148">
        <v>2022</v>
      </c>
      <c r="D5148" t="s">
        <v>40</v>
      </c>
      <c r="E5148" t="s">
        <v>22</v>
      </c>
      <c r="F5148" t="s">
        <v>49</v>
      </c>
      <c r="G5148">
        <v>53400</v>
      </c>
      <c r="H5148">
        <v>42720</v>
      </c>
      <c r="I5148" s="13">
        <v>0.5</v>
      </c>
      <c r="J5148" t="s">
        <v>6206</v>
      </c>
      <c r="K5148">
        <v>3</v>
      </c>
      <c r="L5148">
        <v>0</v>
      </c>
      <c r="M5148" t="s">
        <v>0</v>
      </c>
      <c r="N5148" s="3">
        <v>0.55000000000000004</v>
      </c>
      <c r="O5148" s="3">
        <v>0.45</v>
      </c>
      <c r="P5148">
        <v>8</v>
      </c>
      <c r="Q5148">
        <v>10</v>
      </c>
      <c r="R5148">
        <v>5</v>
      </c>
      <c r="S5148">
        <v>7</v>
      </c>
      <c r="T5148">
        <v>10</v>
      </c>
      <c r="U5148">
        <v>10</v>
      </c>
      <c r="V5148">
        <v>1</v>
      </c>
      <c r="W5148">
        <v>3</v>
      </c>
      <c r="X5148">
        <v>0</v>
      </c>
      <c r="Y5148">
        <v>0</v>
      </c>
      <c r="Z5148">
        <v>1</v>
      </c>
    </row>
    <row r="5149" spans="1:26" x14ac:dyDescent="0.2">
      <c r="A5149" t="s">
        <v>5267</v>
      </c>
      <c r="B5149" t="s">
        <v>97</v>
      </c>
      <c r="C5149">
        <v>2022</v>
      </c>
      <c r="D5149" t="s">
        <v>33</v>
      </c>
      <c r="E5149" t="s">
        <v>101</v>
      </c>
      <c r="F5149" t="s">
        <v>33</v>
      </c>
      <c r="G5149">
        <v>37645</v>
      </c>
      <c r="H5149">
        <v>30116</v>
      </c>
      <c r="I5149" s="13">
        <v>0.75</v>
      </c>
      <c r="J5149" t="s">
        <v>6207</v>
      </c>
      <c r="K5149">
        <v>0</v>
      </c>
      <c r="L5149">
        <v>0</v>
      </c>
      <c r="M5149" t="s">
        <v>58</v>
      </c>
      <c r="N5149" s="3">
        <v>0.59</v>
      </c>
      <c r="O5149" s="3">
        <v>0.41</v>
      </c>
      <c r="P5149">
        <v>16</v>
      </c>
      <c r="Q5149">
        <v>11</v>
      </c>
      <c r="R5149">
        <v>2</v>
      </c>
      <c r="S5149">
        <v>3</v>
      </c>
      <c r="T5149">
        <v>10</v>
      </c>
      <c r="U5149">
        <v>18</v>
      </c>
      <c r="V5149">
        <v>2</v>
      </c>
      <c r="W5149">
        <v>2</v>
      </c>
      <c r="X5149">
        <v>0</v>
      </c>
      <c r="Y5149">
        <v>0</v>
      </c>
      <c r="Z5149">
        <v>0</v>
      </c>
    </row>
    <row r="5150" spans="1:26" x14ac:dyDescent="0.2">
      <c r="A5150" t="s">
        <v>5268</v>
      </c>
      <c r="B5150" t="s">
        <v>61</v>
      </c>
      <c r="C5150">
        <v>2022</v>
      </c>
      <c r="D5150" t="s">
        <v>46</v>
      </c>
      <c r="E5150" t="s">
        <v>48</v>
      </c>
      <c r="F5150" t="s">
        <v>20</v>
      </c>
      <c r="G5150">
        <v>60704</v>
      </c>
      <c r="H5150">
        <v>48563.200000000004</v>
      </c>
      <c r="I5150" s="13">
        <v>0.5</v>
      </c>
      <c r="J5150" t="s">
        <v>6207</v>
      </c>
      <c r="K5150">
        <v>3</v>
      </c>
      <c r="L5150">
        <v>2</v>
      </c>
      <c r="M5150" t="s">
        <v>0</v>
      </c>
      <c r="N5150" s="3">
        <v>0.56999999999999995</v>
      </c>
      <c r="O5150" s="3">
        <v>0.43</v>
      </c>
      <c r="P5150">
        <v>13</v>
      </c>
      <c r="Q5150">
        <v>9</v>
      </c>
      <c r="R5150">
        <v>12</v>
      </c>
      <c r="S5150">
        <v>4</v>
      </c>
      <c r="T5150">
        <v>8</v>
      </c>
      <c r="U5150">
        <v>9</v>
      </c>
      <c r="V5150">
        <v>2</v>
      </c>
      <c r="W5150">
        <v>2</v>
      </c>
      <c r="X5150">
        <v>0</v>
      </c>
      <c r="Y5150">
        <v>0</v>
      </c>
      <c r="Z5150">
        <v>0</v>
      </c>
    </row>
    <row r="5151" spans="1:26" x14ac:dyDescent="0.2">
      <c r="A5151" t="s">
        <v>5269</v>
      </c>
      <c r="B5151" t="s">
        <v>81</v>
      </c>
      <c r="C5151">
        <v>2022</v>
      </c>
      <c r="D5151" t="s">
        <v>31</v>
      </c>
      <c r="E5151" t="s">
        <v>51</v>
      </c>
      <c r="F5151" t="s">
        <v>20</v>
      </c>
      <c r="G5151">
        <v>28500</v>
      </c>
      <c r="H5151">
        <v>22800</v>
      </c>
      <c r="I5151" s="13">
        <v>0.75</v>
      </c>
      <c r="J5151" t="s">
        <v>6207</v>
      </c>
      <c r="K5151">
        <v>0</v>
      </c>
      <c r="L5151">
        <v>1</v>
      </c>
      <c r="M5151" t="s">
        <v>1</v>
      </c>
      <c r="N5151" s="3">
        <v>0.53</v>
      </c>
      <c r="O5151" s="3">
        <v>0.47</v>
      </c>
      <c r="P5151">
        <v>8</v>
      </c>
      <c r="Q5151">
        <v>12</v>
      </c>
      <c r="R5151">
        <v>3</v>
      </c>
      <c r="S5151">
        <v>8</v>
      </c>
      <c r="T5151">
        <v>10</v>
      </c>
      <c r="U5151">
        <v>10</v>
      </c>
      <c r="V5151">
        <v>1</v>
      </c>
      <c r="W5151">
        <v>3</v>
      </c>
      <c r="X5151">
        <v>0</v>
      </c>
      <c r="Y5151">
        <v>0</v>
      </c>
      <c r="Z5151">
        <v>0</v>
      </c>
    </row>
    <row r="5152" spans="1:26" x14ac:dyDescent="0.2">
      <c r="A5152" t="s">
        <v>5270</v>
      </c>
      <c r="B5152" t="s">
        <v>59</v>
      </c>
      <c r="C5152">
        <v>2022</v>
      </c>
      <c r="D5152" t="s">
        <v>18</v>
      </c>
      <c r="E5152" t="s">
        <v>31</v>
      </c>
      <c r="F5152" t="s">
        <v>20</v>
      </c>
      <c r="G5152">
        <v>40341</v>
      </c>
      <c r="H5152">
        <v>32272.800000000003</v>
      </c>
      <c r="I5152" s="13">
        <v>0.5</v>
      </c>
      <c r="J5152" t="s">
        <v>6206</v>
      </c>
      <c r="K5152">
        <v>0</v>
      </c>
      <c r="L5152">
        <v>0</v>
      </c>
      <c r="M5152" t="s">
        <v>58</v>
      </c>
      <c r="N5152" s="3">
        <v>0.67</v>
      </c>
      <c r="O5152" s="3">
        <v>0.33</v>
      </c>
      <c r="P5152">
        <v>12</v>
      </c>
      <c r="Q5152">
        <v>20</v>
      </c>
      <c r="R5152">
        <v>6</v>
      </c>
      <c r="S5152">
        <v>2</v>
      </c>
      <c r="T5152">
        <v>16</v>
      </c>
      <c r="U5152">
        <v>12</v>
      </c>
      <c r="V5152">
        <v>1</v>
      </c>
      <c r="W5152">
        <v>5</v>
      </c>
      <c r="X5152">
        <v>0</v>
      </c>
      <c r="Y5152">
        <v>0</v>
      </c>
      <c r="Z5152">
        <v>0</v>
      </c>
    </row>
    <row r="5153" spans="1:26" x14ac:dyDescent="0.2">
      <c r="A5153" t="s">
        <v>5271</v>
      </c>
      <c r="B5153" t="s">
        <v>93</v>
      </c>
      <c r="C5153">
        <v>2022</v>
      </c>
      <c r="D5153" t="s">
        <v>45</v>
      </c>
      <c r="E5153" t="s">
        <v>46</v>
      </c>
      <c r="F5153" t="s">
        <v>26</v>
      </c>
      <c r="G5153">
        <v>39572</v>
      </c>
      <c r="H5153">
        <v>31657.600000000002</v>
      </c>
      <c r="I5153" s="13">
        <v>0.8</v>
      </c>
      <c r="J5153" t="s">
        <v>6206</v>
      </c>
      <c r="K5153">
        <v>1</v>
      </c>
      <c r="L5153">
        <v>0</v>
      </c>
      <c r="M5153" t="s">
        <v>0</v>
      </c>
      <c r="N5153" s="3">
        <v>0.3</v>
      </c>
      <c r="O5153" s="3">
        <v>0.7</v>
      </c>
      <c r="P5153">
        <v>8</v>
      </c>
      <c r="Q5153">
        <v>14</v>
      </c>
      <c r="R5153">
        <v>7</v>
      </c>
      <c r="S5153">
        <v>5</v>
      </c>
      <c r="T5153">
        <v>13</v>
      </c>
      <c r="U5153">
        <v>8</v>
      </c>
      <c r="V5153">
        <v>4</v>
      </c>
      <c r="W5153">
        <v>1</v>
      </c>
      <c r="X5153">
        <v>0</v>
      </c>
      <c r="Y5153">
        <v>0</v>
      </c>
      <c r="Z5153">
        <v>0</v>
      </c>
    </row>
    <row r="5154" spans="1:26" x14ac:dyDescent="0.2">
      <c r="A5154" t="s">
        <v>5272</v>
      </c>
      <c r="B5154" t="s">
        <v>81</v>
      </c>
      <c r="C5154">
        <v>2022</v>
      </c>
      <c r="D5154" t="s">
        <v>22</v>
      </c>
      <c r="E5154" t="s">
        <v>26</v>
      </c>
      <c r="F5154" t="s">
        <v>24</v>
      </c>
      <c r="G5154">
        <v>31750</v>
      </c>
      <c r="H5154">
        <v>25400</v>
      </c>
      <c r="I5154" s="13">
        <v>0.5</v>
      </c>
      <c r="J5154" t="s">
        <v>6207</v>
      </c>
      <c r="K5154">
        <v>3</v>
      </c>
      <c r="L5154">
        <v>0</v>
      </c>
      <c r="M5154" t="s">
        <v>0</v>
      </c>
      <c r="N5154" s="3">
        <v>0.42</v>
      </c>
      <c r="O5154" s="3">
        <v>0.57999999999999996</v>
      </c>
      <c r="P5154">
        <v>10</v>
      </c>
      <c r="Q5154">
        <v>8</v>
      </c>
      <c r="R5154">
        <v>2</v>
      </c>
      <c r="S5154">
        <v>7</v>
      </c>
      <c r="T5154">
        <v>9</v>
      </c>
      <c r="U5154">
        <v>7</v>
      </c>
      <c r="V5154">
        <v>1</v>
      </c>
      <c r="W5154">
        <v>1</v>
      </c>
      <c r="X5154">
        <v>0</v>
      </c>
      <c r="Y5154">
        <v>0</v>
      </c>
      <c r="Z5154">
        <v>0</v>
      </c>
    </row>
    <row r="5155" spans="1:26" x14ac:dyDescent="0.2">
      <c r="A5155" t="s">
        <v>5273</v>
      </c>
      <c r="B5155" t="s">
        <v>37</v>
      </c>
      <c r="C5155">
        <v>2022</v>
      </c>
      <c r="D5155" t="s">
        <v>48</v>
      </c>
      <c r="E5155" t="s">
        <v>79</v>
      </c>
      <c r="F5155" t="s">
        <v>49</v>
      </c>
      <c r="G5155">
        <v>74197</v>
      </c>
      <c r="H5155">
        <v>59357.600000000006</v>
      </c>
      <c r="I5155" s="13">
        <v>0.75</v>
      </c>
      <c r="J5155" t="s">
        <v>6206</v>
      </c>
      <c r="K5155">
        <v>2</v>
      </c>
      <c r="L5155">
        <v>1</v>
      </c>
      <c r="M5155" t="s">
        <v>0</v>
      </c>
      <c r="N5155" s="3">
        <v>0.54</v>
      </c>
      <c r="O5155" s="3">
        <v>0.46</v>
      </c>
      <c r="P5155">
        <v>11</v>
      </c>
      <c r="Q5155">
        <v>9</v>
      </c>
      <c r="R5155">
        <v>5</v>
      </c>
      <c r="S5155">
        <v>5</v>
      </c>
      <c r="T5155">
        <v>9</v>
      </c>
      <c r="U5155">
        <v>9</v>
      </c>
      <c r="V5155">
        <v>1</v>
      </c>
      <c r="W5155">
        <v>2</v>
      </c>
      <c r="X5155">
        <v>1</v>
      </c>
      <c r="Y5155">
        <v>0</v>
      </c>
      <c r="Z5155">
        <v>1</v>
      </c>
    </row>
    <row r="5156" spans="1:26" x14ac:dyDescent="0.2">
      <c r="A5156" t="s">
        <v>5274</v>
      </c>
      <c r="B5156" t="s">
        <v>76</v>
      </c>
      <c r="C5156">
        <v>2022</v>
      </c>
      <c r="D5156" t="s">
        <v>90</v>
      </c>
      <c r="E5156" t="s">
        <v>86</v>
      </c>
      <c r="F5156" t="s">
        <v>91</v>
      </c>
      <c r="G5156">
        <v>31876</v>
      </c>
      <c r="H5156">
        <v>25500.800000000003</v>
      </c>
      <c r="I5156" s="13">
        <v>0.5</v>
      </c>
      <c r="J5156" t="s">
        <v>6207</v>
      </c>
      <c r="K5156">
        <v>1</v>
      </c>
      <c r="L5156">
        <v>0</v>
      </c>
      <c r="M5156" t="s">
        <v>0</v>
      </c>
      <c r="N5156" s="3">
        <v>0.72</v>
      </c>
      <c r="O5156" s="3">
        <v>0.28000000000000003</v>
      </c>
      <c r="P5156">
        <v>6</v>
      </c>
      <c r="Q5156">
        <v>13</v>
      </c>
      <c r="R5156">
        <v>7</v>
      </c>
      <c r="S5156">
        <v>3</v>
      </c>
      <c r="T5156">
        <v>14</v>
      </c>
      <c r="U5156">
        <v>7</v>
      </c>
      <c r="V5156">
        <v>3</v>
      </c>
      <c r="W5156">
        <v>1</v>
      </c>
      <c r="X5156">
        <v>0</v>
      </c>
      <c r="Y5156">
        <v>0</v>
      </c>
      <c r="Z5156">
        <v>0</v>
      </c>
    </row>
    <row r="5157" spans="1:26" x14ac:dyDescent="0.2">
      <c r="A5157" t="s">
        <v>5275</v>
      </c>
      <c r="B5157" t="s">
        <v>108</v>
      </c>
      <c r="C5157">
        <v>2022</v>
      </c>
      <c r="D5157" t="s">
        <v>101</v>
      </c>
      <c r="E5157" t="s">
        <v>73</v>
      </c>
      <c r="F5157" t="s">
        <v>101</v>
      </c>
      <c r="G5157">
        <v>17250</v>
      </c>
      <c r="H5157">
        <v>13800</v>
      </c>
      <c r="I5157" s="13">
        <v>0.66666666666666663</v>
      </c>
      <c r="J5157" t="s">
        <v>6207</v>
      </c>
      <c r="K5157">
        <v>3</v>
      </c>
      <c r="L5157">
        <v>0</v>
      </c>
      <c r="M5157" t="s">
        <v>0</v>
      </c>
      <c r="N5157" s="3">
        <v>0.48</v>
      </c>
      <c r="O5157" s="3">
        <v>0.52</v>
      </c>
      <c r="P5157">
        <v>11</v>
      </c>
      <c r="Q5157">
        <v>10</v>
      </c>
      <c r="R5157">
        <v>4</v>
      </c>
      <c r="S5157">
        <v>4</v>
      </c>
      <c r="T5157">
        <v>10</v>
      </c>
      <c r="U5157">
        <v>9</v>
      </c>
      <c r="V5157">
        <v>1</v>
      </c>
      <c r="W5157">
        <v>2</v>
      </c>
      <c r="X5157">
        <v>0</v>
      </c>
      <c r="Y5157">
        <v>0</v>
      </c>
      <c r="Z5157">
        <v>0</v>
      </c>
    </row>
    <row r="5158" spans="1:26" x14ac:dyDescent="0.2">
      <c r="A5158" t="s">
        <v>5276</v>
      </c>
      <c r="B5158" t="s">
        <v>100</v>
      </c>
      <c r="C5158">
        <v>2022</v>
      </c>
      <c r="D5158" t="s">
        <v>42</v>
      </c>
      <c r="E5158" t="s">
        <v>80</v>
      </c>
      <c r="F5158" t="s">
        <v>38</v>
      </c>
      <c r="G5158">
        <v>42918</v>
      </c>
      <c r="H5158">
        <v>34334.400000000001</v>
      </c>
      <c r="I5158" s="13">
        <v>1</v>
      </c>
      <c r="J5158" t="s">
        <v>6207</v>
      </c>
      <c r="K5158">
        <v>2</v>
      </c>
      <c r="L5158">
        <v>4</v>
      </c>
      <c r="M5158" t="s">
        <v>1</v>
      </c>
      <c r="N5158" s="3">
        <v>0.63</v>
      </c>
      <c r="O5158" s="3">
        <v>0.37</v>
      </c>
      <c r="P5158">
        <v>17</v>
      </c>
      <c r="Q5158">
        <v>12</v>
      </c>
      <c r="R5158">
        <v>11</v>
      </c>
      <c r="S5158">
        <v>3</v>
      </c>
      <c r="T5158">
        <v>10</v>
      </c>
      <c r="U5158">
        <v>10</v>
      </c>
      <c r="V5158">
        <v>0</v>
      </c>
      <c r="W5158">
        <v>3</v>
      </c>
      <c r="X5158">
        <v>0</v>
      </c>
      <c r="Y5158">
        <v>0</v>
      </c>
      <c r="Z5158">
        <v>0</v>
      </c>
    </row>
    <row r="5159" spans="1:26" x14ac:dyDescent="0.2">
      <c r="A5159" t="s">
        <v>5277</v>
      </c>
      <c r="B5159" t="s">
        <v>97</v>
      </c>
      <c r="C5159">
        <v>2022</v>
      </c>
      <c r="D5159" t="s">
        <v>64</v>
      </c>
      <c r="E5159" t="s">
        <v>23</v>
      </c>
      <c r="F5159" t="s">
        <v>64</v>
      </c>
      <c r="G5159">
        <v>52264</v>
      </c>
      <c r="H5159">
        <v>41811.200000000004</v>
      </c>
      <c r="I5159" s="13">
        <v>0.66666666666666663</v>
      </c>
      <c r="J5159" t="s">
        <v>6207</v>
      </c>
      <c r="K5159">
        <v>1</v>
      </c>
      <c r="L5159">
        <v>1</v>
      </c>
      <c r="M5159" t="s">
        <v>58</v>
      </c>
      <c r="N5159" s="3">
        <v>0.63</v>
      </c>
      <c r="O5159" s="3">
        <v>0.37</v>
      </c>
      <c r="P5159">
        <v>15</v>
      </c>
      <c r="Q5159">
        <v>11</v>
      </c>
      <c r="R5159">
        <v>4</v>
      </c>
      <c r="S5159">
        <v>2</v>
      </c>
      <c r="T5159">
        <v>11</v>
      </c>
      <c r="U5159">
        <v>13</v>
      </c>
      <c r="V5159">
        <v>2</v>
      </c>
      <c r="W5159">
        <v>1</v>
      </c>
      <c r="X5159">
        <v>0</v>
      </c>
      <c r="Y5159">
        <v>0</v>
      </c>
      <c r="Z5159">
        <v>0</v>
      </c>
    </row>
    <row r="5160" spans="1:26" x14ac:dyDescent="0.2">
      <c r="A5160" t="s">
        <v>5278</v>
      </c>
      <c r="B5160" t="s">
        <v>99</v>
      </c>
      <c r="C5160">
        <v>2022</v>
      </c>
      <c r="D5160" t="s">
        <v>94</v>
      </c>
      <c r="E5160" t="s">
        <v>33</v>
      </c>
      <c r="F5160" t="s">
        <v>106</v>
      </c>
      <c r="G5160">
        <v>30445</v>
      </c>
      <c r="H5160">
        <v>24356</v>
      </c>
      <c r="I5160" s="13">
        <v>0.66666666666666663</v>
      </c>
      <c r="J5160" t="s">
        <v>6207</v>
      </c>
      <c r="K5160">
        <v>1</v>
      </c>
      <c r="L5160">
        <v>0</v>
      </c>
      <c r="M5160" t="s">
        <v>0</v>
      </c>
      <c r="N5160" s="3">
        <v>0.3</v>
      </c>
      <c r="O5160" s="3">
        <v>0.7</v>
      </c>
      <c r="P5160">
        <v>17</v>
      </c>
      <c r="Q5160">
        <v>15</v>
      </c>
      <c r="R5160">
        <v>0</v>
      </c>
      <c r="S5160">
        <v>2</v>
      </c>
      <c r="T5160">
        <v>15</v>
      </c>
      <c r="U5160">
        <v>14</v>
      </c>
      <c r="V5160">
        <v>4</v>
      </c>
      <c r="W5160">
        <v>2</v>
      </c>
      <c r="X5160">
        <v>0</v>
      </c>
      <c r="Y5160">
        <v>0</v>
      </c>
      <c r="Z5160">
        <v>0</v>
      </c>
    </row>
    <row r="5161" spans="1:26" x14ac:dyDescent="0.2">
      <c r="A5161" t="s">
        <v>5279</v>
      </c>
      <c r="B5161" t="s">
        <v>92</v>
      </c>
      <c r="C5161">
        <v>2022</v>
      </c>
      <c r="D5161" t="s">
        <v>51</v>
      </c>
      <c r="E5161" t="s">
        <v>40</v>
      </c>
      <c r="F5161" t="s">
        <v>20</v>
      </c>
      <c r="G5161">
        <v>36284</v>
      </c>
      <c r="H5161">
        <v>29027.200000000001</v>
      </c>
      <c r="I5161" s="13">
        <v>0.5714285714285714</v>
      </c>
      <c r="J5161" t="s">
        <v>6207</v>
      </c>
      <c r="K5161">
        <v>1</v>
      </c>
      <c r="L5161">
        <v>0</v>
      </c>
      <c r="M5161" t="s">
        <v>0</v>
      </c>
      <c r="N5161" s="3">
        <v>0.36</v>
      </c>
      <c r="O5161" s="3">
        <v>0.64</v>
      </c>
      <c r="P5161">
        <v>15</v>
      </c>
      <c r="Q5161">
        <v>19</v>
      </c>
      <c r="R5161">
        <v>4</v>
      </c>
      <c r="S5161">
        <v>6</v>
      </c>
      <c r="T5161">
        <v>19</v>
      </c>
      <c r="U5161">
        <v>14</v>
      </c>
      <c r="V5161">
        <v>3</v>
      </c>
      <c r="W5161">
        <v>3</v>
      </c>
      <c r="X5161">
        <v>1</v>
      </c>
      <c r="Y5161">
        <v>0</v>
      </c>
      <c r="Z5161">
        <v>0</v>
      </c>
    </row>
    <row r="5162" spans="1:26" x14ac:dyDescent="0.2">
      <c r="A5162" t="s">
        <v>5280</v>
      </c>
      <c r="B5162" t="s">
        <v>76</v>
      </c>
      <c r="C5162">
        <v>2022</v>
      </c>
      <c r="D5162" t="s">
        <v>23</v>
      </c>
      <c r="E5162" t="s">
        <v>18</v>
      </c>
      <c r="F5162" t="s">
        <v>20</v>
      </c>
      <c r="G5162">
        <v>62500</v>
      </c>
      <c r="H5162">
        <v>50000</v>
      </c>
      <c r="I5162" s="13">
        <v>1</v>
      </c>
      <c r="J5162" t="s">
        <v>6207</v>
      </c>
      <c r="K5162">
        <v>1</v>
      </c>
      <c r="L5162">
        <v>1</v>
      </c>
      <c r="M5162" t="s">
        <v>58</v>
      </c>
      <c r="N5162" s="3">
        <v>0.28000000000000003</v>
      </c>
      <c r="O5162" s="3">
        <v>0.72</v>
      </c>
      <c r="P5162">
        <v>13</v>
      </c>
      <c r="Q5162">
        <v>9</v>
      </c>
      <c r="R5162">
        <v>5</v>
      </c>
      <c r="S5162">
        <v>6</v>
      </c>
      <c r="T5162">
        <v>9</v>
      </c>
      <c r="U5162">
        <v>11</v>
      </c>
      <c r="V5162">
        <v>1</v>
      </c>
      <c r="W5162">
        <v>1</v>
      </c>
      <c r="X5162">
        <v>0</v>
      </c>
      <c r="Y5162">
        <v>0</v>
      </c>
      <c r="Z5162">
        <v>0</v>
      </c>
    </row>
    <row r="5163" spans="1:26" x14ac:dyDescent="0.2">
      <c r="A5163" t="s">
        <v>5281</v>
      </c>
      <c r="B5163" t="s">
        <v>102</v>
      </c>
      <c r="C5163">
        <v>2022</v>
      </c>
      <c r="D5163" t="s">
        <v>73</v>
      </c>
      <c r="E5163" t="s">
        <v>22</v>
      </c>
      <c r="F5163" t="s">
        <v>73</v>
      </c>
      <c r="G5163">
        <v>32384</v>
      </c>
      <c r="H5163">
        <v>25907.200000000001</v>
      </c>
      <c r="I5163" s="13">
        <v>0.5</v>
      </c>
      <c r="J5163" t="s">
        <v>6209</v>
      </c>
      <c r="K5163">
        <v>1</v>
      </c>
      <c r="L5163">
        <v>2</v>
      </c>
      <c r="M5163" t="s">
        <v>1</v>
      </c>
      <c r="N5163" s="3">
        <v>0.41</v>
      </c>
      <c r="O5163" s="3">
        <v>0.59</v>
      </c>
      <c r="P5163">
        <v>14</v>
      </c>
      <c r="Q5163">
        <v>12</v>
      </c>
      <c r="R5163">
        <v>5</v>
      </c>
      <c r="S5163">
        <v>2</v>
      </c>
      <c r="T5163">
        <v>12</v>
      </c>
      <c r="U5163">
        <v>14</v>
      </c>
      <c r="V5163">
        <v>2</v>
      </c>
      <c r="W5163">
        <v>3</v>
      </c>
      <c r="X5163">
        <v>0</v>
      </c>
      <c r="Y5163">
        <v>1</v>
      </c>
      <c r="Z5163">
        <v>0</v>
      </c>
    </row>
    <row r="5164" spans="1:26" x14ac:dyDescent="0.2">
      <c r="A5164" t="s">
        <v>5282</v>
      </c>
      <c r="B5164" t="s">
        <v>103</v>
      </c>
      <c r="C5164">
        <v>2022</v>
      </c>
      <c r="D5164" t="s">
        <v>80</v>
      </c>
      <c r="E5164" t="s">
        <v>51</v>
      </c>
      <c r="F5164" t="s">
        <v>80</v>
      </c>
      <c r="G5164">
        <v>32261</v>
      </c>
      <c r="H5164">
        <v>25808.800000000003</v>
      </c>
      <c r="I5164" s="13">
        <v>0.42857142857142855</v>
      </c>
      <c r="J5164" t="s">
        <v>6207</v>
      </c>
      <c r="K5164">
        <v>4</v>
      </c>
      <c r="L5164">
        <v>1</v>
      </c>
      <c r="M5164" t="s">
        <v>0</v>
      </c>
      <c r="N5164" s="3">
        <v>0.5</v>
      </c>
      <c r="O5164" s="3">
        <v>0.5</v>
      </c>
      <c r="P5164">
        <v>10</v>
      </c>
      <c r="Q5164">
        <v>14</v>
      </c>
      <c r="R5164">
        <v>1</v>
      </c>
      <c r="S5164">
        <v>5</v>
      </c>
      <c r="T5164">
        <v>14</v>
      </c>
      <c r="U5164">
        <v>9</v>
      </c>
      <c r="V5164">
        <v>5</v>
      </c>
      <c r="W5164">
        <v>2</v>
      </c>
      <c r="X5164">
        <v>0</v>
      </c>
      <c r="Y5164">
        <v>0</v>
      </c>
      <c r="Z5164">
        <v>0</v>
      </c>
    </row>
    <row r="5165" spans="1:26" x14ac:dyDescent="0.2">
      <c r="A5165" t="s">
        <v>5283</v>
      </c>
      <c r="B5165" t="s">
        <v>92</v>
      </c>
      <c r="C5165">
        <v>2022</v>
      </c>
      <c r="D5165" t="s">
        <v>31</v>
      </c>
      <c r="E5165" t="s">
        <v>94</v>
      </c>
      <c r="F5165" t="s">
        <v>20</v>
      </c>
      <c r="G5165">
        <v>28500</v>
      </c>
      <c r="H5165">
        <v>22800</v>
      </c>
      <c r="I5165" s="13">
        <v>1</v>
      </c>
      <c r="J5165" t="s">
        <v>6207</v>
      </c>
      <c r="K5165">
        <v>2</v>
      </c>
      <c r="L5165">
        <v>0</v>
      </c>
      <c r="M5165" t="s">
        <v>0</v>
      </c>
      <c r="N5165" s="3">
        <v>0.5</v>
      </c>
      <c r="O5165" s="3">
        <v>0.5</v>
      </c>
      <c r="P5165">
        <v>12</v>
      </c>
      <c r="Q5165">
        <v>8</v>
      </c>
      <c r="R5165">
        <v>5</v>
      </c>
      <c r="S5165">
        <v>4</v>
      </c>
      <c r="T5165">
        <v>9</v>
      </c>
      <c r="U5165">
        <v>11</v>
      </c>
      <c r="V5165">
        <v>0</v>
      </c>
      <c r="W5165">
        <v>1</v>
      </c>
      <c r="X5165">
        <v>0</v>
      </c>
      <c r="Y5165">
        <v>0</v>
      </c>
      <c r="Z5165">
        <v>0</v>
      </c>
    </row>
    <row r="5166" spans="1:26" x14ac:dyDescent="0.2">
      <c r="A5166" t="s">
        <v>5284</v>
      </c>
      <c r="B5166" t="s">
        <v>66</v>
      </c>
      <c r="C5166">
        <v>2022</v>
      </c>
      <c r="D5166" t="s">
        <v>79</v>
      </c>
      <c r="E5166" t="s">
        <v>90</v>
      </c>
      <c r="F5166" t="s">
        <v>20</v>
      </c>
      <c r="G5166">
        <v>25486</v>
      </c>
      <c r="H5166">
        <v>20388.800000000003</v>
      </c>
      <c r="I5166" s="13">
        <v>0.6</v>
      </c>
      <c r="J5166" t="s">
        <v>6207</v>
      </c>
      <c r="K5166">
        <v>1</v>
      </c>
      <c r="L5166">
        <v>1</v>
      </c>
      <c r="M5166" t="s">
        <v>58</v>
      </c>
      <c r="N5166" s="3">
        <v>0.25</v>
      </c>
      <c r="O5166" s="3">
        <v>0.75</v>
      </c>
      <c r="P5166">
        <v>11</v>
      </c>
      <c r="Q5166">
        <v>13</v>
      </c>
      <c r="R5166">
        <v>1</v>
      </c>
      <c r="S5166">
        <v>6</v>
      </c>
      <c r="T5166">
        <v>10</v>
      </c>
      <c r="U5166">
        <v>11</v>
      </c>
      <c r="V5166">
        <v>4</v>
      </c>
      <c r="W5166">
        <v>1</v>
      </c>
      <c r="X5166">
        <v>0</v>
      </c>
      <c r="Y5166">
        <v>0</v>
      </c>
      <c r="Z5166">
        <v>0</v>
      </c>
    </row>
    <row r="5167" spans="1:26" x14ac:dyDescent="0.2">
      <c r="A5167" t="s">
        <v>5285</v>
      </c>
      <c r="B5167" t="s">
        <v>97</v>
      </c>
      <c r="C5167">
        <v>2022</v>
      </c>
      <c r="D5167" t="s">
        <v>46</v>
      </c>
      <c r="E5167" t="s">
        <v>101</v>
      </c>
      <c r="F5167" t="s">
        <v>20</v>
      </c>
      <c r="G5167">
        <v>60704</v>
      </c>
      <c r="H5167">
        <v>48563.200000000004</v>
      </c>
      <c r="I5167" s="13">
        <v>1</v>
      </c>
      <c r="J5167" t="s">
        <v>6207</v>
      </c>
      <c r="K5167">
        <v>1</v>
      </c>
      <c r="L5167">
        <v>1</v>
      </c>
      <c r="M5167" t="s">
        <v>58</v>
      </c>
      <c r="N5167" s="3">
        <v>0.69</v>
      </c>
      <c r="O5167" s="3">
        <v>0.31</v>
      </c>
      <c r="P5167">
        <v>9</v>
      </c>
      <c r="Q5167">
        <v>10</v>
      </c>
      <c r="R5167">
        <v>7</v>
      </c>
      <c r="S5167">
        <v>4</v>
      </c>
      <c r="T5167">
        <v>9</v>
      </c>
      <c r="U5167">
        <v>9</v>
      </c>
      <c r="V5167">
        <v>0</v>
      </c>
      <c r="W5167">
        <v>2</v>
      </c>
      <c r="X5167">
        <v>0</v>
      </c>
      <c r="Y5167">
        <v>0</v>
      </c>
      <c r="Z5167">
        <v>0</v>
      </c>
    </row>
    <row r="5168" spans="1:26" x14ac:dyDescent="0.2">
      <c r="A5168" t="s">
        <v>5286</v>
      </c>
      <c r="B5168" t="s">
        <v>59</v>
      </c>
      <c r="C5168">
        <v>2022</v>
      </c>
      <c r="D5168" t="s">
        <v>86</v>
      </c>
      <c r="E5168" t="s">
        <v>64</v>
      </c>
      <c r="F5168" t="s">
        <v>86</v>
      </c>
      <c r="G5168">
        <v>11364</v>
      </c>
      <c r="H5168">
        <v>9091.2000000000007</v>
      </c>
      <c r="I5168" s="13">
        <v>0.4</v>
      </c>
      <c r="J5168" t="s">
        <v>6206</v>
      </c>
      <c r="K5168">
        <v>1</v>
      </c>
      <c r="L5168">
        <v>1</v>
      </c>
      <c r="M5168" t="s">
        <v>58</v>
      </c>
      <c r="N5168" s="3">
        <v>0.33</v>
      </c>
      <c r="O5168" s="3">
        <v>0.67</v>
      </c>
      <c r="P5168">
        <v>14</v>
      </c>
      <c r="Q5168">
        <v>10</v>
      </c>
      <c r="R5168">
        <v>4</v>
      </c>
      <c r="S5168">
        <v>6</v>
      </c>
      <c r="T5168">
        <v>8</v>
      </c>
      <c r="U5168">
        <v>10</v>
      </c>
      <c r="V5168">
        <v>2</v>
      </c>
      <c r="W5168">
        <v>3</v>
      </c>
      <c r="X5168">
        <v>0</v>
      </c>
      <c r="Y5168">
        <v>0</v>
      </c>
      <c r="Z5168">
        <v>0</v>
      </c>
    </row>
    <row r="5169" spans="1:26" x14ac:dyDescent="0.2">
      <c r="A5169" t="s">
        <v>5287</v>
      </c>
      <c r="B5169" t="s">
        <v>81</v>
      </c>
      <c r="C5169">
        <v>2022</v>
      </c>
      <c r="D5169" t="s">
        <v>33</v>
      </c>
      <c r="E5169" t="s">
        <v>48</v>
      </c>
      <c r="F5169" t="s">
        <v>33</v>
      </c>
      <c r="G5169">
        <v>37645</v>
      </c>
      <c r="H5169">
        <v>30116</v>
      </c>
      <c r="I5169" s="13">
        <v>1</v>
      </c>
      <c r="J5169" t="s">
        <v>6207</v>
      </c>
      <c r="K5169">
        <v>0</v>
      </c>
      <c r="L5169">
        <v>2</v>
      </c>
      <c r="M5169" t="s">
        <v>1</v>
      </c>
      <c r="N5169" s="3">
        <v>0.33</v>
      </c>
      <c r="O5169" s="3">
        <v>0.67</v>
      </c>
      <c r="P5169">
        <v>14</v>
      </c>
      <c r="Q5169">
        <v>12</v>
      </c>
      <c r="R5169">
        <v>7</v>
      </c>
      <c r="S5169">
        <v>3</v>
      </c>
      <c r="T5169">
        <v>10</v>
      </c>
      <c r="U5169">
        <v>13</v>
      </c>
      <c r="V5169">
        <v>2</v>
      </c>
      <c r="W5169">
        <v>1</v>
      </c>
      <c r="X5169">
        <v>0</v>
      </c>
      <c r="Y5169">
        <v>0</v>
      </c>
      <c r="Z5169">
        <v>0</v>
      </c>
    </row>
    <row r="5170" spans="1:26" x14ac:dyDescent="0.2">
      <c r="A5170" t="s">
        <v>5288</v>
      </c>
      <c r="B5170" t="s">
        <v>99</v>
      </c>
      <c r="C5170">
        <v>2022</v>
      </c>
      <c r="D5170" t="s">
        <v>40</v>
      </c>
      <c r="E5170" t="s">
        <v>42</v>
      </c>
      <c r="F5170" t="s">
        <v>49</v>
      </c>
      <c r="G5170">
        <v>53400</v>
      </c>
      <c r="H5170">
        <v>42720</v>
      </c>
      <c r="I5170" s="13">
        <v>0.66666666666666663</v>
      </c>
      <c r="J5170" t="s">
        <v>6207</v>
      </c>
      <c r="K5170">
        <v>3</v>
      </c>
      <c r="L5170">
        <v>1</v>
      </c>
      <c r="M5170" t="s">
        <v>0</v>
      </c>
      <c r="N5170" s="3">
        <v>0.67</v>
      </c>
      <c r="O5170" s="3">
        <v>0.33</v>
      </c>
      <c r="P5170">
        <v>14</v>
      </c>
      <c r="Q5170">
        <v>14</v>
      </c>
      <c r="R5170">
        <v>8</v>
      </c>
      <c r="S5170">
        <v>4</v>
      </c>
      <c r="T5170">
        <v>13</v>
      </c>
      <c r="U5170">
        <v>14</v>
      </c>
      <c r="V5170">
        <v>1</v>
      </c>
      <c r="W5170">
        <v>2</v>
      </c>
      <c r="X5170">
        <v>0</v>
      </c>
      <c r="Y5170">
        <v>0</v>
      </c>
      <c r="Z5170">
        <v>1</v>
      </c>
    </row>
    <row r="5171" spans="1:26" x14ac:dyDescent="0.2">
      <c r="A5171" t="s">
        <v>5289</v>
      </c>
      <c r="B5171" t="s">
        <v>84</v>
      </c>
      <c r="C5171">
        <v>2022</v>
      </c>
      <c r="D5171" t="s">
        <v>26</v>
      </c>
      <c r="E5171" t="s">
        <v>45</v>
      </c>
      <c r="F5171" t="s">
        <v>26</v>
      </c>
      <c r="G5171">
        <v>61276</v>
      </c>
      <c r="H5171">
        <v>49020.800000000003</v>
      </c>
      <c r="I5171" s="13">
        <v>0.25</v>
      </c>
      <c r="J5171" t="s">
        <v>6208</v>
      </c>
      <c r="K5171">
        <v>2</v>
      </c>
      <c r="L5171">
        <v>0</v>
      </c>
      <c r="M5171" t="s">
        <v>0</v>
      </c>
      <c r="N5171" s="3">
        <v>0.59</v>
      </c>
      <c r="O5171" s="3">
        <v>0.41</v>
      </c>
      <c r="P5171">
        <v>16</v>
      </c>
      <c r="Q5171">
        <v>11</v>
      </c>
      <c r="R5171">
        <v>3</v>
      </c>
      <c r="S5171">
        <v>3</v>
      </c>
      <c r="T5171">
        <v>8</v>
      </c>
      <c r="U5171">
        <v>16</v>
      </c>
      <c r="V5171">
        <v>1</v>
      </c>
      <c r="W5171">
        <v>3</v>
      </c>
      <c r="X5171">
        <v>0</v>
      </c>
      <c r="Y5171">
        <v>0</v>
      </c>
      <c r="Z5171">
        <v>0</v>
      </c>
    </row>
    <row r="5172" spans="1:26" x14ac:dyDescent="0.2">
      <c r="A5172" t="s">
        <v>5290</v>
      </c>
      <c r="B5172" t="s">
        <v>84</v>
      </c>
      <c r="C5172">
        <v>2022</v>
      </c>
      <c r="D5172" t="s">
        <v>42</v>
      </c>
      <c r="E5172" t="s">
        <v>46</v>
      </c>
      <c r="F5172" t="s">
        <v>38</v>
      </c>
      <c r="G5172">
        <v>42918</v>
      </c>
      <c r="H5172">
        <v>34334.400000000001</v>
      </c>
      <c r="I5172" s="13">
        <v>0.66666666666666663</v>
      </c>
      <c r="J5172" t="s">
        <v>6208</v>
      </c>
      <c r="K5172">
        <v>2</v>
      </c>
      <c r="L5172">
        <v>4</v>
      </c>
      <c r="M5172" t="s">
        <v>1</v>
      </c>
      <c r="N5172" s="3">
        <v>0.33</v>
      </c>
      <c r="O5172" s="3">
        <v>0.67</v>
      </c>
      <c r="P5172">
        <v>6</v>
      </c>
      <c r="Q5172">
        <v>12</v>
      </c>
      <c r="R5172">
        <v>2</v>
      </c>
      <c r="S5172">
        <v>9</v>
      </c>
      <c r="T5172">
        <v>13</v>
      </c>
      <c r="U5172">
        <v>4</v>
      </c>
      <c r="V5172">
        <v>2</v>
      </c>
      <c r="W5172">
        <v>1</v>
      </c>
      <c r="X5172">
        <v>0</v>
      </c>
      <c r="Y5172">
        <v>0</v>
      </c>
      <c r="Z5172">
        <v>0</v>
      </c>
    </row>
    <row r="5173" spans="1:26" x14ac:dyDescent="0.2">
      <c r="A5173" t="s">
        <v>5291</v>
      </c>
      <c r="B5173" t="s">
        <v>103</v>
      </c>
      <c r="C5173">
        <v>2022</v>
      </c>
      <c r="D5173" t="s">
        <v>22</v>
      </c>
      <c r="E5173" t="s">
        <v>86</v>
      </c>
      <c r="F5173" t="s">
        <v>24</v>
      </c>
      <c r="G5173">
        <v>31750</v>
      </c>
      <c r="H5173">
        <v>25400</v>
      </c>
      <c r="I5173" s="13">
        <v>0.83333333333333337</v>
      </c>
      <c r="J5173" t="s">
        <v>6207</v>
      </c>
      <c r="K5173">
        <v>0</v>
      </c>
      <c r="L5173">
        <v>1</v>
      </c>
      <c r="M5173" t="s">
        <v>1</v>
      </c>
      <c r="N5173" s="3">
        <v>0.69</v>
      </c>
      <c r="O5173" s="3">
        <v>0.31</v>
      </c>
      <c r="P5173">
        <v>10</v>
      </c>
      <c r="Q5173">
        <v>14</v>
      </c>
      <c r="R5173">
        <v>12</v>
      </c>
      <c r="S5173">
        <v>2</v>
      </c>
      <c r="T5173">
        <v>12</v>
      </c>
      <c r="U5173">
        <v>10</v>
      </c>
      <c r="V5173">
        <v>3</v>
      </c>
      <c r="W5173">
        <v>3</v>
      </c>
      <c r="X5173">
        <v>0</v>
      </c>
      <c r="Y5173">
        <v>0</v>
      </c>
      <c r="Z5173">
        <v>0</v>
      </c>
    </row>
    <row r="5174" spans="1:26" x14ac:dyDescent="0.2">
      <c r="A5174" t="s">
        <v>5292</v>
      </c>
      <c r="B5174" t="s">
        <v>83</v>
      </c>
      <c r="C5174">
        <v>2022</v>
      </c>
      <c r="D5174" t="s">
        <v>94</v>
      </c>
      <c r="E5174" t="s">
        <v>40</v>
      </c>
      <c r="F5174" t="s">
        <v>106</v>
      </c>
      <c r="G5174">
        <v>30445</v>
      </c>
      <c r="H5174">
        <v>24356</v>
      </c>
      <c r="I5174" s="13">
        <v>0</v>
      </c>
      <c r="J5174" t="s">
        <v>6208</v>
      </c>
      <c r="K5174">
        <v>1</v>
      </c>
      <c r="L5174">
        <v>1</v>
      </c>
      <c r="M5174" t="s">
        <v>58</v>
      </c>
      <c r="N5174" s="3">
        <v>0.26</v>
      </c>
      <c r="O5174" s="3">
        <v>0.74</v>
      </c>
      <c r="P5174">
        <v>6</v>
      </c>
      <c r="Q5174">
        <v>8</v>
      </c>
      <c r="R5174">
        <v>0</v>
      </c>
      <c r="S5174">
        <v>10</v>
      </c>
      <c r="T5174">
        <v>8</v>
      </c>
      <c r="U5174">
        <v>6</v>
      </c>
      <c r="V5174">
        <v>1</v>
      </c>
      <c r="W5174">
        <v>1</v>
      </c>
      <c r="X5174">
        <v>0</v>
      </c>
      <c r="Y5174">
        <v>0</v>
      </c>
      <c r="Z5174">
        <v>0</v>
      </c>
    </row>
    <row r="5175" spans="1:26" x14ac:dyDescent="0.2">
      <c r="A5175" t="s">
        <v>5293</v>
      </c>
      <c r="B5175" t="s">
        <v>92</v>
      </c>
      <c r="C5175">
        <v>2022</v>
      </c>
      <c r="D5175" t="s">
        <v>45</v>
      </c>
      <c r="E5175" t="s">
        <v>33</v>
      </c>
      <c r="F5175" t="s">
        <v>26</v>
      </c>
      <c r="G5175">
        <v>39572</v>
      </c>
      <c r="H5175">
        <v>31657.600000000002</v>
      </c>
      <c r="I5175" s="13">
        <v>0.8</v>
      </c>
      <c r="J5175" t="s">
        <v>6207</v>
      </c>
      <c r="K5175">
        <v>1</v>
      </c>
      <c r="L5175">
        <v>0</v>
      </c>
      <c r="M5175" t="s">
        <v>0</v>
      </c>
      <c r="N5175" s="3">
        <v>0.5</v>
      </c>
      <c r="O5175" s="3">
        <v>0.5</v>
      </c>
      <c r="P5175">
        <v>7</v>
      </c>
      <c r="Q5175">
        <v>9</v>
      </c>
      <c r="R5175">
        <v>6</v>
      </c>
      <c r="S5175">
        <v>4</v>
      </c>
      <c r="T5175">
        <v>8</v>
      </c>
      <c r="U5175">
        <v>6</v>
      </c>
      <c r="V5175">
        <v>2</v>
      </c>
      <c r="W5175">
        <v>3</v>
      </c>
      <c r="X5175">
        <v>0</v>
      </c>
      <c r="Y5175">
        <v>0</v>
      </c>
      <c r="Z5175">
        <v>0</v>
      </c>
    </row>
    <row r="5176" spans="1:26" x14ac:dyDescent="0.2">
      <c r="A5176" t="s">
        <v>5294</v>
      </c>
      <c r="B5176" t="s">
        <v>93</v>
      </c>
      <c r="C5176">
        <v>2022</v>
      </c>
      <c r="D5176" t="s">
        <v>18</v>
      </c>
      <c r="E5176" t="s">
        <v>73</v>
      </c>
      <c r="F5176" t="s">
        <v>20</v>
      </c>
      <c r="G5176">
        <v>40341</v>
      </c>
      <c r="H5176">
        <v>32272.800000000003</v>
      </c>
      <c r="I5176" s="13">
        <v>0.77777777777777779</v>
      </c>
      <c r="J5176" t="s">
        <v>6206</v>
      </c>
      <c r="K5176">
        <v>0</v>
      </c>
      <c r="L5176">
        <v>1</v>
      </c>
      <c r="M5176" t="s">
        <v>1</v>
      </c>
      <c r="N5176" s="3">
        <v>0.61</v>
      </c>
      <c r="O5176" s="3">
        <v>0.39</v>
      </c>
      <c r="P5176">
        <v>22</v>
      </c>
      <c r="Q5176">
        <v>18</v>
      </c>
      <c r="R5176">
        <v>8</v>
      </c>
      <c r="S5176">
        <v>2</v>
      </c>
      <c r="T5176">
        <v>16</v>
      </c>
      <c r="U5176">
        <v>24</v>
      </c>
      <c r="V5176">
        <v>3</v>
      </c>
      <c r="W5176">
        <v>6</v>
      </c>
      <c r="X5176">
        <v>0</v>
      </c>
      <c r="Y5176">
        <v>0</v>
      </c>
      <c r="Z5176">
        <v>0</v>
      </c>
    </row>
    <row r="5177" spans="1:26" x14ac:dyDescent="0.2">
      <c r="A5177" t="s">
        <v>5295</v>
      </c>
      <c r="B5177" t="s">
        <v>100</v>
      </c>
      <c r="C5177">
        <v>2022</v>
      </c>
      <c r="D5177" t="s">
        <v>90</v>
      </c>
      <c r="E5177" t="s">
        <v>31</v>
      </c>
      <c r="F5177" t="s">
        <v>91</v>
      </c>
      <c r="G5177">
        <v>31876</v>
      </c>
      <c r="H5177">
        <v>25500.800000000003</v>
      </c>
      <c r="I5177" s="13">
        <v>0.83333333333333337</v>
      </c>
      <c r="J5177" t="s">
        <v>6207</v>
      </c>
      <c r="K5177">
        <v>0</v>
      </c>
      <c r="L5177">
        <v>1</v>
      </c>
      <c r="M5177" t="s">
        <v>1</v>
      </c>
      <c r="N5177" s="3">
        <v>0.65</v>
      </c>
      <c r="O5177" s="3">
        <v>0.35</v>
      </c>
      <c r="P5177">
        <v>13</v>
      </c>
      <c r="Q5177">
        <v>15</v>
      </c>
      <c r="R5177">
        <v>10</v>
      </c>
      <c r="S5177">
        <v>2</v>
      </c>
      <c r="T5177">
        <v>12</v>
      </c>
      <c r="U5177">
        <v>14</v>
      </c>
      <c r="V5177">
        <v>0</v>
      </c>
      <c r="W5177">
        <v>5</v>
      </c>
      <c r="X5177">
        <v>1</v>
      </c>
      <c r="Y5177">
        <v>0</v>
      </c>
      <c r="Z5177">
        <v>0</v>
      </c>
    </row>
    <row r="5178" spans="1:26" x14ac:dyDescent="0.2">
      <c r="A5178" t="s">
        <v>5296</v>
      </c>
      <c r="B5178" t="s">
        <v>81</v>
      </c>
      <c r="C5178">
        <v>2022</v>
      </c>
      <c r="D5178" t="s">
        <v>101</v>
      </c>
      <c r="E5178" t="s">
        <v>79</v>
      </c>
      <c r="F5178" t="s">
        <v>101</v>
      </c>
      <c r="G5178">
        <v>17250</v>
      </c>
      <c r="H5178">
        <v>13800</v>
      </c>
      <c r="I5178" s="13">
        <v>0.75</v>
      </c>
      <c r="J5178" t="s">
        <v>6207</v>
      </c>
      <c r="K5178">
        <v>1</v>
      </c>
      <c r="L5178">
        <v>1</v>
      </c>
      <c r="M5178" t="s">
        <v>58</v>
      </c>
      <c r="N5178" s="3">
        <v>0.59</v>
      </c>
      <c r="O5178" s="3">
        <v>0.41</v>
      </c>
      <c r="P5178">
        <v>10</v>
      </c>
      <c r="Q5178">
        <v>13</v>
      </c>
      <c r="R5178">
        <v>2</v>
      </c>
      <c r="S5178">
        <v>6</v>
      </c>
      <c r="T5178">
        <v>10</v>
      </c>
      <c r="U5178">
        <v>8</v>
      </c>
      <c r="V5178">
        <v>2</v>
      </c>
      <c r="W5178">
        <v>2</v>
      </c>
      <c r="X5178">
        <v>0</v>
      </c>
      <c r="Y5178">
        <v>0</v>
      </c>
      <c r="Z5178">
        <v>0</v>
      </c>
    </row>
    <row r="5179" spans="1:26" x14ac:dyDescent="0.2">
      <c r="A5179" t="s">
        <v>5297</v>
      </c>
      <c r="B5179" t="s">
        <v>61</v>
      </c>
      <c r="C5179">
        <v>2022</v>
      </c>
      <c r="D5179" t="s">
        <v>64</v>
      </c>
      <c r="E5179" t="s">
        <v>26</v>
      </c>
      <c r="F5179" t="s">
        <v>64</v>
      </c>
      <c r="G5179">
        <v>52264</v>
      </c>
      <c r="H5179">
        <v>41811.200000000004</v>
      </c>
      <c r="I5179" s="13">
        <v>0.66666666666666663</v>
      </c>
      <c r="J5179" t="s">
        <v>6207</v>
      </c>
      <c r="K5179">
        <v>0</v>
      </c>
      <c r="L5179">
        <v>2</v>
      </c>
      <c r="M5179" t="s">
        <v>1</v>
      </c>
      <c r="N5179" s="3">
        <v>0.37</v>
      </c>
      <c r="O5179" s="3">
        <v>0.63</v>
      </c>
      <c r="P5179">
        <v>6</v>
      </c>
      <c r="Q5179">
        <v>3</v>
      </c>
      <c r="R5179">
        <v>6</v>
      </c>
      <c r="S5179">
        <v>7</v>
      </c>
      <c r="T5179">
        <v>3</v>
      </c>
      <c r="U5179">
        <v>8</v>
      </c>
      <c r="V5179">
        <v>1</v>
      </c>
      <c r="W5179">
        <v>1</v>
      </c>
      <c r="X5179">
        <v>1</v>
      </c>
      <c r="Y5179">
        <v>0</v>
      </c>
      <c r="Z5179">
        <v>0</v>
      </c>
    </row>
    <row r="5180" spans="1:26" x14ac:dyDescent="0.2">
      <c r="A5180" t="s">
        <v>5298</v>
      </c>
      <c r="B5180" t="s">
        <v>59</v>
      </c>
      <c r="C5180">
        <v>2022</v>
      </c>
      <c r="D5180" t="s">
        <v>48</v>
      </c>
      <c r="E5180" t="s">
        <v>80</v>
      </c>
      <c r="F5180" t="s">
        <v>49</v>
      </c>
      <c r="G5180">
        <v>74197</v>
      </c>
      <c r="H5180">
        <v>59357.600000000006</v>
      </c>
      <c r="I5180" s="13">
        <v>1</v>
      </c>
      <c r="J5180" t="s">
        <v>6206</v>
      </c>
      <c r="K5180">
        <v>3</v>
      </c>
      <c r="L5180">
        <v>0</v>
      </c>
      <c r="M5180" t="s">
        <v>0</v>
      </c>
      <c r="N5180" s="3">
        <v>0.56999999999999995</v>
      </c>
      <c r="O5180" s="3">
        <v>0.43</v>
      </c>
      <c r="P5180">
        <v>8</v>
      </c>
      <c r="Q5180">
        <v>8</v>
      </c>
      <c r="R5180">
        <v>6</v>
      </c>
      <c r="S5180">
        <v>6</v>
      </c>
      <c r="T5180">
        <v>9</v>
      </c>
      <c r="U5180">
        <v>9</v>
      </c>
      <c r="V5180">
        <v>0</v>
      </c>
      <c r="W5180">
        <v>2</v>
      </c>
      <c r="X5180">
        <v>0</v>
      </c>
      <c r="Y5180">
        <v>0</v>
      </c>
      <c r="Z5180">
        <v>0</v>
      </c>
    </row>
    <row r="5181" spans="1:26" x14ac:dyDescent="0.2">
      <c r="A5181" t="s">
        <v>5299</v>
      </c>
      <c r="B5181" t="s">
        <v>66</v>
      </c>
      <c r="C5181">
        <v>2022</v>
      </c>
      <c r="D5181" t="s">
        <v>51</v>
      </c>
      <c r="E5181" t="s">
        <v>23</v>
      </c>
      <c r="F5181" t="s">
        <v>20</v>
      </c>
      <c r="G5181">
        <v>36284</v>
      </c>
      <c r="H5181">
        <v>29027.200000000001</v>
      </c>
      <c r="I5181" s="13">
        <v>0.66666666666666663</v>
      </c>
      <c r="J5181" t="s">
        <v>6207</v>
      </c>
      <c r="K5181">
        <v>2</v>
      </c>
      <c r="L5181">
        <v>0</v>
      </c>
      <c r="M5181" t="s">
        <v>0</v>
      </c>
      <c r="N5181" s="3">
        <v>0.56999999999999995</v>
      </c>
      <c r="O5181" s="3">
        <v>0.43</v>
      </c>
      <c r="P5181">
        <v>10</v>
      </c>
      <c r="Q5181">
        <v>13</v>
      </c>
      <c r="R5181">
        <v>4</v>
      </c>
      <c r="S5181">
        <v>7</v>
      </c>
      <c r="T5181">
        <v>16</v>
      </c>
      <c r="U5181">
        <v>10</v>
      </c>
      <c r="V5181">
        <v>2</v>
      </c>
      <c r="W5181">
        <v>1</v>
      </c>
      <c r="X5181">
        <v>0</v>
      </c>
      <c r="Y5181">
        <v>0</v>
      </c>
      <c r="Z5181">
        <v>0</v>
      </c>
    </row>
    <row r="5182" spans="1:26" x14ac:dyDescent="0.2">
      <c r="A5182" t="s">
        <v>5300</v>
      </c>
      <c r="B5182" t="s">
        <v>66</v>
      </c>
      <c r="C5182">
        <v>2022</v>
      </c>
      <c r="D5182" t="s">
        <v>31</v>
      </c>
      <c r="E5182" t="s">
        <v>22</v>
      </c>
      <c r="F5182" t="s">
        <v>20</v>
      </c>
      <c r="G5182">
        <v>28500</v>
      </c>
      <c r="H5182">
        <v>22800</v>
      </c>
      <c r="I5182" s="13">
        <v>1</v>
      </c>
      <c r="J5182" t="s">
        <v>6207</v>
      </c>
      <c r="K5182">
        <v>1</v>
      </c>
      <c r="L5182">
        <v>1</v>
      </c>
      <c r="M5182" t="s">
        <v>58</v>
      </c>
      <c r="N5182" s="3">
        <v>0.5</v>
      </c>
      <c r="O5182" s="3">
        <v>0.5</v>
      </c>
      <c r="P5182">
        <v>14</v>
      </c>
      <c r="Q5182">
        <v>13</v>
      </c>
      <c r="R5182">
        <v>3</v>
      </c>
      <c r="S5182">
        <v>3</v>
      </c>
      <c r="T5182">
        <v>12</v>
      </c>
      <c r="U5182">
        <v>17</v>
      </c>
      <c r="V5182">
        <v>2</v>
      </c>
      <c r="W5182">
        <v>0</v>
      </c>
      <c r="X5182">
        <v>0</v>
      </c>
      <c r="Y5182">
        <v>0</v>
      </c>
      <c r="Z5182">
        <v>0</v>
      </c>
    </row>
    <row r="5183" spans="1:26" x14ac:dyDescent="0.2">
      <c r="A5183" t="s">
        <v>5301</v>
      </c>
      <c r="B5183" t="s">
        <v>102</v>
      </c>
      <c r="C5183">
        <v>2022</v>
      </c>
      <c r="D5183" t="s">
        <v>23</v>
      </c>
      <c r="E5183" t="s">
        <v>94</v>
      </c>
      <c r="F5183" t="s">
        <v>20</v>
      </c>
      <c r="G5183">
        <v>62500</v>
      </c>
      <c r="H5183">
        <v>50000</v>
      </c>
      <c r="I5183" s="13">
        <v>0</v>
      </c>
      <c r="J5183" t="s">
        <v>6209</v>
      </c>
      <c r="K5183">
        <v>4</v>
      </c>
      <c r="L5183">
        <v>0</v>
      </c>
      <c r="M5183" t="s">
        <v>0</v>
      </c>
      <c r="N5183" s="3">
        <v>0.49</v>
      </c>
      <c r="O5183" s="3">
        <v>0.51</v>
      </c>
      <c r="P5183">
        <v>6</v>
      </c>
      <c r="Q5183">
        <v>9</v>
      </c>
      <c r="R5183">
        <v>12</v>
      </c>
      <c r="S5183">
        <v>3</v>
      </c>
      <c r="T5183">
        <v>8</v>
      </c>
      <c r="U5183">
        <v>5</v>
      </c>
      <c r="V5183">
        <v>0</v>
      </c>
      <c r="W5183">
        <v>0</v>
      </c>
      <c r="X5183">
        <v>0</v>
      </c>
      <c r="Y5183">
        <v>0</v>
      </c>
      <c r="Z5183">
        <v>0</v>
      </c>
    </row>
    <row r="5184" spans="1:26" x14ac:dyDescent="0.2">
      <c r="A5184" t="s">
        <v>5302</v>
      </c>
      <c r="B5184" t="s">
        <v>76</v>
      </c>
      <c r="C5184">
        <v>2022</v>
      </c>
      <c r="D5184" t="s">
        <v>80</v>
      </c>
      <c r="E5184" t="s">
        <v>46</v>
      </c>
      <c r="F5184" t="s">
        <v>80</v>
      </c>
      <c r="G5184">
        <v>32261</v>
      </c>
      <c r="H5184">
        <v>25808.800000000003</v>
      </c>
      <c r="I5184" s="13">
        <v>1</v>
      </c>
      <c r="J5184" t="s">
        <v>6207</v>
      </c>
      <c r="K5184">
        <v>0</v>
      </c>
      <c r="L5184">
        <v>1</v>
      </c>
      <c r="M5184" t="s">
        <v>1</v>
      </c>
      <c r="N5184" s="3">
        <v>0.34</v>
      </c>
      <c r="O5184" s="3">
        <v>0.66</v>
      </c>
      <c r="P5184">
        <v>14</v>
      </c>
      <c r="Q5184">
        <v>19</v>
      </c>
      <c r="R5184">
        <v>0</v>
      </c>
      <c r="S5184">
        <v>8</v>
      </c>
      <c r="T5184">
        <v>14</v>
      </c>
      <c r="U5184">
        <v>9</v>
      </c>
      <c r="V5184">
        <v>0</v>
      </c>
      <c r="W5184">
        <v>1</v>
      </c>
      <c r="X5184">
        <v>0</v>
      </c>
      <c r="Y5184">
        <v>0</v>
      </c>
      <c r="Z5184">
        <v>0</v>
      </c>
    </row>
    <row r="5185" spans="1:26" x14ac:dyDescent="0.2">
      <c r="A5185" t="s">
        <v>5303</v>
      </c>
      <c r="B5185" t="s">
        <v>97</v>
      </c>
      <c r="C5185">
        <v>2022</v>
      </c>
      <c r="D5185" t="s">
        <v>33</v>
      </c>
      <c r="E5185" t="s">
        <v>73</v>
      </c>
      <c r="F5185" t="s">
        <v>33</v>
      </c>
      <c r="G5185">
        <v>37645</v>
      </c>
      <c r="H5185">
        <v>30116</v>
      </c>
      <c r="I5185" s="13">
        <v>0.66666666666666663</v>
      </c>
      <c r="J5185" t="s">
        <v>6207</v>
      </c>
      <c r="K5185">
        <v>1</v>
      </c>
      <c r="L5185">
        <v>0</v>
      </c>
      <c r="M5185" t="s">
        <v>0</v>
      </c>
      <c r="N5185" s="3">
        <v>0.6</v>
      </c>
      <c r="O5185" s="3">
        <v>0.4</v>
      </c>
      <c r="P5185">
        <v>16</v>
      </c>
      <c r="Q5185">
        <v>17</v>
      </c>
      <c r="R5185">
        <v>9</v>
      </c>
      <c r="S5185">
        <v>2</v>
      </c>
      <c r="T5185">
        <v>15</v>
      </c>
      <c r="U5185">
        <v>13</v>
      </c>
      <c r="V5185">
        <v>2</v>
      </c>
      <c r="W5185">
        <v>4</v>
      </c>
      <c r="X5185">
        <v>0</v>
      </c>
      <c r="Y5185">
        <v>0</v>
      </c>
      <c r="Z5185">
        <v>0</v>
      </c>
    </row>
    <row r="5186" spans="1:26" x14ac:dyDescent="0.2">
      <c r="A5186" t="s">
        <v>5304</v>
      </c>
      <c r="B5186" t="s">
        <v>61</v>
      </c>
      <c r="C5186">
        <v>2022</v>
      </c>
      <c r="D5186" t="s">
        <v>45</v>
      </c>
      <c r="E5186" t="s">
        <v>42</v>
      </c>
      <c r="F5186" t="s">
        <v>26</v>
      </c>
      <c r="G5186">
        <v>39572</v>
      </c>
      <c r="H5186">
        <v>31657.600000000002</v>
      </c>
      <c r="I5186" s="13">
        <v>1</v>
      </c>
      <c r="J5186" t="s">
        <v>6207</v>
      </c>
      <c r="K5186">
        <v>0</v>
      </c>
      <c r="L5186">
        <v>2</v>
      </c>
      <c r="M5186" t="s">
        <v>1</v>
      </c>
      <c r="N5186" s="3">
        <v>0.47</v>
      </c>
      <c r="O5186" s="3">
        <v>0.53</v>
      </c>
      <c r="P5186">
        <v>12</v>
      </c>
      <c r="Q5186">
        <v>12</v>
      </c>
      <c r="R5186">
        <v>5</v>
      </c>
      <c r="S5186">
        <v>1</v>
      </c>
      <c r="T5186">
        <v>12</v>
      </c>
      <c r="U5186">
        <v>12</v>
      </c>
      <c r="V5186">
        <v>2</v>
      </c>
      <c r="W5186">
        <v>1</v>
      </c>
      <c r="X5186">
        <v>0</v>
      </c>
      <c r="Y5186">
        <v>0</v>
      </c>
      <c r="Z5186">
        <v>1</v>
      </c>
    </row>
    <row r="5187" spans="1:26" x14ac:dyDescent="0.2">
      <c r="A5187" t="s">
        <v>5305</v>
      </c>
      <c r="B5187" t="s">
        <v>81</v>
      </c>
      <c r="C5187">
        <v>2022</v>
      </c>
      <c r="D5187" t="s">
        <v>86</v>
      </c>
      <c r="E5187" t="s">
        <v>40</v>
      </c>
      <c r="F5187" t="s">
        <v>86</v>
      </c>
      <c r="G5187">
        <v>11364</v>
      </c>
      <c r="H5187">
        <v>9091.2000000000007</v>
      </c>
      <c r="I5187" s="13">
        <v>0.5</v>
      </c>
      <c r="J5187" t="s">
        <v>6207</v>
      </c>
      <c r="K5187">
        <v>1</v>
      </c>
      <c r="L5187">
        <v>4</v>
      </c>
      <c r="M5187" t="s">
        <v>1</v>
      </c>
      <c r="N5187" s="3">
        <v>0.34</v>
      </c>
      <c r="O5187" s="3">
        <v>0.66</v>
      </c>
      <c r="P5187">
        <v>11</v>
      </c>
      <c r="Q5187">
        <v>10</v>
      </c>
      <c r="R5187">
        <v>4</v>
      </c>
      <c r="S5187">
        <v>6</v>
      </c>
      <c r="T5187">
        <v>10</v>
      </c>
      <c r="U5187">
        <v>9</v>
      </c>
      <c r="V5187">
        <v>2</v>
      </c>
      <c r="W5187">
        <v>2</v>
      </c>
      <c r="X5187">
        <v>0</v>
      </c>
      <c r="Y5187">
        <v>0</v>
      </c>
      <c r="Z5187">
        <v>0</v>
      </c>
    </row>
    <row r="5188" spans="1:26" x14ac:dyDescent="0.2">
      <c r="A5188" t="s">
        <v>5306</v>
      </c>
      <c r="B5188" t="s">
        <v>100</v>
      </c>
      <c r="C5188">
        <v>2022</v>
      </c>
      <c r="D5188" t="s">
        <v>79</v>
      </c>
      <c r="E5188" t="s">
        <v>26</v>
      </c>
      <c r="F5188" t="s">
        <v>20</v>
      </c>
      <c r="G5188">
        <v>25486</v>
      </c>
      <c r="H5188">
        <v>20388.800000000003</v>
      </c>
      <c r="I5188" s="13">
        <v>0.5714285714285714</v>
      </c>
      <c r="J5188" t="s">
        <v>6207</v>
      </c>
      <c r="K5188">
        <v>0</v>
      </c>
      <c r="L5188">
        <v>0</v>
      </c>
      <c r="M5188" t="s">
        <v>58</v>
      </c>
      <c r="N5188" s="3">
        <v>0.36</v>
      </c>
      <c r="O5188" s="3">
        <v>0.64</v>
      </c>
      <c r="P5188">
        <v>15</v>
      </c>
      <c r="Q5188">
        <v>15</v>
      </c>
      <c r="R5188">
        <v>5</v>
      </c>
      <c r="S5188">
        <v>3</v>
      </c>
      <c r="T5188">
        <v>11</v>
      </c>
      <c r="U5188">
        <v>14</v>
      </c>
      <c r="V5188">
        <v>2</v>
      </c>
      <c r="W5188">
        <v>5</v>
      </c>
      <c r="X5188">
        <v>0</v>
      </c>
      <c r="Y5188">
        <v>0</v>
      </c>
      <c r="Z5188">
        <v>0</v>
      </c>
    </row>
    <row r="5189" spans="1:26" x14ac:dyDescent="0.2">
      <c r="A5189" t="s">
        <v>5307</v>
      </c>
      <c r="B5189" t="s">
        <v>59</v>
      </c>
      <c r="C5189">
        <v>2022</v>
      </c>
      <c r="D5189" t="s">
        <v>51</v>
      </c>
      <c r="E5189" t="s">
        <v>18</v>
      </c>
      <c r="F5189" t="s">
        <v>20</v>
      </c>
      <c r="G5189">
        <v>36284</v>
      </c>
      <c r="H5189">
        <v>29027.200000000001</v>
      </c>
      <c r="I5189" s="13">
        <v>0.4</v>
      </c>
      <c r="J5189" t="s">
        <v>6206</v>
      </c>
      <c r="K5189">
        <v>2</v>
      </c>
      <c r="L5189">
        <v>0</v>
      </c>
      <c r="M5189" t="s">
        <v>0</v>
      </c>
      <c r="N5189" s="3">
        <v>0.41</v>
      </c>
      <c r="O5189" s="3">
        <v>0.59</v>
      </c>
      <c r="P5189">
        <v>12</v>
      </c>
      <c r="Q5189">
        <v>10</v>
      </c>
      <c r="R5189">
        <v>4</v>
      </c>
      <c r="S5189">
        <v>4</v>
      </c>
      <c r="T5189">
        <v>10</v>
      </c>
      <c r="U5189">
        <v>10</v>
      </c>
      <c r="V5189">
        <v>2</v>
      </c>
      <c r="W5189">
        <v>3</v>
      </c>
      <c r="X5189">
        <v>0</v>
      </c>
      <c r="Y5189">
        <v>0</v>
      </c>
      <c r="Z5189">
        <v>0</v>
      </c>
    </row>
    <row r="5190" spans="1:26" x14ac:dyDescent="0.2">
      <c r="A5190" t="s">
        <v>5308</v>
      </c>
      <c r="B5190" t="s">
        <v>104</v>
      </c>
      <c r="C5190">
        <v>2022</v>
      </c>
      <c r="D5190" t="s">
        <v>48</v>
      </c>
      <c r="E5190" t="s">
        <v>101</v>
      </c>
      <c r="F5190" t="s">
        <v>49</v>
      </c>
      <c r="G5190">
        <v>74197</v>
      </c>
      <c r="H5190">
        <v>59357.600000000006</v>
      </c>
      <c r="I5190" s="13">
        <v>0.6</v>
      </c>
      <c r="J5190" t="s">
        <v>6206</v>
      </c>
      <c r="K5190">
        <v>1</v>
      </c>
      <c r="L5190">
        <v>0</v>
      </c>
      <c r="M5190" t="s">
        <v>0</v>
      </c>
      <c r="N5190" s="3">
        <v>0.65</v>
      </c>
      <c r="O5190" s="3">
        <v>0.35</v>
      </c>
      <c r="P5190">
        <v>13</v>
      </c>
      <c r="Q5190">
        <v>11</v>
      </c>
      <c r="R5190">
        <v>12</v>
      </c>
      <c r="S5190">
        <v>3</v>
      </c>
      <c r="T5190">
        <v>8</v>
      </c>
      <c r="U5190">
        <v>13</v>
      </c>
      <c r="V5190">
        <v>3</v>
      </c>
      <c r="W5190">
        <v>2</v>
      </c>
      <c r="X5190">
        <v>0</v>
      </c>
      <c r="Y5190">
        <v>0</v>
      </c>
      <c r="Z5190">
        <v>0</v>
      </c>
    </row>
    <row r="5191" spans="1:26" x14ac:dyDescent="0.2">
      <c r="A5191" t="s">
        <v>5309</v>
      </c>
      <c r="B5191" t="s">
        <v>99</v>
      </c>
      <c r="C5191">
        <v>2022</v>
      </c>
      <c r="D5191" t="s">
        <v>64</v>
      </c>
      <c r="E5191" t="s">
        <v>90</v>
      </c>
      <c r="F5191" t="s">
        <v>64</v>
      </c>
      <c r="G5191">
        <v>52264</v>
      </c>
      <c r="H5191">
        <v>41811.200000000004</v>
      </c>
      <c r="I5191" s="13">
        <v>1</v>
      </c>
      <c r="J5191" t="s">
        <v>6207</v>
      </c>
      <c r="K5191">
        <v>4</v>
      </c>
      <c r="L5191">
        <v>1</v>
      </c>
      <c r="M5191" t="s">
        <v>0</v>
      </c>
      <c r="N5191" s="3">
        <v>0.34</v>
      </c>
      <c r="O5191" s="3">
        <v>0.66</v>
      </c>
      <c r="P5191">
        <v>16</v>
      </c>
      <c r="Q5191">
        <v>15</v>
      </c>
      <c r="R5191">
        <v>6</v>
      </c>
      <c r="S5191">
        <v>1</v>
      </c>
      <c r="T5191">
        <v>17</v>
      </c>
      <c r="U5191">
        <v>16</v>
      </c>
      <c r="V5191">
        <v>2</v>
      </c>
      <c r="W5191">
        <v>4</v>
      </c>
      <c r="X5191">
        <v>0</v>
      </c>
      <c r="Y5191">
        <v>0</v>
      </c>
      <c r="Z5191">
        <v>0</v>
      </c>
    </row>
    <row r="5192" spans="1:26" x14ac:dyDescent="0.2">
      <c r="A5192" t="s">
        <v>5310</v>
      </c>
      <c r="B5192" t="s">
        <v>84</v>
      </c>
      <c r="C5192">
        <v>2022</v>
      </c>
      <c r="D5192" t="s">
        <v>40</v>
      </c>
      <c r="E5192" t="s">
        <v>64</v>
      </c>
      <c r="F5192" t="s">
        <v>49</v>
      </c>
      <c r="G5192">
        <v>53400</v>
      </c>
      <c r="H5192">
        <v>42720</v>
      </c>
      <c r="I5192" s="13">
        <v>0.66666666666666663</v>
      </c>
      <c r="J5192" t="s">
        <v>6208</v>
      </c>
      <c r="K5192">
        <v>2</v>
      </c>
      <c r="L5192">
        <v>0</v>
      </c>
      <c r="M5192" t="s">
        <v>0</v>
      </c>
      <c r="N5192" s="3">
        <v>0.56000000000000005</v>
      </c>
      <c r="O5192" s="3">
        <v>0.44</v>
      </c>
      <c r="P5192">
        <v>12</v>
      </c>
      <c r="Q5192">
        <v>8</v>
      </c>
      <c r="R5192">
        <v>8</v>
      </c>
      <c r="S5192">
        <v>4</v>
      </c>
      <c r="T5192">
        <v>8</v>
      </c>
      <c r="U5192">
        <v>13</v>
      </c>
      <c r="V5192">
        <v>2</v>
      </c>
      <c r="W5192">
        <v>4</v>
      </c>
      <c r="X5192">
        <v>0</v>
      </c>
      <c r="Y5192">
        <v>0</v>
      </c>
      <c r="Z5192">
        <v>0</v>
      </c>
    </row>
    <row r="5193" spans="1:26" x14ac:dyDescent="0.2">
      <c r="A5193" t="s">
        <v>5311</v>
      </c>
      <c r="B5193" t="s">
        <v>98</v>
      </c>
      <c r="C5193">
        <v>2022</v>
      </c>
      <c r="D5193" t="s">
        <v>22</v>
      </c>
      <c r="E5193" t="s">
        <v>51</v>
      </c>
      <c r="F5193" t="s">
        <v>24</v>
      </c>
      <c r="G5193">
        <v>31750</v>
      </c>
      <c r="H5193">
        <v>25400</v>
      </c>
      <c r="I5193" s="13">
        <v>1</v>
      </c>
      <c r="J5193" t="s">
        <v>6208</v>
      </c>
      <c r="K5193">
        <v>1</v>
      </c>
      <c r="L5193">
        <v>0</v>
      </c>
      <c r="M5193" t="s">
        <v>0</v>
      </c>
      <c r="N5193" s="3">
        <v>0.46</v>
      </c>
      <c r="O5193" s="3">
        <v>0.54</v>
      </c>
      <c r="P5193">
        <v>17</v>
      </c>
      <c r="Q5193">
        <v>12</v>
      </c>
      <c r="R5193">
        <v>4</v>
      </c>
      <c r="S5193">
        <v>8</v>
      </c>
      <c r="T5193">
        <v>11</v>
      </c>
      <c r="U5193">
        <v>18</v>
      </c>
      <c r="V5193">
        <v>1</v>
      </c>
      <c r="W5193">
        <v>1</v>
      </c>
      <c r="X5193">
        <v>0</v>
      </c>
      <c r="Y5193">
        <v>0</v>
      </c>
      <c r="Z5193">
        <v>0</v>
      </c>
    </row>
    <row r="5194" spans="1:26" x14ac:dyDescent="0.2">
      <c r="A5194" t="s">
        <v>5312</v>
      </c>
      <c r="B5194" t="s">
        <v>66</v>
      </c>
      <c r="C5194">
        <v>2022</v>
      </c>
      <c r="D5194" t="s">
        <v>18</v>
      </c>
      <c r="E5194" t="s">
        <v>33</v>
      </c>
      <c r="F5194" t="s">
        <v>20</v>
      </c>
      <c r="G5194">
        <v>40341</v>
      </c>
      <c r="H5194">
        <v>32272.800000000003</v>
      </c>
      <c r="I5194" s="13">
        <v>0.5</v>
      </c>
      <c r="J5194" t="s">
        <v>6207</v>
      </c>
      <c r="K5194">
        <v>1</v>
      </c>
      <c r="L5194">
        <v>0</v>
      </c>
      <c r="M5194" t="s">
        <v>0</v>
      </c>
      <c r="N5194" s="3">
        <v>0.57999999999999996</v>
      </c>
      <c r="O5194" s="3">
        <v>0.42</v>
      </c>
      <c r="P5194">
        <v>7</v>
      </c>
      <c r="Q5194">
        <v>12</v>
      </c>
      <c r="R5194">
        <v>5</v>
      </c>
      <c r="S5194">
        <v>7</v>
      </c>
      <c r="T5194">
        <v>10</v>
      </c>
      <c r="U5194">
        <v>7</v>
      </c>
      <c r="V5194">
        <v>2</v>
      </c>
      <c r="W5194">
        <v>0</v>
      </c>
      <c r="X5194">
        <v>0</v>
      </c>
      <c r="Y5194">
        <v>0</v>
      </c>
      <c r="Z5194">
        <v>0</v>
      </c>
    </row>
    <row r="5195" spans="1:26" x14ac:dyDescent="0.2">
      <c r="A5195" t="s">
        <v>5313</v>
      </c>
      <c r="B5195" t="s">
        <v>59</v>
      </c>
      <c r="C5195">
        <v>2022</v>
      </c>
      <c r="D5195" t="s">
        <v>90</v>
      </c>
      <c r="E5195" t="s">
        <v>23</v>
      </c>
      <c r="F5195" t="s">
        <v>91</v>
      </c>
      <c r="G5195">
        <v>31876</v>
      </c>
      <c r="H5195">
        <v>25500.800000000003</v>
      </c>
      <c r="I5195" s="13">
        <v>0.33333333333333331</v>
      </c>
      <c r="J5195" t="s">
        <v>6206</v>
      </c>
      <c r="K5195">
        <v>4</v>
      </c>
      <c r="L5195">
        <v>0</v>
      </c>
      <c r="M5195" t="s">
        <v>0</v>
      </c>
      <c r="N5195" s="3">
        <v>0.66</v>
      </c>
      <c r="O5195" s="3">
        <v>0.34</v>
      </c>
      <c r="P5195">
        <v>6</v>
      </c>
      <c r="Q5195">
        <v>8</v>
      </c>
      <c r="R5195">
        <v>7</v>
      </c>
      <c r="S5195">
        <v>3</v>
      </c>
      <c r="T5195">
        <v>6</v>
      </c>
      <c r="U5195">
        <v>8</v>
      </c>
      <c r="V5195">
        <v>0</v>
      </c>
      <c r="W5195">
        <v>3</v>
      </c>
      <c r="X5195">
        <v>0</v>
      </c>
      <c r="Y5195">
        <v>0</v>
      </c>
      <c r="Z5195">
        <v>1</v>
      </c>
    </row>
    <row r="5196" spans="1:26" x14ac:dyDescent="0.2">
      <c r="A5196" t="s">
        <v>5314</v>
      </c>
      <c r="B5196" t="s">
        <v>76</v>
      </c>
      <c r="C5196">
        <v>2022</v>
      </c>
      <c r="D5196" t="s">
        <v>42</v>
      </c>
      <c r="E5196" t="s">
        <v>79</v>
      </c>
      <c r="F5196" t="s">
        <v>38</v>
      </c>
      <c r="G5196">
        <v>42918</v>
      </c>
      <c r="H5196">
        <v>34334.400000000001</v>
      </c>
      <c r="I5196" s="13">
        <v>0.7142857142857143</v>
      </c>
      <c r="J5196" t="s">
        <v>6207</v>
      </c>
      <c r="K5196">
        <v>1</v>
      </c>
      <c r="L5196">
        <v>0</v>
      </c>
      <c r="M5196" t="s">
        <v>0</v>
      </c>
      <c r="N5196" s="3">
        <v>0.57999999999999996</v>
      </c>
      <c r="O5196" s="3">
        <v>0.42</v>
      </c>
      <c r="P5196">
        <v>21</v>
      </c>
      <c r="Q5196">
        <v>14</v>
      </c>
      <c r="R5196">
        <v>2</v>
      </c>
      <c r="S5196">
        <v>4</v>
      </c>
      <c r="T5196">
        <v>14</v>
      </c>
      <c r="U5196">
        <v>17</v>
      </c>
      <c r="V5196">
        <v>2</v>
      </c>
      <c r="W5196">
        <v>4</v>
      </c>
      <c r="X5196">
        <v>0</v>
      </c>
      <c r="Y5196">
        <v>1</v>
      </c>
      <c r="Z5196">
        <v>0</v>
      </c>
    </row>
    <row r="5197" spans="1:26" x14ac:dyDescent="0.2">
      <c r="A5197" t="s">
        <v>5315</v>
      </c>
      <c r="B5197" t="s">
        <v>88</v>
      </c>
      <c r="C5197">
        <v>2022</v>
      </c>
      <c r="D5197" t="s">
        <v>46</v>
      </c>
      <c r="E5197" t="s">
        <v>86</v>
      </c>
      <c r="F5197" t="s">
        <v>20</v>
      </c>
      <c r="G5197">
        <v>60704</v>
      </c>
      <c r="H5197">
        <v>48563.200000000004</v>
      </c>
      <c r="I5197" s="13">
        <v>0.5</v>
      </c>
      <c r="J5197" t="s">
        <v>6207</v>
      </c>
      <c r="K5197">
        <v>3</v>
      </c>
      <c r="L5197">
        <v>2</v>
      </c>
      <c r="M5197" t="s">
        <v>0</v>
      </c>
      <c r="N5197" s="3">
        <v>0.81</v>
      </c>
      <c r="O5197" s="3">
        <v>0.19</v>
      </c>
      <c r="P5197">
        <v>4</v>
      </c>
      <c r="Q5197">
        <v>6</v>
      </c>
      <c r="R5197">
        <v>17</v>
      </c>
      <c r="S5197">
        <v>1</v>
      </c>
      <c r="T5197">
        <v>6</v>
      </c>
      <c r="U5197">
        <v>8</v>
      </c>
      <c r="V5197">
        <v>0</v>
      </c>
      <c r="W5197">
        <v>2</v>
      </c>
      <c r="X5197">
        <v>0</v>
      </c>
      <c r="Y5197">
        <v>0</v>
      </c>
      <c r="Z5197">
        <v>0</v>
      </c>
    </row>
    <row r="5198" spans="1:26" x14ac:dyDescent="0.2">
      <c r="A5198" t="s">
        <v>5316</v>
      </c>
      <c r="B5198" t="s">
        <v>99</v>
      </c>
      <c r="C5198">
        <v>2022</v>
      </c>
      <c r="D5198" t="s">
        <v>73</v>
      </c>
      <c r="E5198" t="s">
        <v>80</v>
      </c>
      <c r="F5198" t="s">
        <v>73</v>
      </c>
      <c r="G5198">
        <v>32384</v>
      </c>
      <c r="H5198">
        <v>25907.200000000001</v>
      </c>
      <c r="I5198" s="13">
        <v>0.16666666666666666</v>
      </c>
      <c r="J5198" t="s">
        <v>6207</v>
      </c>
      <c r="K5198">
        <v>1</v>
      </c>
      <c r="L5198">
        <v>0</v>
      </c>
      <c r="M5198" t="s">
        <v>0</v>
      </c>
      <c r="N5198" s="3">
        <v>0.35</v>
      </c>
      <c r="O5198" s="3">
        <v>0.65</v>
      </c>
      <c r="P5198">
        <v>16</v>
      </c>
      <c r="Q5198">
        <v>12</v>
      </c>
      <c r="R5198">
        <v>3</v>
      </c>
      <c r="S5198">
        <v>4</v>
      </c>
      <c r="T5198">
        <v>12</v>
      </c>
      <c r="U5198">
        <v>11</v>
      </c>
      <c r="V5198">
        <v>4</v>
      </c>
      <c r="W5198">
        <v>2</v>
      </c>
      <c r="X5198">
        <v>0</v>
      </c>
      <c r="Y5198">
        <v>0</v>
      </c>
      <c r="Z5198">
        <v>1</v>
      </c>
    </row>
    <row r="5199" spans="1:26" x14ac:dyDescent="0.2">
      <c r="A5199" t="s">
        <v>5317</v>
      </c>
      <c r="B5199" t="s">
        <v>104</v>
      </c>
      <c r="C5199">
        <v>2022</v>
      </c>
      <c r="D5199" t="s">
        <v>94</v>
      </c>
      <c r="E5199" t="s">
        <v>45</v>
      </c>
      <c r="F5199" t="s">
        <v>106</v>
      </c>
      <c r="G5199">
        <v>30445</v>
      </c>
      <c r="H5199">
        <v>24356</v>
      </c>
      <c r="I5199" s="13">
        <v>0.375</v>
      </c>
      <c r="J5199" t="s">
        <v>6206</v>
      </c>
      <c r="K5199">
        <v>2</v>
      </c>
      <c r="L5199">
        <v>2</v>
      </c>
      <c r="M5199" t="s">
        <v>58</v>
      </c>
      <c r="N5199" s="3">
        <v>0.56999999999999995</v>
      </c>
      <c r="O5199" s="3">
        <v>0.43</v>
      </c>
      <c r="P5199">
        <v>15</v>
      </c>
      <c r="Q5199">
        <v>9</v>
      </c>
      <c r="R5199">
        <v>3</v>
      </c>
      <c r="S5199">
        <v>3</v>
      </c>
      <c r="T5199">
        <v>11</v>
      </c>
      <c r="U5199">
        <v>17</v>
      </c>
      <c r="V5199">
        <v>3</v>
      </c>
      <c r="W5199">
        <v>5</v>
      </c>
      <c r="X5199">
        <v>0</v>
      </c>
      <c r="Y5199">
        <v>0</v>
      </c>
      <c r="Z5199">
        <v>1</v>
      </c>
    </row>
    <row r="5200" spans="1:26" x14ac:dyDescent="0.2">
      <c r="A5200" t="s">
        <v>5318</v>
      </c>
      <c r="B5200" t="s">
        <v>92</v>
      </c>
      <c r="C5200">
        <v>2022</v>
      </c>
      <c r="D5200" t="s">
        <v>26</v>
      </c>
      <c r="E5200" t="s">
        <v>48</v>
      </c>
      <c r="F5200" t="s">
        <v>26</v>
      </c>
      <c r="G5200">
        <v>61276</v>
      </c>
      <c r="H5200">
        <v>49020.800000000003</v>
      </c>
      <c r="I5200" s="13">
        <v>0.8</v>
      </c>
      <c r="J5200" t="s">
        <v>6207</v>
      </c>
      <c r="K5200">
        <v>7</v>
      </c>
      <c r="L5200">
        <v>0</v>
      </c>
      <c r="M5200" t="s">
        <v>0</v>
      </c>
      <c r="N5200" s="3">
        <v>0.6</v>
      </c>
      <c r="O5200" s="3">
        <v>0.4</v>
      </c>
      <c r="P5200">
        <v>17</v>
      </c>
      <c r="Q5200">
        <v>11</v>
      </c>
      <c r="R5200">
        <v>4</v>
      </c>
      <c r="S5200">
        <v>3</v>
      </c>
      <c r="T5200">
        <v>13</v>
      </c>
      <c r="U5200">
        <v>14</v>
      </c>
      <c r="V5200">
        <v>2</v>
      </c>
      <c r="W5200">
        <v>3</v>
      </c>
      <c r="X5200">
        <v>0</v>
      </c>
      <c r="Y5200">
        <v>0</v>
      </c>
      <c r="Z5200">
        <v>0</v>
      </c>
    </row>
    <row r="5201" spans="1:26" x14ac:dyDescent="0.2">
      <c r="A5201" t="s">
        <v>5319</v>
      </c>
      <c r="B5201" t="s">
        <v>61</v>
      </c>
      <c r="C5201">
        <v>2022</v>
      </c>
      <c r="D5201" t="s">
        <v>101</v>
      </c>
      <c r="E5201" t="s">
        <v>31</v>
      </c>
      <c r="F5201" t="s">
        <v>101</v>
      </c>
      <c r="G5201">
        <v>17250</v>
      </c>
      <c r="H5201">
        <v>13800</v>
      </c>
      <c r="I5201" s="13">
        <v>1</v>
      </c>
      <c r="J5201" t="s">
        <v>6207</v>
      </c>
      <c r="K5201">
        <v>3</v>
      </c>
      <c r="L5201">
        <v>2</v>
      </c>
      <c r="M5201" t="s">
        <v>0</v>
      </c>
      <c r="N5201" s="3">
        <v>0.36</v>
      </c>
      <c r="O5201" s="3">
        <v>0.64</v>
      </c>
      <c r="P5201">
        <v>15</v>
      </c>
      <c r="Q5201">
        <v>14</v>
      </c>
      <c r="R5201">
        <v>2</v>
      </c>
      <c r="S5201">
        <v>3</v>
      </c>
      <c r="T5201">
        <v>12</v>
      </c>
      <c r="U5201">
        <v>17</v>
      </c>
      <c r="V5201">
        <v>0</v>
      </c>
      <c r="W5201">
        <v>3</v>
      </c>
      <c r="X5201">
        <v>0</v>
      </c>
      <c r="Y5201">
        <v>0</v>
      </c>
      <c r="Z5201">
        <v>1</v>
      </c>
    </row>
    <row r="5202" spans="1:26" x14ac:dyDescent="0.2">
      <c r="A5202" t="s">
        <v>5320</v>
      </c>
      <c r="B5202" t="s">
        <v>104</v>
      </c>
      <c r="C5202">
        <v>2022</v>
      </c>
      <c r="D5202" t="s">
        <v>86</v>
      </c>
      <c r="E5202" t="s">
        <v>26</v>
      </c>
      <c r="F5202" t="s">
        <v>86</v>
      </c>
      <c r="G5202">
        <v>11364</v>
      </c>
      <c r="H5202">
        <v>9091.2000000000007</v>
      </c>
      <c r="I5202" s="13">
        <v>0.66666666666666663</v>
      </c>
      <c r="J5202" t="s">
        <v>6206</v>
      </c>
      <c r="K5202">
        <v>1</v>
      </c>
      <c r="L5202">
        <v>0</v>
      </c>
      <c r="M5202" t="s">
        <v>0</v>
      </c>
      <c r="N5202" s="3">
        <v>0.31</v>
      </c>
      <c r="O5202" s="3">
        <v>0.69</v>
      </c>
      <c r="P5202">
        <v>12</v>
      </c>
      <c r="Q5202">
        <v>8</v>
      </c>
      <c r="R5202">
        <v>3</v>
      </c>
      <c r="S5202">
        <v>8</v>
      </c>
      <c r="T5202">
        <v>7</v>
      </c>
      <c r="U5202">
        <v>9</v>
      </c>
      <c r="V5202">
        <v>2</v>
      </c>
      <c r="W5202">
        <v>1</v>
      </c>
      <c r="X5202">
        <v>0</v>
      </c>
      <c r="Y5202">
        <v>0</v>
      </c>
      <c r="Z5202">
        <v>1</v>
      </c>
    </row>
    <row r="5203" spans="1:26" x14ac:dyDescent="0.2">
      <c r="A5203" t="s">
        <v>5321</v>
      </c>
      <c r="B5203" t="s">
        <v>76</v>
      </c>
      <c r="C5203">
        <v>2022</v>
      </c>
      <c r="D5203" t="s">
        <v>51</v>
      </c>
      <c r="E5203" t="s">
        <v>94</v>
      </c>
      <c r="F5203" t="s">
        <v>20</v>
      </c>
      <c r="G5203">
        <v>36284</v>
      </c>
      <c r="H5203">
        <v>29027.200000000001</v>
      </c>
      <c r="I5203" s="13">
        <v>0.5</v>
      </c>
      <c r="J5203" t="s">
        <v>6207</v>
      </c>
      <c r="K5203">
        <v>3</v>
      </c>
      <c r="L5203">
        <v>1</v>
      </c>
      <c r="M5203" t="s">
        <v>0</v>
      </c>
      <c r="N5203" s="3">
        <v>0.55000000000000004</v>
      </c>
      <c r="O5203" s="3">
        <v>0.45</v>
      </c>
      <c r="P5203">
        <v>11</v>
      </c>
      <c r="Q5203">
        <v>13</v>
      </c>
      <c r="R5203">
        <v>2</v>
      </c>
      <c r="S5203">
        <v>10</v>
      </c>
      <c r="T5203">
        <v>13</v>
      </c>
      <c r="U5203">
        <v>13</v>
      </c>
      <c r="V5203">
        <v>3</v>
      </c>
      <c r="W5203">
        <v>1</v>
      </c>
      <c r="X5203">
        <v>0</v>
      </c>
      <c r="Y5203">
        <v>0</v>
      </c>
      <c r="Z5203">
        <v>2</v>
      </c>
    </row>
    <row r="5204" spans="1:26" x14ac:dyDescent="0.2">
      <c r="A5204" t="s">
        <v>5322</v>
      </c>
      <c r="B5204" t="s">
        <v>37</v>
      </c>
      <c r="C5204">
        <v>2022</v>
      </c>
      <c r="D5204" t="s">
        <v>80</v>
      </c>
      <c r="E5204" t="s">
        <v>18</v>
      </c>
      <c r="F5204" t="s">
        <v>80</v>
      </c>
      <c r="G5204">
        <v>32261</v>
      </c>
      <c r="H5204">
        <v>25808.800000000003</v>
      </c>
      <c r="I5204" s="13">
        <v>0.8</v>
      </c>
      <c r="J5204" t="s">
        <v>6206</v>
      </c>
      <c r="K5204">
        <v>1</v>
      </c>
      <c r="L5204">
        <v>3</v>
      </c>
      <c r="M5204" t="s">
        <v>1</v>
      </c>
      <c r="N5204" s="3">
        <v>0.49</v>
      </c>
      <c r="O5204" s="3">
        <v>0.51</v>
      </c>
      <c r="P5204">
        <v>13</v>
      </c>
      <c r="Q5204">
        <v>9</v>
      </c>
      <c r="R5204">
        <v>2</v>
      </c>
      <c r="S5204">
        <v>5</v>
      </c>
      <c r="T5204">
        <v>10</v>
      </c>
      <c r="U5204">
        <v>11</v>
      </c>
      <c r="V5204">
        <v>2</v>
      </c>
      <c r="W5204">
        <v>2</v>
      </c>
      <c r="X5204">
        <v>1</v>
      </c>
      <c r="Y5204">
        <v>0</v>
      </c>
      <c r="Z5204">
        <v>0</v>
      </c>
    </row>
    <row r="5205" spans="1:26" x14ac:dyDescent="0.2">
      <c r="A5205" t="s">
        <v>5323</v>
      </c>
      <c r="B5205" t="s">
        <v>81</v>
      </c>
      <c r="C5205">
        <v>2022</v>
      </c>
      <c r="D5205" t="s">
        <v>33</v>
      </c>
      <c r="E5205" t="s">
        <v>90</v>
      </c>
      <c r="F5205" t="s">
        <v>33</v>
      </c>
      <c r="G5205">
        <v>37645</v>
      </c>
      <c r="H5205">
        <v>30116</v>
      </c>
      <c r="I5205" s="13">
        <v>1</v>
      </c>
      <c r="J5205" t="s">
        <v>6207</v>
      </c>
      <c r="K5205">
        <v>2</v>
      </c>
      <c r="L5205">
        <v>2</v>
      </c>
      <c r="M5205" t="s">
        <v>58</v>
      </c>
      <c r="N5205" s="3">
        <v>0.38</v>
      </c>
      <c r="O5205" s="3">
        <v>0.62</v>
      </c>
      <c r="P5205">
        <v>11</v>
      </c>
      <c r="Q5205">
        <v>12</v>
      </c>
      <c r="R5205">
        <v>4</v>
      </c>
      <c r="S5205">
        <v>7</v>
      </c>
      <c r="T5205">
        <v>12</v>
      </c>
      <c r="U5205">
        <v>9</v>
      </c>
      <c r="V5205">
        <v>1</v>
      </c>
      <c r="W5205">
        <v>1</v>
      </c>
      <c r="X5205">
        <v>0</v>
      </c>
      <c r="Y5205">
        <v>0</v>
      </c>
      <c r="Z5205">
        <v>0</v>
      </c>
    </row>
    <row r="5206" spans="1:26" x14ac:dyDescent="0.2">
      <c r="A5206" t="s">
        <v>5324</v>
      </c>
      <c r="B5206" t="s">
        <v>84</v>
      </c>
      <c r="C5206">
        <v>2022</v>
      </c>
      <c r="D5206" t="s">
        <v>45</v>
      </c>
      <c r="E5206" t="s">
        <v>101</v>
      </c>
      <c r="F5206" t="s">
        <v>26</v>
      </c>
      <c r="G5206">
        <v>39572</v>
      </c>
      <c r="H5206">
        <v>31657.600000000002</v>
      </c>
      <c r="I5206" s="13">
        <v>1</v>
      </c>
      <c r="J5206" t="s">
        <v>6208</v>
      </c>
      <c r="K5206">
        <v>1</v>
      </c>
      <c r="L5206">
        <v>0</v>
      </c>
      <c r="M5206" t="s">
        <v>0</v>
      </c>
      <c r="N5206" s="3">
        <v>0.33</v>
      </c>
      <c r="O5206" s="3">
        <v>0.67</v>
      </c>
      <c r="P5206">
        <v>11</v>
      </c>
      <c r="Q5206">
        <v>13</v>
      </c>
      <c r="R5206">
        <v>5</v>
      </c>
      <c r="S5206">
        <v>8</v>
      </c>
      <c r="T5206">
        <v>11</v>
      </c>
      <c r="U5206">
        <v>12</v>
      </c>
      <c r="V5206">
        <v>2</v>
      </c>
      <c r="W5206">
        <v>1</v>
      </c>
      <c r="X5206">
        <v>0</v>
      </c>
      <c r="Y5206">
        <v>0</v>
      </c>
      <c r="Z5206">
        <v>0</v>
      </c>
    </row>
    <row r="5207" spans="1:26" x14ac:dyDescent="0.2">
      <c r="A5207" t="s">
        <v>5325</v>
      </c>
      <c r="B5207" t="s">
        <v>99</v>
      </c>
      <c r="C5207">
        <v>2022</v>
      </c>
      <c r="D5207" t="s">
        <v>79</v>
      </c>
      <c r="E5207" t="s">
        <v>40</v>
      </c>
      <c r="F5207" t="s">
        <v>20</v>
      </c>
      <c r="G5207">
        <v>25486</v>
      </c>
      <c r="H5207">
        <v>20388.800000000003</v>
      </c>
      <c r="I5207" s="13">
        <v>1</v>
      </c>
      <c r="J5207" t="s">
        <v>6207</v>
      </c>
      <c r="K5207">
        <v>0</v>
      </c>
      <c r="L5207">
        <v>1</v>
      </c>
      <c r="M5207" t="s">
        <v>1</v>
      </c>
      <c r="N5207" s="3">
        <v>0.32</v>
      </c>
      <c r="O5207" s="3">
        <v>0.68</v>
      </c>
      <c r="P5207">
        <v>18</v>
      </c>
      <c r="Q5207">
        <v>10</v>
      </c>
      <c r="R5207">
        <v>2</v>
      </c>
      <c r="S5207">
        <v>6</v>
      </c>
      <c r="T5207">
        <v>11</v>
      </c>
      <c r="U5207">
        <v>17</v>
      </c>
      <c r="V5207">
        <v>2</v>
      </c>
      <c r="W5207">
        <v>2</v>
      </c>
      <c r="X5207">
        <v>0</v>
      </c>
      <c r="Y5207">
        <v>0</v>
      </c>
      <c r="Z5207">
        <v>1</v>
      </c>
    </row>
    <row r="5208" spans="1:26" x14ac:dyDescent="0.2">
      <c r="A5208" t="s">
        <v>5326</v>
      </c>
      <c r="B5208" t="s">
        <v>88</v>
      </c>
      <c r="C5208">
        <v>2022</v>
      </c>
      <c r="D5208" t="s">
        <v>23</v>
      </c>
      <c r="E5208" t="s">
        <v>42</v>
      </c>
      <c r="F5208" t="s">
        <v>20</v>
      </c>
      <c r="G5208">
        <v>62500</v>
      </c>
      <c r="H5208">
        <v>50000</v>
      </c>
      <c r="I5208" s="13">
        <v>1</v>
      </c>
      <c r="J5208" t="s">
        <v>6207</v>
      </c>
      <c r="K5208">
        <v>1</v>
      </c>
      <c r="L5208">
        <v>1</v>
      </c>
      <c r="M5208" t="s">
        <v>58</v>
      </c>
      <c r="N5208" s="3">
        <v>0.41</v>
      </c>
      <c r="O5208" s="3">
        <v>0.59</v>
      </c>
      <c r="P5208">
        <v>5</v>
      </c>
      <c r="Q5208">
        <v>14</v>
      </c>
      <c r="R5208">
        <v>12</v>
      </c>
      <c r="S5208">
        <v>2</v>
      </c>
      <c r="T5208">
        <v>9</v>
      </c>
      <c r="U5208">
        <v>6</v>
      </c>
      <c r="V5208">
        <v>1</v>
      </c>
      <c r="W5208">
        <v>0</v>
      </c>
      <c r="X5208">
        <v>0</v>
      </c>
      <c r="Y5208">
        <v>0</v>
      </c>
      <c r="Z5208">
        <v>1</v>
      </c>
    </row>
    <row r="5209" spans="1:26" x14ac:dyDescent="0.2">
      <c r="A5209" t="s">
        <v>5327</v>
      </c>
      <c r="B5209" t="s">
        <v>61</v>
      </c>
      <c r="C5209">
        <v>2022</v>
      </c>
      <c r="D5209" t="s">
        <v>48</v>
      </c>
      <c r="E5209" t="s">
        <v>73</v>
      </c>
      <c r="F5209" t="s">
        <v>49</v>
      </c>
      <c r="G5209">
        <v>74197</v>
      </c>
      <c r="H5209">
        <v>59357.600000000006</v>
      </c>
      <c r="I5209" s="13">
        <v>0.66666666666666663</v>
      </c>
      <c r="J5209" t="s">
        <v>6207</v>
      </c>
      <c r="K5209">
        <v>0</v>
      </c>
      <c r="L5209">
        <v>0</v>
      </c>
      <c r="M5209" t="s">
        <v>58</v>
      </c>
      <c r="N5209" s="3">
        <v>0.47</v>
      </c>
      <c r="O5209" s="3">
        <v>0.53</v>
      </c>
      <c r="P5209">
        <v>10</v>
      </c>
      <c r="Q5209">
        <v>10</v>
      </c>
      <c r="R5209">
        <v>7</v>
      </c>
      <c r="S5209">
        <v>8</v>
      </c>
      <c r="T5209">
        <v>12</v>
      </c>
      <c r="U5209">
        <v>9</v>
      </c>
      <c r="V5209">
        <v>2</v>
      </c>
      <c r="W5209">
        <v>0</v>
      </c>
      <c r="X5209">
        <v>1</v>
      </c>
      <c r="Y5209">
        <v>0</v>
      </c>
      <c r="Z5209">
        <v>0</v>
      </c>
    </row>
    <row r="5210" spans="1:26" x14ac:dyDescent="0.2">
      <c r="A5210" t="s">
        <v>5328</v>
      </c>
      <c r="B5210" t="s">
        <v>93</v>
      </c>
      <c r="C5210">
        <v>2022</v>
      </c>
      <c r="D5210" t="s">
        <v>31</v>
      </c>
      <c r="E5210" t="s">
        <v>46</v>
      </c>
      <c r="F5210" t="s">
        <v>20</v>
      </c>
      <c r="G5210">
        <v>28500</v>
      </c>
      <c r="H5210">
        <v>22800</v>
      </c>
      <c r="I5210" s="13">
        <v>1</v>
      </c>
      <c r="J5210" t="s">
        <v>6206</v>
      </c>
      <c r="K5210">
        <v>0</v>
      </c>
      <c r="L5210">
        <v>3</v>
      </c>
      <c r="M5210" t="s">
        <v>1</v>
      </c>
      <c r="N5210" s="3">
        <v>0.45</v>
      </c>
      <c r="O5210" s="3">
        <v>0.55000000000000004</v>
      </c>
      <c r="P5210">
        <v>10</v>
      </c>
      <c r="Q5210">
        <v>9</v>
      </c>
      <c r="R5210">
        <v>4</v>
      </c>
      <c r="S5210">
        <v>8</v>
      </c>
      <c r="T5210">
        <v>10</v>
      </c>
      <c r="U5210">
        <v>9</v>
      </c>
      <c r="V5210">
        <v>0</v>
      </c>
      <c r="W5210">
        <v>1</v>
      </c>
      <c r="X5210">
        <v>0</v>
      </c>
      <c r="Y5210">
        <v>0</v>
      </c>
      <c r="Z5210">
        <v>0</v>
      </c>
    </row>
    <row r="5211" spans="1:26" x14ac:dyDescent="0.2">
      <c r="A5211" t="s">
        <v>5329</v>
      </c>
      <c r="B5211" t="s">
        <v>92</v>
      </c>
      <c r="C5211">
        <v>2022</v>
      </c>
      <c r="D5211" t="s">
        <v>64</v>
      </c>
      <c r="E5211" t="s">
        <v>22</v>
      </c>
      <c r="F5211" t="s">
        <v>64</v>
      </c>
      <c r="G5211">
        <v>52264</v>
      </c>
      <c r="H5211">
        <v>41811.200000000004</v>
      </c>
      <c r="I5211" s="13">
        <v>1</v>
      </c>
      <c r="J5211" t="s">
        <v>6207</v>
      </c>
      <c r="K5211">
        <v>2</v>
      </c>
      <c r="L5211">
        <v>1</v>
      </c>
      <c r="M5211" t="s">
        <v>0</v>
      </c>
      <c r="N5211" s="3">
        <v>0.42</v>
      </c>
      <c r="O5211" s="3">
        <v>0.57999999999999996</v>
      </c>
      <c r="P5211">
        <v>6</v>
      </c>
      <c r="Q5211">
        <v>9</v>
      </c>
      <c r="R5211">
        <v>10</v>
      </c>
      <c r="S5211">
        <v>3</v>
      </c>
      <c r="T5211">
        <v>11</v>
      </c>
      <c r="U5211">
        <v>10</v>
      </c>
      <c r="V5211">
        <v>1</v>
      </c>
      <c r="W5211">
        <v>2</v>
      </c>
      <c r="X5211">
        <v>0</v>
      </c>
      <c r="Y5211">
        <v>0</v>
      </c>
      <c r="Z5211">
        <v>0</v>
      </c>
    </row>
    <row r="5212" spans="1:26" x14ac:dyDescent="0.2">
      <c r="A5212" t="s">
        <v>5330</v>
      </c>
      <c r="B5212" t="s">
        <v>81</v>
      </c>
      <c r="C5212">
        <v>2022</v>
      </c>
      <c r="D5212" t="s">
        <v>94</v>
      </c>
      <c r="E5212" t="s">
        <v>64</v>
      </c>
      <c r="F5212" t="s">
        <v>106</v>
      </c>
      <c r="G5212">
        <v>30445</v>
      </c>
      <c r="H5212">
        <v>24356</v>
      </c>
      <c r="I5212" s="13">
        <v>0.5</v>
      </c>
      <c r="J5212" t="s">
        <v>6207</v>
      </c>
      <c r="K5212">
        <v>1</v>
      </c>
      <c r="L5212">
        <v>2</v>
      </c>
      <c r="M5212" t="s">
        <v>1</v>
      </c>
      <c r="N5212" s="3">
        <v>0.38</v>
      </c>
      <c r="O5212" s="3">
        <v>0.62</v>
      </c>
      <c r="P5212">
        <v>10</v>
      </c>
      <c r="Q5212">
        <v>15</v>
      </c>
      <c r="R5212">
        <v>3</v>
      </c>
      <c r="S5212">
        <v>7</v>
      </c>
      <c r="T5212">
        <v>17</v>
      </c>
      <c r="U5212">
        <v>9</v>
      </c>
      <c r="V5212">
        <v>5</v>
      </c>
      <c r="W5212">
        <v>1</v>
      </c>
      <c r="X5212">
        <v>0</v>
      </c>
      <c r="Y5212">
        <v>0</v>
      </c>
      <c r="Z5212">
        <v>1</v>
      </c>
    </row>
    <row r="5213" spans="1:26" x14ac:dyDescent="0.2">
      <c r="A5213" t="s">
        <v>5331</v>
      </c>
      <c r="B5213" t="s">
        <v>103</v>
      </c>
      <c r="C5213">
        <v>2022</v>
      </c>
      <c r="D5213" t="s">
        <v>22</v>
      </c>
      <c r="E5213" t="s">
        <v>33</v>
      </c>
      <c r="F5213" t="s">
        <v>24</v>
      </c>
      <c r="G5213">
        <v>31750</v>
      </c>
      <c r="H5213">
        <v>25400</v>
      </c>
      <c r="I5213" s="13">
        <v>0.7</v>
      </c>
      <c r="J5213" t="s">
        <v>6207</v>
      </c>
      <c r="K5213">
        <v>2</v>
      </c>
      <c r="L5213">
        <v>4</v>
      </c>
      <c r="M5213" t="s">
        <v>1</v>
      </c>
      <c r="N5213" s="3">
        <v>0.66</v>
      </c>
      <c r="O5213" s="3">
        <v>0.34</v>
      </c>
      <c r="P5213">
        <v>9</v>
      </c>
      <c r="Q5213">
        <v>17</v>
      </c>
      <c r="R5213">
        <v>5</v>
      </c>
      <c r="S5213">
        <v>4</v>
      </c>
      <c r="T5213">
        <v>14</v>
      </c>
      <c r="U5213">
        <v>9</v>
      </c>
      <c r="V5213">
        <v>3</v>
      </c>
      <c r="W5213">
        <v>5</v>
      </c>
      <c r="X5213">
        <v>2</v>
      </c>
      <c r="Y5213">
        <v>0</v>
      </c>
      <c r="Z5213">
        <v>0</v>
      </c>
    </row>
    <row r="5214" spans="1:26" x14ac:dyDescent="0.2">
      <c r="A5214" t="s">
        <v>5332</v>
      </c>
      <c r="B5214" t="s">
        <v>84</v>
      </c>
      <c r="C5214">
        <v>2022</v>
      </c>
      <c r="D5214" t="s">
        <v>73</v>
      </c>
      <c r="E5214" t="s">
        <v>51</v>
      </c>
      <c r="F5214" t="s">
        <v>73</v>
      </c>
      <c r="G5214">
        <v>32384</v>
      </c>
      <c r="H5214">
        <v>25907.200000000001</v>
      </c>
      <c r="I5214" s="13">
        <v>0.5</v>
      </c>
      <c r="J5214" t="s">
        <v>6208</v>
      </c>
      <c r="K5214">
        <v>3</v>
      </c>
      <c r="L5214">
        <v>3</v>
      </c>
      <c r="M5214" t="s">
        <v>58</v>
      </c>
      <c r="N5214" s="3">
        <v>0.5</v>
      </c>
      <c r="O5214" s="3">
        <v>0.5</v>
      </c>
      <c r="P5214">
        <v>7</v>
      </c>
      <c r="Q5214">
        <v>15</v>
      </c>
      <c r="R5214">
        <v>10</v>
      </c>
      <c r="S5214">
        <v>3</v>
      </c>
      <c r="T5214">
        <v>13</v>
      </c>
      <c r="U5214">
        <v>8</v>
      </c>
      <c r="V5214">
        <v>1</v>
      </c>
      <c r="W5214">
        <v>1</v>
      </c>
      <c r="X5214">
        <v>0</v>
      </c>
      <c r="Y5214">
        <v>0</v>
      </c>
      <c r="Z5214">
        <v>1</v>
      </c>
    </row>
    <row r="5215" spans="1:26" x14ac:dyDescent="0.2">
      <c r="A5215" t="s">
        <v>5333</v>
      </c>
      <c r="B5215" t="s">
        <v>108</v>
      </c>
      <c r="C5215">
        <v>2022</v>
      </c>
      <c r="D5215" t="s">
        <v>101</v>
      </c>
      <c r="E5215" t="s">
        <v>80</v>
      </c>
      <c r="F5215" t="s">
        <v>101</v>
      </c>
      <c r="G5215">
        <v>17250</v>
      </c>
      <c r="H5215">
        <v>13800</v>
      </c>
      <c r="I5215" s="13">
        <v>0.6</v>
      </c>
      <c r="J5215" t="s">
        <v>6207</v>
      </c>
      <c r="K5215">
        <v>1</v>
      </c>
      <c r="L5215">
        <v>1</v>
      </c>
      <c r="M5215" t="s">
        <v>58</v>
      </c>
      <c r="N5215" s="3">
        <v>0.53</v>
      </c>
      <c r="O5215" s="3">
        <v>0.47</v>
      </c>
      <c r="P5215">
        <v>13</v>
      </c>
      <c r="Q5215">
        <v>9</v>
      </c>
      <c r="R5215">
        <v>8</v>
      </c>
      <c r="S5215">
        <v>4</v>
      </c>
      <c r="T5215">
        <v>10</v>
      </c>
      <c r="U5215">
        <v>11</v>
      </c>
      <c r="V5215">
        <v>2</v>
      </c>
      <c r="W5215">
        <v>2</v>
      </c>
      <c r="X5215">
        <v>1</v>
      </c>
      <c r="Y5215">
        <v>0</v>
      </c>
      <c r="Z5215">
        <v>0</v>
      </c>
    </row>
    <row r="5216" spans="1:26" x14ac:dyDescent="0.2">
      <c r="A5216" t="s">
        <v>5334</v>
      </c>
      <c r="B5216" t="s">
        <v>99</v>
      </c>
      <c r="C5216">
        <v>2022</v>
      </c>
      <c r="D5216" t="s">
        <v>42</v>
      </c>
      <c r="E5216" t="s">
        <v>86</v>
      </c>
      <c r="F5216" t="s">
        <v>38</v>
      </c>
      <c r="G5216">
        <v>42918</v>
      </c>
      <c r="H5216">
        <v>34334.400000000001</v>
      </c>
      <c r="I5216" s="13">
        <v>0.6</v>
      </c>
      <c r="J5216" t="s">
        <v>6207</v>
      </c>
      <c r="K5216">
        <v>3</v>
      </c>
      <c r="L5216">
        <v>0</v>
      </c>
      <c r="M5216" t="s">
        <v>0</v>
      </c>
      <c r="N5216" s="3">
        <v>0.56000000000000005</v>
      </c>
      <c r="O5216" s="3">
        <v>0.44</v>
      </c>
      <c r="P5216">
        <v>15</v>
      </c>
      <c r="Q5216">
        <v>8</v>
      </c>
      <c r="R5216">
        <v>9</v>
      </c>
      <c r="S5216">
        <v>6</v>
      </c>
      <c r="T5216">
        <v>8</v>
      </c>
      <c r="U5216">
        <v>13</v>
      </c>
      <c r="V5216">
        <v>1</v>
      </c>
      <c r="W5216">
        <v>4</v>
      </c>
      <c r="X5216">
        <v>0</v>
      </c>
      <c r="Y5216">
        <v>0</v>
      </c>
      <c r="Z5216">
        <v>0</v>
      </c>
    </row>
    <row r="5217" spans="1:26" x14ac:dyDescent="0.2">
      <c r="A5217" t="s">
        <v>5335</v>
      </c>
      <c r="B5217" t="s">
        <v>100</v>
      </c>
      <c r="C5217">
        <v>2022</v>
      </c>
      <c r="D5217" t="s">
        <v>18</v>
      </c>
      <c r="E5217" t="s">
        <v>45</v>
      </c>
      <c r="F5217" t="s">
        <v>20</v>
      </c>
      <c r="G5217">
        <v>40341</v>
      </c>
      <c r="H5217">
        <v>32272.800000000003</v>
      </c>
      <c r="I5217" s="13">
        <v>0.5</v>
      </c>
      <c r="J5217" t="s">
        <v>6207</v>
      </c>
      <c r="K5217">
        <v>2</v>
      </c>
      <c r="L5217">
        <v>2</v>
      </c>
      <c r="M5217" t="s">
        <v>58</v>
      </c>
      <c r="N5217" s="3">
        <v>0.69</v>
      </c>
      <c r="O5217" s="3">
        <v>0.31</v>
      </c>
      <c r="P5217">
        <v>11</v>
      </c>
      <c r="Q5217">
        <v>10</v>
      </c>
      <c r="R5217">
        <v>8</v>
      </c>
      <c r="S5217">
        <v>2</v>
      </c>
      <c r="T5217">
        <v>8</v>
      </c>
      <c r="U5217">
        <v>12</v>
      </c>
      <c r="V5217">
        <v>2</v>
      </c>
      <c r="W5217">
        <v>2</v>
      </c>
      <c r="X5217">
        <v>0</v>
      </c>
      <c r="Y5217">
        <v>0</v>
      </c>
      <c r="Z5217">
        <v>1</v>
      </c>
    </row>
    <row r="5218" spans="1:26" x14ac:dyDescent="0.2">
      <c r="A5218" t="s">
        <v>5336</v>
      </c>
      <c r="B5218" t="s">
        <v>59</v>
      </c>
      <c r="C5218">
        <v>2022</v>
      </c>
      <c r="D5218" t="s">
        <v>46</v>
      </c>
      <c r="E5218" t="s">
        <v>79</v>
      </c>
      <c r="F5218" t="s">
        <v>20</v>
      </c>
      <c r="G5218">
        <v>60704</v>
      </c>
      <c r="H5218">
        <v>48563.200000000004</v>
      </c>
      <c r="I5218" s="13">
        <v>0</v>
      </c>
      <c r="J5218" t="s">
        <v>6206</v>
      </c>
      <c r="K5218">
        <v>4</v>
      </c>
      <c r="L5218">
        <v>1</v>
      </c>
      <c r="M5218" t="s">
        <v>0</v>
      </c>
      <c r="N5218" s="3">
        <v>0.62</v>
      </c>
      <c r="O5218" s="3">
        <v>0.38</v>
      </c>
      <c r="P5218">
        <v>12</v>
      </c>
      <c r="Q5218">
        <v>8</v>
      </c>
      <c r="R5218">
        <v>5</v>
      </c>
      <c r="S5218">
        <v>4</v>
      </c>
      <c r="T5218">
        <v>8</v>
      </c>
      <c r="U5218">
        <v>10</v>
      </c>
      <c r="V5218">
        <v>0</v>
      </c>
      <c r="W5218">
        <v>1</v>
      </c>
      <c r="X5218">
        <v>0</v>
      </c>
      <c r="Y5218">
        <v>0</v>
      </c>
      <c r="Z5218">
        <v>0</v>
      </c>
    </row>
    <row r="5219" spans="1:26" x14ac:dyDescent="0.2">
      <c r="A5219" t="s">
        <v>5337</v>
      </c>
      <c r="B5219" t="s">
        <v>104</v>
      </c>
      <c r="C5219">
        <v>2022</v>
      </c>
      <c r="D5219" t="s">
        <v>40</v>
      </c>
      <c r="E5219" t="s">
        <v>23</v>
      </c>
      <c r="F5219" t="s">
        <v>49</v>
      </c>
      <c r="G5219">
        <v>53400</v>
      </c>
      <c r="H5219">
        <v>42720</v>
      </c>
      <c r="I5219" s="13">
        <v>0</v>
      </c>
      <c r="J5219" t="s">
        <v>6206</v>
      </c>
      <c r="K5219">
        <v>3</v>
      </c>
      <c r="L5219">
        <v>0</v>
      </c>
      <c r="M5219" t="s">
        <v>0</v>
      </c>
      <c r="N5219" s="3">
        <v>0.69</v>
      </c>
      <c r="O5219" s="3">
        <v>0.31</v>
      </c>
      <c r="P5219">
        <v>8</v>
      </c>
      <c r="Q5219">
        <v>9</v>
      </c>
      <c r="R5219">
        <v>6</v>
      </c>
      <c r="S5219">
        <v>3</v>
      </c>
      <c r="T5219">
        <v>8</v>
      </c>
      <c r="U5219">
        <v>8</v>
      </c>
      <c r="V5219">
        <v>0</v>
      </c>
      <c r="W5219">
        <v>1</v>
      </c>
      <c r="X5219">
        <v>0</v>
      </c>
      <c r="Y5219">
        <v>0</v>
      </c>
      <c r="Z5219">
        <v>0</v>
      </c>
    </row>
    <row r="5220" spans="1:26" x14ac:dyDescent="0.2">
      <c r="A5220" t="s">
        <v>5338</v>
      </c>
      <c r="B5220" t="s">
        <v>59</v>
      </c>
      <c r="C5220">
        <v>2022</v>
      </c>
      <c r="D5220" t="s">
        <v>26</v>
      </c>
      <c r="E5220" t="s">
        <v>31</v>
      </c>
      <c r="F5220" t="s">
        <v>26</v>
      </c>
      <c r="G5220">
        <v>61276</v>
      </c>
      <c r="H5220">
        <v>49020.800000000003</v>
      </c>
      <c r="I5220" s="13">
        <v>0</v>
      </c>
      <c r="J5220" t="s">
        <v>6206</v>
      </c>
      <c r="K5220">
        <v>1</v>
      </c>
      <c r="L5220">
        <v>0</v>
      </c>
      <c r="M5220" t="s">
        <v>0</v>
      </c>
      <c r="N5220" s="3">
        <v>0.56999999999999995</v>
      </c>
      <c r="O5220" s="3">
        <v>0.43</v>
      </c>
      <c r="P5220">
        <v>9</v>
      </c>
      <c r="Q5220">
        <v>13</v>
      </c>
      <c r="R5220">
        <v>7</v>
      </c>
      <c r="S5220">
        <v>5</v>
      </c>
      <c r="T5220">
        <v>10</v>
      </c>
      <c r="U5220">
        <v>8</v>
      </c>
      <c r="V5220">
        <v>0</v>
      </c>
      <c r="W5220">
        <v>0</v>
      </c>
      <c r="X5220">
        <v>0</v>
      </c>
      <c r="Y5220">
        <v>0</v>
      </c>
      <c r="Z5220">
        <v>1</v>
      </c>
    </row>
    <row r="5221" spans="1:26" x14ac:dyDescent="0.2">
      <c r="A5221" t="s">
        <v>5339</v>
      </c>
      <c r="B5221" t="s">
        <v>37</v>
      </c>
      <c r="C5221">
        <v>2022</v>
      </c>
      <c r="D5221" t="s">
        <v>90</v>
      </c>
      <c r="E5221" t="s">
        <v>48</v>
      </c>
      <c r="F5221" t="s">
        <v>91</v>
      </c>
      <c r="G5221">
        <v>31876</v>
      </c>
      <c r="H5221">
        <v>25500.800000000003</v>
      </c>
      <c r="I5221" s="13">
        <v>0.5</v>
      </c>
      <c r="J5221" t="s">
        <v>6206</v>
      </c>
      <c r="K5221">
        <v>1</v>
      </c>
      <c r="L5221">
        <v>0</v>
      </c>
      <c r="M5221" t="s">
        <v>0</v>
      </c>
      <c r="N5221" s="3">
        <v>0.6</v>
      </c>
      <c r="O5221" s="3">
        <v>0.4</v>
      </c>
      <c r="P5221">
        <v>16</v>
      </c>
      <c r="Q5221">
        <v>10</v>
      </c>
      <c r="R5221">
        <v>8</v>
      </c>
      <c r="S5221">
        <v>6</v>
      </c>
      <c r="T5221">
        <v>10</v>
      </c>
      <c r="U5221">
        <v>14</v>
      </c>
      <c r="V5221">
        <v>4</v>
      </c>
      <c r="W5221">
        <v>4</v>
      </c>
      <c r="X5221">
        <v>0</v>
      </c>
      <c r="Y5221">
        <v>0</v>
      </c>
      <c r="Z5221">
        <v>1</v>
      </c>
    </row>
    <row r="5222" spans="1:26" x14ac:dyDescent="0.2">
      <c r="A5222" t="s">
        <v>5340</v>
      </c>
      <c r="B5222" t="s">
        <v>84</v>
      </c>
      <c r="C5222">
        <v>2022</v>
      </c>
      <c r="D5222" t="s">
        <v>40</v>
      </c>
      <c r="E5222" t="s">
        <v>26</v>
      </c>
      <c r="F5222" t="s">
        <v>49</v>
      </c>
      <c r="G5222">
        <v>53400</v>
      </c>
      <c r="H5222">
        <v>42720</v>
      </c>
      <c r="I5222" s="13">
        <v>1</v>
      </c>
      <c r="J5222" t="s">
        <v>6208</v>
      </c>
      <c r="K5222">
        <v>4</v>
      </c>
      <c r="L5222">
        <v>1</v>
      </c>
      <c r="M5222" t="s">
        <v>0</v>
      </c>
      <c r="N5222" s="3">
        <v>0.68</v>
      </c>
      <c r="O5222" s="3">
        <v>0.32</v>
      </c>
      <c r="P5222">
        <v>16</v>
      </c>
      <c r="Q5222">
        <v>12</v>
      </c>
      <c r="R5222">
        <v>7</v>
      </c>
      <c r="S5222">
        <v>1</v>
      </c>
      <c r="T5222">
        <v>9</v>
      </c>
      <c r="U5222">
        <v>12</v>
      </c>
      <c r="V5222">
        <v>1</v>
      </c>
      <c r="W5222">
        <v>1</v>
      </c>
      <c r="X5222">
        <v>0</v>
      </c>
      <c r="Y5222">
        <v>0</v>
      </c>
      <c r="Z5222">
        <v>0</v>
      </c>
    </row>
    <row r="5223" spans="1:26" x14ac:dyDescent="0.2">
      <c r="A5223" t="s">
        <v>5341</v>
      </c>
      <c r="B5223" t="s">
        <v>88</v>
      </c>
      <c r="C5223">
        <v>2022</v>
      </c>
      <c r="D5223" t="s">
        <v>94</v>
      </c>
      <c r="E5223" t="s">
        <v>22</v>
      </c>
      <c r="F5223" t="s">
        <v>106</v>
      </c>
      <c r="G5223">
        <v>30445</v>
      </c>
      <c r="H5223">
        <v>24356</v>
      </c>
      <c r="I5223" s="13">
        <v>0.75</v>
      </c>
      <c r="J5223" t="s">
        <v>6207</v>
      </c>
      <c r="K5223">
        <v>1</v>
      </c>
      <c r="L5223">
        <v>1</v>
      </c>
      <c r="M5223" t="s">
        <v>58</v>
      </c>
      <c r="N5223" s="3">
        <v>0.28000000000000003</v>
      </c>
      <c r="O5223" s="3">
        <v>0.72</v>
      </c>
      <c r="P5223">
        <v>12</v>
      </c>
      <c r="Q5223">
        <v>16</v>
      </c>
      <c r="R5223">
        <v>4</v>
      </c>
      <c r="S5223">
        <v>3</v>
      </c>
      <c r="T5223">
        <v>14</v>
      </c>
      <c r="U5223">
        <v>13</v>
      </c>
      <c r="V5223">
        <v>3</v>
      </c>
      <c r="W5223">
        <v>5</v>
      </c>
      <c r="X5223">
        <v>0</v>
      </c>
      <c r="Y5223">
        <v>0</v>
      </c>
      <c r="Z5223">
        <v>0</v>
      </c>
    </row>
    <row r="5224" spans="1:26" x14ac:dyDescent="0.2">
      <c r="A5224" t="s">
        <v>5342</v>
      </c>
      <c r="B5224" t="s">
        <v>98</v>
      </c>
      <c r="C5224">
        <v>2022</v>
      </c>
      <c r="D5224" t="s">
        <v>79</v>
      </c>
      <c r="E5224" t="s">
        <v>80</v>
      </c>
      <c r="F5224" t="s">
        <v>20</v>
      </c>
      <c r="G5224">
        <v>25486</v>
      </c>
      <c r="H5224">
        <v>20388.800000000003</v>
      </c>
      <c r="I5224" s="13">
        <v>0.5714285714285714</v>
      </c>
      <c r="J5224" t="s">
        <v>6208</v>
      </c>
      <c r="K5224">
        <v>2</v>
      </c>
      <c r="L5224">
        <v>1</v>
      </c>
      <c r="M5224" t="s">
        <v>0</v>
      </c>
      <c r="N5224" s="3">
        <v>0.51</v>
      </c>
      <c r="O5224" s="3">
        <v>0.49</v>
      </c>
      <c r="P5224">
        <v>18</v>
      </c>
      <c r="Q5224">
        <v>13</v>
      </c>
      <c r="R5224">
        <v>10</v>
      </c>
      <c r="S5224">
        <v>1</v>
      </c>
      <c r="T5224">
        <v>12</v>
      </c>
      <c r="U5224">
        <v>16</v>
      </c>
      <c r="V5224">
        <v>3</v>
      </c>
      <c r="W5224">
        <v>4</v>
      </c>
      <c r="X5224">
        <v>0</v>
      </c>
      <c r="Y5224">
        <v>0</v>
      </c>
      <c r="Z5224">
        <v>0</v>
      </c>
    </row>
    <row r="5225" spans="1:26" x14ac:dyDescent="0.2">
      <c r="A5225" t="s">
        <v>5343</v>
      </c>
      <c r="B5225" t="s">
        <v>66</v>
      </c>
      <c r="C5225">
        <v>2022</v>
      </c>
      <c r="D5225" t="s">
        <v>90</v>
      </c>
      <c r="E5225" t="s">
        <v>101</v>
      </c>
      <c r="F5225" t="s">
        <v>91</v>
      </c>
      <c r="G5225">
        <v>31876</v>
      </c>
      <c r="H5225">
        <v>25500.800000000003</v>
      </c>
      <c r="I5225" s="13">
        <v>0.66666666666666663</v>
      </c>
      <c r="J5225" t="s">
        <v>6207</v>
      </c>
      <c r="K5225">
        <v>3</v>
      </c>
      <c r="L5225">
        <v>3</v>
      </c>
      <c r="M5225" t="s">
        <v>58</v>
      </c>
      <c r="N5225" s="3">
        <v>0.72</v>
      </c>
      <c r="O5225" s="3">
        <v>0.28000000000000003</v>
      </c>
      <c r="P5225">
        <v>11</v>
      </c>
      <c r="Q5225">
        <v>18</v>
      </c>
      <c r="R5225">
        <v>14</v>
      </c>
      <c r="S5225">
        <v>0</v>
      </c>
      <c r="T5225">
        <v>16</v>
      </c>
      <c r="U5225">
        <v>10</v>
      </c>
      <c r="V5225">
        <v>2</v>
      </c>
      <c r="W5225">
        <v>1</v>
      </c>
      <c r="X5225">
        <v>0</v>
      </c>
      <c r="Y5225">
        <v>0</v>
      </c>
      <c r="Z5225">
        <v>1</v>
      </c>
    </row>
    <row r="5226" spans="1:26" x14ac:dyDescent="0.2">
      <c r="A5226" t="s">
        <v>5344</v>
      </c>
      <c r="B5226" t="s">
        <v>97</v>
      </c>
      <c r="C5226">
        <v>2022</v>
      </c>
      <c r="D5226" t="s">
        <v>86</v>
      </c>
      <c r="E5226" t="s">
        <v>31</v>
      </c>
      <c r="F5226" t="s">
        <v>86</v>
      </c>
      <c r="G5226">
        <v>11364</v>
      </c>
      <c r="H5226">
        <v>9091.2000000000007</v>
      </c>
      <c r="I5226" s="13">
        <v>0.8</v>
      </c>
      <c r="J5226" t="s">
        <v>6207</v>
      </c>
      <c r="K5226">
        <v>2</v>
      </c>
      <c r="L5226">
        <v>1</v>
      </c>
      <c r="M5226" t="s">
        <v>0</v>
      </c>
      <c r="N5226" s="3">
        <v>0.43</v>
      </c>
      <c r="O5226" s="3">
        <v>0.56999999999999995</v>
      </c>
      <c r="P5226">
        <v>14</v>
      </c>
      <c r="Q5226">
        <v>15</v>
      </c>
      <c r="R5226">
        <v>4</v>
      </c>
      <c r="S5226">
        <v>3</v>
      </c>
      <c r="T5226">
        <v>15</v>
      </c>
      <c r="U5226">
        <v>13</v>
      </c>
      <c r="V5226">
        <v>1</v>
      </c>
      <c r="W5226">
        <v>4</v>
      </c>
      <c r="X5226">
        <v>0</v>
      </c>
      <c r="Y5226">
        <v>0</v>
      </c>
      <c r="Z5226">
        <v>0</v>
      </c>
    </row>
    <row r="5227" spans="1:26" x14ac:dyDescent="0.2">
      <c r="A5227" t="s">
        <v>5345</v>
      </c>
      <c r="B5227" t="s">
        <v>100</v>
      </c>
      <c r="C5227">
        <v>2022</v>
      </c>
      <c r="D5227" t="s">
        <v>46</v>
      </c>
      <c r="E5227" t="s">
        <v>33</v>
      </c>
      <c r="F5227" t="s">
        <v>20</v>
      </c>
      <c r="G5227">
        <v>60704</v>
      </c>
      <c r="H5227">
        <v>48563.200000000004</v>
      </c>
      <c r="I5227" s="13">
        <v>0.5</v>
      </c>
      <c r="J5227" t="s">
        <v>6207</v>
      </c>
      <c r="K5227">
        <v>4</v>
      </c>
      <c r="L5227">
        <v>1</v>
      </c>
      <c r="M5227" t="s">
        <v>0</v>
      </c>
      <c r="N5227" s="3">
        <v>0.67</v>
      </c>
      <c r="O5227" s="3">
        <v>0.33</v>
      </c>
      <c r="P5227">
        <v>13</v>
      </c>
      <c r="Q5227">
        <v>16</v>
      </c>
      <c r="R5227">
        <v>4</v>
      </c>
      <c r="S5227">
        <v>3</v>
      </c>
      <c r="T5227">
        <v>11</v>
      </c>
      <c r="U5227">
        <v>13</v>
      </c>
      <c r="V5227">
        <v>0</v>
      </c>
      <c r="W5227">
        <v>2</v>
      </c>
      <c r="X5227">
        <v>0</v>
      </c>
      <c r="Y5227">
        <v>0</v>
      </c>
      <c r="Z5227">
        <v>1</v>
      </c>
    </row>
    <row r="5228" spans="1:26" x14ac:dyDescent="0.2">
      <c r="A5228" t="s">
        <v>5346</v>
      </c>
      <c r="B5228" t="s">
        <v>92</v>
      </c>
      <c r="C5228">
        <v>2022</v>
      </c>
      <c r="D5228" t="s">
        <v>18</v>
      </c>
      <c r="E5228" t="s">
        <v>42</v>
      </c>
      <c r="F5228" t="s">
        <v>20</v>
      </c>
      <c r="G5228">
        <v>40341</v>
      </c>
      <c r="H5228">
        <v>32272.800000000003</v>
      </c>
      <c r="I5228" s="13">
        <v>0.66666666666666663</v>
      </c>
      <c r="J5228" t="s">
        <v>6207</v>
      </c>
      <c r="K5228">
        <v>0</v>
      </c>
      <c r="L5228">
        <v>2</v>
      </c>
      <c r="M5228" t="s">
        <v>1</v>
      </c>
      <c r="N5228" s="3">
        <v>0.69</v>
      </c>
      <c r="O5228" s="3">
        <v>0.31</v>
      </c>
      <c r="P5228">
        <v>16</v>
      </c>
      <c r="Q5228">
        <v>16</v>
      </c>
      <c r="R5228">
        <v>13</v>
      </c>
      <c r="S5228">
        <v>2</v>
      </c>
      <c r="T5228">
        <v>14</v>
      </c>
      <c r="U5228">
        <v>16</v>
      </c>
      <c r="V5228">
        <v>3</v>
      </c>
      <c r="W5228">
        <v>3</v>
      </c>
      <c r="X5228">
        <v>0</v>
      </c>
      <c r="Y5228">
        <v>0</v>
      </c>
      <c r="Z5228">
        <v>0</v>
      </c>
    </row>
    <row r="5229" spans="1:26" x14ac:dyDescent="0.2">
      <c r="A5229" t="s">
        <v>5347</v>
      </c>
      <c r="B5229" t="s">
        <v>81</v>
      </c>
      <c r="C5229">
        <v>2022</v>
      </c>
      <c r="D5229" t="s">
        <v>23</v>
      </c>
      <c r="E5229" t="s">
        <v>73</v>
      </c>
      <c r="F5229" t="s">
        <v>20</v>
      </c>
      <c r="G5229">
        <v>62500</v>
      </c>
      <c r="H5229">
        <v>50000</v>
      </c>
      <c r="I5229" s="13">
        <v>1</v>
      </c>
      <c r="J5229" t="s">
        <v>6207</v>
      </c>
      <c r="K5229">
        <v>1</v>
      </c>
      <c r="L5229">
        <v>0</v>
      </c>
      <c r="M5229" t="s">
        <v>0</v>
      </c>
      <c r="N5229" s="3">
        <v>0.43</v>
      </c>
      <c r="O5229" s="3">
        <v>0.56999999999999995</v>
      </c>
      <c r="P5229">
        <v>11</v>
      </c>
      <c r="Q5229">
        <v>11</v>
      </c>
      <c r="R5229">
        <v>5</v>
      </c>
      <c r="S5229">
        <v>3</v>
      </c>
      <c r="T5229">
        <v>10</v>
      </c>
      <c r="U5229">
        <v>11</v>
      </c>
      <c r="V5229">
        <v>0</v>
      </c>
      <c r="W5229">
        <v>2</v>
      </c>
      <c r="X5229">
        <v>0</v>
      </c>
      <c r="Y5229">
        <v>0</v>
      </c>
      <c r="Z5229">
        <v>0</v>
      </c>
    </row>
    <row r="5230" spans="1:26" x14ac:dyDescent="0.2">
      <c r="A5230" t="s">
        <v>5348</v>
      </c>
      <c r="B5230" t="s">
        <v>59</v>
      </c>
      <c r="C5230">
        <v>2022</v>
      </c>
      <c r="D5230" t="s">
        <v>64</v>
      </c>
      <c r="E5230" t="s">
        <v>48</v>
      </c>
      <c r="F5230" t="s">
        <v>64</v>
      </c>
      <c r="G5230">
        <v>52264</v>
      </c>
      <c r="H5230">
        <v>41811.200000000004</v>
      </c>
      <c r="I5230" s="13">
        <v>0</v>
      </c>
      <c r="J5230" t="s">
        <v>6206</v>
      </c>
      <c r="K5230">
        <v>2</v>
      </c>
      <c r="L5230">
        <v>0</v>
      </c>
      <c r="M5230" t="s">
        <v>0</v>
      </c>
      <c r="N5230" s="3">
        <v>0.46</v>
      </c>
      <c r="O5230" s="3">
        <v>0.54</v>
      </c>
      <c r="P5230">
        <v>10</v>
      </c>
      <c r="Q5230">
        <v>8</v>
      </c>
      <c r="R5230">
        <v>7</v>
      </c>
      <c r="S5230">
        <v>4</v>
      </c>
      <c r="T5230">
        <v>8</v>
      </c>
      <c r="U5230">
        <v>12</v>
      </c>
      <c r="V5230">
        <v>0</v>
      </c>
      <c r="W5230">
        <v>0</v>
      </c>
      <c r="X5230">
        <v>0</v>
      </c>
      <c r="Y5230">
        <v>0</v>
      </c>
      <c r="Z5230">
        <v>0</v>
      </c>
    </row>
    <row r="5231" spans="1:26" x14ac:dyDescent="0.2">
      <c r="A5231" t="s">
        <v>5349</v>
      </c>
      <c r="B5231" t="s">
        <v>93</v>
      </c>
      <c r="C5231">
        <v>2022</v>
      </c>
      <c r="D5231" t="s">
        <v>45</v>
      </c>
      <c r="E5231" t="s">
        <v>51</v>
      </c>
      <c r="F5231" t="s">
        <v>26</v>
      </c>
      <c r="G5231">
        <v>39572</v>
      </c>
      <c r="H5231">
        <v>31657.600000000002</v>
      </c>
      <c r="I5231" s="13">
        <v>0.8</v>
      </c>
      <c r="J5231" t="s">
        <v>6206</v>
      </c>
      <c r="K5231">
        <v>1</v>
      </c>
      <c r="L5231">
        <v>1</v>
      </c>
      <c r="M5231" t="s">
        <v>58</v>
      </c>
      <c r="N5231" s="3">
        <v>0.39</v>
      </c>
      <c r="O5231" s="3">
        <v>0.61</v>
      </c>
      <c r="P5231">
        <v>14</v>
      </c>
      <c r="Q5231">
        <v>10</v>
      </c>
      <c r="R5231">
        <v>3</v>
      </c>
      <c r="S5231">
        <v>3</v>
      </c>
      <c r="T5231">
        <v>10</v>
      </c>
      <c r="U5231">
        <v>14</v>
      </c>
      <c r="V5231">
        <v>0</v>
      </c>
      <c r="W5231">
        <v>3</v>
      </c>
      <c r="X5231">
        <v>1</v>
      </c>
      <c r="Y5231">
        <v>1</v>
      </c>
      <c r="Z5231">
        <v>1</v>
      </c>
    </row>
    <row r="5232" spans="1:26" x14ac:dyDescent="0.2">
      <c r="A5232" t="s">
        <v>5350</v>
      </c>
      <c r="B5232" t="s">
        <v>66</v>
      </c>
      <c r="C5232">
        <v>2022</v>
      </c>
      <c r="D5232" t="s">
        <v>48</v>
      </c>
      <c r="E5232" t="s">
        <v>45</v>
      </c>
      <c r="F5232" t="s">
        <v>49</v>
      </c>
      <c r="G5232">
        <v>74197</v>
      </c>
      <c r="H5232">
        <v>59357.600000000006</v>
      </c>
      <c r="I5232" s="13">
        <v>0</v>
      </c>
      <c r="J5232" t="s">
        <v>6207</v>
      </c>
      <c r="K5232">
        <v>2</v>
      </c>
      <c r="L5232">
        <v>0</v>
      </c>
      <c r="M5232" t="s">
        <v>0</v>
      </c>
      <c r="N5232" s="3">
        <v>0.64</v>
      </c>
      <c r="O5232" s="3">
        <v>0.36</v>
      </c>
      <c r="P5232">
        <v>12</v>
      </c>
      <c r="Q5232">
        <v>12</v>
      </c>
      <c r="R5232">
        <v>10</v>
      </c>
      <c r="S5232">
        <v>4</v>
      </c>
      <c r="T5232">
        <v>10</v>
      </c>
      <c r="U5232">
        <v>9</v>
      </c>
      <c r="V5232">
        <v>0</v>
      </c>
      <c r="W5232">
        <v>0</v>
      </c>
      <c r="X5232">
        <v>0</v>
      </c>
      <c r="Y5232">
        <v>0</v>
      </c>
      <c r="Z5232">
        <v>0</v>
      </c>
    </row>
    <row r="5233" spans="1:26" x14ac:dyDescent="0.2">
      <c r="A5233" t="s">
        <v>5351</v>
      </c>
      <c r="B5233" t="s">
        <v>97</v>
      </c>
      <c r="C5233">
        <v>2022</v>
      </c>
      <c r="D5233" t="s">
        <v>22</v>
      </c>
      <c r="E5233" t="s">
        <v>18</v>
      </c>
      <c r="F5233" t="s">
        <v>24</v>
      </c>
      <c r="G5233">
        <v>31750</v>
      </c>
      <c r="H5233">
        <v>25400</v>
      </c>
      <c r="I5233" s="13">
        <v>0.5714285714285714</v>
      </c>
      <c r="J5233" t="s">
        <v>6207</v>
      </c>
      <c r="K5233">
        <v>1</v>
      </c>
      <c r="L5233">
        <v>0</v>
      </c>
      <c r="M5233" t="s">
        <v>0</v>
      </c>
      <c r="N5233" s="3">
        <v>0.38</v>
      </c>
      <c r="O5233" s="3">
        <v>0.62</v>
      </c>
      <c r="P5233">
        <v>11</v>
      </c>
      <c r="Q5233">
        <v>16</v>
      </c>
      <c r="R5233">
        <v>8</v>
      </c>
      <c r="S5233">
        <v>8</v>
      </c>
      <c r="T5233">
        <v>14</v>
      </c>
      <c r="U5233">
        <v>10</v>
      </c>
      <c r="V5233">
        <v>2</v>
      </c>
      <c r="W5233">
        <v>5</v>
      </c>
      <c r="X5233">
        <v>0</v>
      </c>
      <c r="Y5233">
        <v>0</v>
      </c>
      <c r="Z5233">
        <v>0</v>
      </c>
    </row>
    <row r="5234" spans="1:26" x14ac:dyDescent="0.2">
      <c r="A5234" t="s">
        <v>5352</v>
      </c>
      <c r="B5234" t="s">
        <v>59</v>
      </c>
      <c r="C5234">
        <v>2022</v>
      </c>
      <c r="D5234" t="s">
        <v>51</v>
      </c>
      <c r="E5234" t="s">
        <v>90</v>
      </c>
      <c r="F5234" t="s">
        <v>20</v>
      </c>
      <c r="G5234">
        <v>36284</v>
      </c>
      <c r="H5234">
        <v>29027.200000000001</v>
      </c>
      <c r="I5234" s="13">
        <v>0.66666666666666663</v>
      </c>
      <c r="J5234" t="s">
        <v>6206</v>
      </c>
      <c r="K5234">
        <v>2</v>
      </c>
      <c r="L5234">
        <v>1</v>
      </c>
      <c r="M5234" t="s">
        <v>0</v>
      </c>
      <c r="N5234" s="3">
        <v>0.35</v>
      </c>
      <c r="O5234" s="3">
        <v>0.65</v>
      </c>
      <c r="P5234">
        <v>16</v>
      </c>
      <c r="Q5234">
        <v>15</v>
      </c>
      <c r="R5234">
        <v>3</v>
      </c>
      <c r="S5234">
        <v>7</v>
      </c>
      <c r="T5234">
        <v>15</v>
      </c>
      <c r="U5234">
        <v>15</v>
      </c>
      <c r="V5234">
        <v>3</v>
      </c>
      <c r="W5234">
        <v>1</v>
      </c>
      <c r="X5234">
        <v>1</v>
      </c>
      <c r="Y5234">
        <v>1</v>
      </c>
      <c r="Z5234">
        <v>0</v>
      </c>
    </row>
    <row r="5235" spans="1:26" x14ac:dyDescent="0.2">
      <c r="A5235" t="s">
        <v>5353</v>
      </c>
      <c r="B5235" t="s">
        <v>93</v>
      </c>
      <c r="C5235">
        <v>2022</v>
      </c>
      <c r="D5235" t="s">
        <v>80</v>
      </c>
      <c r="E5235" t="s">
        <v>86</v>
      </c>
      <c r="F5235" t="s">
        <v>80</v>
      </c>
      <c r="G5235">
        <v>32261</v>
      </c>
      <c r="H5235">
        <v>25808.800000000003</v>
      </c>
      <c r="I5235" s="13">
        <v>0</v>
      </c>
      <c r="J5235" t="s">
        <v>6206</v>
      </c>
      <c r="K5235">
        <v>0</v>
      </c>
      <c r="L5235">
        <v>1</v>
      </c>
      <c r="M5235" t="s">
        <v>1</v>
      </c>
      <c r="N5235" s="3">
        <v>0.51</v>
      </c>
      <c r="O5235" s="3">
        <v>0.49</v>
      </c>
      <c r="P5235">
        <v>14</v>
      </c>
      <c r="Q5235">
        <v>11</v>
      </c>
      <c r="R5235">
        <v>6</v>
      </c>
      <c r="S5235">
        <v>6</v>
      </c>
      <c r="T5235">
        <v>10</v>
      </c>
      <c r="U5235">
        <v>13</v>
      </c>
      <c r="V5235">
        <v>0</v>
      </c>
      <c r="W5235">
        <v>3</v>
      </c>
      <c r="X5235">
        <v>0</v>
      </c>
      <c r="Y5235">
        <v>0</v>
      </c>
      <c r="Z5235">
        <v>0</v>
      </c>
    </row>
    <row r="5236" spans="1:26" x14ac:dyDescent="0.2">
      <c r="A5236" t="s">
        <v>5354</v>
      </c>
      <c r="B5236" t="s">
        <v>102</v>
      </c>
      <c r="C5236">
        <v>2022</v>
      </c>
      <c r="D5236" t="s">
        <v>31</v>
      </c>
      <c r="E5236" t="s">
        <v>23</v>
      </c>
      <c r="F5236" t="s">
        <v>20</v>
      </c>
      <c r="G5236">
        <v>28500</v>
      </c>
      <c r="H5236">
        <v>22800</v>
      </c>
      <c r="I5236" s="13">
        <v>0.5</v>
      </c>
      <c r="J5236" t="s">
        <v>6209</v>
      </c>
      <c r="K5236">
        <v>0</v>
      </c>
      <c r="L5236">
        <v>1</v>
      </c>
      <c r="M5236" t="s">
        <v>1</v>
      </c>
      <c r="N5236" s="3">
        <v>0.77</v>
      </c>
      <c r="O5236" s="3">
        <v>0.23</v>
      </c>
      <c r="P5236">
        <v>12</v>
      </c>
      <c r="Q5236">
        <v>8</v>
      </c>
      <c r="R5236">
        <v>11</v>
      </c>
      <c r="S5236">
        <v>4</v>
      </c>
      <c r="T5236">
        <v>10</v>
      </c>
      <c r="U5236">
        <v>12</v>
      </c>
      <c r="V5236">
        <v>1</v>
      </c>
      <c r="W5236">
        <v>1</v>
      </c>
      <c r="X5236">
        <v>0</v>
      </c>
      <c r="Y5236">
        <v>0</v>
      </c>
      <c r="Z5236">
        <v>0</v>
      </c>
    </row>
    <row r="5237" spans="1:26" x14ac:dyDescent="0.2">
      <c r="A5237" t="s">
        <v>5355</v>
      </c>
      <c r="B5237" t="s">
        <v>88</v>
      </c>
      <c r="C5237">
        <v>2022</v>
      </c>
      <c r="D5237" t="s">
        <v>101</v>
      </c>
      <c r="E5237" t="s">
        <v>64</v>
      </c>
      <c r="F5237" t="s">
        <v>101</v>
      </c>
      <c r="G5237">
        <v>17250</v>
      </c>
      <c r="H5237">
        <v>13800</v>
      </c>
      <c r="I5237" s="13">
        <v>1</v>
      </c>
      <c r="J5237" t="s">
        <v>6207</v>
      </c>
      <c r="K5237">
        <v>1</v>
      </c>
      <c r="L5237">
        <v>2</v>
      </c>
      <c r="M5237" t="s">
        <v>1</v>
      </c>
      <c r="N5237" s="3">
        <v>0.41</v>
      </c>
      <c r="O5237" s="3">
        <v>0.59</v>
      </c>
      <c r="P5237">
        <v>13</v>
      </c>
      <c r="Q5237">
        <v>12</v>
      </c>
      <c r="R5237">
        <v>6</v>
      </c>
      <c r="S5237">
        <v>5</v>
      </c>
      <c r="T5237">
        <v>10</v>
      </c>
      <c r="U5237">
        <v>15</v>
      </c>
      <c r="V5237">
        <v>0</v>
      </c>
      <c r="W5237">
        <v>2</v>
      </c>
      <c r="X5237">
        <v>0</v>
      </c>
      <c r="Y5237">
        <v>0</v>
      </c>
      <c r="Z5237">
        <v>2</v>
      </c>
    </row>
    <row r="5238" spans="1:26" x14ac:dyDescent="0.2">
      <c r="A5238" t="s">
        <v>5356</v>
      </c>
      <c r="B5238" t="s">
        <v>61</v>
      </c>
      <c r="C5238">
        <v>2022</v>
      </c>
      <c r="D5238" t="s">
        <v>42</v>
      </c>
      <c r="E5238" t="s">
        <v>94</v>
      </c>
      <c r="F5238" t="s">
        <v>38</v>
      </c>
      <c r="G5238">
        <v>42918</v>
      </c>
      <c r="H5238">
        <v>34334.400000000001</v>
      </c>
      <c r="I5238" s="13">
        <v>0.42857142857142855</v>
      </c>
      <c r="J5238" t="s">
        <v>6207</v>
      </c>
      <c r="K5238">
        <v>2</v>
      </c>
      <c r="L5238">
        <v>0</v>
      </c>
      <c r="M5238" t="s">
        <v>0</v>
      </c>
      <c r="N5238" s="3">
        <v>0.65</v>
      </c>
      <c r="O5238" s="3">
        <v>0.35</v>
      </c>
      <c r="P5238">
        <v>24</v>
      </c>
      <c r="Q5238">
        <v>8</v>
      </c>
      <c r="R5238">
        <v>1</v>
      </c>
      <c r="S5238">
        <v>8</v>
      </c>
      <c r="T5238">
        <v>7</v>
      </c>
      <c r="U5238">
        <v>17</v>
      </c>
      <c r="V5238">
        <v>3</v>
      </c>
      <c r="W5238">
        <v>4</v>
      </c>
      <c r="X5238">
        <v>0</v>
      </c>
      <c r="Y5238">
        <v>0</v>
      </c>
      <c r="Z5238">
        <v>0</v>
      </c>
    </row>
    <row r="5239" spans="1:26" x14ac:dyDescent="0.2">
      <c r="A5239" t="s">
        <v>5357</v>
      </c>
      <c r="B5239" t="s">
        <v>99</v>
      </c>
      <c r="C5239">
        <v>2022</v>
      </c>
      <c r="D5239" t="s">
        <v>73</v>
      </c>
      <c r="E5239" t="s">
        <v>40</v>
      </c>
      <c r="F5239" t="s">
        <v>73</v>
      </c>
      <c r="G5239">
        <v>32384</v>
      </c>
      <c r="H5239">
        <v>25907.200000000001</v>
      </c>
      <c r="I5239" s="13">
        <v>0.5</v>
      </c>
      <c r="J5239" t="s">
        <v>6207</v>
      </c>
      <c r="K5239">
        <v>1</v>
      </c>
      <c r="L5239">
        <v>4</v>
      </c>
      <c r="M5239" t="s">
        <v>1</v>
      </c>
      <c r="N5239" s="3">
        <v>0.27</v>
      </c>
      <c r="O5239" s="3">
        <v>0.73</v>
      </c>
      <c r="P5239">
        <v>12</v>
      </c>
      <c r="Q5239">
        <v>5</v>
      </c>
      <c r="R5239">
        <v>0</v>
      </c>
      <c r="S5239">
        <v>10</v>
      </c>
      <c r="T5239">
        <v>6</v>
      </c>
      <c r="U5239">
        <v>10</v>
      </c>
      <c r="V5239">
        <v>0</v>
      </c>
      <c r="W5239">
        <v>2</v>
      </c>
      <c r="X5239">
        <v>0</v>
      </c>
      <c r="Y5239">
        <v>0</v>
      </c>
      <c r="Z5239">
        <v>1</v>
      </c>
    </row>
    <row r="5240" spans="1:26" x14ac:dyDescent="0.2">
      <c r="A5240" t="s">
        <v>5358</v>
      </c>
      <c r="B5240" t="s">
        <v>84</v>
      </c>
      <c r="C5240">
        <v>2022</v>
      </c>
      <c r="D5240" t="s">
        <v>33</v>
      </c>
      <c r="E5240" t="s">
        <v>79</v>
      </c>
      <c r="F5240" t="s">
        <v>33</v>
      </c>
      <c r="G5240">
        <v>37645</v>
      </c>
      <c r="H5240">
        <v>30116</v>
      </c>
      <c r="I5240" s="13">
        <v>0.75</v>
      </c>
      <c r="J5240" t="s">
        <v>6208</v>
      </c>
      <c r="K5240">
        <v>1</v>
      </c>
      <c r="L5240">
        <v>5</v>
      </c>
      <c r="M5240" t="s">
        <v>1</v>
      </c>
      <c r="N5240" s="3">
        <v>0.48</v>
      </c>
      <c r="O5240" s="3">
        <v>0.52</v>
      </c>
      <c r="P5240">
        <v>10</v>
      </c>
      <c r="Q5240">
        <v>13</v>
      </c>
      <c r="R5240">
        <v>2</v>
      </c>
      <c r="S5240">
        <v>4</v>
      </c>
      <c r="T5240">
        <v>11</v>
      </c>
      <c r="U5240">
        <v>8</v>
      </c>
      <c r="V5240">
        <v>3</v>
      </c>
      <c r="W5240">
        <v>1</v>
      </c>
      <c r="X5240">
        <v>0</v>
      </c>
      <c r="Y5240">
        <v>0</v>
      </c>
      <c r="Z5240">
        <v>0</v>
      </c>
    </row>
    <row r="5241" spans="1:26" x14ac:dyDescent="0.2">
      <c r="A5241" t="s">
        <v>5359</v>
      </c>
      <c r="B5241" t="s">
        <v>81</v>
      </c>
      <c r="C5241">
        <v>2022</v>
      </c>
      <c r="D5241" t="s">
        <v>26</v>
      </c>
      <c r="E5241" t="s">
        <v>46</v>
      </c>
      <c r="F5241" t="s">
        <v>26</v>
      </c>
      <c r="G5241">
        <v>61276</v>
      </c>
      <c r="H5241">
        <v>49020.800000000003</v>
      </c>
      <c r="I5241" s="13">
        <v>0.25</v>
      </c>
      <c r="J5241" t="s">
        <v>6207</v>
      </c>
      <c r="K5241">
        <v>2</v>
      </c>
      <c r="L5241">
        <v>2</v>
      </c>
      <c r="M5241" t="s">
        <v>58</v>
      </c>
      <c r="N5241" s="3">
        <v>0.59</v>
      </c>
      <c r="O5241" s="3">
        <v>0.41</v>
      </c>
      <c r="P5241">
        <v>11</v>
      </c>
      <c r="Q5241">
        <v>11</v>
      </c>
      <c r="R5241">
        <v>5</v>
      </c>
      <c r="S5241">
        <v>4</v>
      </c>
      <c r="T5241">
        <v>11</v>
      </c>
      <c r="U5241">
        <v>11</v>
      </c>
      <c r="V5241">
        <v>4</v>
      </c>
      <c r="W5241">
        <v>4</v>
      </c>
      <c r="X5241">
        <v>0</v>
      </c>
      <c r="Y5241">
        <v>0</v>
      </c>
      <c r="Z5241">
        <v>1</v>
      </c>
    </row>
    <row r="5242" spans="1:26" x14ac:dyDescent="0.2">
      <c r="A5242" t="s">
        <v>5360</v>
      </c>
      <c r="B5242" t="s">
        <v>104</v>
      </c>
      <c r="C5242">
        <v>2022</v>
      </c>
      <c r="D5242" t="s">
        <v>42</v>
      </c>
      <c r="E5242" t="s">
        <v>64</v>
      </c>
      <c r="F5242" t="s">
        <v>38</v>
      </c>
      <c r="G5242">
        <v>42918</v>
      </c>
      <c r="H5242">
        <v>34334.400000000001</v>
      </c>
      <c r="I5242" s="13">
        <v>1</v>
      </c>
      <c r="J5242" t="s">
        <v>6206</v>
      </c>
      <c r="K5242">
        <v>3</v>
      </c>
      <c r="L5242">
        <v>0</v>
      </c>
      <c r="M5242" t="s">
        <v>0</v>
      </c>
      <c r="N5242" s="3">
        <v>0.52</v>
      </c>
      <c r="O5242" s="3">
        <v>0.48</v>
      </c>
      <c r="P5242">
        <v>19</v>
      </c>
      <c r="Q5242">
        <v>13</v>
      </c>
      <c r="R5242">
        <v>7</v>
      </c>
      <c r="S5242">
        <v>2</v>
      </c>
      <c r="T5242">
        <v>13</v>
      </c>
      <c r="U5242">
        <v>15</v>
      </c>
      <c r="V5242">
        <v>1</v>
      </c>
      <c r="W5242">
        <v>1</v>
      </c>
      <c r="X5242">
        <v>0</v>
      </c>
      <c r="Y5242">
        <v>0</v>
      </c>
      <c r="Z5242">
        <v>0</v>
      </c>
    </row>
    <row r="5243" spans="1:26" x14ac:dyDescent="0.2">
      <c r="A5243" t="s">
        <v>5361</v>
      </c>
      <c r="B5243" t="s">
        <v>81</v>
      </c>
      <c r="C5243">
        <v>2022</v>
      </c>
      <c r="D5243" t="s">
        <v>22</v>
      </c>
      <c r="E5243" t="s">
        <v>101</v>
      </c>
      <c r="F5243" t="s">
        <v>24</v>
      </c>
      <c r="G5243">
        <v>31750</v>
      </c>
      <c r="H5243">
        <v>25400</v>
      </c>
      <c r="I5243" s="13">
        <v>1</v>
      </c>
      <c r="J5243" t="s">
        <v>6207</v>
      </c>
      <c r="K5243">
        <v>2</v>
      </c>
      <c r="L5243">
        <v>0</v>
      </c>
      <c r="M5243" t="s">
        <v>0</v>
      </c>
      <c r="N5243" s="3">
        <v>0.51</v>
      </c>
      <c r="O5243" s="3">
        <v>0.49</v>
      </c>
      <c r="P5243">
        <v>9</v>
      </c>
      <c r="Q5243">
        <v>12</v>
      </c>
      <c r="R5243">
        <v>5</v>
      </c>
      <c r="S5243">
        <v>2</v>
      </c>
      <c r="T5243">
        <v>12</v>
      </c>
      <c r="U5243">
        <v>8</v>
      </c>
      <c r="V5243">
        <v>1</v>
      </c>
      <c r="W5243">
        <v>1</v>
      </c>
      <c r="X5243">
        <v>0</v>
      </c>
      <c r="Y5243">
        <v>0</v>
      </c>
      <c r="Z5243">
        <v>0</v>
      </c>
    </row>
    <row r="5244" spans="1:26" x14ac:dyDescent="0.2">
      <c r="A5244" t="s">
        <v>5362</v>
      </c>
      <c r="B5244" t="s">
        <v>92</v>
      </c>
      <c r="C5244">
        <v>2022</v>
      </c>
      <c r="D5244" t="s">
        <v>51</v>
      </c>
      <c r="E5244" t="s">
        <v>86</v>
      </c>
      <c r="F5244" t="s">
        <v>20</v>
      </c>
      <c r="G5244">
        <v>36284</v>
      </c>
      <c r="H5244">
        <v>29027.200000000001</v>
      </c>
      <c r="I5244" s="13">
        <v>0.25</v>
      </c>
      <c r="J5244" t="s">
        <v>6207</v>
      </c>
      <c r="K5244">
        <v>2</v>
      </c>
      <c r="L5244">
        <v>3</v>
      </c>
      <c r="M5244" t="s">
        <v>1</v>
      </c>
      <c r="N5244" s="3">
        <v>0.56999999999999995</v>
      </c>
      <c r="O5244" s="3">
        <v>0.43</v>
      </c>
      <c r="P5244">
        <v>10</v>
      </c>
      <c r="Q5244">
        <v>9</v>
      </c>
      <c r="R5244">
        <v>8</v>
      </c>
      <c r="S5244">
        <v>1</v>
      </c>
      <c r="T5244">
        <v>8</v>
      </c>
      <c r="U5244">
        <v>9</v>
      </c>
      <c r="V5244">
        <v>1</v>
      </c>
      <c r="W5244">
        <v>3</v>
      </c>
      <c r="X5244">
        <v>0</v>
      </c>
      <c r="Y5244">
        <v>0</v>
      </c>
      <c r="Z5244">
        <v>0</v>
      </c>
    </row>
    <row r="5245" spans="1:26" x14ac:dyDescent="0.2">
      <c r="A5245" t="s">
        <v>5363</v>
      </c>
      <c r="B5245" t="s">
        <v>66</v>
      </c>
      <c r="C5245">
        <v>2022</v>
      </c>
      <c r="D5245" t="s">
        <v>73</v>
      </c>
      <c r="E5245" t="s">
        <v>79</v>
      </c>
      <c r="F5245" t="s">
        <v>73</v>
      </c>
      <c r="G5245">
        <v>32384</v>
      </c>
      <c r="H5245">
        <v>25907.200000000001</v>
      </c>
      <c r="I5245" s="13">
        <v>1</v>
      </c>
      <c r="J5245" t="s">
        <v>6207</v>
      </c>
      <c r="K5245">
        <v>0</v>
      </c>
      <c r="L5245">
        <v>2</v>
      </c>
      <c r="M5245" t="s">
        <v>1</v>
      </c>
      <c r="N5245" s="3">
        <v>0.57999999999999996</v>
      </c>
      <c r="O5245" s="3">
        <v>0.42</v>
      </c>
      <c r="P5245">
        <v>14</v>
      </c>
      <c r="Q5245">
        <v>9</v>
      </c>
      <c r="R5245">
        <v>6</v>
      </c>
      <c r="S5245">
        <v>2</v>
      </c>
      <c r="T5245">
        <v>6</v>
      </c>
      <c r="U5245">
        <v>13</v>
      </c>
      <c r="V5245">
        <v>3</v>
      </c>
      <c r="W5245">
        <v>1</v>
      </c>
      <c r="X5245">
        <v>0</v>
      </c>
      <c r="Y5245">
        <v>0</v>
      </c>
      <c r="Z5245">
        <v>0</v>
      </c>
    </row>
    <row r="5246" spans="1:26" x14ac:dyDescent="0.2">
      <c r="A5246" t="s">
        <v>5364</v>
      </c>
      <c r="B5246" t="s">
        <v>61</v>
      </c>
      <c r="C5246">
        <v>2022</v>
      </c>
      <c r="D5246" t="s">
        <v>45</v>
      </c>
      <c r="E5246" t="s">
        <v>31</v>
      </c>
      <c r="F5246" t="s">
        <v>26</v>
      </c>
      <c r="G5246">
        <v>39572</v>
      </c>
      <c r="H5246">
        <v>31657.600000000002</v>
      </c>
      <c r="I5246" s="13">
        <v>0.8</v>
      </c>
      <c r="J5246" t="s">
        <v>6207</v>
      </c>
      <c r="K5246">
        <v>1</v>
      </c>
      <c r="L5246">
        <v>3</v>
      </c>
      <c r="M5246" t="s">
        <v>1</v>
      </c>
      <c r="N5246" s="3">
        <v>0.46</v>
      </c>
      <c r="O5246" s="3">
        <v>0.54</v>
      </c>
      <c r="P5246">
        <v>6</v>
      </c>
      <c r="Q5246">
        <v>12</v>
      </c>
      <c r="R5246">
        <v>4</v>
      </c>
      <c r="S5246">
        <v>7</v>
      </c>
      <c r="T5246">
        <v>10</v>
      </c>
      <c r="U5246">
        <v>6</v>
      </c>
      <c r="V5246">
        <v>3</v>
      </c>
      <c r="W5246">
        <v>2</v>
      </c>
      <c r="X5246">
        <v>0</v>
      </c>
      <c r="Y5246">
        <v>0</v>
      </c>
      <c r="Z5246">
        <v>0</v>
      </c>
    </row>
    <row r="5247" spans="1:26" x14ac:dyDescent="0.2">
      <c r="A5247" t="s">
        <v>5365</v>
      </c>
      <c r="B5247" t="s">
        <v>99</v>
      </c>
      <c r="C5247">
        <v>2022</v>
      </c>
      <c r="D5247" t="s">
        <v>18</v>
      </c>
      <c r="E5247" t="s">
        <v>90</v>
      </c>
      <c r="F5247" t="s">
        <v>20</v>
      </c>
      <c r="G5247">
        <v>40341</v>
      </c>
      <c r="H5247">
        <v>32272.800000000003</v>
      </c>
      <c r="I5247" s="13">
        <v>0.5</v>
      </c>
      <c r="J5247" t="s">
        <v>6207</v>
      </c>
      <c r="K5247">
        <v>1</v>
      </c>
      <c r="L5247">
        <v>2</v>
      </c>
      <c r="M5247" t="s">
        <v>1</v>
      </c>
      <c r="N5247" s="3">
        <v>0.42</v>
      </c>
      <c r="O5247" s="3">
        <v>0.57999999999999996</v>
      </c>
      <c r="P5247">
        <v>10</v>
      </c>
      <c r="Q5247">
        <v>13</v>
      </c>
      <c r="R5247">
        <v>2</v>
      </c>
      <c r="S5247">
        <v>8</v>
      </c>
      <c r="T5247">
        <v>11</v>
      </c>
      <c r="U5247">
        <v>11</v>
      </c>
      <c r="V5247">
        <v>2</v>
      </c>
      <c r="W5247">
        <v>2</v>
      </c>
      <c r="X5247">
        <v>0</v>
      </c>
      <c r="Y5247">
        <v>0</v>
      </c>
      <c r="Z5247">
        <v>0</v>
      </c>
    </row>
    <row r="5248" spans="1:26" x14ac:dyDescent="0.2">
      <c r="A5248" t="s">
        <v>5366</v>
      </c>
      <c r="B5248" t="s">
        <v>100</v>
      </c>
      <c r="C5248">
        <v>2022</v>
      </c>
      <c r="D5248" t="s">
        <v>40</v>
      </c>
      <c r="E5248" t="s">
        <v>80</v>
      </c>
      <c r="F5248" t="s">
        <v>49</v>
      </c>
      <c r="G5248">
        <v>53400</v>
      </c>
      <c r="H5248">
        <v>42720</v>
      </c>
      <c r="I5248" s="13">
        <v>1</v>
      </c>
      <c r="J5248" t="s">
        <v>6207</v>
      </c>
      <c r="K5248">
        <v>3</v>
      </c>
      <c r="L5248">
        <v>1</v>
      </c>
      <c r="M5248" t="s">
        <v>0</v>
      </c>
      <c r="N5248" s="3">
        <v>0.71</v>
      </c>
      <c r="O5248" s="3">
        <v>0.28999999999999998</v>
      </c>
      <c r="P5248">
        <v>7</v>
      </c>
      <c r="Q5248">
        <v>7</v>
      </c>
      <c r="R5248">
        <v>6</v>
      </c>
      <c r="S5248">
        <v>2</v>
      </c>
      <c r="T5248">
        <v>8</v>
      </c>
      <c r="U5248">
        <v>8</v>
      </c>
      <c r="V5248">
        <v>1</v>
      </c>
      <c r="W5248">
        <v>1</v>
      </c>
      <c r="X5248">
        <v>0</v>
      </c>
      <c r="Y5248">
        <v>0</v>
      </c>
      <c r="Z5248">
        <v>1</v>
      </c>
    </row>
    <row r="5249" spans="1:26" x14ac:dyDescent="0.2">
      <c r="A5249" t="s">
        <v>5367</v>
      </c>
      <c r="B5249" t="s">
        <v>93</v>
      </c>
      <c r="C5249">
        <v>2022</v>
      </c>
      <c r="D5249" t="s">
        <v>23</v>
      </c>
      <c r="E5249" t="s">
        <v>46</v>
      </c>
      <c r="F5249" t="s">
        <v>20</v>
      </c>
      <c r="G5249">
        <v>62500</v>
      </c>
      <c r="H5249">
        <v>50000</v>
      </c>
      <c r="I5249" s="13">
        <v>0.66666666666666663</v>
      </c>
      <c r="J5249" t="s">
        <v>6206</v>
      </c>
      <c r="K5249">
        <v>2</v>
      </c>
      <c r="L5249">
        <v>2</v>
      </c>
      <c r="M5249" t="s">
        <v>58</v>
      </c>
      <c r="N5249" s="3">
        <v>0.28000000000000003</v>
      </c>
      <c r="O5249" s="3">
        <v>0.72</v>
      </c>
      <c r="P5249">
        <v>7</v>
      </c>
      <c r="Q5249">
        <v>12</v>
      </c>
      <c r="R5249">
        <v>7</v>
      </c>
      <c r="S5249">
        <v>2</v>
      </c>
      <c r="T5249">
        <v>11</v>
      </c>
      <c r="U5249">
        <v>8</v>
      </c>
      <c r="V5249">
        <v>1</v>
      </c>
      <c r="W5249">
        <v>2</v>
      </c>
      <c r="X5249">
        <v>0</v>
      </c>
      <c r="Y5249">
        <v>0</v>
      </c>
      <c r="Z5249">
        <v>2</v>
      </c>
    </row>
    <row r="5250" spans="1:26" x14ac:dyDescent="0.2">
      <c r="A5250" t="s">
        <v>5368</v>
      </c>
      <c r="B5250" t="s">
        <v>84</v>
      </c>
      <c r="C5250">
        <v>2022</v>
      </c>
      <c r="D5250" t="s">
        <v>94</v>
      </c>
      <c r="E5250" t="s">
        <v>48</v>
      </c>
      <c r="F5250" t="s">
        <v>106</v>
      </c>
      <c r="G5250">
        <v>30445</v>
      </c>
      <c r="H5250">
        <v>24356</v>
      </c>
      <c r="I5250" s="13">
        <v>0.5</v>
      </c>
      <c r="J5250" t="s">
        <v>6208</v>
      </c>
      <c r="K5250">
        <v>0</v>
      </c>
      <c r="L5250">
        <v>2</v>
      </c>
      <c r="M5250" t="s">
        <v>1</v>
      </c>
      <c r="N5250" s="3">
        <v>0.32</v>
      </c>
      <c r="O5250" s="3">
        <v>0.68</v>
      </c>
      <c r="P5250">
        <v>12</v>
      </c>
      <c r="Q5250">
        <v>7</v>
      </c>
      <c r="R5250">
        <v>4</v>
      </c>
      <c r="S5250">
        <v>9</v>
      </c>
      <c r="T5250">
        <v>9</v>
      </c>
      <c r="U5250">
        <v>9</v>
      </c>
      <c r="V5250">
        <v>2</v>
      </c>
      <c r="W5250">
        <v>2</v>
      </c>
      <c r="X5250">
        <v>0</v>
      </c>
      <c r="Y5250">
        <v>0</v>
      </c>
      <c r="Z5250">
        <v>0</v>
      </c>
    </row>
    <row r="5251" spans="1:26" x14ac:dyDescent="0.2">
      <c r="A5251" t="s">
        <v>5369</v>
      </c>
      <c r="B5251" t="s">
        <v>76</v>
      </c>
      <c r="C5251">
        <v>2022</v>
      </c>
      <c r="D5251" t="s">
        <v>33</v>
      </c>
      <c r="E5251" t="s">
        <v>26</v>
      </c>
      <c r="F5251" t="s">
        <v>33</v>
      </c>
      <c r="G5251">
        <v>37645</v>
      </c>
      <c r="H5251">
        <v>30116</v>
      </c>
      <c r="I5251" s="13">
        <v>1</v>
      </c>
      <c r="J5251" t="s">
        <v>6207</v>
      </c>
      <c r="K5251">
        <v>1</v>
      </c>
      <c r="L5251">
        <v>6</v>
      </c>
      <c r="M5251" t="s">
        <v>1</v>
      </c>
      <c r="N5251" s="3">
        <v>0.26</v>
      </c>
      <c r="O5251" s="3">
        <v>0.74</v>
      </c>
      <c r="P5251">
        <v>13</v>
      </c>
      <c r="Q5251">
        <v>5</v>
      </c>
      <c r="R5251">
        <v>4</v>
      </c>
      <c r="S5251">
        <v>2</v>
      </c>
      <c r="T5251">
        <v>6</v>
      </c>
      <c r="U5251">
        <v>12</v>
      </c>
      <c r="V5251">
        <v>0</v>
      </c>
      <c r="W5251">
        <v>1</v>
      </c>
      <c r="X5251">
        <v>0</v>
      </c>
      <c r="Y5251">
        <v>0</v>
      </c>
      <c r="Z5251">
        <v>0</v>
      </c>
    </row>
    <row r="5252" spans="1:26" x14ac:dyDescent="0.2">
      <c r="A5252" t="s">
        <v>5370</v>
      </c>
      <c r="B5252" t="s">
        <v>84</v>
      </c>
      <c r="C5252">
        <v>2022</v>
      </c>
      <c r="D5252" t="s">
        <v>46</v>
      </c>
      <c r="E5252" t="s">
        <v>73</v>
      </c>
      <c r="F5252" t="s">
        <v>20</v>
      </c>
      <c r="G5252">
        <v>60704</v>
      </c>
      <c r="H5252">
        <v>48563.200000000004</v>
      </c>
      <c r="I5252" s="13">
        <v>0.66666666666666663</v>
      </c>
      <c r="J5252" t="s">
        <v>6208</v>
      </c>
      <c r="K5252">
        <v>3</v>
      </c>
      <c r="L5252">
        <v>3</v>
      </c>
      <c r="M5252" t="s">
        <v>58</v>
      </c>
      <c r="N5252" s="3">
        <v>0.74</v>
      </c>
      <c r="O5252" s="3">
        <v>0.26</v>
      </c>
      <c r="P5252">
        <v>14</v>
      </c>
      <c r="Q5252">
        <v>11</v>
      </c>
      <c r="R5252">
        <v>7</v>
      </c>
      <c r="S5252">
        <v>2</v>
      </c>
      <c r="T5252">
        <v>10</v>
      </c>
      <c r="U5252">
        <v>14</v>
      </c>
      <c r="V5252">
        <v>1</v>
      </c>
      <c r="W5252">
        <v>5</v>
      </c>
      <c r="X5252">
        <v>0</v>
      </c>
      <c r="Y5252">
        <v>0</v>
      </c>
      <c r="Z5252">
        <v>0</v>
      </c>
    </row>
    <row r="5253" spans="1:26" x14ac:dyDescent="0.2">
      <c r="A5253" t="s">
        <v>5371</v>
      </c>
      <c r="B5253" t="s">
        <v>97</v>
      </c>
      <c r="C5253">
        <v>2022</v>
      </c>
      <c r="D5253" t="s">
        <v>31</v>
      </c>
      <c r="E5253" t="s">
        <v>33</v>
      </c>
      <c r="F5253" t="s">
        <v>20</v>
      </c>
      <c r="G5253">
        <v>28500</v>
      </c>
      <c r="H5253">
        <v>22800</v>
      </c>
      <c r="I5253" s="13">
        <v>0.8</v>
      </c>
      <c r="J5253" t="s">
        <v>6207</v>
      </c>
      <c r="K5253">
        <v>2</v>
      </c>
      <c r="L5253">
        <v>1</v>
      </c>
      <c r="M5253" t="s">
        <v>0</v>
      </c>
      <c r="N5253" s="3">
        <v>0.49</v>
      </c>
      <c r="O5253" s="3">
        <v>0.51</v>
      </c>
      <c r="P5253">
        <v>19</v>
      </c>
      <c r="Q5253">
        <v>15</v>
      </c>
      <c r="R5253">
        <v>8</v>
      </c>
      <c r="S5253">
        <v>6</v>
      </c>
      <c r="T5253">
        <v>10</v>
      </c>
      <c r="U5253">
        <v>15</v>
      </c>
      <c r="V5253">
        <v>1</v>
      </c>
      <c r="W5253">
        <v>4</v>
      </c>
      <c r="X5253">
        <v>0</v>
      </c>
      <c r="Y5253">
        <v>0</v>
      </c>
      <c r="Z5253">
        <v>0</v>
      </c>
    </row>
    <row r="5254" spans="1:26" x14ac:dyDescent="0.2">
      <c r="A5254" t="s">
        <v>5372</v>
      </c>
      <c r="B5254" t="s">
        <v>66</v>
      </c>
      <c r="C5254">
        <v>2022</v>
      </c>
      <c r="D5254" t="s">
        <v>26</v>
      </c>
      <c r="E5254" t="s">
        <v>94</v>
      </c>
      <c r="F5254" t="s">
        <v>26</v>
      </c>
      <c r="G5254">
        <v>61276</v>
      </c>
      <c r="H5254">
        <v>49020.800000000003</v>
      </c>
      <c r="I5254" s="13">
        <v>0</v>
      </c>
      <c r="J5254" t="s">
        <v>6207</v>
      </c>
      <c r="K5254">
        <v>3</v>
      </c>
      <c r="L5254">
        <v>2</v>
      </c>
      <c r="M5254" t="s">
        <v>0</v>
      </c>
      <c r="N5254" s="3">
        <v>0.81</v>
      </c>
      <c r="O5254" s="3">
        <v>0.19</v>
      </c>
      <c r="P5254">
        <v>15</v>
      </c>
      <c r="Q5254">
        <v>11</v>
      </c>
      <c r="R5254">
        <v>9</v>
      </c>
      <c r="S5254">
        <v>3</v>
      </c>
      <c r="T5254">
        <v>9</v>
      </c>
      <c r="U5254">
        <v>12</v>
      </c>
      <c r="V5254">
        <v>0</v>
      </c>
      <c r="W5254">
        <v>1</v>
      </c>
      <c r="X5254">
        <v>0</v>
      </c>
      <c r="Y5254">
        <v>0</v>
      </c>
      <c r="Z5254">
        <v>0</v>
      </c>
    </row>
    <row r="5255" spans="1:26" x14ac:dyDescent="0.2">
      <c r="A5255" t="s">
        <v>5373</v>
      </c>
      <c r="B5255" t="s">
        <v>92</v>
      </c>
      <c r="C5255">
        <v>2022</v>
      </c>
      <c r="D5255" t="s">
        <v>80</v>
      </c>
      <c r="E5255" t="s">
        <v>22</v>
      </c>
      <c r="F5255" t="s">
        <v>80</v>
      </c>
      <c r="G5255">
        <v>32261</v>
      </c>
      <c r="H5255">
        <v>25808.800000000003</v>
      </c>
      <c r="I5255" s="13">
        <v>1</v>
      </c>
      <c r="J5255" t="s">
        <v>6207</v>
      </c>
      <c r="K5255">
        <v>2</v>
      </c>
      <c r="L5255">
        <v>1</v>
      </c>
      <c r="M5255" t="s">
        <v>0</v>
      </c>
      <c r="N5255" s="3">
        <v>0.42</v>
      </c>
      <c r="O5255" s="3">
        <v>0.57999999999999996</v>
      </c>
      <c r="P5255">
        <v>18</v>
      </c>
      <c r="Q5255">
        <v>18</v>
      </c>
      <c r="R5255">
        <v>1</v>
      </c>
      <c r="S5255">
        <v>7</v>
      </c>
      <c r="T5255">
        <v>17</v>
      </c>
      <c r="U5255">
        <v>16</v>
      </c>
      <c r="V5255">
        <v>1</v>
      </c>
      <c r="W5255">
        <v>3</v>
      </c>
      <c r="X5255">
        <v>0</v>
      </c>
      <c r="Y5255">
        <v>0</v>
      </c>
      <c r="Z5255">
        <v>1</v>
      </c>
    </row>
    <row r="5256" spans="1:26" x14ac:dyDescent="0.2">
      <c r="A5256" t="s">
        <v>5374</v>
      </c>
      <c r="B5256" t="s">
        <v>104</v>
      </c>
      <c r="C5256">
        <v>2022</v>
      </c>
      <c r="D5256" t="s">
        <v>79</v>
      </c>
      <c r="E5256" t="s">
        <v>45</v>
      </c>
      <c r="F5256" t="s">
        <v>20</v>
      </c>
      <c r="G5256">
        <v>25486</v>
      </c>
      <c r="H5256">
        <v>20388.800000000003</v>
      </c>
      <c r="I5256" s="13">
        <v>0.25</v>
      </c>
      <c r="J5256" t="s">
        <v>6206</v>
      </c>
      <c r="K5256">
        <v>0</v>
      </c>
      <c r="L5256">
        <v>0</v>
      </c>
      <c r="M5256" t="s">
        <v>58</v>
      </c>
      <c r="N5256" s="3">
        <v>0.56999999999999995</v>
      </c>
      <c r="O5256" s="3">
        <v>0.43</v>
      </c>
      <c r="P5256">
        <v>15</v>
      </c>
      <c r="Q5256">
        <v>12</v>
      </c>
      <c r="R5256">
        <v>8</v>
      </c>
      <c r="S5256">
        <v>1</v>
      </c>
      <c r="T5256">
        <v>12</v>
      </c>
      <c r="U5256">
        <v>14</v>
      </c>
      <c r="V5256">
        <v>1</v>
      </c>
      <c r="W5256">
        <v>2</v>
      </c>
      <c r="X5256">
        <v>0</v>
      </c>
      <c r="Y5256">
        <v>1</v>
      </c>
      <c r="Z5256">
        <v>0</v>
      </c>
    </row>
    <row r="5257" spans="1:26" x14ac:dyDescent="0.2">
      <c r="A5257" t="s">
        <v>5375</v>
      </c>
      <c r="B5257" t="s">
        <v>103</v>
      </c>
      <c r="C5257">
        <v>2022</v>
      </c>
      <c r="D5257" t="s">
        <v>101</v>
      </c>
      <c r="E5257" t="s">
        <v>42</v>
      </c>
      <c r="F5257" t="s">
        <v>101</v>
      </c>
      <c r="G5257">
        <v>17250</v>
      </c>
      <c r="H5257">
        <v>13800</v>
      </c>
      <c r="I5257" s="13">
        <v>0.8</v>
      </c>
      <c r="J5257" t="s">
        <v>6207</v>
      </c>
      <c r="K5257">
        <v>1</v>
      </c>
      <c r="L5257">
        <v>1</v>
      </c>
      <c r="M5257" t="s">
        <v>58</v>
      </c>
      <c r="N5257" s="3">
        <v>0.42</v>
      </c>
      <c r="O5257" s="3">
        <v>0.57999999999999996</v>
      </c>
      <c r="P5257">
        <v>9</v>
      </c>
      <c r="Q5257">
        <v>19</v>
      </c>
      <c r="R5257">
        <v>8</v>
      </c>
      <c r="S5257">
        <v>4</v>
      </c>
      <c r="T5257">
        <v>12</v>
      </c>
      <c r="U5257">
        <v>8</v>
      </c>
      <c r="V5257">
        <v>3</v>
      </c>
      <c r="W5257">
        <v>2</v>
      </c>
      <c r="X5257">
        <v>0</v>
      </c>
      <c r="Y5257">
        <v>0</v>
      </c>
      <c r="Z5257">
        <v>0</v>
      </c>
    </row>
    <row r="5258" spans="1:26" x14ac:dyDescent="0.2">
      <c r="A5258" t="s">
        <v>5376</v>
      </c>
      <c r="B5258" t="s">
        <v>93</v>
      </c>
      <c r="C5258">
        <v>2022</v>
      </c>
      <c r="D5258" t="s">
        <v>64</v>
      </c>
      <c r="E5258" t="s">
        <v>51</v>
      </c>
      <c r="F5258" t="s">
        <v>64</v>
      </c>
      <c r="G5258">
        <v>52264</v>
      </c>
      <c r="H5258">
        <v>41811.200000000004</v>
      </c>
      <c r="I5258" s="13">
        <v>0.66666666666666663</v>
      </c>
      <c r="J5258" t="s">
        <v>6206</v>
      </c>
      <c r="K5258">
        <v>6</v>
      </c>
      <c r="L5258">
        <v>1</v>
      </c>
      <c r="M5258" t="s">
        <v>0</v>
      </c>
      <c r="N5258" s="3">
        <v>0.56999999999999995</v>
      </c>
      <c r="O5258" s="3">
        <v>0.43</v>
      </c>
      <c r="P5258">
        <v>13</v>
      </c>
      <c r="Q5258">
        <v>9</v>
      </c>
      <c r="R5258">
        <v>9</v>
      </c>
      <c r="S5258">
        <v>3</v>
      </c>
      <c r="T5258">
        <v>7</v>
      </c>
      <c r="U5258">
        <v>13</v>
      </c>
      <c r="V5258">
        <v>0</v>
      </c>
      <c r="W5258">
        <v>3</v>
      </c>
      <c r="X5258">
        <v>0</v>
      </c>
      <c r="Y5258">
        <v>0</v>
      </c>
      <c r="Z5258">
        <v>0</v>
      </c>
    </row>
    <row r="5259" spans="1:26" x14ac:dyDescent="0.2">
      <c r="A5259" t="s">
        <v>5377</v>
      </c>
      <c r="B5259" t="s">
        <v>61</v>
      </c>
      <c r="C5259">
        <v>2022</v>
      </c>
      <c r="D5259" t="s">
        <v>86</v>
      </c>
      <c r="E5259" t="s">
        <v>23</v>
      </c>
      <c r="F5259" t="s">
        <v>86</v>
      </c>
      <c r="G5259">
        <v>11364</v>
      </c>
      <c r="H5259">
        <v>9091.2000000000007</v>
      </c>
      <c r="I5259" s="13">
        <v>0.66666666666666663</v>
      </c>
      <c r="J5259" t="s">
        <v>6207</v>
      </c>
      <c r="K5259">
        <v>0</v>
      </c>
      <c r="L5259">
        <v>4</v>
      </c>
      <c r="M5259" t="s">
        <v>1</v>
      </c>
      <c r="N5259" s="3">
        <v>0.64</v>
      </c>
      <c r="O5259" s="3">
        <v>0.36</v>
      </c>
      <c r="P5259">
        <v>12</v>
      </c>
      <c r="Q5259">
        <v>7</v>
      </c>
      <c r="R5259">
        <v>8</v>
      </c>
      <c r="S5259">
        <v>5</v>
      </c>
      <c r="T5259">
        <v>7</v>
      </c>
      <c r="U5259">
        <v>8</v>
      </c>
      <c r="V5259">
        <v>1</v>
      </c>
      <c r="W5259">
        <v>2</v>
      </c>
      <c r="X5259">
        <v>0</v>
      </c>
      <c r="Y5259">
        <v>0</v>
      </c>
      <c r="Z5259">
        <v>0</v>
      </c>
    </row>
    <row r="5260" spans="1:26" x14ac:dyDescent="0.2">
      <c r="A5260" t="s">
        <v>5378</v>
      </c>
      <c r="B5260" t="s">
        <v>84</v>
      </c>
      <c r="C5260">
        <v>2022</v>
      </c>
      <c r="D5260" t="s">
        <v>90</v>
      </c>
      <c r="E5260" t="s">
        <v>40</v>
      </c>
      <c r="F5260" t="s">
        <v>91</v>
      </c>
      <c r="G5260">
        <v>31876</v>
      </c>
      <c r="H5260">
        <v>25500.800000000003</v>
      </c>
      <c r="I5260" s="13">
        <v>0.75</v>
      </c>
      <c r="J5260" t="s">
        <v>6208</v>
      </c>
      <c r="K5260">
        <v>1</v>
      </c>
      <c r="L5260">
        <v>1</v>
      </c>
      <c r="M5260" t="s">
        <v>58</v>
      </c>
      <c r="N5260" s="3">
        <v>0.4</v>
      </c>
      <c r="O5260" s="3">
        <v>0.6</v>
      </c>
      <c r="P5260">
        <v>13</v>
      </c>
      <c r="Q5260">
        <v>15</v>
      </c>
      <c r="R5260">
        <v>5</v>
      </c>
      <c r="S5260">
        <v>1</v>
      </c>
      <c r="T5260">
        <v>16</v>
      </c>
      <c r="U5260">
        <v>11</v>
      </c>
      <c r="V5260">
        <v>2</v>
      </c>
      <c r="W5260">
        <v>2</v>
      </c>
      <c r="X5260">
        <v>0</v>
      </c>
      <c r="Y5260">
        <v>0</v>
      </c>
      <c r="Z5260">
        <v>0</v>
      </c>
    </row>
    <row r="5261" spans="1:26" x14ac:dyDescent="0.2">
      <c r="A5261" t="s">
        <v>5379</v>
      </c>
      <c r="B5261" t="s">
        <v>59</v>
      </c>
      <c r="C5261">
        <v>2022</v>
      </c>
      <c r="D5261" t="s">
        <v>48</v>
      </c>
      <c r="E5261" t="s">
        <v>18</v>
      </c>
      <c r="F5261" t="s">
        <v>49</v>
      </c>
      <c r="G5261">
        <v>74197</v>
      </c>
      <c r="H5261">
        <v>59357.600000000006</v>
      </c>
      <c r="I5261" s="13">
        <v>1</v>
      </c>
      <c r="J5261" t="s">
        <v>6206</v>
      </c>
      <c r="K5261">
        <v>4</v>
      </c>
      <c r="L5261">
        <v>1</v>
      </c>
      <c r="M5261" t="s">
        <v>0</v>
      </c>
      <c r="N5261" s="3">
        <v>0.41</v>
      </c>
      <c r="O5261" s="3">
        <v>0.59</v>
      </c>
      <c r="P5261">
        <v>6</v>
      </c>
      <c r="Q5261">
        <v>12</v>
      </c>
      <c r="R5261">
        <v>3</v>
      </c>
      <c r="S5261">
        <v>4</v>
      </c>
      <c r="T5261">
        <v>12</v>
      </c>
      <c r="U5261">
        <v>6</v>
      </c>
      <c r="V5261">
        <v>1</v>
      </c>
      <c r="W5261">
        <v>1</v>
      </c>
      <c r="X5261">
        <v>0</v>
      </c>
      <c r="Y5261">
        <v>0</v>
      </c>
      <c r="Z5261">
        <v>1</v>
      </c>
    </row>
    <row r="5262" spans="1:26" x14ac:dyDescent="0.2">
      <c r="A5262" t="s">
        <v>5380</v>
      </c>
      <c r="B5262" t="s">
        <v>99</v>
      </c>
      <c r="C5262">
        <v>2022</v>
      </c>
      <c r="D5262" t="s">
        <v>22</v>
      </c>
      <c r="E5262" t="s">
        <v>79</v>
      </c>
      <c r="F5262" t="s">
        <v>24</v>
      </c>
      <c r="G5262">
        <v>31750</v>
      </c>
      <c r="H5262">
        <v>25400</v>
      </c>
      <c r="I5262" s="13">
        <v>0.88888888888888884</v>
      </c>
      <c r="J5262" t="s">
        <v>6207</v>
      </c>
      <c r="K5262">
        <v>2</v>
      </c>
      <c r="L5262">
        <v>0</v>
      </c>
      <c r="M5262" t="s">
        <v>0</v>
      </c>
      <c r="N5262" s="3">
        <v>0.41</v>
      </c>
      <c r="O5262" s="3">
        <v>0.59</v>
      </c>
      <c r="P5262">
        <v>14</v>
      </c>
      <c r="Q5262">
        <v>14</v>
      </c>
      <c r="R5262">
        <v>6</v>
      </c>
      <c r="S5262">
        <v>11</v>
      </c>
      <c r="T5262">
        <v>13</v>
      </c>
      <c r="U5262">
        <v>14</v>
      </c>
      <c r="V5262">
        <v>5</v>
      </c>
      <c r="W5262">
        <v>4</v>
      </c>
      <c r="X5262">
        <v>0</v>
      </c>
      <c r="Y5262">
        <v>0</v>
      </c>
      <c r="Z5262">
        <v>1</v>
      </c>
    </row>
    <row r="5263" spans="1:26" x14ac:dyDescent="0.2">
      <c r="A5263" t="s">
        <v>5381</v>
      </c>
      <c r="B5263" t="s">
        <v>107</v>
      </c>
      <c r="C5263">
        <v>2022</v>
      </c>
      <c r="D5263" t="s">
        <v>42</v>
      </c>
      <c r="E5263" t="s">
        <v>31</v>
      </c>
      <c r="F5263" t="s">
        <v>38</v>
      </c>
      <c r="G5263">
        <v>42918</v>
      </c>
      <c r="H5263">
        <v>34334.400000000001</v>
      </c>
      <c r="I5263" s="13">
        <v>0.8</v>
      </c>
      <c r="J5263" t="s">
        <v>6207</v>
      </c>
      <c r="K5263">
        <v>1</v>
      </c>
      <c r="L5263">
        <v>0</v>
      </c>
      <c r="M5263" t="s">
        <v>0</v>
      </c>
      <c r="N5263" s="3">
        <v>0.52</v>
      </c>
      <c r="O5263" s="3">
        <v>0.48</v>
      </c>
      <c r="P5263">
        <v>23</v>
      </c>
      <c r="Q5263">
        <v>6</v>
      </c>
      <c r="R5263">
        <v>8</v>
      </c>
      <c r="S5263">
        <v>2</v>
      </c>
      <c r="T5263">
        <v>6</v>
      </c>
      <c r="U5263">
        <v>18</v>
      </c>
      <c r="V5263">
        <v>3</v>
      </c>
      <c r="W5263">
        <v>2</v>
      </c>
      <c r="X5263">
        <v>0</v>
      </c>
      <c r="Y5263">
        <v>0</v>
      </c>
      <c r="Z5263">
        <v>0</v>
      </c>
    </row>
    <row r="5264" spans="1:26" x14ac:dyDescent="0.2">
      <c r="A5264" t="s">
        <v>5382</v>
      </c>
      <c r="B5264" t="s">
        <v>81</v>
      </c>
      <c r="C5264">
        <v>2022</v>
      </c>
      <c r="D5264" t="s">
        <v>33</v>
      </c>
      <c r="E5264" t="s">
        <v>80</v>
      </c>
      <c r="F5264" t="s">
        <v>33</v>
      </c>
      <c r="G5264">
        <v>37645</v>
      </c>
      <c r="H5264">
        <v>30116</v>
      </c>
      <c r="I5264" s="13">
        <v>0.66666666666666663</v>
      </c>
      <c r="J5264" t="s">
        <v>6207</v>
      </c>
      <c r="K5264">
        <v>1</v>
      </c>
      <c r="L5264">
        <v>1</v>
      </c>
      <c r="M5264" t="s">
        <v>58</v>
      </c>
      <c r="N5264" s="3">
        <v>0.41</v>
      </c>
      <c r="O5264" s="3">
        <v>0.59</v>
      </c>
      <c r="P5264">
        <v>19</v>
      </c>
      <c r="Q5264">
        <v>15</v>
      </c>
      <c r="R5264">
        <v>3</v>
      </c>
      <c r="S5264">
        <v>6</v>
      </c>
      <c r="T5264">
        <v>14</v>
      </c>
      <c r="U5264">
        <v>15</v>
      </c>
      <c r="V5264">
        <v>4</v>
      </c>
      <c r="W5264">
        <v>2</v>
      </c>
      <c r="X5264">
        <v>0</v>
      </c>
      <c r="Y5264">
        <v>0</v>
      </c>
      <c r="Z5264">
        <v>0</v>
      </c>
    </row>
    <row r="5265" spans="1:26" x14ac:dyDescent="0.2">
      <c r="A5265" t="s">
        <v>5383</v>
      </c>
      <c r="B5265" t="s">
        <v>102</v>
      </c>
      <c r="C5265">
        <v>2022</v>
      </c>
      <c r="D5265" t="s">
        <v>94</v>
      </c>
      <c r="E5265" t="s">
        <v>90</v>
      </c>
      <c r="F5265" t="s">
        <v>106</v>
      </c>
      <c r="G5265">
        <v>30445</v>
      </c>
      <c r="H5265">
        <v>24356</v>
      </c>
      <c r="I5265" s="13">
        <v>1</v>
      </c>
      <c r="J5265" t="s">
        <v>6209</v>
      </c>
      <c r="K5265">
        <v>3</v>
      </c>
      <c r="L5265">
        <v>1</v>
      </c>
      <c r="M5265" t="s">
        <v>0</v>
      </c>
      <c r="N5265" s="3">
        <v>0.25</v>
      </c>
      <c r="O5265" s="3">
        <v>0.75</v>
      </c>
      <c r="P5265">
        <v>8</v>
      </c>
      <c r="Q5265">
        <v>8</v>
      </c>
      <c r="R5265">
        <v>2</v>
      </c>
      <c r="S5265">
        <v>7</v>
      </c>
      <c r="T5265">
        <v>7</v>
      </c>
      <c r="U5265">
        <v>8</v>
      </c>
      <c r="V5265">
        <v>2</v>
      </c>
      <c r="W5265">
        <v>0</v>
      </c>
      <c r="X5265">
        <v>0</v>
      </c>
      <c r="Y5265">
        <v>0</v>
      </c>
      <c r="Z5265">
        <v>2</v>
      </c>
    </row>
    <row r="5266" spans="1:26" x14ac:dyDescent="0.2">
      <c r="A5266" t="s">
        <v>5384</v>
      </c>
      <c r="B5266" t="s">
        <v>88</v>
      </c>
      <c r="C5266">
        <v>2022</v>
      </c>
      <c r="D5266" t="s">
        <v>23</v>
      </c>
      <c r="E5266" t="s">
        <v>26</v>
      </c>
      <c r="F5266" t="s">
        <v>20</v>
      </c>
      <c r="G5266">
        <v>62500</v>
      </c>
      <c r="H5266">
        <v>50000</v>
      </c>
      <c r="I5266" s="13">
        <v>0</v>
      </c>
      <c r="J5266" t="s">
        <v>6207</v>
      </c>
      <c r="K5266">
        <v>1</v>
      </c>
      <c r="L5266">
        <v>2</v>
      </c>
      <c r="M5266" t="s">
        <v>1</v>
      </c>
      <c r="N5266" s="3">
        <v>0.27</v>
      </c>
      <c r="O5266" s="3">
        <v>0.73</v>
      </c>
      <c r="P5266">
        <v>9</v>
      </c>
      <c r="Q5266">
        <v>7</v>
      </c>
      <c r="R5266">
        <v>3</v>
      </c>
      <c r="S5266">
        <v>6</v>
      </c>
      <c r="T5266">
        <v>6</v>
      </c>
      <c r="U5266">
        <v>8</v>
      </c>
      <c r="V5266">
        <v>0</v>
      </c>
      <c r="W5266">
        <v>0</v>
      </c>
      <c r="X5266">
        <v>0</v>
      </c>
      <c r="Y5266">
        <v>0</v>
      </c>
      <c r="Z5266">
        <v>0</v>
      </c>
    </row>
    <row r="5267" spans="1:26" x14ac:dyDescent="0.2">
      <c r="A5267" t="s">
        <v>5385</v>
      </c>
      <c r="B5267" t="s">
        <v>92</v>
      </c>
      <c r="C5267">
        <v>2022</v>
      </c>
      <c r="D5267" t="s">
        <v>18</v>
      </c>
      <c r="E5267" t="s">
        <v>101</v>
      </c>
      <c r="F5267" t="s">
        <v>20</v>
      </c>
      <c r="G5267">
        <v>40341</v>
      </c>
      <c r="H5267">
        <v>32272.800000000003</v>
      </c>
      <c r="I5267" s="13">
        <v>0.66666666666666663</v>
      </c>
      <c r="J5267" t="s">
        <v>6207</v>
      </c>
      <c r="K5267">
        <v>0</v>
      </c>
      <c r="L5267">
        <v>2</v>
      </c>
      <c r="M5267" t="s">
        <v>1</v>
      </c>
      <c r="N5267" s="3">
        <v>0.73</v>
      </c>
      <c r="O5267" s="3">
        <v>0.27</v>
      </c>
      <c r="P5267">
        <v>12</v>
      </c>
      <c r="Q5267">
        <v>4</v>
      </c>
      <c r="R5267">
        <v>5</v>
      </c>
      <c r="S5267">
        <v>2</v>
      </c>
      <c r="T5267">
        <v>5</v>
      </c>
      <c r="U5267">
        <v>13</v>
      </c>
      <c r="V5267">
        <v>1</v>
      </c>
      <c r="W5267">
        <v>2</v>
      </c>
      <c r="X5267">
        <v>0</v>
      </c>
      <c r="Y5267">
        <v>0</v>
      </c>
      <c r="Z5267">
        <v>0</v>
      </c>
    </row>
    <row r="5268" spans="1:26" x14ac:dyDescent="0.2">
      <c r="A5268" t="s">
        <v>5386</v>
      </c>
      <c r="B5268" t="s">
        <v>66</v>
      </c>
      <c r="C5268">
        <v>2022</v>
      </c>
      <c r="D5268" t="s">
        <v>40</v>
      </c>
      <c r="E5268" t="s">
        <v>46</v>
      </c>
      <c r="F5268" t="s">
        <v>49</v>
      </c>
      <c r="G5268">
        <v>53400</v>
      </c>
      <c r="H5268">
        <v>42720</v>
      </c>
      <c r="I5268" s="13">
        <v>0.75</v>
      </c>
      <c r="J5268" t="s">
        <v>6207</v>
      </c>
      <c r="K5268">
        <v>4</v>
      </c>
      <c r="L5268">
        <v>1</v>
      </c>
      <c r="M5268" t="s">
        <v>0</v>
      </c>
      <c r="N5268" s="3">
        <v>0.52</v>
      </c>
      <c r="O5268" s="3">
        <v>0.48</v>
      </c>
      <c r="P5268">
        <v>13</v>
      </c>
      <c r="Q5268">
        <v>11</v>
      </c>
      <c r="R5268">
        <v>1</v>
      </c>
      <c r="S5268">
        <v>3</v>
      </c>
      <c r="T5268">
        <v>13</v>
      </c>
      <c r="U5268">
        <v>13</v>
      </c>
      <c r="V5268">
        <v>3</v>
      </c>
      <c r="W5268">
        <v>1</v>
      </c>
      <c r="X5268">
        <v>0</v>
      </c>
      <c r="Y5268">
        <v>0</v>
      </c>
      <c r="Z5268">
        <v>0</v>
      </c>
    </row>
    <row r="5269" spans="1:26" x14ac:dyDescent="0.2">
      <c r="A5269" t="s">
        <v>5387</v>
      </c>
      <c r="B5269" t="s">
        <v>100</v>
      </c>
      <c r="C5269">
        <v>2022</v>
      </c>
      <c r="D5269" t="s">
        <v>73</v>
      </c>
      <c r="E5269" t="s">
        <v>86</v>
      </c>
      <c r="F5269" t="s">
        <v>73</v>
      </c>
      <c r="G5269">
        <v>32384</v>
      </c>
      <c r="H5269">
        <v>25907.200000000001</v>
      </c>
      <c r="I5269" s="13">
        <v>1</v>
      </c>
      <c r="J5269" t="s">
        <v>6207</v>
      </c>
      <c r="K5269">
        <v>0</v>
      </c>
      <c r="L5269">
        <v>1</v>
      </c>
      <c r="M5269" t="s">
        <v>1</v>
      </c>
      <c r="N5269" s="3">
        <v>0.56000000000000005</v>
      </c>
      <c r="O5269" s="3">
        <v>0.44</v>
      </c>
      <c r="P5269">
        <v>0</v>
      </c>
      <c r="Q5269">
        <v>0</v>
      </c>
      <c r="R5269">
        <v>6</v>
      </c>
      <c r="S5269">
        <v>4</v>
      </c>
      <c r="T5269">
        <v>9</v>
      </c>
      <c r="U5269">
        <v>11</v>
      </c>
      <c r="V5269">
        <v>0</v>
      </c>
      <c r="W5269">
        <v>3</v>
      </c>
      <c r="X5269">
        <v>0</v>
      </c>
      <c r="Y5269">
        <v>0</v>
      </c>
      <c r="Z5269">
        <v>0</v>
      </c>
    </row>
    <row r="5270" spans="1:26" x14ac:dyDescent="0.2">
      <c r="A5270" t="s">
        <v>5388</v>
      </c>
      <c r="B5270" t="s">
        <v>37</v>
      </c>
      <c r="C5270">
        <v>2022</v>
      </c>
      <c r="D5270" t="s">
        <v>45</v>
      </c>
      <c r="E5270" t="s">
        <v>64</v>
      </c>
      <c r="F5270" t="s">
        <v>26</v>
      </c>
      <c r="G5270">
        <v>39572</v>
      </c>
      <c r="H5270">
        <v>31657.600000000002</v>
      </c>
      <c r="I5270" s="13">
        <v>0.66666666666666663</v>
      </c>
      <c r="J5270" t="s">
        <v>6206</v>
      </c>
      <c r="K5270">
        <v>1</v>
      </c>
      <c r="L5270">
        <v>4</v>
      </c>
      <c r="M5270" t="s">
        <v>1</v>
      </c>
      <c r="N5270" s="3">
        <v>0.4</v>
      </c>
      <c r="O5270" s="3">
        <v>0.6</v>
      </c>
      <c r="P5270">
        <v>0</v>
      </c>
      <c r="Q5270">
        <v>0</v>
      </c>
      <c r="R5270">
        <v>3</v>
      </c>
      <c r="S5270">
        <v>14</v>
      </c>
      <c r="T5270">
        <v>8</v>
      </c>
      <c r="U5270">
        <v>6</v>
      </c>
      <c r="V5270">
        <v>2</v>
      </c>
      <c r="W5270">
        <v>1</v>
      </c>
      <c r="X5270">
        <v>0</v>
      </c>
      <c r="Y5270">
        <v>0</v>
      </c>
      <c r="Z5270">
        <v>0</v>
      </c>
    </row>
    <row r="5271" spans="1:26" x14ac:dyDescent="0.2">
      <c r="A5271" t="s">
        <v>5389</v>
      </c>
      <c r="B5271" t="s">
        <v>61</v>
      </c>
      <c r="C5271">
        <v>2022</v>
      </c>
      <c r="D5271" t="s">
        <v>51</v>
      </c>
      <c r="E5271" t="s">
        <v>48</v>
      </c>
      <c r="F5271" t="s">
        <v>20</v>
      </c>
      <c r="G5271">
        <v>36284</v>
      </c>
      <c r="H5271">
        <v>29027.200000000001</v>
      </c>
      <c r="I5271" s="13">
        <v>1</v>
      </c>
      <c r="J5271" t="s">
        <v>6207</v>
      </c>
      <c r="K5271">
        <v>2</v>
      </c>
      <c r="L5271">
        <v>2</v>
      </c>
      <c r="M5271" t="s">
        <v>58</v>
      </c>
      <c r="N5271" s="3">
        <v>0.4</v>
      </c>
      <c r="O5271" s="3">
        <v>0.6</v>
      </c>
      <c r="P5271">
        <v>0</v>
      </c>
      <c r="Q5271">
        <v>0</v>
      </c>
      <c r="R5271">
        <v>6</v>
      </c>
      <c r="S5271">
        <v>8</v>
      </c>
      <c r="T5271">
        <v>8</v>
      </c>
      <c r="U5271">
        <v>7</v>
      </c>
      <c r="V5271">
        <v>1</v>
      </c>
      <c r="W5271">
        <v>2</v>
      </c>
      <c r="X5271">
        <v>0</v>
      </c>
      <c r="Y5271">
        <v>0</v>
      </c>
      <c r="Z5271">
        <v>0</v>
      </c>
    </row>
    <row r="5272" spans="1:26" x14ac:dyDescent="0.2">
      <c r="A5272" t="s">
        <v>5390</v>
      </c>
      <c r="B5272" t="s">
        <v>76</v>
      </c>
      <c r="C5272">
        <v>2022</v>
      </c>
      <c r="D5272" t="s">
        <v>79</v>
      </c>
      <c r="E5272" t="s">
        <v>23</v>
      </c>
      <c r="F5272" t="s">
        <v>20</v>
      </c>
      <c r="G5272">
        <v>25486</v>
      </c>
      <c r="H5272">
        <v>20388.800000000003</v>
      </c>
      <c r="I5272" s="13">
        <v>1</v>
      </c>
      <c r="J5272" t="s">
        <v>6207</v>
      </c>
      <c r="K5272">
        <v>4</v>
      </c>
      <c r="L5272">
        <v>3</v>
      </c>
      <c r="M5272" t="s">
        <v>0</v>
      </c>
      <c r="N5272" s="3">
        <v>0.6</v>
      </c>
      <c r="O5272" s="3">
        <v>0.4</v>
      </c>
      <c r="P5272">
        <v>0</v>
      </c>
      <c r="Q5272">
        <v>0</v>
      </c>
      <c r="R5272">
        <v>8</v>
      </c>
      <c r="S5272">
        <v>5</v>
      </c>
      <c r="T5272">
        <v>8</v>
      </c>
      <c r="U5272">
        <v>17</v>
      </c>
      <c r="V5272">
        <v>1</v>
      </c>
      <c r="W5272">
        <v>2</v>
      </c>
      <c r="X5272">
        <v>0</v>
      </c>
      <c r="Y5272">
        <v>0</v>
      </c>
      <c r="Z5272">
        <v>1</v>
      </c>
    </row>
    <row r="5273" spans="1:26" x14ac:dyDescent="0.2">
      <c r="A5273" t="s">
        <v>5391</v>
      </c>
      <c r="B5273" t="s">
        <v>93</v>
      </c>
      <c r="C5273">
        <v>2022</v>
      </c>
      <c r="D5273" t="s">
        <v>90</v>
      </c>
      <c r="E5273" t="s">
        <v>22</v>
      </c>
      <c r="F5273" t="s">
        <v>91</v>
      </c>
      <c r="G5273">
        <v>31876</v>
      </c>
      <c r="H5273">
        <v>25500.800000000003</v>
      </c>
      <c r="I5273" s="13">
        <v>1</v>
      </c>
      <c r="J5273" t="s">
        <v>6206</v>
      </c>
      <c r="K5273">
        <v>6</v>
      </c>
      <c r="L5273">
        <v>0</v>
      </c>
      <c r="M5273" t="s">
        <v>0</v>
      </c>
      <c r="N5273" s="3">
        <v>0.56999999999999995</v>
      </c>
      <c r="O5273" s="3">
        <v>0.43</v>
      </c>
      <c r="P5273">
        <v>0</v>
      </c>
      <c r="Q5273">
        <v>0</v>
      </c>
      <c r="R5273">
        <v>2</v>
      </c>
      <c r="S5273">
        <v>5</v>
      </c>
      <c r="T5273">
        <v>14</v>
      </c>
      <c r="U5273">
        <v>11</v>
      </c>
      <c r="V5273">
        <v>1</v>
      </c>
      <c r="W5273">
        <v>1</v>
      </c>
      <c r="X5273">
        <v>0</v>
      </c>
      <c r="Y5273">
        <v>0</v>
      </c>
      <c r="Z5273">
        <v>0</v>
      </c>
    </row>
    <row r="5274" spans="1:26" x14ac:dyDescent="0.2">
      <c r="A5274" t="s">
        <v>5392</v>
      </c>
      <c r="B5274" t="s">
        <v>97</v>
      </c>
      <c r="C5274">
        <v>2022</v>
      </c>
      <c r="D5274" t="s">
        <v>101</v>
      </c>
      <c r="E5274" t="s">
        <v>94</v>
      </c>
      <c r="F5274" t="s">
        <v>101</v>
      </c>
      <c r="G5274">
        <v>17250</v>
      </c>
      <c r="H5274">
        <v>13800</v>
      </c>
      <c r="I5274" s="13">
        <v>0.66666666666666663</v>
      </c>
      <c r="J5274" t="s">
        <v>6207</v>
      </c>
      <c r="K5274">
        <v>2</v>
      </c>
      <c r="L5274">
        <v>1</v>
      </c>
      <c r="M5274" t="s">
        <v>0</v>
      </c>
      <c r="N5274" s="3">
        <v>0.69</v>
      </c>
      <c r="O5274" s="3">
        <v>0.31</v>
      </c>
      <c r="P5274">
        <v>0</v>
      </c>
      <c r="Q5274">
        <v>0</v>
      </c>
      <c r="R5274">
        <v>6</v>
      </c>
      <c r="S5274">
        <v>0</v>
      </c>
      <c r="T5274">
        <v>6</v>
      </c>
      <c r="U5274">
        <v>12</v>
      </c>
      <c r="V5274">
        <v>1</v>
      </c>
      <c r="W5274">
        <v>2</v>
      </c>
      <c r="X5274">
        <v>0</v>
      </c>
      <c r="Y5274">
        <v>0</v>
      </c>
      <c r="Z5274">
        <v>0</v>
      </c>
    </row>
    <row r="5275" spans="1:26" x14ac:dyDescent="0.2">
      <c r="A5275" t="s">
        <v>5393</v>
      </c>
      <c r="B5275" t="s">
        <v>61</v>
      </c>
      <c r="C5275">
        <v>2022</v>
      </c>
      <c r="D5275" t="s">
        <v>64</v>
      </c>
      <c r="E5275" t="s">
        <v>73</v>
      </c>
      <c r="F5275" t="s">
        <v>64</v>
      </c>
      <c r="G5275">
        <v>52264</v>
      </c>
      <c r="H5275">
        <v>41811.200000000004</v>
      </c>
      <c r="I5275" s="13">
        <v>0.6</v>
      </c>
      <c r="J5275" t="s">
        <v>6207</v>
      </c>
      <c r="K5275">
        <v>3</v>
      </c>
      <c r="L5275">
        <v>1</v>
      </c>
      <c r="M5275" t="s">
        <v>0</v>
      </c>
      <c r="N5275" s="3">
        <v>0.64</v>
      </c>
      <c r="O5275" s="3">
        <v>0.36</v>
      </c>
      <c r="P5275">
        <v>0</v>
      </c>
      <c r="Q5275">
        <v>0</v>
      </c>
      <c r="R5275">
        <v>11</v>
      </c>
      <c r="S5275">
        <v>2</v>
      </c>
      <c r="T5275">
        <v>7</v>
      </c>
      <c r="U5275">
        <v>10</v>
      </c>
      <c r="V5275">
        <v>1</v>
      </c>
      <c r="W5275">
        <v>4</v>
      </c>
      <c r="X5275">
        <v>0</v>
      </c>
      <c r="Y5275">
        <v>0</v>
      </c>
      <c r="Z5275">
        <v>0</v>
      </c>
    </row>
    <row r="5276" spans="1:26" x14ac:dyDescent="0.2">
      <c r="A5276" t="s">
        <v>5394</v>
      </c>
      <c r="B5276" t="s">
        <v>102</v>
      </c>
      <c r="C5276">
        <v>2022</v>
      </c>
      <c r="D5276" t="s">
        <v>48</v>
      </c>
      <c r="E5276" t="s">
        <v>42</v>
      </c>
      <c r="F5276" t="s">
        <v>49</v>
      </c>
      <c r="G5276">
        <v>74197</v>
      </c>
      <c r="H5276">
        <v>59357.600000000006</v>
      </c>
      <c r="I5276" s="13">
        <v>1</v>
      </c>
      <c r="J5276" t="s">
        <v>6209</v>
      </c>
      <c r="K5276">
        <v>1</v>
      </c>
      <c r="L5276">
        <v>0</v>
      </c>
      <c r="M5276" t="s">
        <v>0</v>
      </c>
      <c r="N5276" s="3">
        <v>0.56999999999999995</v>
      </c>
      <c r="O5276" s="3">
        <v>0.43</v>
      </c>
      <c r="P5276">
        <v>0</v>
      </c>
      <c r="Q5276">
        <v>0</v>
      </c>
      <c r="R5276">
        <v>1</v>
      </c>
      <c r="S5276">
        <v>4</v>
      </c>
      <c r="T5276">
        <v>16</v>
      </c>
      <c r="U5276">
        <v>7</v>
      </c>
      <c r="V5276">
        <v>2</v>
      </c>
      <c r="W5276">
        <v>0</v>
      </c>
      <c r="X5276">
        <v>0</v>
      </c>
      <c r="Y5276">
        <v>0</v>
      </c>
      <c r="Z5276">
        <v>0</v>
      </c>
    </row>
    <row r="5277" spans="1:26" x14ac:dyDescent="0.2">
      <c r="A5277" t="s">
        <v>5395</v>
      </c>
      <c r="B5277" t="s">
        <v>84</v>
      </c>
      <c r="C5277">
        <v>2022</v>
      </c>
      <c r="D5277" t="s">
        <v>31</v>
      </c>
      <c r="E5277" t="s">
        <v>40</v>
      </c>
      <c r="F5277" t="s">
        <v>20</v>
      </c>
      <c r="G5277">
        <v>28500</v>
      </c>
      <c r="H5277">
        <v>22800</v>
      </c>
      <c r="I5277" s="13">
        <v>0.5</v>
      </c>
      <c r="J5277" t="s">
        <v>6208</v>
      </c>
      <c r="K5277">
        <v>1</v>
      </c>
      <c r="L5277">
        <v>2</v>
      </c>
      <c r="M5277" t="s">
        <v>1</v>
      </c>
      <c r="N5277" s="3">
        <v>0.37</v>
      </c>
      <c r="O5277" s="3">
        <v>0.63</v>
      </c>
      <c r="P5277">
        <v>0</v>
      </c>
      <c r="Q5277">
        <v>0</v>
      </c>
      <c r="R5277">
        <v>2</v>
      </c>
      <c r="S5277">
        <v>5</v>
      </c>
      <c r="T5277">
        <v>9</v>
      </c>
      <c r="U5277">
        <v>10</v>
      </c>
      <c r="V5277">
        <v>1</v>
      </c>
      <c r="W5277">
        <v>3</v>
      </c>
      <c r="X5277">
        <v>0</v>
      </c>
      <c r="Y5277">
        <v>0</v>
      </c>
      <c r="Z5277">
        <v>1</v>
      </c>
    </row>
    <row r="5278" spans="1:26" x14ac:dyDescent="0.2">
      <c r="A5278" t="s">
        <v>5396</v>
      </c>
      <c r="B5278" t="s">
        <v>88</v>
      </c>
      <c r="C5278">
        <v>2022</v>
      </c>
      <c r="D5278" t="s">
        <v>86</v>
      </c>
      <c r="E5278" t="s">
        <v>33</v>
      </c>
      <c r="F5278" t="s">
        <v>86</v>
      </c>
      <c r="G5278">
        <v>11364</v>
      </c>
      <c r="H5278">
        <v>9091.2000000000007</v>
      </c>
      <c r="I5278" s="13">
        <v>0</v>
      </c>
      <c r="J5278" t="s">
        <v>6207</v>
      </c>
      <c r="K5278">
        <v>4</v>
      </c>
      <c r="L5278">
        <v>1</v>
      </c>
      <c r="M5278" t="s">
        <v>0</v>
      </c>
      <c r="N5278" s="3">
        <v>0.43</v>
      </c>
      <c r="O5278" s="3">
        <v>0.56999999999999995</v>
      </c>
      <c r="P5278">
        <v>0</v>
      </c>
      <c r="Q5278">
        <v>0</v>
      </c>
      <c r="R5278">
        <v>2</v>
      </c>
      <c r="S5278">
        <v>5</v>
      </c>
      <c r="T5278">
        <v>12</v>
      </c>
      <c r="U5278">
        <v>14</v>
      </c>
      <c r="V5278">
        <v>1</v>
      </c>
      <c r="W5278">
        <v>0</v>
      </c>
      <c r="X5278">
        <v>0</v>
      </c>
      <c r="Y5278">
        <v>0</v>
      </c>
      <c r="Z5278">
        <v>0</v>
      </c>
    </row>
    <row r="5279" spans="1:26" x14ac:dyDescent="0.2">
      <c r="A5279" t="s">
        <v>5397</v>
      </c>
      <c r="B5279" t="s">
        <v>81</v>
      </c>
      <c r="C5279">
        <v>2022</v>
      </c>
      <c r="D5279" t="s">
        <v>26</v>
      </c>
      <c r="E5279" t="s">
        <v>51</v>
      </c>
      <c r="F5279" t="s">
        <v>26</v>
      </c>
      <c r="G5279">
        <v>61276</v>
      </c>
      <c r="H5279">
        <v>49020.800000000003</v>
      </c>
      <c r="I5279" s="13">
        <v>0.5</v>
      </c>
      <c r="J5279" t="s">
        <v>6207</v>
      </c>
      <c r="K5279">
        <v>4</v>
      </c>
      <c r="L5279">
        <v>3</v>
      </c>
      <c r="M5279" t="s">
        <v>0</v>
      </c>
      <c r="N5279" s="3">
        <v>0.68</v>
      </c>
      <c r="O5279" s="3">
        <v>0.32</v>
      </c>
      <c r="P5279">
        <v>0</v>
      </c>
      <c r="Q5279">
        <v>0</v>
      </c>
      <c r="R5279">
        <v>4</v>
      </c>
      <c r="S5279">
        <v>2</v>
      </c>
      <c r="T5279">
        <v>12</v>
      </c>
      <c r="U5279">
        <v>6</v>
      </c>
      <c r="V5279">
        <v>4</v>
      </c>
      <c r="W5279">
        <v>2</v>
      </c>
      <c r="X5279">
        <v>0</v>
      </c>
      <c r="Y5279">
        <v>0</v>
      </c>
      <c r="Z5279">
        <v>1</v>
      </c>
    </row>
    <row r="5280" spans="1:26" x14ac:dyDescent="0.2">
      <c r="A5280" t="s">
        <v>5398</v>
      </c>
      <c r="B5280" t="s">
        <v>66</v>
      </c>
      <c r="C5280">
        <v>2022</v>
      </c>
      <c r="D5280" t="s">
        <v>80</v>
      </c>
      <c r="E5280" t="s">
        <v>45</v>
      </c>
      <c r="F5280" t="s">
        <v>80</v>
      </c>
      <c r="G5280">
        <v>32261</v>
      </c>
      <c r="H5280">
        <v>25808.800000000003</v>
      </c>
      <c r="I5280" s="13">
        <v>0.6</v>
      </c>
      <c r="J5280" t="s">
        <v>6207</v>
      </c>
      <c r="K5280">
        <v>2</v>
      </c>
      <c r="L5280">
        <v>2</v>
      </c>
      <c r="M5280" t="s">
        <v>58</v>
      </c>
      <c r="N5280" s="3">
        <v>0.55000000000000004</v>
      </c>
      <c r="O5280" s="3">
        <v>0.45</v>
      </c>
      <c r="P5280">
        <v>0</v>
      </c>
      <c r="Q5280">
        <v>0</v>
      </c>
      <c r="R5280">
        <v>2</v>
      </c>
      <c r="S5280">
        <v>9</v>
      </c>
      <c r="T5280">
        <v>10</v>
      </c>
      <c r="U5280">
        <v>12</v>
      </c>
      <c r="V5280">
        <v>4</v>
      </c>
      <c r="W5280">
        <v>1</v>
      </c>
      <c r="X5280">
        <v>0</v>
      </c>
      <c r="Y5280">
        <v>0</v>
      </c>
      <c r="Z5280">
        <v>2</v>
      </c>
    </row>
    <row r="5281" spans="1:26" x14ac:dyDescent="0.2">
      <c r="A5281" t="s">
        <v>5399</v>
      </c>
      <c r="B5281" t="s">
        <v>99</v>
      </c>
      <c r="C5281">
        <v>2022</v>
      </c>
      <c r="D5281" t="s">
        <v>46</v>
      </c>
      <c r="E5281" t="s">
        <v>18</v>
      </c>
      <c r="F5281" t="s">
        <v>20</v>
      </c>
      <c r="G5281">
        <v>60704</v>
      </c>
      <c r="H5281">
        <v>48563.200000000004</v>
      </c>
      <c r="I5281" s="13">
        <v>0.5</v>
      </c>
      <c r="J5281" t="s">
        <v>6207</v>
      </c>
      <c r="K5281">
        <v>3</v>
      </c>
      <c r="L5281">
        <v>1</v>
      </c>
      <c r="M5281" t="s">
        <v>0</v>
      </c>
      <c r="N5281" s="3">
        <v>0.55000000000000004</v>
      </c>
      <c r="O5281" s="3">
        <v>0.45</v>
      </c>
      <c r="P5281">
        <v>0</v>
      </c>
      <c r="Q5281">
        <v>0</v>
      </c>
      <c r="R5281">
        <v>7</v>
      </c>
      <c r="S5281">
        <v>2</v>
      </c>
      <c r="T5281">
        <v>10</v>
      </c>
      <c r="U5281">
        <v>10</v>
      </c>
      <c r="V5281">
        <v>0</v>
      </c>
      <c r="W5281">
        <v>2</v>
      </c>
      <c r="X5281">
        <v>0</v>
      </c>
      <c r="Y5281">
        <v>0</v>
      </c>
      <c r="Z5281">
        <v>0</v>
      </c>
    </row>
    <row r="5282" spans="1:26" x14ac:dyDescent="0.2">
      <c r="A5282" t="s">
        <v>5400</v>
      </c>
      <c r="B5282" t="s">
        <v>59</v>
      </c>
      <c r="C5282">
        <v>2022</v>
      </c>
      <c r="D5282" t="s">
        <v>22</v>
      </c>
      <c r="E5282" t="s">
        <v>42</v>
      </c>
      <c r="F5282" t="s">
        <v>24</v>
      </c>
      <c r="G5282">
        <v>31750</v>
      </c>
      <c r="H5282">
        <v>25400</v>
      </c>
      <c r="I5282" s="13">
        <v>0.66666666666666663</v>
      </c>
      <c r="J5282" t="s">
        <v>6206</v>
      </c>
      <c r="K5282">
        <v>1</v>
      </c>
      <c r="L5282">
        <v>0</v>
      </c>
      <c r="M5282" t="s">
        <v>0</v>
      </c>
      <c r="N5282" s="3">
        <v>0.38</v>
      </c>
      <c r="O5282" s="3">
        <v>0.62</v>
      </c>
      <c r="P5282">
        <v>11</v>
      </c>
      <c r="Q5282">
        <v>24</v>
      </c>
      <c r="R5282">
        <v>5</v>
      </c>
      <c r="S5282">
        <v>6</v>
      </c>
      <c r="T5282">
        <v>20</v>
      </c>
      <c r="U5282">
        <v>9</v>
      </c>
      <c r="V5282">
        <v>3</v>
      </c>
      <c r="W5282">
        <v>3</v>
      </c>
      <c r="X5282">
        <v>0</v>
      </c>
      <c r="Y5282">
        <v>0</v>
      </c>
      <c r="Z5282">
        <v>0</v>
      </c>
    </row>
    <row r="5283" spans="1:26" x14ac:dyDescent="0.2">
      <c r="A5283" t="s">
        <v>5401</v>
      </c>
      <c r="B5283" t="s">
        <v>100</v>
      </c>
      <c r="C5283">
        <v>2022</v>
      </c>
      <c r="D5283" t="s">
        <v>51</v>
      </c>
      <c r="E5283" t="s">
        <v>79</v>
      </c>
      <c r="F5283" t="s">
        <v>20</v>
      </c>
      <c r="G5283">
        <v>36284</v>
      </c>
      <c r="H5283">
        <v>29027.200000000001</v>
      </c>
      <c r="I5283" s="13">
        <v>0.625</v>
      </c>
      <c r="J5283" t="s">
        <v>6207</v>
      </c>
      <c r="K5283">
        <v>1</v>
      </c>
      <c r="L5283">
        <v>0</v>
      </c>
      <c r="M5283" t="s">
        <v>0</v>
      </c>
      <c r="N5283" s="3">
        <v>0.57999999999999996</v>
      </c>
      <c r="O5283" s="3">
        <v>0.42</v>
      </c>
      <c r="P5283">
        <v>14</v>
      </c>
      <c r="Q5283">
        <v>16</v>
      </c>
      <c r="R5283">
        <v>8</v>
      </c>
      <c r="S5283">
        <v>4</v>
      </c>
      <c r="T5283">
        <v>15</v>
      </c>
      <c r="U5283">
        <v>14</v>
      </c>
      <c r="V5283">
        <v>3</v>
      </c>
      <c r="W5283">
        <v>5</v>
      </c>
      <c r="X5283">
        <v>0</v>
      </c>
      <c r="Y5283">
        <v>0</v>
      </c>
      <c r="Z5283">
        <v>0</v>
      </c>
    </row>
    <row r="5284" spans="1:26" x14ac:dyDescent="0.2">
      <c r="A5284" t="s">
        <v>5402</v>
      </c>
      <c r="B5284" t="s">
        <v>92</v>
      </c>
      <c r="C5284">
        <v>2022</v>
      </c>
      <c r="D5284" t="s">
        <v>40</v>
      </c>
      <c r="E5284" t="s">
        <v>33</v>
      </c>
      <c r="F5284" t="s">
        <v>49</v>
      </c>
      <c r="G5284">
        <v>53400</v>
      </c>
      <c r="H5284">
        <v>42720</v>
      </c>
      <c r="I5284" s="13">
        <v>1</v>
      </c>
      <c r="J5284" t="s">
        <v>6207</v>
      </c>
      <c r="K5284">
        <v>2</v>
      </c>
      <c r="L5284">
        <v>1</v>
      </c>
      <c r="M5284" t="s">
        <v>0</v>
      </c>
      <c r="N5284" s="3">
        <v>0.81</v>
      </c>
      <c r="O5284" s="3">
        <v>0.19</v>
      </c>
      <c r="P5284">
        <v>19</v>
      </c>
      <c r="Q5284">
        <v>7</v>
      </c>
      <c r="R5284">
        <v>10</v>
      </c>
      <c r="S5284">
        <v>1</v>
      </c>
      <c r="T5284">
        <v>3</v>
      </c>
      <c r="U5284">
        <v>16</v>
      </c>
      <c r="V5284">
        <v>0</v>
      </c>
      <c r="W5284">
        <v>3</v>
      </c>
      <c r="X5284">
        <v>0</v>
      </c>
      <c r="Y5284">
        <v>0</v>
      </c>
      <c r="Z5284">
        <v>1</v>
      </c>
    </row>
    <row r="5285" spans="1:26" x14ac:dyDescent="0.2">
      <c r="A5285" t="s">
        <v>5403</v>
      </c>
      <c r="B5285" t="s">
        <v>104</v>
      </c>
      <c r="C5285">
        <v>2022</v>
      </c>
      <c r="D5285" t="s">
        <v>86</v>
      </c>
      <c r="E5285" t="s">
        <v>18</v>
      </c>
      <c r="F5285" t="s">
        <v>86</v>
      </c>
      <c r="G5285">
        <v>11364</v>
      </c>
      <c r="H5285">
        <v>9091.2000000000007</v>
      </c>
      <c r="I5285" s="13">
        <v>1</v>
      </c>
      <c r="J5285" t="s">
        <v>6206</v>
      </c>
      <c r="K5285">
        <v>1</v>
      </c>
      <c r="L5285">
        <v>3</v>
      </c>
      <c r="M5285" t="s">
        <v>1</v>
      </c>
      <c r="N5285" s="3">
        <v>0.34</v>
      </c>
      <c r="O5285" s="3">
        <v>0.66</v>
      </c>
      <c r="P5285">
        <v>11</v>
      </c>
      <c r="Q5285">
        <v>10</v>
      </c>
      <c r="R5285">
        <v>7</v>
      </c>
      <c r="S5285">
        <v>7</v>
      </c>
      <c r="T5285">
        <v>9</v>
      </c>
      <c r="U5285">
        <v>11</v>
      </c>
      <c r="V5285">
        <v>1</v>
      </c>
      <c r="W5285">
        <v>3</v>
      </c>
      <c r="X5285">
        <v>0</v>
      </c>
      <c r="Y5285">
        <v>0</v>
      </c>
      <c r="Z5285">
        <v>0</v>
      </c>
    </row>
    <row r="5286" spans="1:26" x14ac:dyDescent="0.2">
      <c r="A5286" t="s">
        <v>5404</v>
      </c>
      <c r="B5286" t="s">
        <v>61</v>
      </c>
      <c r="C5286">
        <v>2022</v>
      </c>
      <c r="D5286" t="s">
        <v>26</v>
      </c>
      <c r="E5286" t="s">
        <v>101</v>
      </c>
      <c r="F5286" t="s">
        <v>26</v>
      </c>
      <c r="G5286">
        <v>61276</v>
      </c>
      <c r="H5286">
        <v>49020.800000000003</v>
      </c>
      <c r="I5286" s="13">
        <v>0.66666666666666663</v>
      </c>
      <c r="J5286" t="s">
        <v>6207</v>
      </c>
      <c r="K5286">
        <v>1</v>
      </c>
      <c r="L5286">
        <v>0</v>
      </c>
      <c r="M5286" t="s">
        <v>0</v>
      </c>
      <c r="N5286" s="3">
        <v>0.54</v>
      </c>
      <c r="O5286" s="3">
        <v>0.46</v>
      </c>
      <c r="P5286">
        <v>12</v>
      </c>
      <c r="Q5286">
        <v>20</v>
      </c>
      <c r="R5286">
        <v>7</v>
      </c>
      <c r="S5286">
        <v>3</v>
      </c>
      <c r="T5286">
        <v>19</v>
      </c>
      <c r="U5286">
        <v>10</v>
      </c>
      <c r="V5286">
        <v>4</v>
      </c>
      <c r="W5286">
        <v>2</v>
      </c>
      <c r="X5286">
        <v>0</v>
      </c>
      <c r="Y5286">
        <v>0</v>
      </c>
      <c r="Z5286">
        <v>0</v>
      </c>
    </row>
    <row r="5287" spans="1:26" x14ac:dyDescent="0.2">
      <c r="A5287" t="s">
        <v>5405</v>
      </c>
      <c r="B5287" t="s">
        <v>88</v>
      </c>
      <c r="C5287">
        <v>2022</v>
      </c>
      <c r="D5287" t="s">
        <v>64</v>
      </c>
      <c r="E5287" t="s">
        <v>46</v>
      </c>
      <c r="F5287" t="s">
        <v>64</v>
      </c>
      <c r="G5287">
        <v>52264</v>
      </c>
      <c r="H5287">
        <v>41811.200000000004</v>
      </c>
      <c r="I5287" s="13">
        <v>0.33333333333333331</v>
      </c>
      <c r="J5287" t="s">
        <v>6207</v>
      </c>
      <c r="K5287">
        <v>0</v>
      </c>
      <c r="L5287">
        <v>2</v>
      </c>
      <c r="M5287" t="s">
        <v>1</v>
      </c>
      <c r="N5287" s="3">
        <v>0.54</v>
      </c>
      <c r="O5287" s="3">
        <v>0.46</v>
      </c>
      <c r="P5287">
        <v>12</v>
      </c>
      <c r="Q5287">
        <v>16</v>
      </c>
      <c r="R5287">
        <v>9</v>
      </c>
      <c r="S5287">
        <v>4</v>
      </c>
      <c r="T5287">
        <v>16</v>
      </c>
      <c r="U5287">
        <v>12</v>
      </c>
      <c r="V5287">
        <v>2</v>
      </c>
      <c r="W5287">
        <v>1</v>
      </c>
      <c r="X5287">
        <v>0</v>
      </c>
      <c r="Y5287">
        <v>0</v>
      </c>
      <c r="Z5287">
        <v>0</v>
      </c>
    </row>
    <row r="5288" spans="1:26" x14ac:dyDescent="0.2">
      <c r="A5288" t="s">
        <v>5406</v>
      </c>
      <c r="B5288" t="s">
        <v>97</v>
      </c>
      <c r="C5288">
        <v>2022</v>
      </c>
      <c r="D5288" t="s">
        <v>23</v>
      </c>
      <c r="E5288" t="s">
        <v>48</v>
      </c>
      <c r="F5288" t="s">
        <v>20</v>
      </c>
      <c r="G5288">
        <v>62500</v>
      </c>
      <c r="H5288">
        <v>50000</v>
      </c>
      <c r="I5288" s="13">
        <v>1</v>
      </c>
      <c r="J5288" t="s">
        <v>6207</v>
      </c>
      <c r="K5288">
        <v>1</v>
      </c>
      <c r="L5288">
        <v>0</v>
      </c>
      <c r="M5288" t="s">
        <v>0</v>
      </c>
      <c r="N5288" s="3">
        <v>0.35</v>
      </c>
      <c r="O5288" s="3">
        <v>0.65</v>
      </c>
      <c r="P5288">
        <v>10</v>
      </c>
      <c r="Q5288">
        <v>5</v>
      </c>
      <c r="R5288">
        <v>5</v>
      </c>
      <c r="S5288">
        <v>6</v>
      </c>
      <c r="T5288">
        <v>4</v>
      </c>
      <c r="U5288">
        <v>9</v>
      </c>
      <c r="V5288">
        <v>0</v>
      </c>
      <c r="W5288">
        <v>2</v>
      </c>
      <c r="X5288">
        <v>0</v>
      </c>
      <c r="Y5288">
        <v>0</v>
      </c>
      <c r="Z5288">
        <v>0</v>
      </c>
    </row>
    <row r="5289" spans="1:26" x14ac:dyDescent="0.2">
      <c r="A5289" t="s">
        <v>5407</v>
      </c>
      <c r="B5289" t="s">
        <v>99</v>
      </c>
      <c r="C5289">
        <v>2022</v>
      </c>
      <c r="D5289" t="s">
        <v>31</v>
      </c>
      <c r="E5289" t="s">
        <v>80</v>
      </c>
      <c r="F5289" t="s">
        <v>20</v>
      </c>
      <c r="G5289">
        <v>28500</v>
      </c>
      <c r="H5289">
        <v>22800</v>
      </c>
      <c r="I5289" s="13">
        <v>0.33333333333333331</v>
      </c>
      <c r="J5289" t="s">
        <v>6207</v>
      </c>
      <c r="K5289">
        <v>5</v>
      </c>
      <c r="L5289">
        <v>3</v>
      </c>
      <c r="M5289" t="s">
        <v>0</v>
      </c>
      <c r="N5289" s="3">
        <v>0.56999999999999995</v>
      </c>
      <c r="O5289" s="3">
        <v>0.43</v>
      </c>
      <c r="P5289">
        <v>19</v>
      </c>
      <c r="Q5289">
        <v>14</v>
      </c>
      <c r="R5289">
        <v>2</v>
      </c>
      <c r="S5289">
        <v>7</v>
      </c>
      <c r="T5289">
        <v>13</v>
      </c>
      <c r="U5289">
        <v>15</v>
      </c>
      <c r="V5289">
        <v>0</v>
      </c>
      <c r="W5289">
        <v>3</v>
      </c>
      <c r="X5289">
        <v>0</v>
      </c>
      <c r="Y5289">
        <v>0</v>
      </c>
      <c r="Z5289">
        <v>2</v>
      </c>
    </row>
    <row r="5290" spans="1:26" x14ac:dyDescent="0.2">
      <c r="A5290" t="s">
        <v>5408</v>
      </c>
      <c r="B5290" t="s">
        <v>84</v>
      </c>
      <c r="C5290">
        <v>2022</v>
      </c>
      <c r="D5290" t="s">
        <v>90</v>
      </c>
      <c r="E5290" t="s">
        <v>45</v>
      </c>
      <c r="F5290" t="s">
        <v>91</v>
      </c>
      <c r="G5290">
        <v>31876</v>
      </c>
      <c r="H5290">
        <v>25500.800000000003</v>
      </c>
      <c r="I5290" s="13">
        <v>0.66666666666666663</v>
      </c>
      <c r="J5290" t="s">
        <v>6208</v>
      </c>
      <c r="K5290">
        <v>1</v>
      </c>
      <c r="L5290">
        <v>5</v>
      </c>
      <c r="M5290" t="s">
        <v>1</v>
      </c>
      <c r="N5290" s="3">
        <v>0.78</v>
      </c>
      <c r="O5290" s="3">
        <v>0.22</v>
      </c>
      <c r="P5290">
        <v>14</v>
      </c>
      <c r="Q5290">
        <v>12</v>
      </c>
      <c r="R5290">
        <v>15</v>
      </c>
      <c r="S5290">
        <v>1</v>
      </c>
      <c r="T5290">
        <v>11</v>
      </c>
      <c r="U5290">
        <v>13</v>
      </c>
      <c r="V5290">
        <v>1</v>
      </c>
      <c r="W5290">
        <v>5</v>
      </c>
      <c r="X5290">
        <v>0</v>
      </c>
      <c r="Y5290">
        <v>0</v>
      </c>
      <c r="Z5290">
        <v>0</v>
      </c>
    </row>
    <row r="5291" spans="1:26" x14ac:dyDescent="0.2">
      <c r="A5291" t="s">
        <v>5409</v>
      </c>
      <c r="B5291" t="s">
        <v>66</v>
      </c>
      <c r="C5291">
        <v>2022</v>
      </c>
      <c r="D5291" t="s">
        <v>94</v>
      </c>
      <c r="E5291" t="s">
        <v>73</v>
      </c>
      <c r="F5291" t="s">
        <v>106</v>
      </c>
      <c r="G5291">
        <v>30445</v>
      </c>
      <c r="H5291">
        <v>24356</v>
      </c>
      <c r="I5291" s="13">
        <v>1</v>
      </c>
      <c r="J5291" t="s">
        <v>6207</v>
      </c>
      <c r="K5291">
        <v>4</v>
      </c>
      <c r="L5291">
        <v>3</v>
      </c>
      <c r="M5291" t="s">
        <v>0</v>
      </c>
      <c r="N5291" s="3">
        <v>0.36</v>
      </c>
      <c r="O5291" s="3">
        <v>0.64</v>
      </c>
      <c r="P5291">
        <v>11</v>
      </c>
      <c r="Q5291">
        <v>18</v>
      </c>
      <c r="R5291">
        <v>2</v>
      </c>
      <c r="S5291">
        <v>11</v>
      </c>
      <c r="T5291">
        <v>16</v>
      </c>
      <c r="U5291">
        <v>10</v>
      </c>
      <c r="V5291">
        <v>1</v>
      </c>
      <c r="W5291">
        <v>0</v>
      </c>
      <c r="X5291">
        <v>0</v>
      </c>
      <c r="Y5291">
        <v>0</v>
      </c>
      <c r="Z5291">
        <v>2</v>
      </c>
    </row>
    <row r="5292" spans="1:26" x14ac:dyDescent="0.2">
      <c r="A5292" t="s">
        <v>5410</v>
      </c>
      <c r="B5292" t="s">
        <v>84</v>
      </c>
      <c r="C5292">
        <v>2022</v>
      </c>
      <c r="D5292" t="s">
        <v>33</v>
      </c>
      <c r="E5292" t="s">
        <v>64</v>
      </c>
      <c r="F5292" t="s">
        <v>33</v>
      </c>
      <c r="G5292">
        <v>37645</v>
      </c>
      <c r="H5292">
        <v>30116</v>
      </c>
      <c r="I5292" s="13">
        <v>0.5714285714285714</v>
      </c>
      <c r="J5292" t="s">
        <v>6208</v>
      </c>
      <c r="K5292">
        <v>2</v>
      </c>
      <c r="L5292">
        <v>2</v>
      </c>
      <c r="M5292" t="s">
        <v>58</v>
      </c>
      <c r="N5292" s="3">
        <v>0.36</v>
      </c>
      <c r="O5292" s="3">
        <v>0.64</v>
      </c>
      <c r="P5292">
        <v>16</v>
      </c>
      <c r="Q5292">
        <v>16</v>
      </c>
      <c r="R5292">
        <v>2</v>
      </c>
      <c r="S5292">
        <v>6</v>
      </c>
      <c r="T5292">
        <v>16</v>
      </c>
      <c r="U5292">
        <v>14</v>
      </c>
      <c r="V5292">
        <v>4</v>
      </c>
      <c r="W5292">
        <v>2</v>
      </c>
      <c r="X5292">
        <v>1</v>
      </c>
      <c r="Y5292">
        <v>0</v>
      </c>
      <c r="Z5292">
        <v>3</v>
      </c>
    </row>
    <row r="5293" spans="1:26" x14ac:dyDescent="0.2">
      <c r="A5293" t="s">
        <v>5411</v>
      </c>
      <c r="B5293" t="s">
        <v>107</v>
      </c>
      <c r="C5293">
        <v>2022</v>
      </c>
      <c r="D5293" t="s">
        <v>73</v>
      </c>
      <c r="E5293" t="s">
        <v>31</v>
      </c>
      <c r="F5293" t="s">
        <v>73</v>
      </c>
      <c r="G5293">
        <v>32384</v>
      </c>
      <c r="H5293">
        <v>25907.200000000001</v>
      </c>
      <c r="I5293" s="13">
        <v>1</v>
      </c>
      <c r="J5293" t="s">
        <v>6207</v>
      </c>
      <c r="K5293">
        <v>0</v>
      </c>
      <c r="L5293">
        <v>2</v>
      </c>
      <c r="M5293" t="s">
        <v>1</v>
      </c>
      <c r="N5293" s="3">
        <v>0.35</v>
      </c>
      <c r="O5293" s="3">
        <v>0.65</v>
      </c>
      <c r="P5293">
        <v>13</v>
      </c>
      <c r="Q5293">
        <v>21</v>
      </c>
      <c r="R5293">
        <v>1</v>
      </c>
      <c r="S5293">
        <v>8</v>
      </c>
      <c r="T5293">
        <v>17</v>
      </c>
      <c r="U5293">
        <v>12</v>
      </c>
      <c r="V5293">
        <v>2</v>
      </c>
      <c r="W5293">
        <v>0</v>
      </c>
      <c r="X5293">
        <v>0</v>
      </c>
      <c r="Y5293">
        <v>0</v>
      </c>
      <c r="Z5293">
        <v>0</v>
      </c>
    </row>
    <row r="5294" spans="1:26" x14ac:dyDescent="0.2">
      <c r="A5294" t="s">
        <v>5412</v>
      </c>
      <c r="B5294" t="s">
        <v>104</v>
      </c>
      <c r="C5294">
        <v>2022</v>
      </c>
      <c r="D5294" t="s">
        <v>48</v>
      </c>
      <c r="E5294" t="s">
        <v>22</v>
      </c>
      <c r="F5294" t="s">
        <v>49</v>
      </c>
      <c r="G5294">
        <v>74197</v>
      </c>
      <c r="H5294">
        <v>59357.600000000006</v>
      </c>
      <c r="I5294" s="13">
        <v>0.6</v>
      </c>
      <c r="J5294" t="s">
        <v>6206</v>
      </c>
      <c r="K5294">
        <v>2</v>
      </c>
      <c r="L5294">
        <v>0</v>
      </c>
      <c r="M5294" t="s">
        <v>0</v>
      </c>
      <c r="N5294" s="3">
        <v>0.48</v>
      </c>
      <c r="O5294" s="3">
        <v>0.52</v>
      </c>
      <c r="P5294">
        <v>7</v>
      </c>
      <c r="Q5294">
        <v>8</v>
      </c>
      <c r="R5294">
        <v>11</v>
      </c>
      <c r="S5294">
        <v>7</v>
      </c>
      <c r="T5294">
        <v>9</v>
      </c>
      <c r="U5294">
        <v>9</v>
      </c>
      <c r="V5294">
        <v>3</v>
      </c>
      <c r="W5294">
        <v>2</v>
      </c>
      <c r="X5294">
        <v>0</v>
      </c>
      <c r="Y5294">
        <v>0</v>
      </c>
      <c r="Z5294">
        <v>0</v>
      </c>
    </row>
    <row r="5295" spans="1:26" x14ac:dyDescent="0.2">
      <c r="A5295" t="s">
        <v>5413</v>
      </c>
      <c r="B5295" t="s">
        <v>103</v>
      </c>
      <c r="C5295">
        <v>2022</v>
      </c>
      <c r="D5295" t="s">
        <v>79</v>
      </c>
      <c r="E5295" t="s">
        <v>86</v>
      </c>
      <c r="F5295" t="s">
        <v>20</v>
      </c>
      <c r="G5295">
        <v>25486</v>
      </c>
      <c r="H5295">
        <v>20388.800000000003</v>
      </c>
      <c r="I5295" s="13">
        <v>0.5</v>
      </c>
      <c r="J5295" t="s">
        <v>6207</v>
      </c>
      <c r="K5295">
        <v>2</v>
      </c>
      <c r="L5295">
        <v>0</v>
      </c>
      <c r="M5295" t="s">
        <v>0</v>
      </c>
      <c r="N5295" s="3">
        <v>0.6</v>
      </c>
      <c r="O5295" s="3">
        <v>0.4</v>
      </c>
      <c r="P5295">
        <v>13</v>
      </c>
      <c r="Q5295">
        <v>7</v>
      </c>
      <c r="R5295">
        <v>11</v>
      </c>
      <c r="S5295">
        <v>2</v>
      </c>
      <c r="T5295">
        <v>5</v>
      </c>
      <c r="U5295">
        <v>12</v>
      </c>
      <c r="V5295">
        <v>0</v>
      </c>
      <c r="W5295">
        <v>2</v>
      </c>
      <c r="X5295">
        <v>0</v>
      </c>
      <c r="Y5295">
        <v>0</v>
      </c>
      <c r="Z5295">
        <v>0</v>
      </c>
    </row>
    <row r="5296" spans="1:26" x14ac:dyDescent="0.2">
      <c r="A5296" t="s">
        <v>5414</v>
      </c>
      <c r="B5296" t="s">
        <v>81</v>
      </c>
      <c r="C5296">
        <v>2022</v>
      </c>
      <c r="D5296" t="s">
        <v>18</v>
      </c>
      <c r="E5296" t="s">
        <v>94</v>
      </c>
      <c r="F5296" t="s">
        <v>20</v>
      </c>
      <c r="G5296">
        <v>40341</v>
      </c>
      <c r="H5296">
        <v>32272.800000000003</v>
      </c>
      <c r="I5296" s="13">
        <v>0.75</v>
      </c>
      <c r="J5296" t="s">
        <v>6207</v>
      </c>
      <c r="K5296">
        <v>2</v>
      </c>
      <c r="L5296">
        <v>2</v>
      </c>
      <c r="M5296" t="s">
        <v>58</v>
      </c>
      <c r="N5296" s="3">
        <v>0.76</v>
      </c>
      <c r="O5296" s="3">
        <v>0.24</v>
      </c>
      <c r="P5296">
        <v>16</v>
      </c>
      <c r="Q5296">
        <v>13</v>
      </c>
      <c r="R5296">
        <v>2</v>
      </c>
      <c r="S5296">
        <v>5</v>
      </c>
      <c r="T5296">
        <v>13</v>
      </c>
      <c r="U5296">
        <v>15</v>
      </c>
      <c r="V5296">
        <v>3</v>
      </c>
      <c r="W5296">
        <v>1</v>
      </c>
      <c r="X5296">
        <v>0</v>
      </c>
      <c r="Y5296">
        <v>0</v>
      </c>
      <c r="Z5296">
        <v>0</v>
      </c>
    </row>
    <row r="5297" spans="1:26" x14ac:dyDescent="0.2">
      <c r="A5297" t="s">
        <v>5415</v>
      </c>
      <c r="B5297" t="s">
        <v>97</v>
      </c>
      <c r="C5297">
        <v>2022</v>
      </c>
      <c r="D5297" t="s">
        <v>42</v>
      </c>
      <c r="E5297" t="s">
        <v>51</v>
      </c>
      <c r="F5297" t="s">
        <v>38</v>
      </c>
      <c r="G5297">
        <v>42918</v>
      </c>
      <c r="H5297">
        <v>34334.400000000001</v>
      </c>
      <c r="I5297" s="13">
        <v>0.16666666666666666</v>
      </c>
      <c r="J5297" t="s">
        <v>6207</v>
      </c>
      <c r="K5297">
        <v>2</v>
      </c>
      <c r="L5297">
        <v>1</v>
      </c>
      <c r="M5297" t="s">
        <v>0</v>
      </c>
      <c r="N5297" s="3">
        <v>0.49</v>
      </c>
      <c r="O5297" s="3">
        <v>0.51</v>
      </c>
      <c r="P5297">
        <v>23</v>
      </c>
      <c r="Q5297">
        <v>11</v>
      </c>
      <c r="R5297">
        <v>8</v>
      </c>
      <c r="S5297">
        <v>3</v>
      </c>
      <c r="T5297">
        <v>9</v>
      </c>
      <c r="U5297">
        <v>14</v>
      </c>
      <c r="V5297">
        <v>3</v>
      </c>
      <c r="W5297">
        <v>3</v>
      </c>
      <c r="X5297">
        <v>0</v>
      </c>
      <c r="Y5297">
        <v>0</v>
      </c>
      <c r="Z5297">
        <v>1</v>
      </c>
    </row>
    <row r="5298" spans="1:26" x14ac:dyDescent="0.2">
      <c r="A5298" t="s">
        <v>5416</v>
      </c>
      <c r="B5298" t="s">
        <v>61</v>
      </c>
      <c r="C5298">
        <v>2022</v>
      </c>
      <c r="D5298" t="s">
        <v>45</v>
      </c>
      <c r="E5298" t="s">
        <v>40</v>
      </c>
      <c r="F5298" t="s">
        <v>26</v>
      </c>
      <c r="G5298">
        <v>39572</v>
      </c>
      <c r="H5298">
        <v>31657.600000000002</v>
      </c>
      <c r="I5298" s="13">
        <v>0</v>
      </c>
      <c r="J5298" t="s">
        <v>6207</v>
      </c>
      <c r="K5298">
        <v>0</v>
      </c>
      <c r="L5298">
        <v>3</v>
      </c>
      <c r="M5298" t="s">
        <v>1</v>
      </c>
      <c r="N5298" s="3">
        <v>0.37</v>
      </c>
      <c r="O5298" s="3">
        <v>0.63</v>
      </c>
      <c r="P5298">
        <v>4</v>
      </c>
      <c r="Q5298">
        <v>12</v>
      </c>
      <c r="R5298">
        <v>8</v>
      </c>
      <c r="S5298">
        <v>6</v>
      </c>
      <c r="T5298">
        <v>11</v>
      </c>
      <c r="U5298">
        <v>4</v>
      </c>
      <c r="V5298">
        <v>1</v>
      </c>
      <c r="W5298">
        <v>0</v>
      </c>
      <c r="X5298">
        <v>0</v>
      </c>
      <c r="Y5298">
        <v>0</v>
      </c>
      <c r="Z5298">
        <v>0</v>
      </c>
    </row>
    <row r="5299" spans="1:26" x14ac:dyDescent="0.2">
      <c r="A5299" t="s">
        <v>5417</v>
      </c>
      <c r="B5299" t="s">
        <v>66</v>
      </c>
      <c r="C5299">
        <v>2022</v>
      </c>
      <c r="D5299" t="s">
        <v>101</v>
      </c>
      <c r="E5299" t="s">
        <v>23</v>
      </c>
      <c r="F5299" t="s">
        <v>101</v>
      </c>
      <c r="G5299">
        <v>17250</v>
      </c>
      <c r="H5299">
        <v>13800</v>
      </c>
      <c r="I5299" s="13">
        <v>0</v>
      </c>
      <c r="J5299" t="s">
        <v>6207</v>
      </c>
      <c r="K5299">
        <v>2</v>
      </c>
      <c r="L5299">
        <v>0</v>
      </c>
      <c r="M5299" t="s">
        <v>0</v>
      </c>
      <c r="N5299" s="3">
        <v>0.53</v>
      </c>
      <c r="O5299" s="3">
        <v>0.47</v>
      </c>
      <c r="P5299">
        <v>8</v>
      </c>
      <c r="Q5299">
        <v>8</v>
      </c>
      <c r="R5299">
        <v>7</v>
      </c>
      <c r="S5299">
        <v>5</v>
      </c>
      <c r="T5299">
        <v>5</v>
      </c>
      <c r="U5299">
        <v>5</v>
      </c>
      <c r="V5299">
        <v>1</v>
      </c>
      <c r="W5299">
        <v>0</v>
      </c>
      <c r="X5299">
        <v>0</v>
      </c>
      <c r="Y5299">
        <v>0</v>
      </c>
      <c r="Z5299">
        <v>0</v>
      </c>
    </row>
    <row r="5300" spans="1:26" x14ac:dyDescent="0.2">
      <c r="A5300" t="s">
        <v>5418</v>
      </c>
      <c r="B5300" t="s">
        <v>92</v>
      </c>
      <c r="C5300">
        <v>2022</v>
      </c>
      <c r="D5300" t="s">
        <v>46</v>
      </c>
      <c r="E5300" t="s">
        <v>90</v>
      </c>
      <c r="F5300" t="s">
        <v>20</v>
      </c>
      <c r="G5300">
        <v>60704</v>
      </c>
      <c r="H5300">
        <v>48563.200000000004</v>
      </c>
      <c r="I5300" s="13">
        <v>1</v>
      </c>
      <c r="J5300" t="s">
        <v>6207</v>
      </c>
      <c r="K5300">
        <v>0</v>
      </c>
      <c r="L5300">
        <v>3</v>
      </c>
      <c r="M5300" t="s">
        <v>1</v>
      </c>
      <c r="N5300" s="3">
        <v>0.41</v>
      </c>
      <c r="O5300" s="3">
        <v>0.59</v>
      </c>
      <c r="P5300">
        <v>21</v>
      </c>
      <c r="Q5300">
        <v>14</v>
      </c>
      <c r="R5300">
        <v>5</v>
      </c>
      <c r="S5300">
        <v>2</v>
      </c>
      <c r="T5300">
        <v>13</v>
      </c>
      <c r="U5300">
        <v>17</v>
      </c>
      <c r="V5300">
        <v>2</v>
      </c>
      <c r="W5300">
        <v>2</v>
      </c>
      <c r="X5300">
        <v>0</v>
      </c>
      <c r="Y5300">
        <v>0</v>
      </c>
      <c r="Z5300">
        <v>0</v>
      </c>
    </row>
    <row r="5301" spans="1:26" x14ac:dyDescent="0.2">
      <c r="A5301" t="s">
        <v>5419</v>
      </c>
      <c r="B5301" t="s">
        <v>76</v>
      </c>
      <c r="C5301">
        <v>2022</v>
      </c>
      <c r="D5301" t="s">
        <v>80</v>
      </c>
      <c r="E5301" t="s">
        <v>26</v>
      </c>
      <c r="F5301" t="s">
        <v>80</v>
      </c>
      <c r="G5301">
        <v>32261</v>
      </c>
      <c r="H5301">
        <v>25808.800000000003</v>
      </c>
      <c r="I5301" s="13">
        <v>0.66666666666666663</v>
      </c>
      <c r="J5301" t="s">
        <v>6207</v>
      </c>
      <c r="K5301">
        <v>0</v>
      </c>
      <c r="L5301">
        <v>3</v>
      </c>
      <c r="M5301" t="s">
        <v>1</v>
      </c>
      <c r="N5301" s="3">
        <v>0.33</v>
      </c>
      <c r="O5301" s="3">
        <v>0.67</v>
      </c>
      <c r="P5301">
        <v>21</v>
      </c>
      <c r="Q5301">
        <v>14</v>
      </c>
      <c r="R5301">
        <v>4</v>
      </c>
      <c r="S5301">
        <v>4</v>
      </c>
      <c r="T5301">
        <v>11</v>
      </c>
      <c r="U5301">
        <v>17</v>
      </c>
      <c r="V5301">
        <v>2</v>
      </c>
      <c r="W5301">
        <v>1</v>
      </c>
      <c r="X5301">
        <v>0</v>
      </c>
      <c r="Y5301">
        <v>0</v>
      </c>
      <c r="Z5301">
        <v>0</v>
      </c>
    </row>
    <row r="5302" spans="1:26" x14ac:dyDescent="0.2">
      <c r="A5302" t="s">
        <v>5420</v>
      </c>
      <c r="B5302" t="s">
        <v>102</v>
      </c>
      <c r="C5302">
        <v>2022</v>
      </c>
      <c r="D5302" t="s">
        <v>51</v>
      </c>
      <c r="E5302" t="s">
        <v>101</v>
      </c>
      <c r="F5302" t="s">
        <v>20</v>
      </c>
      <c r="G5302">
        <v>36284</v>
      </c>
      <c r="H5302">
        <v>29027.200000000001</v>
      </c>
      <c r="I5302" s="13">
        <v>0.33333333333333331</v>
      </c>
      <c r="J5302" t="s">
        <v>6209</v>
      </c>
      <c r="K5302">
        <v>1</v>
      </c>
      <c r="L5302">
        <v>3</v>
      </c>
      <c r="M5302" t="s">
        <v>1</v>
      </c>
      <c r="N5302" s="3">
        <v>0.62</v>
      </c>
      <c r="O5302" s="3">
        <v>0.38</v>
      </c>
      <c r="P5302">
        <v>10</v>
      </c>
      <c r="Q5302">
        <v>12</v>
      </c>
      <c r="R5302">
        <v>8</v>
      </c>
      <c r="S5302">
        <v>2</v>
      </c>
      <c r="T5302">
        <v>11</v>
      </c>
      <c r="U5302">
        <v>9</v>
      </c>
      <c r="V5302">
        <v>2</v>
      </c>
      <c r="W5302">
        <v>1</v>
      </c>
      <c r="X5302">
        <v>0</v>
      </c>
      <c r="Y5302">
        <v>0</v>
      </c>
      <c r="Z5302">
        <v>0</v>
      </c>
    </row>
    <row r="5303" spans="1:26" x14ac:dyDescent="0.2">
      <c r="A5303" t="s">
        <v>5421</v>
      </c>
      <c r="B5303" t="s">
        <v>93</v>
      </c>
      <c r="C5303">
        <v>2022</v>
      </c>
      <c r="D5303" t="s">
        <v>22</v>
      </c>
      <c r="E5303" t="s">
        <v>45</v>
      </c>
      <c r="F5303" t="s">
        <v>24</v>
      </c>
      <c r="G5303">
        <v>31750</v>
      </c>
      <c r="H5303">
        <v>25400</v>
      </c>
      <c r="I5303" s="13">
        <v>0.66666666666666663</v>
      </c>
      <c r="J5303" t="s">
        <v>6206</v>
      </c>
      <c r="K5303">
        <v>1</v>
      </c>
      <c r="L5303">
        <v>1</v>
      </c>
      <c r="M5303" t="s">
        <v>58</v>
      </c>
      <c r="N5303" s="3">
        <v>0.53</v>
      </c>
      <c r="O5303" s="3">
        <v>0.47</v>
      </c>
      <c r="P5303">
        <v>10</v>
      </c>
      <c r="Q5303">
        <v>19</v>
      </c>
      <c r="R5303">
        <v>1</v>
      </c>
      <c r="S5303">
        <v>7</v>
      </c>
      <c r="T5303">
        <v>18</v>
      </c>
      <c r="U5303">
        <v>10</v>
      </c>
      <c r="V5303">
        <v>5</v>
      </c>
      <c r="W5303">
        <v>1</v>
      </c>
      <c r="X5303">
        <v>0</v>
      </c>
      <c r="Y5303">
        <v>0</v>
      </c>
      <c r="Z5303">
        <v>0</v>
      </c>
    </row>
    <row r="5304" spans="1:26" x14ac:dyDescent="0.2">
      <c r="A5304" t="s">
        <v>5422</v>
      </c>
      <c r="B5304" t="s">
        <v>104</v>
      </c>
      <c r="C5304">
        <v>2022</v>
      </c>
      <c r="D5304" t="s">
        <v>26</v>
      </c>
      <c r="E5304" t="s">
        <v>42</v>
      </c>
      <c r="F5304" t="s">
        <v>26</v>
      </c>
      <c r="G5304">
        <v>61276</v>
      </c>
      <c r="H5304">
        <v>49020.800000000003</v>
      </c>
      <c r="I5304" s="13">
        <v>0.5</v>
      </c>
      <c r="J5304" t="s">
        <v>6206</v>
      </c>
      <c r="K5304">
        <v>1</v>
      </c>
      <c r="L5304">
        <v>1</v>
      </c>
      <c r="M5304" t="s">
        <v>58</v>
      </c>
      <c r="N5304" s="3">
        <v>0.66</v>
      </c>
      <c r="O5304" s="3">
        <v>0.34</v>
      </c>
      <c r="P5304">
        <v>14</v>
      </c>
      <c r="Q5304">
        <v>20</v>
      </c>
      <c r="R5304">
        <v>9</v>
      </c>
      <c r="S5304">
        <v>3</v>
      </c>
      <c r="T5304">
        <v>16</v>
      </c>
      <c r="U5304">
        <v>13</v>
      </c>
      <c r="V5304">
        <v>3</v>
      </c>
      <c r="W5304">
        <v>5</v>
      </c>
      <c r="X5304">
        <v>0</v>
      </c>
      <c r="Y5304">
        <v>0</v>
      </c>
      <c r="Z5304">
        <v>1</v>
      </c>
    </row>
    <row r="5305" spans="1:26" x14ac:dyDescent="0.2">
      <c r="A5305" t="s">
        <v>5423</v>
      </c>
      <c r="B5305" t="s">
        <v>109</v>
      </c>
      <c r="C5305">
        <v>2022</v>
      </c>
      <c r="D5305" t="s">
        <v>31</v>
      </c>
      <c r="E5305" t="s">
        <v>79</v>
      </c>
      <c r="F5305" t="s">
        <v>20</v>
      </c>
      <c r="G5305">
        <v>28500</v>
      </c>
      <c r="H5305">
        <v>22800</v>
      </c>
      <c r="I5305" s="13">
        <v>0.66666666666666663</v>
      </c>
      <c r="J5305" t="s">
        <v>6209</v>
      </c>
      <c r="K5305">
        <v>2</v>
      </c>
      <c r="L5305">
        <v>2</v>
      </c>
      <c r="M5305" t="s">
        <v>58</v>
      </c>
      <c r="N5305" s="3">
        <v>0.49</v>
      </c>
      <c r="O5305" s="3">
        <v>0.51</v>
      </c>
      <c r="P5305">
        <v>14</v>
      </c>
      <c r="Q5305">
        <v>13</v>
      </c>
      <c r="R5305">
        <v>7</v>
      </c>
      <c r="S5305">
        <v>4</v>
      </c>
      <c r="T5305">
        <v>13</v>
      </c>
      <c r="U5305">
        <v>12</v>
      </c>
      <c r="V5305">
        <v>3</v>
      </c>
      <c r="W5305">
        <v>0</v>
      </c>
      <c r="X5305">
        <v>0</v>
      </c>
      <c r="Y5305">
        <v>0</v>
      </c>
      <c r="Z5305">
        <v>1</v>
      </c>
    </row>
    <row r="5306" spans="1:26" x14ac:dyDescent="0.2">
      <c r="A5306" t="s">
        <v>5424</v>
      </c>
      <c r="B5306" t="s">
        <v>88</v>
      </c>
      <c r="C5306">
        <v>2022</v>
      </c>
      <c r="D5306" t="s">
        <v>86</v>
      </c>
      <c r="E5306" t="s">
        <v>48</v>
      </c>
      <c r="F5306" t="s">
        <v>86</v>
      </c>
      <c r="G5306">
        <v>11364</v>
      </c>
      <c r="H5306">
        <v>9091.2000000000007</v>
      </c>
      <c r="I5306" s="13">
        <v>0</v>
      </c>
      <c r="J5306" t="s">
        <v>6207</v>
      </c>
      <c r="K5306">
        <v>0</v>
      </c>
      <c r="L5306">
        <v>1</v>
      </c>
      <c r="M5306" t="s">
        <v>1</v>
      </c>
      <c r="N5306" s="3">
        <v>0.41</v>
      </c>
      <c r="O5306" s="3">
        <v>0.59</v>
      </c>
      <c r="P5306">
        <v>9</v>
      </c>
      <c r="Q5306">
        <v>6</v>
      </c>
      <c r="R5306">
        <v>3</v>
      </c>
      <c r="S5306">
        <v>6</v>
      </c>
      <c r="T5306">
        <v>6</v>
      </c>
      <c r="U5306">
        <v>7</v>
      </c>
      <c r="V5306">
        <v>1</v>
      </c>
      <c r="W5306">
        <v>0</v>
      </c>
      <c r="X5306">
        <v>0</v>
      </c>
      <c r="Y5306">
        <v>0</v>
      </c>
      <c r="Z5306">
        <v>0</v>
      </c>
    </row>
    <row r="5307" spans="1:26" x14ac:dyDescent="0.2">
      <c r="A5307" t="s">
        <v>5425</v>
      </c>
      <c r="B5307" t="s">
        <v>61</v>
      </c>
      <c r="C5307">
        <v>2022</v>
      </c>
      <c r="D5307" t="s">
        <v>94</v>
      </c>
      <c r="E5307" t="s">
        <v>46</v>
      </c>
      <c r="F5307" t="s">
        <v>106</v>
      </c>
      <c r="G5307">
        <v>30445</v>
      </c>
      <c r="H5307">
        <v>24356</v>
      </c>
      <c r="I5307" s="13">
        <v>0.8</v>
      </c>
      <c r="J5307" t="s">
        <v>6207</v>
      </c>
      <c r="K5307">
        <v>1</v>
      </c>
      <c r="L5307">
        <v>0</v>
      </c>
      <c r="M5307" t="s">
        <v>0</v>
      </c>
      <c r="N5307" s="3">
        <v>0.18</v>
      </c>
      <c r="O5307" s="3">
        <v>0.82</v>
      </c>
      <c r="P5307">
        <v>13</v>
      </c>
      <c r="Q5307">
        <v>12</v>
      </c>
      <c r="R5307">
        <v>3</v>
      </c>
      <c r="S5307">
        <v>6</v>
      </c>
      <c r="T5307">
        <v>11</v>
      </c>
      <c r="U5307">
        <v>12</v>
      </c>
      <c r="V5307">
        <v>3</v>
      </c>
      <c r="W5307">
        <v>2</v>
      </c>
      <c r="X5307">
        <v>0</v>
      </c>
      <c r="Y5307">
        <v>0</v>
      </c>
      <c r="Z5307">
        <v>0</v>
      </c>
    </row>
    <row r="5308" spans="1:26" x14ac:dyDescent="0.2">
      <c r="A5308" t="s">
        <v>5426</v>
      </c>
      <c r="B5308" t="s">
        <v>97</v>
      </c>
      <c r="C5308">
        <v>2022</v>
      </c>
      <c r="D5308" t="s">
        <v>23</v>
      </c>
      <c r="E5308" t="s">
        <v>33</v>
      </c>
      <c r="F5308" t="s">
        <v>20</v>
      </c>
      <c r="G5308">
        <v>62500</v>
      </c>
      <c r="H5308">
        <v>50000</v>
      </c>
      <c r="I5308" s="13">
        <v>1</v>
      </c>
      <c r="J5308" t="s">
        <v>6207</v>
      </c>
      <c r="K5308">
        <v>3</v>
      </c>
      <c r="L5308">
        <v>1</v>
      </c>
      <c r="M5308" t="s">
        <v>0</v>
      </c>
      <c r="N5308" s="3">
        <v>0.59</v>
      </c>
      <c r="O5308" s="3">
        <v>0.41</v>
      </c>
      <c r="P5308">
        <v>12</v>
      </c>
      <c r="Q5308">
        <v>9</v>
      </c>
      <c r="R5308">
        <v>9</v>
      </c>
      <c r="S5308">
        <v>5</v>
      </c>
      <c r="T5308">
        <v>6</v>
      </c>
      <c r="U5308">
        <v>11</v>
      </c>
      <c r="V5308">
        <v>1</v>
      </c>
      <c r="W5308">
        <v>3</v>
      </c>
      <c r="X5308">
        <v>0</v>
      </c>
      <c r="Y5308">
        <v>0</v>
      </c>
      <c r="Z5308">
        <v>0</v>
      </c>
    </row>
    <row r="5309" spans="1:26" x14ac:dyDescent="0.2">
      <c r="A5309" t="s">
        <v>5427</v>
      </c>
      <c r="B5309" t="s">
        <v>81</v>
      </c>
      <c r="C5309">
        <v>2022</v>
      </c>
      <c r="D5309" t="s">
        <v>90</v>
      </c>
      <c r="E5309" t="s">
        <v>73</v>
      </c>
      <c r="F5309" t="s">
        <v>91</v>
      </c>
      <c r="G5309">
        <v>31876</v>
      </c>
      <c r="H5309">
        <v>25500.800000000003</v>
      </c>
      <c r="I5309" s="13">
        <v>0.7142857142857143</v>
      </c>
      <c r="J5309" t="s">
        <v>6207</v>
      </c>
      <c r="K5309">
        <v>3</v>
      </c>
      <c r="L5309">
        <v>1</v>
      </c>
      <c r="M5309" t="s">
        <v>0</v>
      </c>
      <c r="N5309" s="3">
        <v>0.63</v>
      </c>
      <c r="O5309" s="3">
        <v>0.37</v>
      </c>
      <c r="P5309">
        <v>10</v>
      </c>
      <c r="Q5309">
        <v>9</v>
      </c>
      <c r="R5309">
        <v>4</v>
      </c>
      <c r="S5309">
        <v>3</v>
      </c>
      <c r="T5309">
        <v>8</v>
      </c>
      <c r="U5309">
        <v>9</v>
      </c>
      <c r="V5309">
        <v>2</v>
      </c>
      <c r="W5309">
        <v>5</v>
      </c>
      <c r="X5309">
        <v>0</v>
      </c>
      <c r="Y5309">
        <v>0</v>
      </c>
      <c r="Z5309">
        <v>0</v>
      </c>
    </row>
    <row r="5310" spans="1:26" x14ac:dyDescent="0.2">
      <c r="A5310" t="s">
        <v>5428</v>
      </c>
      <c r="B5310" t="s">
        <v>66</v>
      </c>
      <c r="C5310">
        <v>2022</v>
      </c>
      <c r="D5310" t="s">
        <v>40</v>
      </c>
      <c r="E5310" t="s">
        <v>18</v>
      </c>
      <c r="F5310" t="s">
        <v>49</v>
      </c>
      <c r="G5310">
        <v>53400</v>
      </c>
      <c r="H5310">
        <v>42720</v>
      </c>
      <c r="I5310" s="13">
        <v>1</v>
      </c>
      <c r="J5310" t="s">
        <v>6207</v>
      </c>
      <c r="K5310">
        <v>1</v>
      </c>
      <c r="L5310">
        <v>0</v>
      </c>
      <c r="M5310" t="s">
        <v>0</v>
      </c>
      <c r="N5310" s="3">
        <v>0.65</v>
      </c>
      <c r="O5310" s="3">
        <v>0.35</v>
      </c>
      <c r="P5310">
        <v>11</v>
      </c>
      <c r="Q5310">
        <v>14</v>
      </c>
      <c r="R5310">
        <v>5</v>
      </c>
      <c r="S5310">
        <v>2</v>
      </c>
      <c r="T5310">
        <v>12</v>
      </c>
      <c r="U5310">
        <v>9</v>
      </c>
      <c r="V5310">
        <v>0</v>
      </c>
      <c r="W5310">
        <v>2</v>
      </c>
      <c r="X5310">
        <v>0</v>
      </c>
      <c r="Y5310">
        <v>0</v>
      </c>
      <c r="Z5310">
        <v>0</v>
      </c>
    </row>
    <row r="5311" spans="1:26" x14ac:dyDescent="0.2">
      <c r="A5311" t="s">
        <v>5429</v>
      </c>
      <c r="B5311" t="s">
        <v>37</v>
      </c>
      <c r="C5311">
        <v>2022</v>
      </c>
      <c r="D5311" t="s">
        <v>64</v>
      </c>
      <c r="E5311" t="s">
        <v>80</v>
      </c>
      <c r="F5311" t="s">
        <v>64</v>
      </c>
      <c r="G5311">
        <v>52264</v>
      </c>
      <c r="H5311">
        <v>41811.200000000004</v>
      </c>
      <c r="I5311" s="13">
        <v>1</v>
      </c>
      <c r="J5311" t="s">
        <v>6206</v>
      </c>
      <c r="K5311">
        <v>0</v>
      </c>
      <c r="L5311">
        <v>0</v>
      </c>
      <c r="M5311" t="s">
        <v>58</v>
      </c>
      <c r="N5311" s="3">
        <v>0.77</v>
      </c>
      <c r="O5311" s="3">
        <v>0.23</v>
      </c>
      <c r="P5311">
        <v>5</v>
      </c>
      <c r="Q5311">
        <v>10</v>
      </c>
      <c r="R5311">
        <v>12</v>
      </c>
      <c r="S5311">
        <v>1</v>
      </c>
      <c r="T5311">
        <v>9</v>
      </c>
      <c r="U5311">
        <v>5</v>
      </c>
      <c r="V5311">
        <v>2</v>
      </c>
      <c r="W5311">
        <v>0</v>
      </c>
      <c r="X5311">
        <v>0</v>
      </c>
      <c r="Y5311">
        <v>0</v>
      </c>
      <c r="Z5311">
        <v>0</v>
      </c>
    </row>
    <row r="5312" spans="1:26" x14ac:dyDescent="0.2">
      <c r="A5312" t="s">
        <v>5430</v>
      </c>
      <c r="B5312" t="s">
        <v>100</v>
      </c>
      <c r="C5312">
        <v>2022</v>
      </c>
      <c r="D5312" t="s">
        <v>73</v>
      </c>
      <c r="E5312" t="s">
        <v>26</v>
      </c>
      <c r="F5312" t="s">
        <v>73</v>
      </c>
      <c r="G5312">
        <v>32384</v>
      </c>
      <c r="H5312">
        <v>25907.200000000001</v>
      </c>
      <c r="I5312" s="13">
        <v>0.5</v>
      </c>
      <c r="J5312" t="s">
        <v>6207</v>
      </c>
      <c r="K5312">
        <v>4</v>
      </c>
      <c r="L5312">
        <v>4</v>
      </c>
      <c r="M5312" t="s">
        <v>58</v>
      </c>
      <c r="N5312" s="3">
        <v>0.31</v>
      </c>
      <c r="O5312" s="3">
        <v>0.69</v>
      </c>
      <c r="P5312">
        <v>10</v>
      </c>
      <c r="Q5312">
        <v>5</v>
      </c>
      <c r="R5312">
        <v>2</v>
      </c>
      <c r="S5312">
        <v>9</v>
      </c>
      <c r="T5312">
        <v>4</v>
      </c>
      <c r="U5312">
        <v>10</v>
      </c>
      <c r="V5312">
        <v>0</v>
      </c>
      <c r="W5312">
        <v>2</v>
      </c>
      <c r="X5312">
        <v>0</v>
      </c>
      <c r="Y5312">
        <v>0</v>
      </c>
      <c r="Z5312">
        <v>0</v>
      </c>
    </row>
    <row r="5313" spans="1:26" x14ac:dyDescent="0.2">
      <c r="A5313" t="s">
        <v>5431</v>
      </c>
      <c r="B5313" t="s">
        <v>99</v>
      </c>
      <c r="C5313">
        <v>2022</v>
      </c>
      <c r="D5313" t="s">
        <v>48</v>
      </c>
      <c r="E5313" t="s">
        <v>31</v>
      </c>
      <c r="F5313" t="s">
        <v>49</v>
      </c>
      <c r="G5313">
        <v>74197</v>
      </c>
      <c r="H5313">
        <v>59357.600000000006</v>
      </c>
      <c r="I5313" s="13">
        <v>0.66666666666666663</v>
      </c>
      <c r="J5313" t="s">
        <v>6207</v>
      </c>
      <c r="K5313">
        <v>2</v>
      </c>
      <c r="L5313">
        <v>1</v>
      </c>
      <c r="M5313" t="s">
        <v>0</v>
      </c>
      <c r="N5313" s="3">
        <v>0.53</v>
      </c>
      <c r="O5313" s="3">
        <v>0.47</v>
      </c>
      <c r="P5313">
        <v>9</v>
      </c>
      <c r="Q5313">
        <v>14</v>
      </c>
      <c r="R5313">
        <v>5</v>
      </c>
      <c r="S5313">
        <v>4</v>
      </c>
      <c r="T5313">
        <v>14</v>
      </c>
      <c r="U5313">
        <v>10</v>
      </c>
      <c r="V5313">
        <v>1</v>
      </c>
      <c r="W5313">
        <v>2</v>
      </c>
      <c r="X5313">
        <v>0</v>
      </c>
      <c r="Y5313">
        <v>0</v>
      </c>
      <c r="Z5313">
        <v>1</v>
      </c>
    </row>
    <row r="5314" spans="1:26" x14ac:dyDescent="0.2">
      <c r="A5314" t="s">
        <v>5432</v>
      </c>
      <c r="B5314" t="s">
        <v>84</v>
      </c>
      <c r="C5314">
        <v>2022</v>
      </c>
      <c r="D5314" t="s">
        <v>80</v>
      </c>
      <c r="E5314" t="s">
        <v>23</v>
      </c>
      <c r="F5314" t="s">
        <v>80</v>
      </c>
      <c r="G5314">
        <v>32261</v>
      </c>
      <c r="H5314">
        <v>25808.800000000003</v>
      </c>
      <c r="I5314" s="13">
        <v>0</v>
      </c>
      <c r="J5314" t="s">
        <v>6208</v>
      </c>
      <c r="K5314">
        <v>2</v>
      </c>
      <c r="L5314">
        <v>1</v>
      </c>
      <c r="M5314" t="s">
        <v>0</v>
      </c>
      <c r="N5314" s="3">
        <v>0.48</v>
      </c>
      <c r="O5314" s="3">
        <v>0.52</v>
      </c>
      <c r="P5314">
        <v>14</v>
      </c>
      <c r="Q5314">
        <v>10</v>
      </c>
      <c r="R5314">
        <v>3</v>
      </c>
      <c r="S5314">
        <v>5</v>
      </c>
      <c r="T5314">
        <v>8</v>
      </c>
      <c r="U5314">
        <v>10</v>
      </c>
      <c r="V5314">
        <v>1</v>
      </c>
      <c r="W5314">
        <v>1</v>
      </c>
      <c r="X5314">
        <v>0</v>
      </c>
      <c r="Y5314">
        <v>0</v>
      </c>
      <c r="Z5314">
        <v>0</v>
      </c>
    </row>
    <row r="5315" spans="1:26" x14ac:dyDescent="0.2">
      <c r="A5315" t="s">
        <v>5433</v>
      </c>
      <c r="B5315" t="s">
        <v>61</v>
      </c>
      <c r="C5315">
        <v>2022</v>
      </c>
      <c r="D5315" t="s">
        <v>33</v>
      </c>
      <c r="E5315" t="s">
        <v>51</v>
      </c>
      <c r="F5315" t="s">
        <v>33</v>
      </c>
      <c r="G5315">
        <v>37645</v>
      </c>
      <c r="H5315">
        <v>30116</v>
      </c>
      <c r="I5315" s="13">
        <v>0.66666666666666663</v>
      </c>
      <c r="J5315" t="s">
        <v>6207</v>
      </c>
      <c r="K5315">
        <v>1</v>
      </c>
      <c r="L5315">
        <v>4</v>
      </c>
      <c r="M5315" t="s">
        <v>1</v>
      </c>
      <c r="N5315" s="3">
        <v>0.52</v>
      </c>
      <c r="O5315" s="3">
        <v>0.48</v>
      </c>
      <c r="P5315">
        <v>4</v>
      </c>
      <c r="Q5315">
        <v>7</v>
      </c>
      <c r="R5315">
        <v>12</v>
      </c>
      <c r="S5315">
        <v>3</v>
      </c>
      <c r="T5315">
        <v>7</v>
      </c>
      <c r="U5315">
        <v>5</v>
      </c>
      <c r="V5315">
        <v>3</v>
      </c>
      <c r="W5315">
        <v>0</v>
      </c>
      <c r="X5315">
        <v>0</v>
      </c>
      <c r="Y5315">
        <v>0</v>
      </c>
      <c r="Z5315">
        <v>0</v>
      </c>
    </row>
    <row r="5316" spans="1:26" x14ac:dyDescent="0.2">
      <c r="A5316" t="s">
        <v>5434</v>
      </c>
      <c r="B5316" t="s">
        <v>59</v>
      </c>
      <c r="C5316">
        <v>2022</v>
      </c>
      <c r="D5316" t="s">
        <v>45</v>
      </c>
      <c r="E5316" t="s">
        <v>86</v>
      </c>
      <c r="F5316" t="s">
        <v>26</v>
      </c>
      <c r="G5316">
        <v>39572</v>
      </c>
      <c r="H5316">
        <v>31657.600000000002</v>
      </c>
      <c r="I5316" s="13">
        <v>0.2</v>
      </c>
      <c r="J5316" t="s">
        <v>6206</v>
      </c>
      <c r="K5316">
        <v>1</v>
      </c>
      <c r="L5316">
        <v>0</v>
      </c>
      <c r="M5316" t="s">
        <v>0</v>
      </c>
      <c r="N5316" s="3">
        <v>0.38</v>
      </c>
      <c r="O5316" s="3">
        <v>0.62</v>
      </c>
      <c r="P5316">
        <v>14</v>
      </c>
      <c r="Q5316">
        <v>11</v>
      </c>
      <c r="R5316">
        <v>9</v>
      </c>
      <c r="S5316">
        <v>3</v>
      </c>
      <c r="T5316">
        <v>11</v>
      </c>
      <c r="U5316">
        <v>12</v>
      </c>
      <c r="V5316">
        <v>1</v>
      </c>
      <c r="W5316">
        <v>4</v>
      </c>
      <c r="X5316">
        <v>0</v>
      </c>
      <c r="Y5316">
        <v>0</v>
      </c>
      <c r="Z5316">
        <v>0</v>
      </c>
    </row>
    <row r="5317" spans="1:26" x14ac:dyDescent="0.2">
      <c r="A5317" t="s">
        <v>5435</v>
      </c>
      <c r="B5317" t="s">
        <v>107</v>
      </c>
      <c r="C5317">
        <v>2022</v>
      </c>
      <c r="D5317" t="s">
        <v>79</v>
      </c>
      <c r="E5317" t="s">
        <v>94</v>
      </c>
      <c r="F5317" t="s">
        <v>20</v>
      </c>
      <c r="G5317">
        <v>25486</v>
      </c>
      <c r="H5317">
        <v>20388.800000000003</v>
      </c>
      <c r="I5317" s="13">
        <v>0</v>
      </c>
      <c r="J5317" t="s">
        <v>6207</v>
      </c>
      <c r="K5317">
        <v>1</v>
      </c>
      <c r="L5317">
        <v>1</v>
      </c>
      <c r="M5317" t="s">
        <v>58</v>
      </c>
      <c r="N5317" s="3">
        <v>0.66</v>
      </c>
      <c r="O5317" s="3">
        <v>0.34</v>
      </c>
      <c r="P5317">
        <v>13</v>
      </c>
      <c r="Q5317">
        <v>10</v>
      </c>
      <c r="R5317">
        <v>5</v>
      </c>
      <c r="S5317">
        <v>4</v>
      </c>
      <c r="T5317">
        <v>9</v>
      </c>
      <c r="U5317">
        <v>13</v>
      </c>
      <c r="V5317">
        <v>0</v>
      </c>
      <c r="W5317">
        <v>2</v>
      </c>
      <c r="X5317">
        <v>0</v>
      </c>
      <c r="Y5317">
        <v>0</v>
      </c>
      <c r="Z5317">
        <v>0</v>
      </c>
    </row>
    <row r="5318" spans="1:26" x14ac:dyDescent="0.2">
      <c r="A5318" t="s">
        <v>5436</v>
      </c>
      <c r="B5318" t="s">
        <v>102</v>
      </c>
      <c r="C5318">
        <v>2022</v>
      </c>
      <c r="D5318" t="s">
        <v>18</v>
      </c>
      <c r="E5318" t="s">
        <v>64</v>
      </c>
      <c r="F5318" t="s">
        <v>20</v>
      </c>
      <c r="G5318">
        <v>40341</v>
      </c>
      <c r="H5318">
        <v>32272.800000000003</v>
      </c>
      <c r="I5318" s="13">
        <v>0</v>
      </c>
      <c r="J5318" t="s">
        <v>6209</v>
      </c>
      <c r="K5318">
        <v>1</v>
      </c>
      <c r="L5318">
        <v>1</v>
      </c>
      <c r="M5318" t="s">
        <v>58</v>
      </c>
      <c r="N5318" s="3">
        <v>0.65</v>
      </c>
      <c r="O5318" s="3">
        <v>0.35</v>
      </c>
      <c r="P5318">
        <v>13</v>
      </c>
      <c r="Q5318">
        <v>9</v>
      </c>
      <c r="R5318">
        <v>10</v>
      </c>
      <c r="S5318">
        <v>3</v>
      </c>
      <c r="T5318">
        <v>9</v>
      </c>
      <c r="U5318">
        <v>11</v>
      </c>
      <c r="V5318">
        <v>0</v>
      </c>
      <c r="W5318">
        <v>0</v>
      </c>
      <c r="X5318">
        <v>0</v>
      </c>
      <c r="Y5318">
        <v>0</v>
      </c>
      <c r="Z5318">
        <v>0</v>
      </c>
    </row>
    <row r="5319" spans="1:26" x14ac:dyDescent="0.2">
      <c r="A5319" t="s">
        <v>5437</v>
      </c>
      <c r="B5319" t="s">
        <v>104</v>
      </c>
      <c r="C5319">
        <v>2022</v>
      </c>
      <c r="D5319" t="s">
        <v>101</v>
      </c>
      <c r="E5319" t="s">
        <v>40</v>
      </c>
      <c r="F5319" t="s">
        <v>101</v>
      </c>
      <c r="G5319">
        <v>17250</v>
      </c>
      <c r="H5319">
        <v>13800</v>
      </c>
      <c r="I5319" s="13">
        <v>0.8</v>
      </c>
      <c r="J5319" t="s">
        <v>6206</v>
      </c>
      <c r="K5319">
        <v>1</v>
      </c>
      <c r="L5319">
        <v>0</v>
      </c>
      <c r="M5319" t="s">
        <v>0</v>
      </c>
      <c r="N5319" s="3">
        <v>0.34</v>
      </c>
      <c r="O5319" s="3">
        <v>0.66</v>
      </c>
      <c r="P5319">
        <v>8</v>
      </c>
      <c r="Q5319">
        <v>13</v>
      </c>
      <c r="R5319">
        <v>3</v>
      </c>
      <c r="S5319">
        <v>4</v>
      </c>
      <c r="T5319">
        <v>12</v>
      </c>
      <c r="U5319">
        <v>8</v>
      </c>
      <c r="V5319">
        <v>5</v>
      </c>
      <c r="W5319">
        <v>0</v>
      </c>
      <c r="X5319">
        <v>0</v>
      </c>
      <c r="Y5319">
        <v>0</v>
      </c>
      <c r="Z5319">
        <v>0</v>
      </c>
    </row>
    <row r="5320" spans="1:26" x14ac:dyDescent="0.2">
      <c r="A5320" t="s">
        <v>5438</v>
      </c>
      <c r="B5320" t="s">
        <v>93</v>
      </c>
      <c r="C5320">
        <v>2022</v>
      </c>
      <c r="D5320" t="s">
        <v>42</v>
      </c>
      <c r="E5320" t="s">
        <v>90</v>
      </c>
      <c r="F5320" t="s">
        <v>38</v>
      </c>
      <c r="G5320">
        <v>42918</v>
      </c>
      <c r="H5320">
        <v>34334.400000000001</v>
      </c>
      <c r="I5320" s="13">
        <v>0.625</v>
      </c>
      <c r="J5320" t="s">
        <v>6206</v>
      </c>
      <c r="K5320">
        <v>2</v>
      </c>
      <c r="L5320">
        <v>1</v>
      </c>
      <c r="M5320" t="s">
        <v>0</v>
      </c>
      <c r="N5320" s="3">
        <v>0.41</v>
      </c>
      <c r="O5320" s="3">
        <v>0.59</v>
      </c>
      <c r="P5320">
        <v>22</v>
      </c>
      <c r="Q5320">
        <v>15</v>
      </c>
      <c r="R5320">
        <v>3</v>
      </c>
      <c r="S5320">
        <v>3</v>
      </c>
      <c r="T5320">
        <v>15</v>
      </c>
      <c r="U5320">
        <v>16</v>
      </c>
      <c r="V5320">
        <v>4</v>
      </c>
      <c r="W5320">
        <v>4</v>
      </c>
      <c r="X5320">
        <v>0</v>
      </c>
      <c r="Y5320">
        <v>0</v>
      </c>
      <c r="Z5320">
        <v>0</v>
      </c>
    </row>
    <row r="5321" spans="1:26" x14ac:dyDescent="0.2">
      <c r="A5321" t="s">
        <v>5439</v>
      </c>
      <c r="B5321" t="s">
        <v>37</v>
      </c>
      <c r="C5321">
        <v>2022</v>
      </c>
      <c r="D5321" t="s">
        <v>46</v>
      </c>
      <c r="E5321" t="s">
        <v>22</v>
      </c>
      <c r="F5321" t="s">
        <v>20</v>
      </c>
      <c r="G5321">
        <v>60704</v>
      </c>
      <c r="H5321">
        <v>48563.200000000004</v>
      </c>
      <c r="I5321" s="13">
        <v>0</v>
      </c>
      <c r="J5321" t="s">
        <v>6206</v>
      </c>
      <c r="K5321">
        <v>5</v>
      </c>
      <c r="L5321">
        <v>0</v>
      </c>
      <c r="M5321" t="s">
        <v>0</v>
      </c>
      <c r="N5321" s="3">
        <v>0.51</v>
      </c>
      <c r="O5321" s="3">
        <v>0.49</v>
      </c>
      <c r="P5321">
        <v>9</v>
      </c>
      <c r="Q5321">
        <v>9</v>
      </c>
      <c r="R5321">
        <v>8</v>
      </c>
      <c r="S5321">
        <v>4</v>
      </c>
      <c r="T5321">
        <v>8</v>
      </c>
      <c r="U5321">
        <v>11</v>
      </c>
      <c r="V5321">
        <v>0</v>
      </c>
      <c r="W5321">
        <v>0</v>
      </c>
      <c r="X5321">
        <v>0</v>
      </c>
      <c r="Y5321">
        <v>0</v>
      </c>
      <c r="Z5321">
        <v>0</v>
      </c>
    </row>
    <row r="5322" spans="1:26" x14ac:dyDescent="0.2">
      <c r="A5322" t="s">
        <v>5440</v>
      </c>
      <c r="B5322" t="s">
        <v>76</v>
      </c>
      <c r="C5322">
        <v>2023</v>
      </c>
      <c r="D5322" t="s">
        <v>28</v>
      </c>
      <c r="E5322" t="s">
        <v>40</v>
      </c>
      <c r="F5322" t="s">
        <v>28</v>
      </c>
      <c r="G5322">
        <v>21944</v>
      </c>
      <c r="H5322">
        <v>17555.2</v>
      </c>
      <c r="I5322" s="13">
        <v>0.5</v>
      </c>
      <c r="J5322" t="s">
        <v>6207</v>
      </c>
      <c r="K5322">
        <v>0</v>
      </c>
      <c r="L5322">
        <v>3</v>
      </c>
      <c r="M5322" t="s">
        <v>1</v>
      </c>
      <c r="N5322" s="3">
        <v>0.35</v>
      </c>
      <c r="O5322" s="3">
        <v>0.65</v>
      </c>
      <c r="P5322">
        <v>9</v>
      </c>
      <c r="Q5322">
        <v>11</v>
      </c>
      <c r="R5322">
        <v>6</v>
      </c>
      <c r="S5322">
        <v>5</v>
      </c>
      <c r="T5322">
        <v>11</v>
      </c>
      <c r="U5322">
        <v>8</v>
      </c>
      <c r="V5322">
        <v>0</v>
      </c>
      <c r="W5322">
        <v>1</v>
      </c>
      <c r="X5322">
        <v>1</v>
      </c>
      <c r="Y5322">
        <v>0</v>
      </c>
      <c r="Z5322">
        <v>0</v>
      </c>
    </row>
    <row r="5323" spans="1:26" x14ac:dyDescent="0.2">
      <c r="A5323" t="s">
        <v>5441</v>
      </c>
      <c r="B5323" t="s">
        <v>66</v>
      </c>
      <c r="C5323">
        <v>2023</v>
      </c>
      <c r="D5323" t="s">
        <v>46</v>
      </c>
      <c r="E5323" t="s">
        <v>94</v>
      </c>
      <c r="F5323" t="s">
        <v>20</v>
      </c>
      <c r="G5323">
        <v>60704</v>
      </c>
      <c r="H5323">
        <v>48563.200000000004</v>
      </c>
      <c r="I5323" s="13">
        <v>0.75</v>
      </c>
      <c r="J5323" t="s">
        <v>6207</v>
      </c>
      <c r="K5323">
        <v>2</v>
      </c>
      <c r="L5323">
        <v>1</v>
      </c>
      <c r="M5323" t="s">
        <v>0</v>
      </c>
      <c r="N5323" s="3">
        <v>0.79</v>
      </c>
      <c r="O5323" s="3">
        <v>0.21</v>
      </c>
      <c r="P5323">
        <v>13</v>
      </c>
      <c r="Q5323">
        <v>14</v>
      </c>
      <c r="R5323">
        <v>8</v>
      </c>
      <c r="S5323">
        <v>3</v>
      </c>
      <c r="T5323">
        <v>12</v>
      </c>
      <c r="U5323">
        <v>12</v>
      </c>
      <c r="V5323">
        <v>2</v>
      </c>
      <c r="W5323">
        <v>2</v>
      </c>
      <c r="X5323">
        <v>0</v>
      </c>
      <c r="Y5323">
        <v>0</v>
      </c>
      <c r="Z5323">
        <v>0</v>
      </c>
    </row>
    <row r="5324" spans="1:26" x14ac:dyDescent="0.2">
      <c r="A5324" t="s">
        <v>5442</v>
      </c>
      <c r="B5324" t="s">
        <v>104</v>
      </c>
      <c r="C5324">
        <v>2023</v>
      </c>
      <c r="D5324" t="s">
        <v>95</v>
      </c>
      <c r="E5324" t="s">
        <v>79</v>
      </c>
      <c r="F5324" t="s">
        <v>57</v>
      </c>
      <c r="G5324">
        <v>32050</v>
      </c>
      <c r="H5324">
        <v>25640</v>
      </c>
      <c r="I5324" s="13">
        <v>1</v>
      </c>
      <c r="J5324" t="s">
        <v>6206</v>
      </c>
      <c r="K5324">
        <v>0</v>
      </c>
      <c r="L5324">
        <v>1</v>
      </c>
      <c r="M5324" t="s">
        <v>1</v>
      </c>
      <c r="N5324" s="3">
        <v>0.33</v>
      </c>
      <c r="O5324" s="3">
        <v>0.67</v>
      </c>
      <c r="P5324">
        <v>13</v>
      </c>
      <c r="Q5324">
        <v>20</v>
      </c>
      <c r="R5324">
        <v>5</v>
      </c>
      <c r="S5324">
        <v>5</v>
      </c>
      <c r="T5324">
        <v>18</v>
      </c>
      <c r="U5324">
        <v>11</v>
      </c>
      <c r="V5324">
        <v>3</v>
      </c>
      <c r="W5324">
        <v>0</v>
      </c>
      <c r="X5324">
        <v>0</v>
      </c>
      <c r="Y5324">
        <v>0</v>
      </c>
      <c r="Z5324">
        <v>0</v>
      </c>
    </row>
    <row r="5325" spans="1:26" x14ac:dyDescent="0.2">
      <c r="A5325" t="s">
        <v>5443</v>
      </c>
      <c r="B5325" t="s">
        <v>59</v>
      </c>
      <c r="C5325">
        <v>2023</v>
      </c>
      <c r="D5325" t="s">
        <v>45</v>
      </c>
      <c r="E5325" t="s">
        <v>31</v>
      </c>
      <c r="F5325" t="s">
        <v>26</v>
      </c>
      <c r="G5325">
        <v>39572</v>
      </c>
      <c r="H5325">
        <v>31657.600000000002</v>
      </c>
      <c r="I5325" s="13">
        <v>0.66666666666666663</v>
      </c>
      <c r="J5325" t="s">
        <v>6206</v>
      </c>
      <c r="K5325">
        <v>0</v>
      </c>
      <c r="L5325">
        <v>1</v>
      </c>
      <c r="M5325" t="s">
        <v>1</v>
      </c>
      <c r="N5325" s="3">
        <v>0.41</v>
      </c>
      <c r="O5325" s="3">
        <v>0.59</v>
      </c>
      <c r="P5325">
        <v>9</v>
      </c>
      <c r="Q5325">
        <v>18</v>
      </c>
      <c r="R5325">
        <v>10</v>
      </c>
      <c r="S5325">
        <v>4</v>
      </c>
      <c r="T5325">
        <v>12</v>
      </c>
      <c r="U5325">
        <v>6</v>
      </c>
      <c r="V5325">
        <v>0</v>
      </c>
      <c r="W5325">
        <v>3</v>
      </c>
      <c r="X5325">
        <v>0</v>
      </c>
      <c r="Y5325">
        <v>0</v>
      </c>
      <c r="Z5325">
        <v>0</v>
      </c>
    </row>
    <row r="5326" spans="1:26" x14ac:dyDescent="0.2">
      <c r="A5326" t="s">
        <v>5444</v>
      </c>
      <c r="B5326" t="s">
        <v>93</v>
      </c>
      <c r="C5326">
        <v>2023</v>
      </c>
      <c r="D5326" t="s">
        <v>90</v>
      </c>
      <c r="E5326" t="s">
        <v>110</v>
      </c>
      <c r="F5326" t="s">
        <v>91</v>
      </c>
      <c r="G5326">
        <v>31876</v>
      </c>
      <c r="H5326">
        <v>25500.800000000003</v>
      </c>
      <c r="I5326" s="13">
        <v>1</v>
      </c>
      <c r="J5326" t="s">
        <v>6206</v>
      </c>
      <c r="K5326">
        <v>4</v>
      </c>
      <c r="L5326">
        <v>1</v>
      </c>
      <c r="M5326" t="s">
        <v>0</v>
      </c>
      <c r="N5326" s="3">
        <v>0.71</v>
      </c>
      <c r="O5326" s="3">
        <v>0.28999999999999998</v>
      </c>
      <c r="P5326">
        <v>10</v>
      </c>
      <c r="Q5326">
        <v>6</v>
      </c>
      <c r="R5326">
        <v>6</v>
      </c>
      <c r="S5326">
        <v>7</v>
      </c>
      <c r="T5326">
        <v>11</v>
      </c>
      <c r="U5326">
        <v>12</v>
      </c>
      <c r="V5326">
        <v>2</v>
      </c>
      <c r="W5326">
        <v>2</v>
      </c>
      <c r="X5326">
        <v>0</v>
      </c>
      <c r="Y5326">
        <v>0</v>
      </c>
      <c r="Z5326">
        <v>2</v>
      </c>
    </row>
    <row r="5327" spans="1:26" x14ac:dyDescent="0.2">
      <c r="A5327" t="s">
        <v>5445</v>
      </c>
      <c r="B5327" t="s">
        <v>97</v>
      </c>
      <c r="C5327">
        <v>2023</v>
      </c>
      <c r="D5327" t="s">
        <v>86</v>
      </c>
      <c r="E5327" t="s">
        <v>23</v>
      </c>
      <c r="F5327" t="s">
        <v>86</v>
      </c>
      <c r="G5327">
        <v>11364</v>
      </c>
      <c r="H5327">
        <v>9091.2000000000007</v>
      </c>
      <c r="I5327" s="13">
        <v>0.6</v>
      </c>
      <c r="J5327" t="s">
        <v>6207</v>
      </c>
      <c r="K5327">
        <v>1</v>
      </c>
      <c r="L5327">
        <v>1</v>
      </c>
      <c r="M5327" t="s">
        <v>58</v>
      </c>
      <c r="N5327" s="3">
        <v>0.63</v>
      </c>
      <c r="O5327" s="3">
        <v>0.37</v>
      </c>
      <c r="P5327">
        <v>16</v>
      </c>
      <c r="Q5327">
        <v>8</v>
      </c>
      <c r="R5327">
        <v>10</v>
      </c>
      <c r="S5327">
        <v>4</v>
      </c>
      <c r="T5327">
        <v>9</v>
      </c>
      <c r="U5327">
        <v>14</v>
      </c>
      <c r="V5327">
        <v>1</v>
      </c>
      <c r="W5327">
        <v>4</v>
      </c>
      <c r="X5327">
        <v>0</v>
      </c>
      <c r="Y5327">
        <v>0</v>
      </c>
      <c r="Z5327">
        <v>0</v>
      </c>
    </row>
    <row r="5328" spans="1:26" x14ac:dyDescent="0.2">
      <c r="A5328" t="s">
        <v>5446</v>
      </c>
      <c r="B5328" t="s">
        <v>92</v>
      </c>
      <c r="C5328">
        <v>2023</v>
      </c>
      <c r="D5328" t="s">
        <v>64</v>
      </c>
      <c r="E5328" t="s">
        <v>42</v>
      </c>
      <c r="F5328" t="s">
        <v>64</v>
      </c>
      <c r="G5328">
        <v>52264</v>
      </c>
      <c r="H5328">
        <v>41811.200000000004</v>
      </c>
      <c r="I5328" s="13">
        <v>0.875</v>
      </c>
      <c r="J5328" t="s">
        <v>6207</v>
      </c>
      <c r="K5328">
        <v>5</v>
      </c>
      <c r="L5328">
        <v>1</v>
      </c>
      <c r="M5328" t="s">
        <v>0</v>
      </c>
      <c r="N5328" s="3">
        <v>0.53</v>
      </c>
      <c r="O5328" s="3">
        <v>0.47</v>
      </c>
      <c r="P5328">
        <v>19</v>
      </c>
      <c r="Q5328">
        <v>13</v>
      </c>
      <c r="R5328">
        <v>6</v>
      </c>
      <c r="S5328">
        <v>5</v>
      </c>
      <c r="T5328">
        <v>12</v>
      </c>
      <c r="U5328">
        <v>17</v>
      </c>
      <c r="V5328">
        <v>4</v>
      </c>
      <c r="W5328">
        <v>4</v>
      </c>
      <c r="X5328">
        <v>0</v>
      </c>
      <c r="Y5328">
        <v>0</v>
      </c>
      <c r="Z5328">
        <v>0</v>
      </c>
    </row>
    <row r="5329" spans="1:26" x14ac:dyDescent="0.2">
      <c r="A5329" t="s">
        <v>5447</v>
      </c>
      <c r="B5329" t="s">
        <v>99</v>
      </c>
      <c r="C5329">
        <v>2023</v>
      </c>
      <c r="D5329" t="s">
        <v>101</v>
      </c>
      <c r="E5329" t="s">
        <v>51</v>
      </c>
      <c r="F5329" t="s">
        <v>101</v>
      </c>
      <c r="G5329">
        <v>17250</v>
      </c>
      <c r="H5329">
        <v>13800</v>
      </c>
      <c r="I5329" s="13">
        <v>0.4</v>
      </c>
      <c r="J5329" t="s">
        <v>6207</v>
      </c>
      <c r="K5329">
        <v>2</v>
      </c>
      <c r="L5329">
        <v>2</v>
      </c>
      <c r="M5329" t="s">
        <v>58</v>
      </c>
      <c r="N5329" s="3">
        <v>0.31</v>
      </c>
      <c r="O5329" s="3">
        <v>0.69</v>
      </c>
      <c r="P5329">
        <v>13</v>
      </c>
      <c r="Q5329">
        <v>12</v>
      </c>
      <c r="R5329">
        <v>3</v>
      </c>
      <c r="S5329">
        <v>6</v>
      </c>
      <c r="T5329">
        <v>12</v>
      </c>
      <c r="U5329">
        <v>13</v>
      </c>
      <c r="V5329">
        <v>1</v>
      </c>
      <c r="W5329">
        <v>4</v>
      </c>
      <c r="X5329">
        <v>0</v>
      </c>
      <c r="Y5329">
        <v>0</v>
      </c>
      <c r="Z5329">
        <v>1</v>
      </c>
    </row>
    <row r="5330" spans="1:26" x14ac:dyDescent="0.2">
      <c r="A5330" t="s">
        <v>5448</v>
      </c>
      <c r="B5330" t="s">
        <v>61</v>
      </c>
      <c r="C5330">
        <v>2023</v>
      </c>
      <c r="D5330" t="s">
        <v>18</v>
      </c>
      <c r="E5330" t="s">
        <v>26</v>
      </c>
      <c r="F5330" t="s">
        <v>20</v>
      </c>
      <c r="G5330">
        <v>40341</v>
      </c>
      <c r="H5330">
        <v>32272.800000000003</v>
      </c>
      <c r="I5330" s="13">
        <v>0.7142857142857143</v>
      </c>
      <c r="J5330" t="s">
        <v>6207</v>
      </c>
      <c r="K5330">
        <v>1</v>
      </c>
      <c r="L5330">
        <v>1</v>
      </c>
      <c r="M5330" t="s">
        <v>58</v>
      </c>
      <c r="N5330" s="3">
        <v>0.65</v>
      </c>
      <c r="O5330" s="3">
        <v>0.35</v>
      </c>
      <c r="P5330">
        <v>17</v>
      </c>
      <c r="Q5330">
        <v>8</v>
      </c>
      <c r="R5330">
        <v>4</v>
      </c>
      <c r="S5330">
        <v>4</v>
      </c>
      <c r="T5330">
        <v>5</v>
      </c>
      <c r="U5330">
        <v>13</v>
      </c>
      <c r="V5330">
        <v>3</v>
      </c>
      <c r="W5330">
        <v>4</v>
      </c>
      <c r="X5330">
        <v>0</v>
      </c>
      <c r="Y5330">
        <v>0</v>
      </c>
      <c r="Z5330">
        <v>0</v>
      </c>
    </row>
    <row r="5331" spans="1:26" x14ac:dyDescent="0.2">
      <c r="A5331" t="s">
        <v>5449</v>
      </c>
      <c r="B5331" t="s">
        <v>84</v>
      </c>
      <c r="C5331">
        <v>2023</v>
      </c>
      <c r="D5331" t="s">
        <v>48</v>
      </c>
      <c r="E5331" t="s">
        <v>22</v>
      </c>
      <c r="F5331" t="s">
        <v>49</v>
      </c>
      <c r="G5331">
        <v>74197</v>
      </c>
      <c r="H5331">
        <v>59357.600000000006</v>
      </c>
      <c r="I5331" s="13">
        <v>0.66666666666666663</v>
      </c>
      <c r="J5331" t="s">
        <v>6208</v>
      </c>
      <c r="K5331">
        <v>1</v>
      </c>
      <c r="L5331">
        <v>0</v>
      </c>
      <c r="M5331" t="s">
        <v>0</v>
      </c>
      <c r="N5331" s="3">
        <v>0.51</v>
      </c>
      <c r="O5331" s="3">
        <v>0.49</v>
      </c>
      <c r="P5331">
        <v>12</v>
      </c>
      <c r="Q5331">
        <v>16</v>
      </c>
      <c r="R5331">
        <v>8</v>
      </c>
      <c r="S5331">
        <v>7</v>
      </c>
      <c r="T5331">
        <v>15</v>
      </c>
      <c r="U5331">
        <v>10</v>
      </c>
      <c r="V5331">
        <v>2</v>
      </c>
      <c r="W5331">
        <v>4</v>
      </c>
      <c r="X5331">
        <v>0</v>
      </c>
      <c r="Y5331">
        <v>0</v>
      </c>
      <c r="Z5331">
        <v>0</v>
      </c>
    </row>
    <row r="5332" spans="1:26" x14ac:dyDescent="0.2">
      <c r="A5332" t="s">
        <v>5450</v>
      </c>
      <c r="B5332" t="s">
        <v>97</v>
      </c>
      <c r="C5332">
        <v>2023</v>
      </c>
      <c r="D5332" t="s">
        <v>94</v>
      </c>
      <c r="E5332" t="s">
        <v>95</v>
      </c>
      <c r="F5332" t="s">
        <v>106</v>
      </c>
      <c r="G5332">
        <v>30445</v>
      </c>
      <c r="H5332">
        <v>24356</v>
      </c>
      <c r="I5332" s="13">
        <v>0.6</v>
      </c>
      <c r="J5332" t="s">
        <v>6207</v>
      </c>
      <c r="K5332">
        <v>2</v>
      </c>
      <c r="L5332">
        <v>1</v>
      </c>
      <c r="M5332" t="s">
        <v>0</v>
      </c>
      <c r="N5332" s="3">
        <v>0.5</v>
      </c>
      <c r="O5332" s="3">
        <v>0.5</v>
      </c>
      <c r="P5332">
        <v>9</v>
      </c>
      <c r="Q5332">
        <v>7</v>
      </c>
      <c r="R5332">
        <v>6</v>
      </c>
      <c r="S5332">
        <v>7</v>
      </c>
      <c r="T5332">
        <v>5</v>
      </c>
      <c r="U5332">
        <v>9</v>
      </c>
      <c r="V5332">
        <v>2</v>
      </c>
      <c r="W5332">
        <v>3</v>
      </c>
      <c r="X5332">
        <v>0</v>
      </c>
      <c r="Y5332">
        <v>0</v>
      </c>
      <c r="Z5332">
        <v>0</v>
      </c>
    </row>
    <row r="5333" spans="1:26" x14ac:dyDescent="0.2">
      <c r="A5333" t="s">
        <v>5451</v>
      </c>
      <c r="B5333" t="s">
        <v>92</v>
      </c>
      <c r="C5333">
        <v>2023</v>
      </c>
      <c r="D5333" t="s">
        <v>22</v>
      </c>
      <c r="E5333" t="s">
        <v>90</v>
      </c>
      <c r="F5333" t="s">
        <v>24</v>
      </c>
      <c r="G5333">
        <v>31750</v>
      </c>
      <c r="H5333">
        <v>25400</v>
      </c>
      <c r="I5333" s="13">
        <v>0.45454545454545453</v>
      </c>
      <c r="J5333" t="s">
        <v>6207</v>
      </c>
      <c r="K5333">
        <v>1</v>
      </c>
      <c r="L5333">
        <v>4</v>
      </c>
      <c r="M5333" t="s">
        <v>1</v>
      </c>
      <c r="N5333" s="3">
        <v>0.45</v>
      </c>
      <c r="O5333" s="3">
        <v>0.55000000000000004</v>
      </c>
      <c r="P5333">
        <v>0</v>
      </c>
      <c r="Q5333">
        <v>0</v>
      </c>
      <c r="R5333">
        <v>5</v>
      </c>
      <c r="S5333">
        <v>3</v>
      </c>
      <c r="T5333">
        <v>13</v>
      </c>
      <c r="U5333">
        <v>11</v>
      </c>
      <c r="V5333">
        <v>4</v>
      </c>
      <c r="W5333">
        <v>6</v>
      </c>
      <c r="X5333">
        <v>1</v>
      </c>
      <c r="Y5333">
        <v>0</v>
      </c>
      <c r="Z5333">
        <v>0</v>
      </c>
    </row>
    <row r="5334" spans="1:26" x14ac:dyDescent="0.2">
      <c r="A5334" t="s">
        <v>5452</v>
      </c>
      <c r="B5334" t="s">
        <v>107</v>
      </c>
      <c r="C5334">
        <v>2023</v>
      </c>
      <c r="D5334" t="s">
        <v>26</v>
      </c>
      <c r="E5334" t="s">
        <v>86</v>
      </c>
      <c r="F5334" t="s">
        <v>26</v>
      </c>
      <c r="G5334">
        <v>61276</v>
      </c>
      <c r="H5334">
        <v>49020.800000000003</v>
      </c>
      <c r="I5334" s="13">
        <v>0.8</v>
      </c>
      <c r="J5334" t="s">
        <v>6207</v>
      </c>
      <c r="K5334">
        <v>3</v>
      </c>
      <c r="L5334">
        <v>1</v>
      </c>
      <c r="M5334" t="s">
        <v>0</v>
      </c>
      <c r="N5334" s="3">
        <v>0.65</v>
      </c>
      <c r="O5334" s="3">
        <v>0.35</v>
      </c>
      <c r="P5334">
        <v>9</v>
      </c>
      <c r="Q5334">
        <v>5</v>
      </c>
      <c r="R5334">
        <v>10</v>
      </c>
      <c r="S5334">
        <v>2</v>
      </c>
      <c r="T5334">
        <v>11</v>
      </c>
      <c r="U5334">
        <v>13</v>
      </c>
      <c r="V5334">
        <v>1</v>
      </c>
      <c r="W5334">
        <v>3</v>
      </c>
      <c r="X5334">
        <v>1</v>
      </c>
      <c r="Y5334">
        <v>0</v>
      </c>
      <c r="Z5334">
        <v>1</v>
      </c>
    </row>
    <row r="5335" spans="1:26" x14ac:dyDescent="0.2">
      <c r="A5335" t="s">
        <v>5453</v>
      </c>
      <c r="B5335" t="s">
        <v>108</v>
      </c>
      <c r="C5335">
        <v>2023</v>
      </c>
      <c r="D5335" t="s">
        <v>31</v>
      </c>
      <c r="E5335" t="s">
        <v>101</v>
      </c>
      <c r="F5335" t="s">
        <v>20</v>
      </c>
      <c r="G5335">
        <v>28500</v>
      </c>
      <c r="H5335">
        <v>22800</v>
      </c>
      <c r="I5335" s="13">
        <v>0.2857142857142857</v>
      </c>
      <c r="J5335" t="s">
        <v>6207</v>
      </c>
      <c r="K5335">
        <v>0</v>
      </c>
      <c r="L5335">
        <v>3</v>
      </c>
      <c r="M5335" t="s">
        <v>1</v>
      </c>
      <c r="N5335" s="3">
        <v>0.55000000000000004</v>
      </c>
      <c r="O5335" s="3">
        <v>0.45</v>
      </c>
      <c r="P5335">
        <v>0</v>
      </c>
      <c r="Q5335">
        <v>0</v>
      </c>
      <c r="R5335">
        <v>5</v>
      </c>
      <c r="S5335">
        <v>5</v>
      </c>
      <c r="T5335">
        <v>13</v>
      </c>
      <c r="U5335">
        <v>12</v>
      </c>
      <c r="V5335">
        <v>4</v>
      </c>
      <c r="W5335">
        <v>2</v>
      </c>
      <c r="X5335">
        <v>1</v>
      </c>
      <c r="Y5335">
        <v>0</v>
      </c>
      <c r="Z5335">
        <v>1</v>
      </c>
    </row>
    <row r="5336" spans="1:26" x14ac:dyDescent="0.2">
      <c r="A5336" t="s">
        <v>5454</v>
      </c>
      <c r="B5336" t="s">
        <v>66</v>
      </c>
      <c r="C5336">
        <v>2023</v>
      </c>
      <c r="D5336" t="s">
        <v>51</v>
      </c>
      <c r="E5336" t="s">
        <v>48</v>
      </c>
      <c r="F5336" t="s">
        <v>20</v>
      </c>
      <c r="G5336">
        <v>36284</v>
      </c>
      <c r="H5336">
        <v>29027.200000000001</v>
      </c>
      <c r="I5336" s="13">
        <v>1</v>
      </c>
      <c r="J5336" t="s">
        <v>6207</v>
      </c>
      <c r="K5336">
        <v>2</v>
      </c>
      <c r="L5336">
        <v>0</v>
      </c>
      <c r="M5336" t="s">
        <v>0</v>
      </c>
      <c r="N5336" s="3">
        <v>0.56000000000000005</v>
      </c>
      <c r="O5336" s="3">
        <v>0.44</v>
      </c>
      <c r="P5336">
        <v>12</v>
      </c>
      <c r="Q5336">
        <v>10</v>
      </c>
      <c r="R5336">
        <v>5</v>
      </c>
      <c r="S5336">
        <v>6</v>
      </c>
      <c r="T5336">
        <v>9</v>
      </c>
      <c r="U5336">
        <v>8</v>
      </c>
      <c r="V5336">
        <v>1</v>
      </c>
      <c r="W5336">
        <v>3</v>
      </c>
      <c r="X5336">
        <v>0</v>
      </c>
      <c r="Y5336">
        <v>0</v>
      </c>
      <c r="Z5336">
        <v>0</v>
      </c>
    </row>
    <row r="5337" spans="1:26" x14ac:dyDescent="0.2">
      <c r="A5337" t="s">
        <v>5455</v>
      </c>
      <c r="B5337" t="s">
        <v>99</v>
      </c>
      <c r="C5337">
        <v>2023</v>
      </c>
      <c r="D5337" t="s">
        <v>40</v>
      </c>
      <c r="E5337" t="s">
        <v>64</v>
      </c>
      <c r="F5337" t="s">
        <v>49</v>
      </c>
      <c r="G5337">
        <v>53400</v>
      </c>
      <c r="H5337">
        <v>42720</v>
      </c>
      <c r="I5337" s="13">
        <v>0.66666666666666663</v>
      </c>
      <c r="J5337" t="s">
        <v>6207</v>
      </c>
      <c r="K5337">
        <v>1</v>
      </c>
      <c r="L5337">
        <v>0</v>
      </c>
      <c r="M5337" t="s">
        <v>0</v>
      </c>
      <c r="N5337" s="3">
        <v>0.59</v>
      </c>
      <c r="O5337" s="3">
        <v>0.41</v>
      </c>
      <c r="P5337">
        <v>15</v>
      </c>
      <c r="Q5337">
        <v>13</v>
      </c>
      <c r="R5337">
        <v>3</v>
      </c>
      <c r="S5337">
        <v>0</v>
      </c>
      <c r="T5337">
        <v>12</v>
      </c>
      <c r="U5337">
        <v>11</v>
      </c>
      <c r="V5337">
        <v>1</v>
      </c>
      <c r="W5337">
        <v>5</v>
      </c>
      <c r="X5337">
        <v>0</v>
      </c>
      <c r="Y5337">
        <v>0</v>
      </c>
      <c r="Z5337">
        <v>0</v>
      </c>
    </row>
    <row r="5338" spans="1:26" x14ac:dyDescent="0.2">
      <c r="A5338" t="s">
        <v>5456</v>
      </c>
      <c r="B5338" t="s">
        <v>61</v>
      </c>
      <c r="C5338">
        <v>2023</v>
      </c>
      <c r="D5338" t="s">
        <v>42</v>
      </c>
      <c r="E5338" t="s">
        <v>45</v>
      </c>
      <c r="F5338" t="s">
        <v>38</v>
      </c>
      <c r="G5338">
        <v>42918</v>
      </c>
      <c r="H5338">
        <v>34334.400000000001</v>
      </c>
      <c r="I5338" s="13">
        <v>0.42857142857142855</v>
      </c>
      <c r="J5338" t="s">
        <v>6207</v>
      </c>
      <c r="K5338">
        <v>4</v>
      </c>
      <c r="L5338">
        <v>0</v>
      </c>
      <c r="M5338" t="s">
        <v>0</v>
      </c>
      <c r="N5338" s="3">
        <v>0.6</v>
      </c>
      <c r="O5338" s="3">
        <v>0.4</v>
      </c>
      <c r="P5338">
        <v>12</v>
      </c>
      <c r="Q5338">
        <v>9</v>
      </c>
      <c r="R5338">
        <v>7</v>
      </c>
      <c r="S5338">
        <v>6</v>
      </c>
      <c r="T5338">
        <v>8</v>
      </c>
      <c r="U5338">
        <v>12</v>
      </c>
      <c r="V5338">
        <v>3</v>
      </c>
      <c r="W5338">
        <v>4</v>
      </c>
      <c r="X5338">
        <v>0</v>
      </c>
      <c r="Y5338">
        <v>0</v>
      </c>
      <c r="Z5338">
        <v>1</v>
      </c>
    </row>
    <row r="5339" spans="1:26" x14ac:dyDescent="0.2">
      <c r="A5339" t="s">
        <v>5457</v>
      </c>
      <c r="B5339" t="s">
        <v>104</v>
      </c>
      <c r="C5339">
        <v>2023</v>
      </c>
      <c r="D5339" t="s">
        <v>23</v>
      </c>
      <c r="E5339" t="s">
        <v>18</v>
      </c>
      <c r="F5339" t="s">
        <v>20</v>
      </c>
      <c r="G5339">
        <v>62500</v>
      </c>
      <c r="H5339">
        <v>50000</v>
      </c>
      <c r="I5339" s="13">
        <v>0.7142857142857143</v>
      </c>
      <c r="J5339" t="s">
        <v>6206</v>
      </c>
      <c r="K5339">
        <v>3</v>
      </c>
      <c r="L5339">
        <v>1</v>
      </c>
      <c r="M5339" t="s">
        <v>0</v>
      </c>
      <c r="N5339" s="3">
        <v>0.24</v>
      </c>
      <c r="O5339" s="3">
        <v>0.76</v>
      </c>
      <c r="P5339">
        <v>11</v>
      </c>
      <c r="Q5339">
        <v>15</v>
      </c>
      <c r="R5339">
        <v>3</v>
      </c>
      <c r="S5339">
        <v>9</v>
      </c>
      <c r="T5339">
        <v>12</v>
      </c>
      <c r="U5339">
        <v>9</v>
      </c>
      <c r="V5339">
        <v>3</v>
      </c>
      <c r="W5339">
        <v>3</v>
      </c>
      <c r="X5339">
        <v>1</v>
      </c>
      <c r="Y5339">
        <v>0</v>
      </c>
      <c r="Z5339">
        <v>2</v>
      </c>
    </row>
    <row r="5340" spans="1:26" x14ac:dyDescent="0.2">
      <c r="A5340" t="s">
        <v>5458</v>
      </c>
      <c r="B5340" t="s">
        <v>93</v>
      </c>
      <c r="C5340">
        <v>2023</v>
      </c>
      <c r="D5340" t="s">
        <v>79</v>
      </c>
      <c r="E5340" t="s">
        <v>46</v>
      </c>
      <c r="F5340" t="s">
        <v>20</v>
      </c>
      <c r="G5340">
        <v>25486</v>
      </c>
      <c r="H5340">
        <v>20388.800000000003</v>
      </c>
      <c r="I5340" s="13">
        <v>0.8</v>
      </c>
      <c r="J5340" t="s">
        <v>6206</v>
      </c>
      <c r="K5340">
        <v>0</v>
      </c>
      <c r="L5340">
        <v>1</v>
      </c>
      <c r="M5340" t="s">
        <v>1</v>
      </c>
      <c r="N5340" s="3">
        <v>0.46</v>
      </c>
      <c r="O5340" s="3">
        <v>0.54</v>
      </c>
      <c r="P5340">
        <v>12</v>
      </c>
      <c r="Q5340">
        <v>14</v>
      </c>
      <c r="R5340">
        <v>1</v>
      </c>
      <c r="S5340">
        <v>8</v>
      </c>
      <c r="T5340">
        <v>14</v>
      </c>
      <c r="U5340">
        <v>10</v>
      </c>
      <c r="V5340">
        <v>2</v>
      </c>
      <c r="W5340">
        <v>2</v>
      </c>
      <c r="X5340">
        <v>0</v>
      </c>
      <c r="Y5340">
        <v>1</v>
      </c>
      <c r="Z5340">
        <v>1</v>
      </c>
    </row>
    <row r="5341" spans="1:26" x14ac:dyDescent="0.2">
      <c r="A5341" t="s">
        <v>5459</v>
      </c>
      <c r="B5341" t="s">
        <v>97</v>
      </c>
      <c r="C5341">
        <v>2023</v>
      </c>
      <c r="D5341" t="s">
        <v>110</v>
      </c>
      <c r="E5341" t="s">
        <v>28</v>
      </c>
      <c r="F5341" t="s">
        <v>110</v>
      </c>
      <c r="G5341">
        <v>12000</v>
      </c>
      <c r="H5341">
        <v>9600</v>
      </c>
      <c r="I5341" s="13">
        <v>0.33333333333333331</v>
      </c>
      <c r="J5341" t="s">
        <v>6207</v>
      </c>
      <c r="K5341">
        <v>1</v>
      </c>
      <c r="L5341">
        <v>2</v>
      </c>
      <c r="M5341" t="s">
        <v>1</v>
      </c>
      <c r="N5341" s="3">
        <v>0.49</v>
      </c>
      <c r="O5341" s="3">
        <v>0.51</v>
      </c>
      <c r="P5341">
        <v>9</v>
      </c>
      <c r="Q5341">
        <v>17</v>
      </c>
      <c r="R5341">
        <v>6</v>
      </c>
      <c r="S5341">
        <v>6</v>
      </c>
      <c r="T5341">
        <v>14</v>
      </c>
      <c r="U5341">
        <v>6</v>
      </c>
      <c r="V5341">
        <v>4</v>
      </c>
      <c r="W5341">
        <v>2</v>
      </c>
      <c r="X5341">
        <v>0</v>
      </c>
      <c r="Y5341">
        <v>0</v>
      </c>
      <c r="Z5341">
        <v>0</v>
      </c>
    </row>
    <row r="5342" spans="1:26" x14ac:dyDescent="0.2">
      <c r="A5342" t="s">
        <v>5460</v>
      </c>
      <c r="B5342" t="s">
        <v>99</v>
      </c>
      <c r="C5342">
        <v>2023</v>
      </c>
      <c r="D5342" t="s">
        <v>18</v>
      </c>
      <c r="E5342" t="s">
        <v>110</v>
      </c>
      <c r="F5342" t="s">
        <v>20</v>
      </c>
      <c r="G5342">
        <v>40341</v>
      </c>
      <c r="H5342">
        <v>32272.800000000003</v>
      </c>
      <c r="I5342" s="13">
        <v>0.6</v>
      </c>
      <c r="J5342" t="s">
        <v>6207</v>
      </c>
      <c r="K5342">
        <v>3</v>
      </c>
      <c r="L5342">
        <v>0</v>
      </c>
      <c r="M5342" t="s">
        <v>0</v>
      </c>
      <c r="N5342" s="3">
        <v>0.67</v>
      </c>
      <c r="O5342" s="3">
        <v>0.33</v>
      </c>
      <c r="P5342">
        <v>12</v>
      </c>
      <c r="Q5342">
        <v>15</v>
      </c>
      <c r="R5342">
        <v>6</v>
      </c>
      <c r="S5342">
        <v>4</v>
      </c>
      <c r="T5342">
        <v>15</v>
      </c>
      <c r="U5342">
        <v>12</v>
      </c>
      <c r="V5342">
        <v>2</v>
      </c>
      <c r="W5342">
        <v>3</v>
      </c>
      <c r="X5342">
        <v>0</v>
      </c>
      <c r="Y5342">
        <v>0</v>
      </c>
      <c r="Z5342">
        <v>0</v>
      </c>
    </row>
    <row r="5343" spans="1:26" x14ac:dyDescent="0.2">
      <c r="A5343" t="s">
        <v>5461</v>
      </c>
      <c r="B5343" t="s">
        <v>98</v>
      </c>
      <c r="C5343">
        <v>2023</v>
      </c>
      <c r="D5343" t="s">
        <v>86</v>
      </c>
      <c r="E5343" t="s">
        <v>51</v>
      </c>
      <c r="F5343" t="s">
        <v>86</v>
      </c>
      <c r="G5343">
        <v>11364</v>
      </c>
      <c r="H5343">
        <v>9091.2000000000007</v>
      </c>
      <c r="I5343" s="13">
        <v>0.75</v>
      </c>
      <c r="J5343" t="s">
        <v>6208</v>
      </c>
      <c r="K5343">
        <v>0</v>
      </c>
      <c r="L5343">
        <v>2</v>
      </c>
      <c r="M5343" t="s">
        <v>1</v>
      </c>
      <c r="N5343" s="3">
        <v>0.43</v>
      </c>
      <c r="O5343" s="3">
        <v>0.56999999999999995</v>
      </c>
      <c r="P5343">
        <v>11</v>
      </c>
      <c r="Q5343">
        <v>21</v>
      </c>
      <c r="R5343">
        <v>6</v>
      </c>
      <c r="S5343">
        <v>2</v>
      </c>
      <c r="T5343">
        <v>18</v>
      </c>
      <c r="U5343">
        <v>11</v>
      </c>
      <c r="V5343">
        <v>1</v>
      </c>
      <c r="W5343">
        <v>3</v>
      </c>
      <c r="X5343">
        <v>0</v>
      </c>
      <c r="Y5343">
        <v>0</v>
      </c>
      <c r="Z5343">
        <v>0</v>
      </c>
    </row>
    <row r="5344" spans="1:26" x14ac:dyDescent="0.2">
      <c r="A5344" t="s">
        <v>5462</v>
      </c>
      <c r="B5344" t="s">
        <v>59</v>
      </c>
      <c r="C5344">
        <v>2023</v>
      </c>
      <c r="D5344" t="s">
        <v>48</v>
      </c>
      <c r="E5344" t="s">
        <v>94</v>
      </c>
      <c r="F5344" t="s">
        <v>49</v>
      </c>
      <c r="G5344">
        <v>74197</v>
      </c>
      <c r="H5344">
        <v>59357.600000000006</v>
      </c>
      <c r="I5344" s="13">
        <v>0.66666666666666663</v>
      </c>
      <c r="J5344" t="s">
        <v>6206</v>
      </c>
      <c r="K5344">
        <v>3</v>
      </c>
      <c r="L5344">
        <v>2</v>
      </c>
      <c r="M5344" t="s">
        <v>0</v>
      </c>
      <c r="N5344" s="3">
        <v>0.67</v>
      </c>
      <c r="O5344" s="3">
        <v>0.33</v>
      </c>
      <c r="P5344">
        <v>13</v>
      </c>
      <c r="Q5344">
        <v>16</v>
      </c>
      <c r="R5344">
        <v>11</v>
      </c>
      <c r="S5344">
        <v>3</v>
      </c>
      <c r="T5344">
        <v>13</v>
      </c>
      <c r="U5344">
        <v>11</v>
      </c>
      <c r="V5344">
        <v>4</v>
      </c>
      <c r="W5344">
        <v>4</v>
      </c>
      <c r="X5344">
        <v>0</v>
      </c>
      <c r="Y5344">
        <v>1</v>
      </c>
      <c r="Z5344">
        <v>1</v>
      </c>
    </row>
    <row r="5345" spans="1:26" x14ac:dyDescent="0.2">
      <c r="A5345" t="s">
        <v>5463</v>
      </c>
      <c r="B5345" t="s">
        <v>76</v>
      </c>
      <c r="C5345">
        <v>2023</v>
      </c>
      <c r="D5345" t="s">
        <v>45</v>
      </c>
      <c r="E5345" t="s">
        <v>22</v>
      </c>
      <c r="F5345" t="s">
        <v>26</v>
      </c>
      <c r="G5345">
        <v>39572</v>
      </c>
      <c r="H5345">
        <v>31657.600000000002</v>
      </c>
      <c r="I5345" s="13">
        <v>0.42857142857142855</v>
      </c>
      <c r="J5345" t="s">
        <v>6207</v>
      </c>
      <c r="K5345">
        <v>0</v>
      </c>
      <c r="L5345">
        <v>1</v>
      </c>
      <c r="M5345" t="s">
        <v>1</v>
      </c>
      <c r="N5345" s="3">
        <v>0.47</v>
      </c>
      <c r="O5345" s="3">
        <v>0.53</v>
      </c>
      <c r="P5345">
        <v>15</v>
      </c>
      <c r="Q5345">
        <v>11</v>
      </c>
      <c r="R5345">
        <v>7</v>
      </c>
      <c r="S5345">
        <v>0</v>
      </c>
      <c r="T5345">
        <v>10</v>
      </c>
      <c r="U5345">
        <v>14</v>
      </c>
      <c r="V5345">
        <v>3</v>
      </c>
      <c r="W5345">
        <v>4</v>
      </c>
      <c r="X5345">
        <v>0</v>
      </c>
      <c r="Y5345">
        <v>0</v>
      </c>
      <c r="Z5345">
        <v>0</v>
      </c>
    </row>
    <row r="5346" spans="1:26" x14ac:dyDescent="0.2">
      <c r="A5346" t="s">
        <v>5464</v>
      </c>
      <c r="B5346" t="s">
        <v>97</v>
      </c>
      <c r="C5346">
        <v>2023</v>
      </c>
      <c r="D5346" t="s">
        <v>101</v>
      </c>
      <c r="E5346" t="s">
        <v>79</v>
      </c>
      <c r="F5346" t="s">
        <v>101</v>
      </c>
      <c r="G5346">
        <v>17250</v>
      </c>
      <c r="H5346">
        <v>13800</v>
      </c>
      <c r="I5346" s="13">
        <v>0</v>
      </c>
      <c r="J5346" t="s">
        <v>6207</v>
      </c>
      <c r="K5346">
        <v>1</v>
      </c>
      <c r="L5346">
        <v>1</v>
      </c>
      <c r="M5346" t="s">
        <v>58</v>
      </c>
      <c r="N5346" s="3">
        <v>0.6</v>
      </c>
      <c r="O5346" s="3">
        <v>0.4</v>
      </c>
      <c r="P5346">
        <v>17</v>
      </c>
      <c r="Q5346">
        <v>11</v>
      </c>
      <c r="R5346">
        <v>8</v>
      </c>
      <c r="S5346">
        <v>6</v>
      </c>
      <c r="T5346">
        <v>9</v>
      </c>
      <c r="U5346">
        <v>15</v>
      </c>
      <c r="V5346">
        <v>0</v>
      </c>
      <c r="W5346">
        <v>0</v>
      </c>
      <c r="X5346">
        <v>0</v>
      </c>
      <c r="Y5346">
        <v>0</v>
      </c>
      <c r="Z5346">
        <v>0</v>
      </c>
    </row>
    <row r="5347" spans="1:26" x14ac:dyDescent="0.2">
      <c r="A5347" t="s">
        <v>5465</v>
      </c>
      <c r="B5347" t="s">
        <v>81</v>
      </c>
      <c r="C5347">
        <v>2023</v>
      </c>
      <c r="D5347" t="s">
        <v>46</v>
      </c>
      <c r="E5347" t="s">
        <v>31</v>
      </c>
      <c r="F5347" t="s">
        <v>20</v>
      </c>
      <c r="G5347">
        <v>60704</v>
      </c>
      <c r="H5347">
        <v>48563.200000000004</v>
      </c>
      <c r="I5347" s="13">
        <v>0.75</v>
      </c>
      <c r="J5347" t="s">
        <v>6207</v>
      </c>
      <c r="K5347">
        <v>2</v>
      </c>
      <c r="L5347">
        <v>2</v>
      </c>
      <c r="M5347" t="s">
        <v>58</v>
      </c>
      <c r="N5347" s="3">
        <v>0.71</v>
      </c>
      <c r="O5347" s="3">
        <v>0.28999999999999998</v>
      </c>
      <c r="P5347">
        <v>5</v>
      </c>
      <c r="Q5347">
        <v>10</v>
      </c>
      <c r="R5347">
        <v>8</v>
      </c>
      <c r="S5347">
        <v>3</v>
      </c>
      <c r="T5347">
        <v>6</v>
      </c>
      <c r="U5347">
        <v>5</v>
      </c>
      <c r="V5347">
        <v>1</v>
      </c>
      <c r="W5347">
        <v>6</v>
      </c>
      <c r="X5347">
        <v>0</v>
      </c>
      <c r="Y5347">
        <v>1</v>
      </c>
      <c r="Z5347">
        <v>1</v>
      </c>
    </row>
    <row r="5348" spans="1:26" x14ac:dyDescent="0.2">
      <c r="A5348" t="s">
        <v>5466</v>
      </c>
      <c r="B5348" t="s">
        <v>61</v>
      </c>
      <c r="C5348">
        <v>2023</v>
      </c>
      <c r="D5348" t="s">
        <v>90</v>
      </c>
      <c r="E5348" t="s">
        <v>23</v>
      </c>
      <c r="F5348" t="s">
        <v>91</v>
      </c>
      <c r="G5348">
        <v>31876</v>
      </c>
      <c r="H5348">
        <v>25500.800000000003</v>
      </c>
      <c r="I5348" s="13">
        <v>0.75</v>
      </c>
      <c r="J5348" t="s">
        <v>6207</v>
      </c>
      <c r="K5348">
        <v>1</v>
      </c>
      <c r="L5348">
        <v>3</v>
      </c>
      <c r="M5348" t="s">
        <v>1</v>
      </c>
      <c r="N5348" s="3">
        <v>0.78</v>
      </c>
      <c r="O5348" s="3">
        <v>0.22</v>
      </c>
      <c r="P5348">
        <v>10</v>
      </c>
      <c r="Q5348">
        <v>11</v>
      </c>
      <c r="R5348">
        <v>17</v>
      </c>
      <c r="S5348">
        <v>4</v>
      </c>
      <c r="T5348">
        <v>10</v>
      </c>
      <c r="U5348">
        <v>9</v>
      </c>
      <c r="V5348">
        <v>1</v>
      </c>
      <c r="W5348">
        <v>3</v>
      </c>
      <c r="X5348">
        <v>0</v>
      </c>
      <c r="Y5348">
        <v>0</v>
      </c>
      <c r="Z5348">
        <v>0</v>
      </c>
    </row>
    <row r="5349" spans="1:26" x14ac:dyDescent="0.2">
      <c r="A5349" t="s">
        <v>5467</v>
      </c>
      <c r="B5349" t="s">
        <v>102</v>
      </c>
      <c r="C5349">
        <v>2023</v>
      </c>
      <c r="D5349" t="s">
        <v>95</v>
      </c>
      <c r="E5349" t="s">
        <v>40</v>
      </c>
      <c r="F5349" t="s">
        <v>57</v>
      </c>
      <c r="G5349">
        <v>32050</v>
      </c>
      <c r="H5349">
        <v>25640</v>
      </c>
      <c r="I5349" s="13">
        <v>0.75</v>
      </c>
      <c r="J5349" t="s">
        <v>6209</v>
      </c>
      <c r="K5349">
        <v>1</v>
      </c>
      <c r="L5349">
        <v>2</v>
      </c>
      <c r="M5349" t="s">
        <v>1</v>
      </c>
      <c r="N5349" s="3">
        <v>0.2</v>
      </c>
      <c r="O5349" s="3">
        <v>0.8</v>
      </c>
      <c r="P5349">
        <v>5</v>
      </c>
      <c r="Q5349">
        <v>8</v>
      </c>
      <c r="R5349">
        <v>1</v>
      </c>
      <c r="S5349">
        <v>12</v>
      </c>
      <c r="T5349">
        <v>11</v>
      </c>
      <c r="U5349">
        <v>2</v>
      </c>
      <c r="V5349">
        <v>4</v>
      </c>
      <c r="W5349">
        <v>0</v>
      </c>
      <c r="X5349">
        <v>0</v>
      </c>
      <c r="Y5349">
        <v>0</v>
      </c>
      <c r="Z5349">
        <v>1</v>
      </c>
    </row>
    <row r="5350" spans="1:26" x14ac:dyDescent="0.2">
      <c r="A5350" t="s">
        <v>5468</v>
      </c>
      <c r="B5350" t="s">
        <v>103</v>
      </c>
      <c r="C5350">
        <v>2023</v>
      </c>
      <c r="D5350" t="s">
        <v>28</v>
      </c>
      <c r="E5350" t="s">
        <v>42</v>
      </c>
      <c r="F5350" t="s">
        <v>28</v>
      </c>
      <c r="G5350">
        <v>21944</v>
      </c>
      <c r="H5350">
        <v>17555.2</v>
      </c>
      <c r="I5350" s="13">
        <v>1</v>
      </c>
      <c r="J5350" t="s">
        <v>6207</v>
      </c>
      <c r="K5350">
        <v>1</v>
      </c>
      <c r="L5350">
        <v>3</v>
      </c>
      <c r="M5350" t="s">
        <v>1</v>
      </c>
      <c r="N5350" s="3">
        <v>0.56999999999999995</v>
      </c>
      <c r="O5350" s="3">
        <v>0.43</v>
      </c>
      <c r="P5350">
        <v>12</v>
      </c>
      <c r="Q5350">
        <v>17</v>
      </c>
      <c r="R5350">
        <v>4</v>
      </c>
      <c r="S5350">
        <v>6</v>
      </c>
      <c r="T5350">
        <v>12</v>
      </c>
      <c r="U5350">
        <v>11</v>
      </c>
      <c r="V5350">
        <v>2</v>
      </c>
      <c r="W5350">
        <v>0</v>
      </c>
      <c r="X5350">
        <v>0</v>
      </c>
      <c r="Y5350">
        <v>0</v>
      </c>
      <c r="Z5350">
        <v>0</v>
      </c>
    </row>
    <row r="5351" spans="1:26" x14ac:dyDescent="0.2">
      <c r="A5351" t="s">
        <v>5469</v>
      </c>
      <c r="B5351" t="s">
        <v>104</v>
      </c>
      <c r="C5351">
        <v>2023</v>
      </c>
      <c r="D5351" t="s">
        <v>64</v>
      </c>
      <c r="E5351" t="s">
        <v>26</v>
      </c>
      <c r="F5351" t="s">
        <v>64</v>
      </c>
      <c r="G5351">
        <v>52264</v>
      </c>
      <c r="H5351">
        <v>41811.200000000004</v>
      </c>
      <c r="I5351" s="13">
        <v>0.25</v>
      </c>
      <c r="J5351" t="s">
        <v>6206</v>
      </c>
      <c r="K5351">
        <v>1</v>
      </c>
      <c r="L5351">
        <v>2</v>
      </c>
      <c r="M5351" t="s">
        <v>1</v>
      </c>
      <c r="N5351" s="3">
        <v>0.6</v>
      </c>
      <c r="O5351" s="3">
        <v>0.4</v>
      </c>
      <c r="P5351">
        <v>11</v>
      </c>
      <c r="Q5351">
        <v>16</v>
      </c>
      <c r="R5351">
        <v>5</v>
      </c>
      <c r="S5351">
        <v>9</v>
      </c>
      <c r="T5351">
        <v>16</v>
      </c>
      <c r="U5351">
        <v>10</v>
      </c>
      <c r="V5351">
        <v>1</v>
      </c>
      <c r="W5351">
        <v>2</v>
      </c>
      <c r="X5351">
        <v>0</v>
      </c>
      <c r="Y5351">
        <v>1</v>
      </c>
      <c r="Z5351">
        <v>0</v>
      </c>
    </row>
    <row r="5352" spans="1:26" x14ac:dyDescent="0.2">
      <c r="A5352" t="s">
        <v>5470</v>
      </c>
      <c r="B5352" t="s">
        <v>81</v>
      </c>
      <c r="C5352">
        <v>2023</v>
      </c>
      <c r="D5352" t="s">
        <v>110</v>
      </c>
      <c r="E5352" t="s">
        <v>23</v>
      </c>
      <c r="F5352" t="s">
        <v>110</v>
      </c>
      <c r="G5352">
        <v>12000</v>
      </c>
      <c r="H5352">
        <v>9600</v>
      </c>
      <c r="I5352" s="13">
        <v>1</v>
      </c>
      <c r="J5352" t="s">
        <v>6207</v>
      </c>
      <c r="K5352">
        <v>1</v>
      </c>
      <c r="L5352">
        <v>2</v>
      </c>
      <c r="M5352" t="s">
        <v>1</v>
      </c>
      <c r="N5352" s="3">
        <v>0.39</v>
      </c>
      <c r="O5352" s="3">
        <v>0.61</v>
      </c>
      <c r="P5352">
        <v>19</v>
      </c>
      <c r="Q5352">
        <v>9</v>
      </c>
      <c r="R5352">
        <v>9</v>
      </c>
      <c r="S5352">
        <v>6</v>
      </c>
      <c r="T5352">
        <v>8</v>
      </c>
      <c r="U5352">
        <v>13</v>
      </c>
      <c r="V5352">
        <v>1</v>
      </c>
      <c r="W5352">
        <v>1</v>
      </c>
      <c r="X5352">
        <v>0</v>
      </c>
      <c r="Y5352">
        <v>0</v>
      </c>
      <c r="Z5352">
        <v>0</v>
      </c>
    </row>
    <row r="5353" spans="1:26" x14ac:dyDescent="0.2">
      <c r="A5353" t="s">
        <v>5471</v>
      </c>
      <c r="B5353" t="s">
        <v>92</v>
      </c>
      <c r="C5353">
        <v>2023</v>
      </c>
      <c r="D5353" t="s">
        <v>95</v>
      </c>
      <c r="E5353" t="s">
        <v>45</v>
      </c>
      <c r="F5353" t="s">
        <v>57</v>
      </c>
      <c r="G5353">
        <v>32050</v>
      </c>
      <c r="H5353">
        <v>25640</v>
      </c>
      <c r="I5353" s="13">
        <v>0.66666666666666663</v>
      </c>
      <c r="J5353" t="s">
        <v>6207</v>
      </c>
      <c r="K5353">
        <v>2</v>
      </c>
      <c r="L5353">
        <v>2</v>
      </c>
      <c r="M5353" t="s">
        <v>58</v>
      </c>
      <c r="N5353" s="3">
        <v>0.45</v>
      </c>
      <c r="O5353" s="3">
        <v>0.55000000000000004</v>
      </c>
      <c r="P5353">
        <v>15</v>
      </c>
      <c r="Q5353">
        <v>12</v>
      </c>
      <c r="R5353">
        <v>4</v>
      </c>
      <c r="S5353">
        <v>6</v>
      </c>
      <c r="T5353">
        <v>11</v>
      </c>
      <c r="U5353">
        <v>13</v>
      </c>
      <c r="V5353">
        <v>1</v>
      </c>
      <c r="W5353">
        <v>2</v>
      </c>
      <c r="X5353">
        <v>0</v>
      </c>
      <c r="Y5353">
        <v>0</v>
      </c>
      <c r="Z5353">
        <v>0</v>
      </c>
    </row>
    <row r="5354" spans="1:26" x14ac:dyDescent="0.2">
      <c r="A5354" t="s">
        <v>5472</v>
      </c>
      <c r="B5354" t="s">
        <v>66</v>
      </c>
      <c r="C5354">
        <v>2023</v>
      </c>
      <c r="D5354" t="s">
        <v>40</v>
      </c>
      <c r="E5354" t="s">
        <v>31</v>
      </c>
      <c r="F5354" t="s">
        <v>49</v>
      </c>
      <c r="G5354">
        <v>53400</v>
      </c>
      <c r="H5354">
        <v>42720</v>
      </c>
      <c r="I5354" s="13">
        <v>1</v>
      </c>
      <c r="J5354" t="s">
        <v>6207</v>
      </c>
      <c r="K5354">
        <v>5</v>
      </c>
      <c r="L5354">
        <v>1</v>
      </c>
      <c r="M5354" t="s">
        <v>0</v>
      </c>
      <c r="N5354" s="3">
        <v>0.68</v>
      </c>
      <c r="O5354" s="3">
        <v>0.32</v>
      </c>
      <c r="P5354">
        <v>10</v>
      </c>
      <c r="Q5354">
        <v>14</v>
      </c>
      <c r="R5354">
        <v>4</v>
      </c>
      <c r="S5354">
        <v>5</v>
      </c>
      <c r="T5354">
        <v>12</v>
      </c>
      <c r="U5354">
        <v>12</v>
      </c>
      <c r="V5354">
        <v>2</v>
      </c>
      <c r="W5354">
        <v>4</v>
      </c>
      <c r="X5354">
        <v>0</v>
      </c>
      <c r="Y5354">
        <v>0</v>
      </c>
      <c r="Z5354">
        <v>1</v>
      </c>
    </row>
    <row r="5355" spans="1:26" x14ac:dyDescent="0.2">
      <c r="A5355" t="s">
        <v>5473</v>
      </c>
      <c r="B5355" t="s">
        <v>98</v>
      </c>
      <c r="C5355">
        <v>2023</v>
      </c>
      <c r="D5355" t="s">
        <v>18</v>
      </c>
      <c r="E5355" t="s">
        <v>94</v>
      </c>
      <c r="F5355" t="s">
        <v>20</v>
      </c>
      <c r="G5355">
        <v>40341</v>
      </c>
      <c r="H5355">
        <v>32272.800000000003</v>
      </c>
      <c r="I5355" s="13">
        <v>0.5714285714285714</v>
      </c>
      <c r="J5355" t="s">
        <v>6208</v>
      </c>
      <c r="K5355">
        <v>0</v>
      </c>
      <c r="L5355">
        <v>1</v>
      </c>
      <c r="M5355" t="s">
        <v>1</v>
      </c>
      <c r="N5355" s="3">
        <v>0.76</v>
      </c>
      <c r="O5355" s="3">
        <v>0.24</v>
      </c>
      <c r="P5355">
        <v>12</v>
      </c>
      <c r="Q5355">
        <v>14</v>
      </c>
      <c r="R5355">
        <v>7</v>
      </c>
      <c r="S5355">
        <v>0</v>
      </c>
      <c r="T5355">
        <v>10</v>
      </c>
      <c r="U5355">
        <v>9</v>
      </c>
      <c r="V5355">
        <v>3</v>
      </c>
      <c r="W5355">
        <v>4</v>
      </c>
      <c r="X5355">
        <v>0</v>
      </c>
      <c r="Y5355">
        <v>0</v>
      </c>
      <c r="Z5355">
        <v>0</v>
      </c>
    </row>
    <row r="5356" spans="1:26" x14ac:dyDescent="0.2">
      <c r="A5356" t="s">
        <v>5474</v>
      </c>
      <c r="B5356" t="s">
        <v>100</v>
      </c>
      <c r="C5356">
        <v>2023</v>
      </c>
      <c r="D5356" t="s">
        <v>28</v>
      </c>
      <c r="E5356" t="s">
        <v>51</v>
      </c>
      <c r="F5356" t="s">
        <v>28</v>
      </c>
      <c r="G5356">
        <v>21944</v>
      </c>
      <c r="H5356">
        <v>17555.2</v>
      </c>
      <c r="I5356" s="13">
        <v>0.8571428571428571</v>
      </c>
      <c r="J5356" t="s">
        <v>6207</v>
      </c>
      <c r="K5356">
        <v>2</v>
      </c>
      <c r="L5356">
        <v>5</v>
      </c>
      <c r="M5356" t="s">
        <v>1</v>
      </c>
      <c r="N5356" s="3">
        <v>0.46</v>
      </c>
      <c r="O5356" s="3">
        <v>0.54</v>
      </c>
      <c r="P5356">
        <v>8</v>
      </c>
      <c r="Q5356">
        <v>17</v>
      </c>
      <c r="R5356">
        <v>7</v>
      </c>
      <c r="S5356">
        <v>4</v>
      </c>
      <c r="T5356">
        <v>15</v>
      </c>
      <c r="U5356">
        <v>9</v>
      </c>
      <c r="V5356">
        <v>4</v>
      </c>
      <c r="W5356">
        <v>3</v>
      </c>
      <c r="X5356">
        <v>0</v>
      </c>
      <c r="Y5356">
        <v>0</v>
      </c>
      <c r="Z5356">
        <v>0</v>
      </c>
    </row>
    <row r="5357" spans="1:26" x14ac:dyDescent="0.2">
      <c r="A5357" t="s">
        <v>5475</v>
      </c>
      <c r="B5357" t="s">
        <v>77</v>
      </c>
      <c r="C5357">
        <v>2023</v>
      </c>
      <c r="D5357" t="s">
        <v>101</v>
      </c>
      <c r="E5357" t="s">
        <v>86</v>
      </c>
      <c r="F5357" t="s">
        <v>101</v>
      </c>
      <c r="G5357">
        <v>17250</v>
      </c>
      <c r="H5357">
        <v>13800</v>
      </c>
      <c r="I5357" s="13">
        <v>0.5</v>
      </c>
      <c r="J5357" t="s">
        <v>6207</v>
      </c>
      <c r="K5357">
        <v>2</v>
      </c>
      <c r="L5357">
        <v>2</v>
      </c>
      <c r="M5357" t="s">
        <v>58</v>
      </c>
      <c r="N5357" s="3">
        <v>0.61</v>
      </c>
      <c r="O5357" s="3">
        <v>0.39</v>
      </c>
      <c r="P5357">
        <v>14</v>
      </c>
      <c r="Q5357">
        <v>8</v>
      </c>
      <c r="R5357">
        <v>5</v>
      </c>
      <c r="S5357">
        <v>2</v>
      </c>
      <c r="T5357">
        <v>6</v>
      </c>
      <c r="U5357">
        <v>13</v>
      </c>
      <c r="V5357">
        <v>1</v>
      </c>
      <c r="W5357">
        <v>3</v>
      </c>
      <c r="X5357">
        <v>0</v>
      </c>
      <c r="Y5357">
        <v>0</v>
      </c>
      <c r="Z5357">
        <v>0</v>
      </c>
    </row>
    <row r="5358" spans="1:26" x14ac:dyDescent="0.2">
      <c r="A5358" t="s">
        <v>5476</v>
      </c>
      <c r="B5358" t="s">
        <v>59</v>
      </c>
      <c r="C5358">
        <v>2023</v>
      </c>
      <c r="D5358" t="s">
        <v>90</v>
      </c>
      <c r="E5358" t="s">
        <v>64</v>
      </c>
      <c r="F5358" t="s">
        <v>91</v>
      </c>
      <c r="G5358">
        <v>31876</v>
      </c>
      <c r="H5358">
        <v>25500.800000000003</v>
      </c>
      <c r="I5358" s="13">
        <v>0.375</v>
      </c>
      <c r="J5358" t="s">
        <v>6206</v>
      </c>
      <c r="K5358">
        <v>3</v>
      </c>
      <c r="L5358">
        <v>1</v>
      </c>
      <c r="M5358" t="s">
        <v>0</v>
      </c>
      <c r="N5358" s="3">
        <v>0.56000000000000005</v>
      </c>
      <c r="O5358" s="3">
        <v>0.44</v>
      </c>
      <c r="P5358">
        <v>17</v>
      </c>
      <c r="Q5358">
        <v>19</v>
      </c>
      <c r="R5358">
        <v>5</v>
      </c>
      <c r="S5358">
        <v>3</v>
      </c>
      <c r="T5358">
        <v>14</v>
      </c>
      <c r="U5358">
        <v>17</v>
      </c>
      <c r="V5358">
        <v>4</v>
      </c>
      <c r="W5358">
        <v>4</v>
      </c>
      <c r="X5358">
        <v>0</v>
      </c>
      <c r="Y5358">
        <v>0</v>
      </c>
      <c r="Z5358">
        <v>0</v>
      </c>
    </row>
    <row r="5359" spans="1:26" x14ac:dyDescent="0.2">
      <c r="A5359" t="s">
        <v>5477</v>
      </c>
      <c r="B5359" t="s">
        <v>84</v>
      </c>
      <c r="C5359">
        <v>2023</v>
      </c>
      <c r="D5359" t="s">
        <v>26</v>
      </c>
      <c r="E5359" t="s">
        <v>42</v>
      </c>
      <c r="F5359" t="s">
        <v>26</v>
      </c>
      <c r="G5359">
        <v>61276</v>
      </c>
      <c r="H5359">
        <v>49020.800000000003</v>
      </c>
      <c r="I5359" s="13">
        <v>1</v>
      </c>
      <c r="J5359" t="s">
        <v>6208</v>
      </c>
      <c r="K5359">
        <v>3</v>
      </c>
      <c r="L5359">
        <v>0</v>
      </c>
      <c r="M5359" t="s">
        <v>0</v>
      </c>
      <c r="N5359" s="3">
        <v>0.64</v>
      </c>
      <c r="O5359" s="3">
        <v>0.36</v>
      </c>
      <c r="P5359">
        <v>8</v>
      </c>
      <c r="Q5359">
        <v>17</v>
      </c>
      <c r="R5359">
        <v>7</v>
      </c>
      <c r="S5359">
        <v>3</v>
      </c>
      <c r="T5359">
        <v>12</v>
      </c>
      <c r="U5359">
        <v>7</v>
      </c>
      <c r="V5359">
        <v>0</v>
      </c>
      <c r="W5359">
        <v>1</v>
      </c>
      <c r="X5359">
        <v>0</v>
      </c>
      <c r="Y5359">
        <v>0</v>
      </c>
      <c r="Z5359">
        <v>0</v>
      </c>
    </row>
    <row r="5360" spans="1:26" x14ac:dyDescent="0.2">
      <c r="A5360" t="s">
        <v>5478</v>
      </c>
      <c r="B5360" t="s">
        <v>99</v>
      </c>
      <c r="C5360">
        <v>2023</v>
      </c>
      <c r="D5360" t="s">
        <v>79</v>
      </c>
      <c r="E5360" t="s">
        <v>22</v>
      </c>
      <c r="F5360" t="s">
        <v>20</v>
      </c>
      <c r="G5360">
        <v>25486</v>
      </c>
      <c r="H5360">
        <v>20388.800000000003</v>
      </c>
      <c r="I5360" s="13">
        <v>0.75</v>
      </c>
      <c r="J5360" t="s">
        <v>6207</v>
      </c>
      <c r="K5360">
        <v>3</v>
      </c>
      <c r="L5360">
        <v>2</v>
      </c>
      <c r="M5360" t="s">
        <v>0</v>
      </c>
      <c r="N5360" s="3">
        <v>0.43</v>
      </c>
      <c r="O5360" s="3">
        <v>0.56999999999999995</v>
      </c>
      <c r="P5360">
        <v>14</v>
      </c>
      <c r="Q5360">
        <v>11</v>
      </c>
      <c r="R5360">
        <v>4</v>
      </c>
      <c r="S5360">
        <v>2</v>
      </c>
      <c r="T5360">
        <v>12</v>
      </c>
      <c r="U5360">
        <v>12</v>
      </c>
      <c r="V5360">
        <v>1</v>
      </c>
      <c r="W5360">
        <v>3</v>
      </c>
      <c r="X5360">
        <v>0</v>
      </c>
      <c r="Y5360">
        <v>0</v>
      </c>
      <c r="Z5360">
        <v>0</v>
      </c>
    </row>
    <row r="5361" spans="1:26" x14ac:dyDescent="0.2">
      <c r="A5361" t="s">
        <v>5479</v>
      </c>
      <c r="B5361" t="s">
        <v>61</v>
      </c>
      <c r="C5361">
        <v>2023</v>
      </c>
      <c r="D5361" t="s">
        <v>46</v>
      </c>
      <c r="E5361" t="s">
        <v>48</v>
      </c>
      <c r="F5361" t="s">
        <v>20</v>
      </c>
      <c r="G5361">
        <v>60704</v>
      </c>
      <c r="H5361">
        <v>48563.200000000004</v>
      </c>
      <c r="I5361" s="13">
        <v>0.8</v>
      </c>
      <c r="J5361" t="s">
        <v>6207</v>
      </c>
      <c r="K5361">
        <v>3</v>
      </c>
      <c r="L5361">
        <v>1</v>
      </c>
      <c r="M5361" t="s">
        <v>0</v>
      </c>
      <c r="N5361" s="3">
        <v>0.55000000000000004</v>
      </c>
      <c r="O5361" s="3">
        <v>0.45</v>
      </c>
      <c r="P5361">
        <v>8</v>
      </c>
      <c r="Q5361">
        <v>10</v>
      </c>
      <c r="R5361">
        <v>12</v>
      </c>
      <c r="S5361">
        <v>3</v>
      </c>
      <c r="T5361">
        <v>8</v>
      </c>
      <c r="U5361">
        <v>7</v>
      </c>
      <c r="V5361">
        <v>2</v>
      </c>
      <c r="W5361">
        <v>3</v>
      </c>
      <c r="X5361">
        <v>0</v>
      </c>
      <c r="Y5361">
        <v>0</v>
      </c>
      <c r="Z5361">
        <v>0</v>
      </c>
    </row>
    <row r="5362" spans="1:26" x14ac:dyDescent="0.2">
      <c r="A5362" t="s">
        <v>5480</v>
      </c>
      <c r="B5362" t="s">
        <v>66</v>
      </c>
      <c r="C5362">
        <v>2023</v>
      </c>
      <c r="D5362" t="s">
        <v>22</v>
      </c>
      <c r="E5362" t="s">
        <v>26</v>
      </c>
      <c r="F5362" t="s">
        <v>24</v>
      </c>
      <c r="G5362">
        <v>31750</v>
      </c>
      <c r="H5362">
        <v>25400</v>
      </c>
      <c r="I5362" s="13">
        <v>0.75</v>
      </c>
      <c r="J5362" t="s">
        <v>6207</v>
      </c>
      <c r="K5362">
        <v>1</v>
      </c>
      <c r="L5362">
        <v>3</v>
      </c>
      <c r="M5362" t="s">
        <v>1</v>
      </c>
      <c r="N5362" s="3">
        <v>0.34</v>
      </c>
      <c r="O5362" s="3">
        <v>0.66</v>
      </c>
      <c r="P5362">
        <v>4</v>
      </c>
      <c r="Q5362">
        <v>11</v>
      </c>
      <c r="R5362">
        <v>4</v>
      </c>
      <c r="S5362">
        <v>4</v>
      </c>
      <c r="T5362">
        <v>10</v>
      </c>
      <c r="U5362">
        <v>4</v>
      </c>
      <c r="V5362">
        <v>1</v>
      </c>
      <c r="W5362">
        <v>3</v>
      </c>
      <c r="X5362">
        <v>0</v>
      </c>
      <c r="Y5362">
        <v>0</v>
      </c>
      <c r="Z5362">
        <v>0</v>
      </c>
    </row>
    <row r="5363" spans="1:26" x14ac:dyDescent="0.2">
      <c r="A5363" t="s">
        <v>5481</v>
      </c>
      <c r="B5363" t="s">
        <v>92</v>
      </c>
      <c r="C5363">
        <v>2023</v>
      </c>
      <c r="D5363" t="s">
        <v>23</v>
      </c>
      <c r="E5363" t="s">
        <v>40</v>
      </c>
      <c r="F5363" t="s">
        <v>20</v>
      </c>
      <c r="G5363">
        <v>62500</v>
      </c>
      <c r="H5363">
        <v>50000</v>
      </c>
      <c r="I5363" s="13">
        <v>1</v>
      </c>
      <c r="J5363" t="s">
        <v>6207</v>
      </c>
      <c r="K5363">
        <v>1</v>
      </c>
      <c r="L5363">
        <v>3</v>
      </c>
      <c r="M5363" t="s">
        <v>1</v>
      </c>
      <c r="N5363" s="3">
        <v>0.32</v>
      </c>
      <c r="O5363" s="3">
        <v>0.68</v>
      </c>
      <c r="P5363">
        <v>11</v>
      </c>
      <c r="Q5363">
        <v>8</v>
      </c>
      <c r="R5363">
        <v>4</v>
      </c>
      <c r="S5363">
        <v>11</v>
      </c>
      <c r="T5363">
        <v>7</v>
      </c>
      <c r="U5363">
        <v>11</v>
      </c>
      <c r="V5363">
        <v>3</v>
      </c>
      <c r="W5363">
        <v>2</v>
      </c>
      <c r="X5363">
        <v>0</v>
      </c>
      <c r="Y5363">
        <v>0</v>
      </c>
      <c r="Z5363">
        <v>0</v>
      </c>
    </row>
    <row r="5364" spans="1:26" x14ac:dyDescent="0.2">
      <c r="A5364" t="s">
        <v>5482</v>
      </c>
      <c r="B5364" t="s">
        <v>97</v>
      </c>
      <c r="C5364">
        <v>2023</v>
      </c>
      <c r="D5364" t="s">
        <v>51</v>
      </c>
      <c r="E5364" t="s">
        <v>95</v>
      </c>
      <c r="F5364" t="s">
        <v>20</v>
      </c>
      <c r="G5364">
        <v>36284</v>
      </c>
      <c r="H5364">
        <v>29027.200000000001</v>
      </c>
      <c r="I5364" s="13">
        <v>0.38461538461538464</v>
      </c>
      <c r="J5364" t="s">
        <v>6207</v>
      </c>
      <c r="K5364">
        <v>2</v>
      </c>
      <c r="L5364">
        <v>1</v>
      </c>
      <c r="M5364" t="s">
        <v>0</v>
      </c>
      <c r="N5364" s="3">
        <v>0.7</v>
      </c>
      <c r="O5364" s="3">
        <v>0.3</v>
      </c>
      <c r="P5364">
        <v>17</v>
      </c>
      <c r="Q5364">
        <v>15</v>
      </c>
      <c r="R5364">
        <v>15</v>
      </c>
      <c r="S5364">
        <v>2</v>
      </c>
      <c r="T5364">
        <v>13</v>
      </c>
      <c r="U5364">
        <v>14</v>
      </c>
      <c r="V5364">
        <v>6</v>
      </c>
      <c r="W5364">
        <v>6</v>
      </c>
      <c r="X5364">
        <v>0</v>
      </c>
      <c r="Y5364">
        <v>1</v>
      </c>
      <c r="Z5364">
        <v>0</v>
      </c>
    </row>
    <row r="5365" spans="1:26" x14ac:dyDescent="0.2">
      <c r="A5365" t="s">
        <v>5483</v>
      </c>
      <c r="B5365" t="s">
        <v>102</v>
      </c>
      <c r="C5365">
        <v>2023</v>
      </c>
      <c r="D5365" t="s">
        <v>48</v>
      </c>
      <c r="E5365" t="s">
        <v>90</v>
      </c>
      <c r="F5365" t="s">
        <v>49</v>
      </c>
      <c r="G5365">
        <v>74197</v>
      </c>
      <c r="H5365">
        <v>59357.600000000006</v>
      </c>
      <c r="I5365" s="13">
        <v>1</v>
      </c>
      <c r="J5365" t="s">
        <v>6209</v>
      </c>
      <c r="K5365">
        <v>1</v>
      </c>
      <c r="L5365">
        <v>3</v>
      </c>
      <c r="M5365" t="s">
        <v>1</v>
      </c>
      <c r="N5365" s="3">
        <v>0.44</v>
      </c>
      <c r="O5365" s="3">
        <v>0.56000000000000005</v>
      </c>
      <c r="P5365">
        <v>10</v>
      </c>
      <c r="Q5365">
        <v>12</v>
      </c>
      <c r="R5365">
        <v>8</v>
      </c>
      <c r="S5365">
        <v>1</v>
      </c>
      <c r="T5365">
        <v>8</v>
      </c>
      <c r="U5365">
        <v>9</v>
      </c>
      <c r="V5365">
        <v>2</v>
      </c>
      <c r="W5365">
        <v>2</v>
      </c>
      <c r="X5365">
        <v>0</v>
      </c>
      <c r="Y5365">
        <v>0</v>
      </c>
      <c r="Z5365">
        <v>0</v>
      </c>
    </row>
    <row r="5366" spans="1:26" x14ac:dyDescent="0.2">
      <c r="A5366" t="s">
        <v>5484</v>
      </c>
      <c r="B5366" t="s">
        <v>103</v>
      </c>
      <c r="C5366">
        <v>2023</v>
      </c>
      <c r="D5366" t="s">
        <v>31</v>
      </c>
      <c r="E5366" t="s">
        <v>110</v>
      </c>
      <c r="F5366" t="s">
        <v>20</v>
      </c>
      <c r="G5366">
        <v>28500</v>
      </c>
      <c r="H5366">
        <v>22800</v>
      </c>
      <c r="I5366" s="13">
        <v>1</v>
      </c>
      <c r="J5366" t="s">
        <v>6207</v>
      </c>
      <c r="K5366">
        <v>1</v>
      </c>
      <c r="L5366">
        <v>0</v>
      </c>
      <c r="M5366" t="s">
        <v>0</v>
      </c>
      <c r="N5366" s="3">
        <v>0.78</v>
      </c>
      <c r="O5366" s="3">
        <v>0.22</v>
      </c>
      <c r="P5366">
        <v>15</v>
      </c>
      <c r="Q5366">
        <v>6</v>
      </c>
      <c r="R5366">
        <v>6</v>
      </c>
      <c r="S5366">
        <v>2</v>
      </c>
      <c r="T5366">
        <v>6</v>
      </c>
      <c r="U5366">
        <v>14</v>
      </c>
      <c r="V5366">
        <v>2</v>
      </c>
      <c r="W5366">
        <v>2</v>
      </c>
      <c r="X5366">
        <v>0</v>
      </c>
      <c r="Y5366">
        <v>0</v>
      </c>
      <c r="Z5366">
        <v>0</v>
      </c>
    </row>
    <row r="5367" spans="1:26" x14ac:dyDescent="0.2">
      <c r="A5367" t="s">
        <v>5485</v>
      </c>
      <c r="B5367" t="s">
        <v>100</v>
      </c>
      <c r="C5367">
        <v>2023</v>
      </c>
      <c r="D5367" t="s">
        <v>42</v>
      </c>
      <c r="E5367" t="s">
        <v>79</v>
      </c>
      <c r="F5367" t="s">
        <v>38</v>
      </c>
      <c r="G5367">
        <v>42918</v>
      </c>
      <c r="H5367">
        <v>34334.400000000001</v>
      </c>
      <c r="I5367" s="13">
        <v>0.5</v>
      </c>
      <c r="J5367" t="s">
        <v>6207</v>
      </c>
      <c r="K5367">
        <v>3</v>
      </c>
      <c r="L5367">
        <v>1</v>
      </c>
      <c r="M5367" t="s">
        <v>0</v>
      </c>
      <c r="N5367" s="3">
        <v>0.67</v>
      </c>
      <c r="O5367" s="3">
        <v>0.33</v>
      </c>
      <c r="P5367">
        <v>9</v>
      </c>
      <c r="Q5367">
        <v>14</v>
      </c>
      <c r="R5367">
        <v>4</v>
      </c>
      <c r="S5367">
        <v>2</v>
      </c>
      <c r="T5367">
        <v>13</v>
      </c>
      <c r="U5367">
        <v>9</v>
      </c>
      <c r="V5367">
        <v>5</v>
      </c>
      <c r="W5367">
        <v>3</v>
      </c>
      <c r="X5367">
        <v>0</v>
      </c>
      <c r="Y5367">
        <v>0</v>
      </c>
      <c r="Z5367">
        <v>1</v>
      </c>
    </row>
    <row r="5368" spans="1:26" x14ac:dyDescent="0.2">
      <c r="A5368" t="s">
        <v>5486</v>
      </c>
      <c r="B5368" t="s">
        <v>76</v>
      </c>
      <c r="C5368">
        <v>2023</v>
      </c>
      <c r="D5368" t="s">
        <v>64</v>
      </c>
      <c r="E5368" t="s">
        <v>101</v>
      </c>
      <c r="F5368" t="s">
        <v>64</v>
      </c>
      <c r="G5368">
        <v>52264</v>
      </c>
      <c r="H5368">
        <v>41811.200000000004</v>
      </c>
      <c r="I5368" s="13">
        <v>0.625</v>
      </c>
      <c r="J5368" t="s">
        <v>6207</v>
      </c>
      <c r="K5368">
        <v>1</v>
      </c>
      <c r="L5368">
        <v>0</v>
      </c>
      <c r="M5368" t="s">
        <v>0</v>
      </c>
      <c r="N5368" s="3">
        <v>0.56000000000000005</v>
      </c>
      <c r="O5368" s="3">
        <v>0.44</v>
      </c>
      <c r="P5368">
        <v>12</v>
      </c>
      <c r="Q5368">
        <v>6</v>
      </c>
      <c r="R5368">
        <v>8</v>
      </c>
      <c r="S5368">
        <v>3</v>
      </c>
      <c r="T5368">
        <v>8</v>
      </c>
      <c r="U5368">
        <v>12</v>
      </c>
      <c r="V5368">
        <v>3</v>
      </c>
      <c r="W5368">
        <v>5</v>
      </c>
      <c r="X5368">
        <v>0</v>
      </c>
      <c r="Y5368">
        <v>0</v>
      </c>
      <c r="Z5368">
        <v>1</v>
      </c>
    </row>
    <row r="5369" spans="1:26" x14ac:dyDescent="0.2">
      <c r="A5369" t="s">
        <v>5487</v>
      </c>
      <c r="B5369" t="s">
        <v>93</v>
      </c>
      <c r="C5369">
        <v>2023</v>
      </c>
      <c r="D5369" t="s">
        <v>86</v>
      </c>
      <c r="E5369" t="s">
        <v>18</v>
      </c>
      <c r="F5369" t="s">
        <v>86</v>
      </c>
      <c r="G5369">
        <v>11364</v>
      </c>
      <c r="H5369">
        <v>9091.2000000000007</v>
      </c>
      <c r="I5369" s="13">
        <v>0.66666666666666663</v>
      </c>
      <c r="J5369" t="s">
        <v>6206</v>
      </c>
      <c r="K5369">
        <v>0</v>
      </c>
      <c r="L5369">
        <v>0</v>
      </c>
      <c r="M5369" t="s">
        <v>58</v>
      </c>
      <c r="N5369" s="3">
        <v>0.36</v>
      </c>
      <c r="O5369" s="3">
        <v>0.64</v>
      </c>
      <c r="P5369">
        <v>21</v>
      </c>
      <c r="Q5369">
        <v>13</v>
      </c>
      <c r="R5369">
        <v>1</v>
      </c>
      <c r="S5369">
        <v>7</v>
      </c>
      <c r="T5369">
        <v>14</v>
      </c>
      <c r="U5369">
        <v>20</v>
      </c>
      <c r="V5369">
        <v>1</v>
      </c>
      <c r="W5369">
        <v>5</v>
      </c>
      <c r="X5369">
        <v>0</v>
      </c>
      <c r="Y5369">
        <v>0</v>
      </c>
      <c r="Z5369">
        <v>0</v>
      </c>
    </row>
    <row r="5370" spans="1:26" x14ac:dyDescent="0.2">
      <c r="A5370" t="s">
        <v>5488</v>
      </c>
      <c r="B5370" t="s">
        <v>84</v>
      </c>
      <c r="C5370">
        <v>2023</v>
      </c>
      <c r="D5370" t="s">
        <v>45</v>
      </c>
      <c r="E5370" t="s">
        <v>46</v>
      </c>
      <c r="F5370" t="s">
        <v>26</v>
      </c>
      <c r="G5370">
        <v>39572</v>
      </c>
      <c r="H5370">
        <v>31657.600000000002</v>
      </c>
      <c r="I5370" s="13">
        <v>0.5</v>
      </c>
      <c r="J5370" t="s">
        <v>6208</v>
      </c>
      <c r="K5370">
        <v>0</v>
      </c>
      <c r="L5370">
        <v>1</v>
      </c>
      <c r="M5370" t="s">
        <v>1</v>
      </c>
      <c r="N5370" s="3">
        <v>0.26</v>
      </c>
      <c r="O5370" s="3">
        <v>0.74</v>
      </c>
      <c r="P5370">
        <v>14</v>
      </c>
      <c r="Q5370">
        <v>9</v>
      </c>
      <c r="R5370">
        <v>1</v>
      </c>
      <c r="S5370">
        <v>11</v>
      </c>
      <c r="T5370">
        <v>12</v>
      </c>
      <c r="U5370">
        <v>10</v>
      </c>
      <c r="V5370">
        <v>1</v>
      </c>
      <c r="W5370">
        <v>1</v>
      </c>
      <c r="X5370">
        <v>0</v>
      </c>
      <c r="Y5370">
        <v>0</v>
      </c>
      <c r="Z5370">
        <v>0</v>
      </c>
    </row>
    <row r="5371" spans="1:26" x14ac:dyDescent="0.2">
      <c r="A5371" t="s">
        <v>5489</v>
      </c>
      <c r="B5371" t="s">
        <v>99</v>
      </c>
      <c r="C5371">
        <v>2023</v>
      </c>
      <c r="D5371" t="s">
        <v>94</v>
      </c>
      <c r="E5371" t="s">
        <v>28</v>
      </c>
      <c r="F5371" t="s">
        <v>106</v>
      </c>
      <c r="G5371">
        <v>30445</v>
      </c>
      <c r="H5371">
        <v>24356</v>
      </c>
      <c r="I5371" s="13">
        <v>0.66666666666666663</v>
      </c>
      <c r="J5371" t="s">
        <v>6207</v>
      </c>
      <c r="K5371">
        <v>1</v>
      </c>
      <c r="L5371">
        <v>1</v>
      </c>
      <c r="M5371" t="s">
        <v>58</v>
      </c>
      <c r="N5371" s="3">
        <v>0.46</v>
      </c>
      <c r="O5371" s="3">
        <v>0.54</v>
      </c>
      <c r="P5371">
        <v>12</v>
      </c>
      <c r="Q5371">
        <v>17</v>
      </c>
      <c r="R5371">
        <v>5</v>
      </c>
      <c r="S5371">
        <v>4</v>
      </c>
      <c r="T5371">
        <v>16</v>
      </c>
      <c r="U5371">
        <v>10</v>
      </c>
      <c r="V5371">
        <v>2</v>
      </c>
      <c r="W5371">
        <v>3</v>
      </c>
      <c r="X5371">
        <v>0</v>
      </c>
      <c r="Y5371">
        <v>1</v>
      </c>
      <c r="Z5371">
        <v>0</v>
      </c>
    </row>
    <row r="5372" spans="1:26" x14ac:dyDescent="0.2">
      <c r="A5372" t="s">
        <v>5490</v>
      </c>
      <c r="B5372" t="s">
        <v>61</v>
      </c>
      <c r="C5372">
        <v>2023</v>
      </c>
      <c r="D5372" t="s">
        <v>40</v>
      </c>
      <c r="E5372" t="s">
        <v>94</v>
      </c>
      <c r="F5372" t="s">
        <v>49</v>
      </c>
      <c r="G5372">
        <v>53400</v>
      </c>
      <c r="H5372">
        <v>42720</v>
      </c>
      <c r="I5372" s="13">
        <v>0.75</v>
      </c>
      <c r="J5372" t="s">
        <v>6207</v>
      </c>
      <c r="K5372">
        <v>2</v>
      </c>
      <c r="L5372">
        <v>0</v>
      </c>
      <c r="M5372" t="s">
        <v>0</v>
      </c>
      <c r="N5372" s="3">
        <v>0.56999999999999995</v>
      </c>
      <c r="O5372" s="3">
        <v>0.43</v>
      </c>
      <c r="P5372">
        <v>20</v>
      </c>
      <c r="Q5372">
        <v>5</v>
      </c>
      <c r="R5372">
        <v>6</v>
      </c>
      <c r="S5372">
        <v>6</v>
      </c>
      <c r="T5372">
        <v>5</v>
      </c>
      <c r="U5372">
        <v>17</v>
      </c>
      <c r="V5372">
        <v>4</v>
      </c>
      <c r="W5372">
        <v>7</v>
      </c>
      <c r="X5372">
        <v>1</v>
      </c>
      <c r="Y5372">
        <v>0</v>
      </c>
      <c r="Z5372">
        <v>0</v>
      </c>
    </row>
    <row r="5373" spans="1:26" x14ac:dyDescent="0.2">
      <c r="A5373" t="s">
        <v>5491</v>
      </c>
      <c r="B5373" t="s">
        <v>109</v>
      </c>
      <c r="C5373">
        <v>2023</v>
      </c>
      <c r="D5373" t="s">
        <v>110</v>
      </c>
      <c r="E5373" t="s">
        <v>22</v>
      </c>
      <c r="F5373" t="s">
        <v>110</v>
      </c>
      <c r="G5373">
        <v>12000</v>
      </c>
      <c r="H5373">
        <v>9600</v>
      </c>
      <c r="I5373" s="13">
        <v>1</v>
      </c>
      <c r="J5373" t="s">
        <v>6209</v>
      </c>
      <c r="K5373">
        <v>1</v>
      </c>
      <c r="L5373">
        <v>1</v>
      </c>
      <c r="M5373" t="s">
        <v>58</v>
      </c>
      <c r="N5373" s="3">
        <v>0.56000000000000005</v>
      </c>
      <c r="O5373" s="3">
        <v>0.44</v>
      </c>
      <c r="P5373">
        <v>19</v>
      </c>
      <c r="Q5373">
        <v>13</v>
      </c>
      <c r="R5373">
        <v>10</v>
      </c>
      <c r="S5373">
        <v>1</v>
      </c>
      <c r="T5373">
        <v>12</v>
      </c>
      <c r="U5373">
        <v>17</v>
      </c>
      <c r="V5373">
        <v>0</v>
      </c>
      <c r="W5373">
        <v>2</v>
      </c>
      <c r="X5373">
        <v>0</v>
      </c>
      <c r="Y5373">
        <v>1</v>
      </c>
      <c r="Z5373">
        <v>1</v>
      </c>
    </row>
    <row r="5374" spans="1:26" x14ac:dyDescent="0.2">
      <c r="A5374" t="s">
        <v>5492</v>
      </c>
      <c r="B5374" t="s">
        <v>81</v>
      </c>
      <c r="C5374">
        <v>2023</v>
      </c>
      <c r="D5374" t="s">
        <v>79</v>
      </c>
      <c r="E5374" t="s">
        <v>31</v>
      </c>
      <c r="F5374" t="s">
        <v>20</v>
      </c>
      <c r="G5374">
        <v>25486</v>
      </c>
      <c r="H5374">
        <v>20388.800000000003</v>
      </c>
      <c r="I5374" s="13">
        <v>0.8</v>
      </c>
      <c r="J5374" t="s">
        <v>6207</v>
      </c>
      <c r="K5374">
        <v>0</v>
      </c>
      <c r="L5374">
        <v>0</v>
      </c>
      <c r="M5374" t="s">
        <v>58</v>
      </c>
      <c r="N5374" s="3">
        <v>0.51</v>
      </c>
      <c r="O5374" s="3">
        <v>0.49</v>
      </c>
      <c r="P5374">
        <v>16</v>
      </c>
      <c r="Q5374">
        <v>13</v>
      </c>
      <c r="R5374">
        <v>3</v>
      </c>
      <c r="S5374">
        <v>2</v>
      </c>
      <c r="T5374">
        <v>10</v>
      </c>
      <c r="U5374">
        <v>15</v>
      </c>
      <c r="V5374">
        <v>3</v>
      </c>
      <c r="W5374">
        <v>2</v>
      </c>
      <c r="X5374">
        <v>0</v>
      </c>
      <c r="Y5374">
        <v>0</v>
      </c>
      <c r="Z5374">
        <v>0</v>
      </c>
    </row>
    <row r="5375" spans="1:26" x14ac:dyDescent="0.2">
      <c r="A5375" t="s">
        <v>5493</v>
      </c>
      <c r="B5375" t="s">
        <v>66</v>
      </c>
      <c r="C5375">
        <v>2023</v>
      </c>
      <c r="D5375" t="s">
        <v>101</v>
      </c>
      <c r="E5375" t="s">
        <v>45</v>
      </c>
      <c r="F5375" t="s">
        <v>101</v>
      </c>
      <c r="G5375">
        <v>17250</v>
      </c>
      <c r="H5375">
        <v>13800</v>
      </c>
      <c r="I5375" s="13">
        <v>0.5</v>
      </c>
      <c r="J5375" t="s">
        <v>6207</v>
      </c>
      <c r="K5375">
        <v>1</v>
      </c>
      <c r="L5375">
        <v>3</v>
      </c>
      <c r="M5375" t="s">
        <v>1</v>
      </c>
      <c r="N5375" s="3">
        <v>0.56999999999999995</v>
      </c>
      <c r="O5375" s="3">
        <v>0.43</v>
      </c>
      <c r="P5375">
        <v>11</v>
      </c>
      <c r="Q5375">
        <v>12</v>
      </c>
      <c r="R5375">
        <v>1</v>
      </c>
      <c r="S5375">
        <v>4</v>
      </c>
      <c r="T5375">
        <v>9</v>
      </c>
      <c r="U5375">
        <v>12</v>
      </c>
      <c r="V5375">
        <v>2</v>
      </c>
      <c r="W5375">
        <v>2</v>
      </c>
      <c r="X5375">
        <v>0</v>
      </c>
      <c r="Y5375">
        <v>0</v>
      </c>
      <c r="Z5375">
        <v>0</v>
      </c>
    </row>
    <row r="5376" spans="1:26" x14ac:dyDescent="0.2">
      <c r="A5376" t="s">
        <v>5494</v>
      </c>
      <c r="B5376" t="s">
        <v>105</v>
      </c>
      <c r="C5376">
        <v>2023</v>
      </c>
      <c r="D5376" t="s">
        <v>28</v>
      </c>
      <c r="E5376" t="s">
        <v>48</v>
      </c>
      <c r="F5376" t="s">
        <v>28</v>
      </c>
      <c r="G5376">
        <v>21944</v>
      </c>
      <c r="H5376">
        <v>17555.2</v>
      </c>
      <c r="I5376" s="13">
        <v>1</v>
      </c>
      <c r="J5376" t="s">
        <v>6207</v>
      </c>
      <c r="K5376">
        <v>0</v>
      </c>
      <c r="L5376">
        <v>1</v>
      </c>
      <c r="M5376" t="s">
        <v>1</v>
      </c>
      <c r="N5376" s="3">
        <v>0.62</v>
      </c>
      <c r="O5376" s="3">
        <v>0.38</v>
      </c>
      <c r="P5376">
        <v>14</v>
      </c>
      <c r="Q5376">
        <v>6</v>
      </c>
      <c r="R5376">
        <v>9</v>
      </c>
      <c r="S5376">
        <v>5</v>
      </c>
      <c r="T5376">
        <v>6</v>
      </c>
      <c r="U5376">
        <v>12</v>
      </c>
      <c r="V5376">
        <v>1</v>
      </c>
      <c r="W5376">
        <v>2</v>
      </c>
      <c r="X5376">
        <v>0</v>
      </c>
      <c r="Y5376">
        <v>0</v>
      </c>
      <c r="Z5376">
        <v>0</v>
      </c>
    </row>
    <row r="5377" spans="1:26" x14ac:dyDescent="0.2">
      <c r="A5377" t="s">
        <v>5495</v>
      </c>
      <c r="B5377" t="s">
        <v>88</v>
      </c>
      <c r="C5377">
        <v>2023</v>
      </c>
      <c r="D5377" t="s">
        <v>26</v>
      </c>
      <c r="E5377" t="s">
        <v>23</v>
      </c>
      <c r="F5377" t="s">
        <v>26</v>
      </c>
      <c r="G5377">
        <v>61276</v>
      </c>
      <c r="H5377">
        <v>49020.800000000003</v>
      </c>
      <c r="I5377" s="13">
        <v>1</v>
      </c>
      <c r="J5377" t="s">
        <v>6207</v>
      </c>
      <c r="K5377">
        <v>3</v>
      </c>
      <c r="L5377">
        <v>1</v>
      </c>
      <c r="M5377" t="s">
        <v>0</v>
      </c>
      <c r="N5377" s="3">
        <v>0.64</v>
      </c>
      <c r="O5377" s="3">
        <v>0.36</v>
      </c>
      <c r="P5377">
        <v>11</v>
      </c>
      <c r="Q5377">
        <v>12</v>
      </c>
      <c r="R5377">
        <v>7</v>
      </c>
      <c r="S5377">
        <v>4</v>
      </c>
      <c r="T5377">
        <v>12</v>
      </c>
      <c r="U5377">
        <v>13</v>
      </c>
      <c r="V5377">
        <v>0</v>
      </c>
      <c r="W5377">
        <v>2</v>
      </c>
      <c r="X5377">
        <v>0</v>
      </c>
      <c r="Y5377">
        <v>0</v>
      </c>
      <c r="Z5377">
        <v>1</v>
      </c>
    </row>
    <row r="5378" spans="1:26" x14ac:dyDescent="0.2">
      <c r="A5378" t="s">
        <v>5496</v>
      </c>
      <c r="B5378" t="s">
        <v>102</v>
      </c>
      <c r="C5378">
        <v>2023</v>
      </c>
      <c r="D5378" t="s">
        <v>18</v>
      </c>
      <c r="E5378" t="s">
        <v>42</v>
      </c>
      <c r="F5378" t="s">
        <v>20</v>
      </c>
      <c r="G5378">
        <v>40341</v>
      </c>
      <c r="H5378">
        <v>32272.800000000003</v>
      </c>
      <c r="I5378" s="13">
        <v>0.83333333333333337</v>
      </c>
      <c r="J5378" t="s">
        <v>6209</v>
      </c>
      <c r="K5378">
        <v>0</v>
      </c>
      <c r="L5378">
        <v>1</v>
      </c>
      <c r="M5378" t="s">
        <v>1</v>
      </c>
      <c r="N5378" s="3">
        <v>0.53</v>
      </c>
      <c r="O5378" s="3">
        <v>0.47</v>
      </c>
      <c r="P5378">
        <v>12</v>
      </c>
      <c r="Q5378">
        <v>19</v>
      </c>
      <c r="R5378">
        <v>5</v>
      </c>
      <c r="S5378">
        <v>11</v>
      </c>
      <c r="T5378">
        <v>9</v>
      </c>
      <c r="U5378">
        <v>11</v>
      </c>
      <c r="V5378">
        <v>2</v>
      </c>
      <c r="W5378">
        <v>3</v>
      </c>
      <c r="X5378">
        <v>1</v>
      </c>
      <c r="Y5378">
        <v>0</v>
      </c>
      <c r="Z5378">
        <v>0</v>
      </c>
    </row>
    <row r="5379" spans="1:26" x14ac:dyDescent="0.2">
      <c r="A5379" t="s">
        <v>5497</v>
      </c>
      <c r="B5379" t="s">
        <v>104</v>
      </c>
      <c r="C5379">
        <v>2023</v>
      </c>
      <c r="D5379" t="s">
        <v>90</v>
      </c>
      <c r="E5379" t="s">
        <v>86</v>
      </c>
      <c r="F5379" t="s">
        <v>91</v>
      </c>
      <c r="G5379">
        <v>31876</v>
      </c>
      <c r="H5379">
        <v>25500.800000000003</v>
      </c>
      <c r="I5379" s="13">
        <v>0.5</v>
      </c>
      <c r="J5379" t="s">
        <v>6206</v>
      </c>
      <c r="K5379">
        <v>3</v>
      </c>
      <c r="L5379">
        <v>1</v>
      </c>
      <c r="M5379" t="s">
        <v>0</v>
      </c>
      <c r="N5379" s="3">
        <v>0.62</v>
      </c>
      <c r="O5379" s="3">
        <v>0.38</v>
      </c>
      <c r="P5379">
        <v>18</v>
      </c>
      <c r="Q5379">
        <v>13</v>
      </c>
      <c r="R5379">
        <v>4</v>
      </c>
      <c r="S5379">
        <v>4</v>
      </c>
      <c r="T5379">
        <v>12</v>
      </c>
      <c r="U5379">
        <v>17</v>
      </c>
      <c r="V5379">
        <v>3</v>
      </c>
      <c r="W5379">
        <v>3</v>
      </c>
      <c r="X5379">
        <v>0</v>
      </c>
      <c r="Y5379">
        <v>0</v>
      </c>
      <c r="Z5379">
        <v>0</v>
      </c>
    </row>
    <row r="5380" spans="1:26" x14ac:dyDescent="0.2">
      <c r="A5380" t="s">
        <v>5498</v>
      </c>
      <c r="B5380" t="s">
        <v>99</v>
      </c>
      <c r="C5380">
        <v>2023</v>
      </c>
      <c r="D5380" t="s">
        <v>46</v>
      </c>
      <c r="E5380" t="s">
        <v>51</v>
      </c>
      <c r="F5380" t="s">
        <v>20</v>
      </c>
      <c r="G5380">
        <v>60704</v>
      </c>
      <c r="H5380">
        <v>48563.200000000004</v>
      </c>
      <c r="I5380" s="13">
        <v>0.8571428571428571</v>
      </c>
      <c r="J5380" t="s">
        <v>6207</v>
      </c>
      <c r="K5380">
        <v>2</v>
      </c>
      <c r="L5380">
        <v>2</v>
      </c>
      <c r="M5380" t="s">
        <v>58</v>
      </c>
      <c r="N5380" s="3">
        <v>0.47</v>
      </c>
      <c r="O5380" s="3">
        <v>0.53</v>
      </c>
      <c r="P5380">
        <v>22</v>
      </c>
      <c r="Q5380">
        <v>14</v>
      </c>
      <c r="R5380">
        <v>11</v>
      </c>
      <c r="S5380">
        <v>4</v>
      </c>
      <c r="T5380">
        <v>12</v>
      </c>
      <c r="U5380">
        <v>19</v>
      </c>
      <c r="V5380">
        <v>3</v>
      </c>
      <c r="W5380">
        <v>4</v>
      </c>
      <c r="X5380">
        <v>0</v>
      </c>
      <c r="Y5380">
        <v>0</v>
      </c>
      <c r="Z5380">
        <v>1</v>
      </c>
    </row>
    <row r="5381" spans="1:26" x14ac:dyDescent="0.2">
      <c r="A5381" t="s">
        <v>5499</v>
      </c>
      <c r="B5381" t="s">
        <v>59</v>
      </c>
      <c r="C5381">
        <v>2023</v>
      </c>
      <c r="D5381" t="s">
        <v>95</v>
      </c>
      <c r="E5381" t="s">
        <v>64</v>
      </c>
      <c r="F5381" t="s">
        <v>57</v>
      </c>
      <c r="G5381">
        <v>32050</v>
      </c>
      <c r="H5381">
        <v>25640</v>
      </c>
      <c r="I5381" s="13">
        <v>0.75</v>
      </c>
      <c r="J5381" t="s">
        <v>6206</v>
      </c>
      <c r="K5381">
        <v>0</v>
      </c>
      <c r="L5381">
        <v>8</v>
      </c>
      <c r="M5381" t="s">
        <v>1</v>
      </c>
      <c r="N5381" s="3">
        <v>0.42</v>
      </c>
      <c r="O5381" s="3">
        <v>0.57999999999999996</v>
      </c>
      <c r="P5381">
        <v>6</v>
      </c>
      <c r="Q5381">
        <v>10</v>
      </c>
      <c r="R5381">
        <v>2</v>
      </c>
      <c r="S5381">
        <v>5</v>
      </c>
      <c r="T5381">
        <v>12</v>
      </c>
      <c r="U5381">
        <v>8</v>
      </c>
      <c r="V5381">
        <v>4</v>
      </c>
      <c r="W5381">
        <v>0</v>
      </c>
      <c r="X5381">
        <v>0</v>
      </c>
      <c r="Y5381">
        <v>0</v>
      </c>
      <c r="Z5381">
        <v>0</v>
      </c>
    </row>
    <row r="5382" spans="1:26" x14ac:dyDescent="0.2">
      <c r="A5382" t="s">
        <v>5500</v>
      </c>
      <c r="B5382" t="s">
        <v>92</v>
      </c>
      <c r="C5382">
        <v>2023</v>
      </c>
      <c r="D5382" t="s">
        <v>42</v>
      </c>
      <c r="E5382" t="s">
        <v>90</v>
      </c>
      <c r="F5382" t="s">
        <v>38</v>
      </c>
      <c r="G5382">
        <v>42918</v>
      </c>
      <c r="H5382">
        <v>34334.400000000001</v>
      </c>
      <c r="I5382" s="13">
        <v>0.625</v>
      </c>
      <c r="J5382" t="s">
        <v>6207</v>
      </c>
      <c r="K5382">
        <v>6</v>
      </c>
      <c r="L5382">
        <v>1</v>
      </c>
      <c r="M5382" t="s">
        <v>0</v>
      </c>
      <c r="N5382" s="3">
        <v>0.38</v>
      </c>
      <c r="O5382" s="3">
        <v>0.62</v>
      </c>
      <c r="P5382">
        <v>27</v>
      </c>
      <c r="Q5382">
        <v>20</v>
      </c>
      <c r="R5382">
        <v>1</v>
      </c>
      <c r="S5382">
        <v>3</v>
      </c>
      <c r="T5382">
        <v>19</v>
      </c>
      <c r="U5382">
        <v>21</v>
      </c>
      <c r="V5382">
        <v>4</v>
      </c>
      <c r="W5382">
        <v>4</v>
      </c>
      <c r="X5382">
        <v>0</v>
      </c>
      <c r="Y5382">
        <v>0</v>
      </c>
      <c r="Z5382">
        <v>0</v>
      </c>
    </row>
    <row r="5383" spans="1:26" x14ac:dyDescent="0.2">
      <c r="A5383" t="s">
        <v>5501</v>
      </c>
      <c r="B5383" t="s">
        <v>76</v>
      </c>
      <c r="C5383">
        <v>2023</v>
      </c>
      <c r="D5383" t="s">
        <v>22</v>
      </c>
      <c r="E5383" t="s">
        <v>40</v>
      </c>
      <c r="F5383" t="s">
        <v>24</v>
      </c>
      <c r="G5383">
        <v>31750</v>
      </c>
      <c r="H5383">
        <v>25400</v>
      </c>
      <c r="I5383" s="13">
        <v>0.72727272727272729</v>
      </c>
      <c r="J5383" t="s">
        <v>6207</v>
      </c>
      <c r="K5383">
        <v>2</v>
      </c>
      <c r="L5383">
        <v>1</v>
      </c>
      <c r="M5383" t="s">
        <v>0</v>
      </c>
      <c r="N5383" s="3">
        <v>0.32</v>
      </c>
      <c r="O5383" s="3">
        <v>0.68</v>
      </c>
      <c r="P5383">
        <v>12</v>
      </c>
      <c r="Q5383">
        <v>20</v>
      </c>
      <c r="R5383">
        <v>0</v>
      </c>
      <c r="S5383">
        <v>6</v>
      </c>
      <c r="T5383">
        <v>18</v>
      </c>
      <c r="U5383">
        <v>12</v>
      </c>
      <c r="V5383">
        <v>6</v>
      </c>
      <c r="W5383">
        <v>5</v>
      </c>
      <c r="X5383">
        <v>0</v>
      </c>
      <c r="Y5383">
        <v>0</v>
      </c>
      <c r="Z5383">
        <v>0</v>
      </c>
    </row>
    <row r="5384" spans="1:26" x14ac:dyDescent="0.2">
      <c r="A5384" t="s">
        <v>5502</v>
      </c>
      <c r="B5384" t="s">
        <v>83</v>
      </c>
      <c r="C5384">
        <v>2023</v>
      </c>
      <c r="D5384" t="s">
        <v>23</v>
      </c>
      <c r="E5384" t="s">
        <v>95</v>
      </c>
      <c r="F5384" t="s">
        <v>20</v>
      </c>
      <c r="G5384">
        <v>62500</v>
      </c>
      <c r="H5384">
        <v>50000</v>
      </c>
      <c r="I5384" s="13">
        <v>0.5</v>
      </c>
      <c r="J5384" t="s">
        <v>6208</v>
      </c>
      <c r="K5384">
        <v>2</v>
      </c>
      <c r="L5384">
        <v>0</v>
      </c>
      <c r="M5384" t="s">
        <v>0</v>
      </c>
      <c r="N5384" s="3">
        <v>0.52</v>
      </c>
      <c r="O5384" s="3">
        <v>0.48</v>
      </c>
      <c r="P5384">
        <v>12</v>
      </c>
      <c r="Q5384">
        <v>8</v>
      </c>
      <c r="R5384">
        <v>7</v>
      </c>
      <c r="S5384">
        <v>4</v>
      </c>
      <c r="T5384">
        <v>6</v>
      </c>
      <c r="U5384">
        <v>9</v>
      </c>
      <c r="V5384">
        <v>1</v>
      </c>
      <c r="W5384">
        <v>1</v>
      </c>
      <c r="X5384">
        <v>0</v>
      </c>
      <c r="Y5384">
        <v>0</v>
      </c>
      <c r="Z5384">
        <v>0</v>
      </c>
    </row>
    <row r="5385" spans="1:26" x14ac:dyDescent="0.2">
      <c r="A5385" t="s">
        <v>5503</v>
      </c>
      <c r="B5385" t="s">
        <v>107</v>
      </c>
      <c r="C5385">
        <v>2023</v>
      </c>
      <c r="D5385" t="s">
        <v>64</v>
      </c>
      <c r="E5385" t="s">
        <v>28</v>
      </c>
      <c r="F5385" t="s">
        <v>64</v>
      </c>
      <c r="G5385">
        <v>52264</v>
      </c>
      <c r="H5385">
        <v>41811.200000000004</v>
      </c>
      <c r="I5385" s="13">
        <v>0.5</v>
      </c>
      <c r="J5385" t="s">
        <v>6207</v>
      </c>
      <c r="K5385">
        <v>2</v>
      </c>
      <c r="L5385">
        <v>0</v>
      </c>
      <c r="M5385" t="s">
        <v>0</v>
      </c>
      <c r="N5385" s="3">
        <v>0.53</v>
      </c>
      <c r="O5385" s="3">
        <v>0.47</v>
      </c>
      <c r="P5385">
        <v>18</v>
      </c>
      <c r="Q5385">
        <v>8</v>
      </c>
      <c r="R5385">
        <v>5</v>
      </c>
      <c r="S5385">
        <v>3</v>
      </c>
      <c r="T5385">
        <v>7</v>
      </c>
      <c r="U5385">
        <v>15</v>
      </c>
      <c r="V5385">
        <v>1</v>
      </c>
      <c r="W5385">
        <v>3</v>
      </c>
      <c r="X5385">
        <v>0</v>
      </c>
      <c r="Y5385">
        <v>0</v>
      </c>
      <c r="Z5385">
        <v>1</v>
      </c>
    </row>
    <row r="5386" spans="1:26" x14ac:dyDescent="0.2">
      <c r="A5386" t="s">
        <v>5504</v>
      </c>
      <c r="B5386" t="s">
        <v>88</v>
      </c>
      <c r="C5386">
        <v>2023</v>
      </c>
      <c r="D5386" t="s">
        <v>48</v>
      </c>
      <c r="E5386" t="s">
        <v>79</v>
      </c>
      <c r="F5386" t="s">
        <v>49</v>
      </c>
      <c r="G5386">
        <v>74197</v>
      </c>
      <c r="H5386">
        <v>59357.600000000006</v>
      </c>
      <c r="I5386" s="13">
        <v>0.4</v>
      </c>
      <c r="J5386" t="s">
        <v>6207</v>
      </c>
      <c r="K5386">
        <v>0</v>
      </c>
      <c r="L5386">
        <v>1</v>
      </c>
      <c r="M5386" t="s">
        <v>1</v>
      </c>
      <c r="N5386" s="3">
        <v>0.77</v>
      </c>
      <c r="O5386" s="3">
        <v>0.23</v>
      </c>
      <c r="P5386">
        <v>8</v>
      </c>
      <c r="Q5386">
        <v>12</v>
      </c>
      <c r="R5386">
        <v>10</v>
      </c>
      <c r="S5386">
        <v>4</v>
      </c>
      <c r="T5386">
        <v>10</v>
      </c>
      <c r="U5386">
        <v>8</v>
      </c>
      <c r="V5386">
        <v>3</v>
      </c>
      <c r="W5386">
        <v>2</v>
      </c>
      <c r="X5386">
        <v>0</v>
      </c>
      <c r="Y5386">
        <v>0</v>
      </c>
      <c r="Z5386">
        <v>0</v>
      </c>
    </row>
    <row r="5387" spans="1:26" x14ac:dyDescent="0.2">
      <c r="A5387" t="s">
        <v>5505</v>
      </c>
      <c r="B5387" t="s">
        <v>61</v>
      </c>
      <c r="C5387">
        <v>2023</v>
      </c>
      <c r="D5387" t="s">
        <v>45</v>
      </c>
      <c r="E5387" t="s">
        <v>110</v>
      </c>
      <c r="F5387" t="s">
        <v>26</v>
      </c>
      <c r="G5387">
        <v>39572</v>
      </c>
      <c r="H5387">
        <v>31657.600000000002</v>
      </c>
      <c r="I5387" s="13">
        <v>1</v>
      </c>
      <c r="J5387" t="s">
        <v>6207</v>
      </c>
      <c r="K5387">
        <v>1</v>
      </c>
      <c r="L5387">
        <v>2</v>
      </c>
      <c r="M5387" t="s">
        <v>1</v>
      </c>
      <c r="N5387" s="3">
        <v>0.68</v>
      </c>
      <c r="O5387" s="3">
        <v>0.32</v>
      </c>
      <c r="P5387">
        <v>13</v>
      </c>
      <c r="Q5387">
        <v>10</v>
      </c>
      <c r="R5387">
        <v>3</v>
      </c>
      <c r="S5387">
        <v>6</v>
      </c>
      <c r="T5387">
        <v>8</v>
      </c>
      <c r="U5387">
        <v>10</v>
      </c>
      <c r="V5387">
        <v>0</v>
      </c>
      <c r="W5387">
        <v>1</v>
      </c>
      <c r="X5387">
        <v>0</v>
      </c>
      <c r="Y5387">
        <v>0</v>
      </c>
      <c r="Z5387">
        <v>0</v>
      </c>
    </row>
    <row r="5388" spans="1:26" x14ac:dyDescent="0.2">
      <c r="A5388" t="s">
        <v>5506</v>
      </c>
      <c r="B5388" t="s">
        <v>103</v>
      </c>
      <c r="C5388">
        <v>2023</v>
      </c>
      <c r="D5388" t="s">
        <v>86</v>
      </c>
      <c r="E5388" t="s">
        <v>46</v>
      </c>
      <c r="F5388" t="s">
        <v>86</v>
      </c>
      <c r="G5388">
        <v>11364</v>
      </c>
      <c r="H5388">
        <v>9091.2000000000007</v>
      </c>
      <c r="I5388" s="13">
        <v>1</v>
      </c>
      <c r="J5388" t="s">
        <v>6207</v>
      </c>
      <c r="K5388">
        <v>0</v>
      </c>
      <c r="L5388">
        <v>4</v>
      </c>
      <c r="M5388" t="s">
        <v>1</v>
      </c>
      <c r="N5388" s="3">
        <v>0.42</v>
      </c>
      <c r="O5388" s="3">
        <v>0.57999999999999996</v>
      </c>
      <c r="P5388">
        <v>10</v>
      </c>
      <c r="Q5388">
        <v>13</v>
      </c>
      <c r="R5388">
        <v>6</v>
      </c>
      <c r="S5388">
        <v>6</v>
      </c>
      <c r="T5388">
        <v>11</v>
      </c>
      <c r="U5388">
        <v>10</v>
      </c>
      <c r="V5388">
        <v>0</v>
      </c>
      <c r="W5388">
        <v>1</v>
      </c>
      <c r="X5388">
        <v>0</v>
      </c>
      <c r="Y5388">
        <v>0</v>
      </c>
      <c r="Z5388">
        <v>2</v>
      </c>
    </row>
    <row r="5389" spans="1:26" x14ac:dyDescent="0.2">
      <c r="A5389" t="s">
        <v>5507</v>
      </c>
      <c r="B5389" t="s">
        <v>84</v>
      </c>
      <c r="C5389">
        <v>2023</v>
      </c>
      <c r="D5389" t="s">
        <v>51</v>
      </c>
      <c r="E5389" t="s">
        <v>26</v>
      </c>
      <c r="F5389" t="s">
        <v>20</v>
      </c>
      <c r="G5389">
        <v>36284</v>
      </c>
      <c r="H5389">
        <v>29027.200000000001</v>
      </c>
      <c r="I5389" s="13">
        <v>0.75</v>
      </c>
      <c r="J5389" t="s">
        <v>6208</v>
      </c>
      <c r="K5389">
        <v>2</v>
      </c>
      <c r="L5389">
        <v>1</v>
      </c>
      <c r="M5389" t="s">
        <v>0</v>
      </c>
      <c r="N5389" s="3">
        <v>0.65</v>
      </c>
      <c r="O5389" s="3">
        <v>0.35</v>
      </c>
      <c r="P5389">
        <v>18</v>
      </c>
      <c r="Q5389">
        <v>15</v>
      </c>
      <c r="R5389">
        <v>11</v>
      </c>
      <c r="S5389">
        <v>5</v>
      </c>
      <c r="T5389">
        <v>11</v>
      </c>
      <c r="U5389">
        <v>17</v>
      </c>
      <c r="V5389">
        <v>5</v>
      </c>
      <c r="W5389">
        <v>5</v>
      </c>
      <c r="X5389">
        <v>0</v>
      </c>
      <c r="Y5389">
        <v>2</v>
      </c>
      <c r="Z5389">
        <v>0</v>
      </c>
    </row>
    <row r="5390" spans="1:26" x14ac:dyDescent="0.2">
      <c r="A5390" t="s">
        <v>5508</v>
      </c>
      <c r="B5390" t="s">
        <v>81</v>
      </c>
      <c r="C5390">
        <v>2023</v>
      </c>
      <c r="D5390" t="s">
        <v>94</v>
      </c>
      <c r="E5390" t="s">
        <v>101</v>
      </c>
      <c r="F5390" t="s">
        <v>106</v>
      </c>
      <c r="G5390">
        <v>30445</v>
      </c>
      <c r="H5390">
        <v>24356</v>
      </c>
      <c r="I5390" s="13">
        <v>0.6</v>
      </c>
      <c r="J5390" t="s">
        <v>6207</v>
      </c>
      <c r="K5390">
        <v>1</v>
      </c>
      <c r="L5390">
        <v>1</v>
      </c>
      <c r="M5390" t="s">
        <v>58</v>
      </c>
      <c r="N5390" s="3">
        <v>0.41</v>
      </c>
      <c r="O5390" s="3">
        <v>0.59</v>
      </c>
      <c r="P5390">
        <v>11</v>
      </c>
      <c r="Q5390">
        <v>8</v>
      </c>
      <c r="R5390">
        <v>1</v>
      </c>
      <c r="S5390">
        <v>11</v>
      </c>
      <c r="T5390">
        <v>6</v>
      </c>
      <c r="U5390">
        <v>10</v>
      </c>
      <c r="V5390">
        <v>2</v>
      </c>
      <c r="W5390">
        <v>2</v>
      </c>
      <c r="X5390">
        <v>1</v>
      </c>
      <c r="Y5390">
        <v>0</v>
      </c>
      <c r="Z5390">
        <v>0</v>
      </c>
    </row>
    <row r="5391" spans="1:26" x14ac:dyDescent="0.2">
      <c r="A5391" t="s">
        <v>5509</v>
      </c>
      <c r="B5391" t="s">
        <v>98</v>
      </c>
      <c r="C5391">
        <v>2023</v>
      </c>
      <c r="D5391" t="s">
        <v>31</v>
      </c>
      <c r="E5391" t="s">
        <v>18</v>
      </c>
      <c r="F5391" t="s">
        <v>20</v>
      </c>
      <c r="G5391">
        <v>28500</v>
      </c>
      <c r="H5391">
        <v>22800</v>
      </c>
      <c r="I5391" s="13">
        <v>0.6</v>
      </c>
      <c r="J5391" t="s">
        <v>6208</v>
      </c>
      <c r="K5391">
        <v>0</v>
      </c>
      <c r="L5391">
        <v>2</v>
      </c>
      <c r="M5391" t="s">
        <v>1</v>
      </c>
      <c r="N5391" s="3">
        <v>0.56000000000000005</v>
      </c>
      <c r="O5391" s="3">
        <v>0.44</v>
      </c>
      <c r="P5391">
        <v>11</v>
      </c>
      <c r="Q5391">
        <v>14</v>
      </c>
      <c r="R5391">
        <v>8</v>
      </c>
      <c r="S5391">
        <v>1</v>
      </c>
      <c r="T5391">
        <v>15</v>
      </c>
      <c r="U5391">
        <v>12</v>
      </c>
      <c r="V5391">
        <v>1</v>
      </c>
      <c r="W5391">
        <v>4</v>
      </c>
      <c r="X5391">
        <v>0</v>
      </c>
      <c r="Y5391">
        <v>0</v>
      </c>
      <c r="Z5391">
        <v>0</v>
      </c>
    </row>
    <row r="5392" spans="1:26" x14ac:dyDescent="0.2">
      <c r="A5392" t="s">
        <v>5510</v>
      </c>
      <c r="B5392" t="s">
        <v>104</v>
      </c>
      <c r="C5392">
        <v>2023</v>
      </c>
      <c r="D5392" t="s">
        <v>110</v>
      </c>
      <c r="E5392" t="s">
        <v>51</v>
      </c>
      <c r="F5392" t="s">
        <v>110</v>
      </c>
      <c r="G5392">
        <v>12000</v>
      </c>
      <c r="H5392">
        <v>9600</v>
      </c>
      <c r="I5392" s="13">
        <v>0.6</v>
      </c>
      <c r="J5392" t="s">
        <v>6206</v>
      </c>
      <c r="K5392">
        <v>0</v>
      </c>
      <c r="L5392">
        <v>1</v>
      </c>
      <c r="M5392" t="s">
        <v>1</v>
      </c>
      <c r="N5392" s="3">
        <v>0.33</v>
      </c>
      <c r="O5392" s="3">
        <v>0.67</v>
      </c>
      <c r="P5392">
        <v>11</v>
      </c>
      <c r="Q5392">
        <v>20</v>
      </c>
      <c r="R5392">
        <v>5</v>
      </c>
      <c r="S5392">
        <v>6</v>
      </c>
      <c r="T5392">
        <v>16</v>
      </c>
      <c r="U5392">
        <v>7</v>
      </c>
      <c r="V5392">
        <v>2</v>
      </c>
      <c r="W5392">
        <v>2</v>
      </c>
      <c r="X5392">
        <v>0</v>
      </c>
      <c r="Y5392">
        <v>1</v>
      </c>
      <c r="Z5392">
        <v>0</v>
      </c>
    </row>
    <row r="5393" spans="1:26" x14ac:dyDescent="0.2">
      <c r="A5393" t="s">
        <v>5511</v>
      </c>
      <c r="B5393" t="s">
        <v>92</v>
      </c>
      <c r="C5393">
        <v>2023</v>
      </c>
      <c r="D5393" t="s">
        <v>48</v>
      </c>
      <c r="E5393" t="s">
        <v>101</v>
      </c>
      <c r="F5393" t="s">
        <v>49</v>
      </c>
      <c r="G5393">
        <v>74197</v>
      </c>
      <c r="H5393">
        <v>59357.600000000006</v>
      </c>
      <c r="I5393" s="13">
        <v>0.8</v>
      </c>
      <c r="J5393" t="s">
        <v>6207</v>
      </c>
      <c r="K5393">
        <v>2</v>
      </c>
      <c r="L5393">
        <v>1</v>
      </c>
      <c r="M5393" t="s">
        <v>0</v>
      </c>
      <c r="N5393" s="3">
        <v>0.64</v>
      </c>
      <c r="O5393" s="3">
        <v>0.36</v>
      </c>
      <c r="P5393">
        <v>19</v>
      </c>
      <c r="Q5393">
        <v>14</v>
      </c>
      <c r="R5393">
        <v>7</v>
      </c>
      <c r="S5393">
        <v>5</v>
      </c>
      <c r="T5393">
        <v>10</v>
      </c>
      <c r="U5393">
        <v>17</v>
      </c>
      <c r="V5393">
        <v>0</v>
      </c>
      <c r="W5393">
        <v>5</v>
      </c>
      <c r="X5393">
        <v>0</v>
      </c>
      <c r="Y5393">
        <v>0</v>
      </c>
      <c r="Z5393">
        <v>0</v>
      </c>
    </row>
    <row r="5394" spans="1:26" x14ac:dyDescent="0.2">
      <c r="A5394" t="s">
        <v>5512</v>
      </c>
      <c r="B5394" t="s">
        <v>111</v>
      </c>
      <c r="C5394">
        <v>2023</v>
      </c>
      <c r="D5394" t="s">
        <v>31</v>
      </c>
      <c r="E5394" t="s">
        <v>95</v>
      </c>
      <c r="F5394" t="s">
        <v>20</v>
      </c>
      <c r="G5394">
        <v>28500</v>
      </c>
      <c r="H5394">
        <v>22800</v>
      </c>
      <c r="I5394" s="13">
        <v>0.33333333333333331</v>
      </c>
      <c r="J5394" t="s">
        <v>6207</v>
      </c>
      <c r="K5394">
        <v>3</v>
      </c>
      <c r="L5394">
        <v>1</v>
      </c>
      <c r="M5394" t="s">
        <v>0</v>
      </c>
      <c r="N5394" s="3">
        <v>0.6</v>
      </c>
      <c r="O5394" s="3">
        <v>0.4</v>
      </c>
      <c r="P5394">
        <v>12</v>
      </c>
      <c r="Q5394">
        <v>10</v>
      </c>
      <c r="R5394">
        <v>9</v>
      </c>
      <c r="S5394">
        <v>4</v>
      </c>
      <c r="T5394">
        <v>8</v>
      </c>
      <c r="U5394">
        <v>10</v>
      </c>
      <c r="V5394">
        <v>1</v>
      </c>
      <c r="W5394">
        <v>2</v>
      </c>
      <c r="X5394">
        <v>0</v>
      </c>
      <c r="Y5394">
        <v>0</v>
      </c>
      <c r="Z5394">
        <v>0</v>
      </c>
    </row>
    <row r="5395" spans="1:26" x14ac:dyDescent="0.2">
      <c r="A5395" t="s">
        <v>5513</v>
      </c>
      <c r="B5395" t="s">
        <v>93</v>
      </c>
      <c r="C5395">
        <v>2023</v>
      </c>
      <c r="D5395" t="s">
        <v>45</v>
      </c>
      <c r="E5395" t="s">
        <v>86</v>
      </c>
      <c r="F5395" t="s">
        <v>26</v>
      </c>
      <c r="G5395">
        <v>39572</v>
      </c>
      <c r="H5395">
        <v>31657.600000000002</v>
      </c>
      <c r="I5395" s="13">
        <v>0.33333333333333331</v>
      </c>
      <c r="J5395" t="s">
        <v>6206</v>
      </c>
      <c r="K5395">
        <v>3</v>
      </c>
      <c r="L5395">
        <v>0</v>
      </c>
      <c r="M5395" t="s">
        <v>0</v>
      </c>
      <c r="N5395" s="3">
        <v>0.48</v>
      </c>
      <c r="O5395" s="3">
        <v>0.52</v>
      </c>
      <c r="P5395">
        <v>16</v>
      </c>
      <c r="Q5395">
        <v>16</v>
      </c>
      <c r="R5395">
        <v>8</v>
      </c>
      <c r="S5395">
        <v>7</v>
      </c>
      <c r="T5395">
        <v>14</v>
      </c>
      <c r="U5395">
        <v>15</v>
      </c>
      <c r="V5395">
        <v>1</v>
      </c>
      <c r="W5395">
        <v>2</v>
      </c>
      <c r="X5395">
        <v>0</v>
      </c>
      <c r="Y5395">
        <v>0</v>
      </c>
      <c r="Z5395">
        <v>0</v>
      </c>
    </row>
    <row r="5396" spans="1:26" x14ac:dyDescent="0.2">
      <c r="A5396" t="s">
        <v>5514</v>
      </c>
      <c r="B5396" t="s">
        <v>59</v>
      </c>
      <c r="C5396">
        <v>2023</v>
      </c>
      <c r="D5396" t="s">
        <v>28</v>
      </c>
      <c r="E5396" t="s">
        <v>18</v>
      </c>
      <c r="F5396" t="s">
        <v>28</v>
      </c>
      <c r="G5396">
        <v>21944</v>
      </c>
      <c r="H5396">
        <v>17555.2</v>
      </c>
      <c r="I5396" s="13">
        <v>0.8571428571428571</v>
      </c>
      <c r="J5396" t="s">
        <v>6206</v>
      </c>
      <c r="K5396">
        <v>1</v>
      </c>
      <c r="L5396">
        <v>4</v>
      </c>
      <c r="M5396" t="s">
        <v>1</v>
      </c>
      <c r="N5396" s="3">
        <v>0.37</v>
      </c>
      <c r="O5396" s="3">
        <v>0.63</v>
      </c>
      <c r="P5396">
        <v>12</v>
      </c>
      <c r="Q5396">
        <v>15</v>
      </c>
      <c r="R5396">
        <v>7</v>
      </c>
      <c r="S5396">
        <v>3</v>
      </c>
      <c r="T5396">
        <v>11</v>
      </c>
      <c r="U5396">
        <v>9</v>
      </c>
      <c r="V5396">
        <v>2</v>
      </c>
      <c r="W5396">
        <v>5</v>
      </c>
      <c r="X5396">
        <v>0</v>
      </c>
      <c r="Y5396">
        <v>0</v>
      </c>
      <c r="Z5396">
        <v>1</v>
      </c>
    </row>
    <row r="5397" spans="1:26" x14ac:dyDescent="0.2">
      <c r="A5397" t="s">
        <v>5515</v>
      </c>
      <c r="B5397" t="s">
        <v>76</v>
      </c>
      <c r="C5397">
        <v>2023</v>
      </c>
      <c r="D5397" t="s">
        <v>79</v>
      </c>
      <c r="E5397" t="s">
        <v>94</v>
      </c>
      <c r="F5397" t="s">
        <v>20</v>
      </c>
      <c r="G5397">
        <v>25486</v>
      </c>
      <c r="H5397">
        <v>20388.800000000003</v>
      </c>
      <c r="I5397" s="13">
        <v>0</v>
      </c>
      <c r="J5397" t="s">
        <v>6207</v>
      </c>
      <c r="K5397">
        <v>0</v>
      </c>
      <c r="L5397">
        <v>0</v>
      </c>
      <c r="M5397" t="s">
        <v>58</v>
      </c>
      <c r="N5397" s="3">
        <v>0.52</v>
      </c>
      <c r="O5397" s="3">
        <v>0.48</v>
      </c>
      <c r="P5397">
        <v>14</v>
      </c>
      <c r="Q5397">
        <v>7</v>
      </c>
      <c r="R5397">
        <v>3</v>
      </c>
      <c r="S5397">
        <v>7</v>
      </c>
      <c r="T5397">
        <v>7</v>
      </c>
      <c r="U5397">
        <v>12</v>
      </c>
      <c r="V5397">
        <v>0</v>
      </c>
      <c r="W5397">
        <v>1</v>
      </c>
      <c r="X5397">
        <v>0</v>
      </c>
      <c r="Y5397">
        <v>0</v>
      </c>
      <c r="Z5397">
        <v>0</v>
      </c>
    </row>
    <row r="5398" spans="1:26" x14ac:dyDescent="0.2">
      <c r="A5398" t="s">
        <v>5516</v>
      </c>
      <c r="B5398" t="s">
        <v>99</v>
      </c>
      <c r="C5398">
        <v>2023</v>
      </c>
      <c r="D5398" t="s">
        <v>22</v>
      </c>
      <c r="E5398" t="s">
        <v>42</v>
      </c>
      <c r="F5398" t="s">
        <v>24</v>
      </c>
      <c r="G5398">
        <v>31750</v>
      </c>
      <c r="H5398">
        <v>25400</v>
      </c>
      <c r="I5398" s="13">
        <v>0.5</v>
      </c>
      <c r="J5398" t="s">
        <v>6207</v>
      </c>
      <c r="K5398">
        <v>1</v>
      </c>
      <c r="L5398">
        <v>1</v>
      </c>
      <c r="M5398" t="s">
        <v>58</v>
      </c>
      <c r="N5398" s="3">
        <v>0.46</v>
      </c>
      <c r="O5398" s="3">
        <v>0.54</v>
      </c>
      <c r="P5398">
        <v>10</v>
      </c>
      <c r="Q5398">
        <v>22</v>
      </c>
      <c r="R5398">
        <v>2</v>
      </c>
      <c r="S5398">
        <v>10</v>
      </c>
      <c r="T5398">
        <v>19</v>
      </c>
      <c r="U5398">
        <v>9</v>
      </c>
      <c r="V5398">
        <v>3</v>
      </c>
      <c r="W5398">
        <v>2</v>
      </c>
      <c r="X5398">
        <v>1</v>
      </c>
      <c r="Y5398">
        <v>0</v>
      </c>
      <c r="Z5398">
        <v>0</v>
      </c>
    </row>
    <row r="5399" spans="1:26" x14ac:dyDescent="0.2">
      <c r="A5399" t="s">
        <v>5517</v>
      </c>
      <c r="B5399" t="s">
        <v>97</v>
      </c>
      <c r="C5399">
        <v>2023</v>
      </c>
      <c r="D5399" t="s">
        <v>23</v>
      </c>
      <c r="E5399" t="s">
        <v>64</v>
      </c>
      <c r="F5399" t="s">
        <v>20</v>
      </c>
      <c r="G5399">
        <v>62500</v>
      </c>
      <c r="H5399">
        <v>50000</v>
      </c>
      <c r="I5399" s="13">
        <v>0.83333333333333337</v>
      </c>
      <c r="J5399" t="s">
        <v>6207</v>
      </c>
      <c r="K5399">
        <v>2</v>
      </c>
      <c r="L5399">
        <v>2</v>
      </c>
      <c r="M5399" t="s">
        <v>58</v>
      </c>
      <c r="N5399" s="3">
        <v>0.35</v>
      </c>
      <c r="O5399" s="3">
        <v>0.65</v>
      </c>
      <c r="P5399">
        <v>19</v>
      </c>
      <c r="Q5399">
        <v>13</v>
      </c>
      <c r="R5399">
        <v>4</v>
      </c>
      <c r="S5399">
        <v>2</v>
      </c>
      <c r="T5399">
        <v>11</v>
      </c>
      <c r="U5399">
        <v>18</v>
      </c>
      <c r="V5399">
        <v>3</v>
      </c>
      <c r="W5399">
        <v>3</v>
      </c>
      <c r="X5399">
        <v>0</v>
      </c>
      <c r="Y5399">
        <v>0</v>
      </c>
      <c r="Z5399">
        <v>0</v>
      </c>
    </row>
    <row r="5400" spans="1:26" x14ac:dyDescent="0.2">
      <c r="A5400" t="s">
        <v>5518</v>
      </c>
      <c r="B5400" t="s">
        <v>61</v>
      </c>
      <c r="C5400">
        <v>2023</v>
      </c>
      <c r="D5400" t="s">
        <v>90</v>
      </c>
      <c r="E5400" t="s">
        <v>26</v>
      </c>
      <c r="F5400" t="s">
        <v>91</v>
      </c>
      <c r="G5400">
        <v>31876</v>
      </c>
      <c r="H5400">
        <v>25500.800000000003</v>
      </c>
      <c r="I5400" s="13">
        <v>0.75</v>
      </c>
      <c r="J5400" t="s">
        <v>6207</v>
      </c>
      <c r="K5400">
        <v>2</v>
      </c>
      <c r="L5400">
        <v>2</v>
      </c>
      <c r="M5400" t="s">
        <v>58</v>
      </c>
      <c r="N5400" s="3">
        <v>0.46</v>
      </c>
      <c r="O5400" s="3">
        <v>0.54</v>
      </c>
      <c r="P5400">
        <v>20</v>
      </c>
      <c r="Q5400">
        <v>12</v>
      </c>
      <c r="R5400">
        <v>8</v>
      </c>
      <c r="S5400">
        <v>1</v>
      </c>
      <c r="T5400">
        <v>12</v>
      </c>
      <c r="U5400">
        <v>20</v>
      </c>
      <c r="V5400">
        <v>2</v>
      </c>
      <c r="W5400">
        <v>2</v>
      </c>
      <c r="X5400">
        <v>0</v>
      </c>
      <c r="Y5400">
        <v>0</v>
      </c>
      <c r="Z5400">
        <v>1</v>
      </c>
    </row>
    <row r="5401" spans="1:26" x14ac:dyDescent="0.2">
      <c r="A5401" t="s">
        <v>5519</v>
      </c>
      <c r="B5401" t="s">
        <v>66</v>
      </c>
      <c r="C5401">
        <v>2023</v>
      </c>
      <c r="D5401" t="s">
        <v>46</v>
      </c>
      <c r="E5401" t="s">
        <v>40</v>
      </c>
      <c r="F5401" t="s">
        <v>20</v>
      </c>
      <c r="G5401">
        <v>60704</v>
      </c>
      <c r="H5401">
        <v>48563.200000000004</v>
      </c>
      <c r="I5401" s="13">
        <v>1</v>
      </c>
      <c r="J5401" t="s">
        <v>6207</v>
      </c>
      <c r="K5401">
        <v>1</v>
      </c>
      <c r="L5401">
        <v>0</v>
      </c>
      <c r="M5401" t="s">
        <v>0</v>
      </c>
      <c r="N5401" s="3">
        <v>0.49</v>
      </c>
      <c r="O5401" s="3">
        <v>0.51</v>
      </c>
      <c r="P5401">
        <v>8</v>
      </c>
      <c r="Q5401">
        <v>10</v>
      </c>
      <c r="R5401">
        <v>5</v>
      </c>
      <c r="S5401">
        <v>4</v>
      </c>
      <c r="T5401">
        <v>8</v>
      </c>
      <c r="U5401">
        <v>7</v>
      </c>
      <c r="V5401">
        <v>2</v>
      </c>
      <c r="W5401">
        <v>3</v>
      </c>
      <c r="X5401">
        <v>0</v>
      </c>
      <c r="Y5401">
        <v>0</v>
      </c>
      <c r="Z5401">
        <v>0</v>
      </c>
    </row>
    <row r="5402" spans="1:26" x14ac:dyDescent="0.2">
      <c r="A5402" t="s">
        <v>5520</v>
      </c>
      <c r="B5402" t="s">
        <v>76</v>
      </c>
      <c r="C5402">
        <v>2023</v>
      </c>
      <c r="D5402" t="s">
        <v>26</v>
      </c>
      <c r="E5402" t="s">
        <v>45</v>
      </c>
      <c r="F5402" t="s">
        <v>26</v>
      </c>
      <c r="G5402">
        <v>61276</v>
      </c>
      <c r="H5402">
        <v>49020.800000000003</v>
      </c>
      <c r="I5402" s="13">
        <v>0.25</v>
      </c>
      <c r="J5402" t="s">
        <v>6207</v>
      </c>
      <c r="K5402">
        <v>2</v>
      </c>
      <c r="L5402">
        <v>0</v>
      </c>
      <c r="M5402" t="s">
        <v>0</v>
      </c>
      <c r="N5402" s="3">
        <v>0.77</v>
      </c>
      <c r="O5402" s="3">
        <v>0.23</v>
      </c>
      <c r="P5402">
        <v>7</v>
      </c>
      <c r="Q5402">
        <v>8</v>
      </c>
      <c r="R5402">
        <v>12</v>
      </c>
      <c r="S5402">
        <v>4</v>
      </c>
      <c r="T5402">
        <v>9</v>
      </c>
      <c r="U5402">
        <v>9</v>
      </c>
      <c r="V5402">
        <v>1</v>
      </c>
      <c r="W5402">
        <v>2</v>
      </c>
      <c r="X5402">
        <v>0</v>
      </c>
      <c r="Y5402">
        <v>1</v>
      </c>
      <c r="Z5402">
        <v>1</v>
      </c>
    </row>
    <row r="5403" spans="1:26" x14ac:dyDescent="0.2">
      <c r="A5403" t="s">
        <v>5521</v>
      </c>
      <c r="B5403" t="s">
        <v>111</v>
      </c>
      <c r="C5403">
        <v>2023</v>
      </c>
      <c r="D5403" t="s">
        <v>94</v>
      </c>
      <c r="E5403" t="s">
        <v>110</v>
      </c>
      <c r="F5403" t="s">
        <v>106</v>
      </c>
      <c r="G5403">
        <v>30445</v>
      </c>
      <c r="H5403">
        <v>24356</v>
      </c>
      <c r="I5403" s="13">
        <v>0.66666666666666663</v>
      </c>
      <c r="J5403" t="s">
        <v>6207</v>
      </c>
      <c r="K5403">
        <v>2</v>
      </c>
      <c r="L5403">
        <v>2</v>
      </c>
      <c r="M5403" t="s">
        <v>58</v>
      </c>
      <c r="N5403" s="3">
        <v>0.56999999999999995</v>
      </c>
      <c r="O5403" s="3">
        <v>0.43</v>
      </c>
      <c r="P5403">
        <v>11</v>
      </c>
      <c r="Q5403">
        <v>14</v>
      </c>
      <c r="R5403">
        <v>4</v>
      </c>
      <c r="S5403">
        <v>2</v>
      </c>
      <c r="T5403">
        <v>12</v>
      </c>
      <c r="U5403">
        <v>11</v>
      </c>
      <c r="V5403">
        <v>3</v>
      </c>
      <c r="W5403">
        <v>0</v>
      </c>
      <c r="X5403">
        <v>0</v>
      </c>
      <c r="Y5403">
        <v>0</v>
      </c>
      <c r="Z5403">
        <v>0</v>
      </c>
    </row>
    <row r="5404" spans="1:26" x14ac:dyDescent="0.2">
      <c r="A5404" t="s">
        <v>5522</v>
      </c>
      <c r="B5404" t="s">
        <v>98</v>
      </c>
      <c r="C5404">
        <v>2023</v>
      </c>
      <c r="D5404" t="s">
        <v>64</v>
      </c>
      <c r="E5404" t="s">
        <v>79</v>
      </c>
      <c r="F5404" t="s">
        <v>64</v>
      </c>
      <c r="G5404">
        <v>52264</v>
      </c>
      <c r="H5404">
        <v>41811.200000000004</v>
      </c>
      <c r="I5404" s="13">
        <v>0.4</v>
      </c>
      <c r="J5404" t="s">
        <v>6208</v>
      </c>
      <c r="K5404">
        <v>4</v>
      </c>
      <c r="L5404">
        <v>0</v>
      </c>
      <c r="M5404" t="s">
        <v>0</v>
      </c>
      <c r="N5404" s="3">
        <v>0.6</v>
      </c>
      <c r="O5404" s="3">
        <v>0.4</v>
      </c>
      <c r="P5404">
        <v>13</v>
      </c>
      <c r="Q5404">
        <v>7</v>
      </c>
      <c r="R5404">
        <v>6</v>
      </c>
      <c r="S5404">
        <v>8</v>
      </c>
      <c r="T5404">
        <v>7</v>
      </c>
      <c r="U5404">
        <v>12</v>
      </c>
      <c r="V5404">
        <v>2</v>
      </c>
      <c r="W5404">
        <v>3</v>
      </c>
      <c r="X5404">
        <v>0</v>
      </c>
      <c r="Y5404">
        <v>0</v>
      </c>
      <c r="Z5404">
        <v>0</v>
      </c>
    </row>
    <row r="5405" spans="1:26" x14ac:dyDescent="0.2">
      <c r="A5405" t="s">
        <v>5523</v>
      </c>
      <c r="B5405" t="s">
        <v>99</v>
      </c>
      <c r="C5405">
        <v>2023</v>
      </c>
      <c r="D5405" t="s">
        <v>40</v>
      </c>
      <c r="E5405" t="s">
        <v>90</v>
      </c>
      <c r="F5405" t="s">
        <v>49</v>
      </c>
      <c r="G5405">
        <v>53400</v>
      </c>
      <c r="H5405">
        <v>42720</v>
      </c>
      <c r="I5405" s="13">
        <v>0.33333333333333331</v>
      </c>
      <c r="J5405" t="s">
        <v>6207</v>
      </c>
      <c r="K5405">
        <v>2</v>
      </c>
      <c r="L5405">
        <v>1</v>
      </c>
      <c r="M5405" t="s">
        <v>0</v>
      </c>
      <c r="N5405" s="3">
        <v>0.55000000000000004</v>
      </c>
      <c r="O5405" s="3">
        <v>0.45</v>
      </c>
      <c r="P5405">
        <v>12</v>
      </c>
      <c r="Q5405">
        <v>11</v>
      </c>
      <c r="R5405">
        <v>2</v>
      </c>
      <c r="S5405">
        <v>2</v>
      </c>
      <c r="T5405">
        <v>9</v>
      </c>
      <c r="U5405">
        <v>11</v>
      </c>
      <c r="V5405">
        <v>3</v>
      </c>
      <c r="W5405">
        <v>2</v>
      </c>
      <c r="X5405">
        <v>1</v>
      </c>
      <c r="Y5405">
        <v>0</v>
      </c>
      <c r="Z5405">
        <v>0</v>
      </c>
    </row>
    <row r="5406" spans="1:26" x14ac:dyDescent="0.2">
      <c r="A5406" t="s">
        <v>5524</v>
      </c>
      <c r="B5406" t="s">
        <v>109</v>
      </c>
      <c r="C5406">
        <v>2023</v>
      </c>
      <c r="D5406" t="s">
        <v>101</v>
      </c>
      <c r="E5406" t="s">
        <v>28</v>
      </c>
      <c r="F5406" t="s">
        <v>101</v>
      </c>
      <c r="G5406">
        <v>17250</v>
      </c>
      <c r="H5406">
        <v>13800</v>
      </c>
      <c r="I5406" s="13">
        <v>0.7</v>
      </c>
      <c r="J5406" t="s">
        <v>6209</v>
      </c>
      <c r="K5406">
        <v>3</v>
      </c>
      <c r="L5406">
        <v>0</v>
      </c>
      <c r="M5406" t="s">
        <v>0</v>
      </c>
      <c r="N5406" s="3">
        <v>0.5</v>
      </c>
      <c r="O5406" s="3">
        <v>0.5</v>
      </c>
      <c r="P5406">
        <v>14</v>
      </c>
      <c r="Q5406">
        <v>16</v>
      </c>
      <c r="R5406">
        <v>5</v>
      </c>
      <c r="S5406">
        <v>5</v>
      </c>
      <c r="T5406">
        <v>14</v>
      </c>
      <c r="U5406">
        <v>12</v>
      </c>
      <c r="V5406">
        <v>6</v>
      </c>
      <c r="W5406">
        <v>3</v>
      </c>
      <c r="X5406">
        <v>0</v>
      </c>
      <c r="Y5406">
        <v>1</v>
      </c>
      <c r="Z5406">
        <v>0</v>
      </c>
    </row>
    <row r="5407" spans="1:26" x14ac:dyDescent="0.2">
      <c r="A5407" t="s">
        <v>5525</v>
      </c>
      <c r="B5407" t="s">
        <v>81</v>
      </c>
      <c r="C5407">
        <v>2023</v>
      </c>
      <c r="D5407" t="s">
        <v>86</v>
      </c>
      <c r="E5407" t="s">
        <v>22</v>
      </c>
      <c r="F5407" t="s">
        <v>86</v>
      </c>
      <c r="G5407">
        <v>11364</v>
      </c>
      <c r="H5407">
        <v>9091.2000000000007</v>
      </c>
      <c r="I5407" s="13">
        <v>0.55555555555555558</v>
      </c>
      <c r="J5407" t="s">
        <v>6207</v>
      </c>
      <c r="K5407">
        <v>1</v>
      </c>
      <c r="L5407">
        <v>2</v>
      </c>
      <c r="M5407" t="s">
        <v>1</v>
      </c>
      <c r="N5407" s="3">
        <v>0.34</v>
      </c>
      <c r="O5407" s="3">
        <v>0.66</v>
      </c>
      <c r="P5407">
        <v>11</v>
      </c>
      <c r="Q5407">
        <v>15</v>
      </c>
      <c r="R5407">
        <v>3</v>
      </c>
      <c r="S5407">
        <v>12</v>
      </c>
      <c r="T5407">
        <v>15</v>
      </c>
      <c r="U5407">
        <v>10</v>
      </c>
      <c r="V5407">
        <v>2</v>
      </c>
      <c r="W5407">
        <v>6</v>
      </c>
      <c r="X5407">
        <v>1</v>
      </c>
      <c r="Y5407">
        <v>0</v>
      </c>
      <c r="Z5407">
        <v>0</v>
      </c>
    </row>
    <row r="5408" spans="1:26" x14ac:dyDescent="0.2">
      <c r="A5408" t="s">
        <v>5526</v>
      </c>
      <c r="B5408" t="s">
        <v>88</v>
      </c>
      <c r="C5408">
        <v>2023</v>
      </c>
      <c r="D5408" t="s">
        <v>18</v>
      </c>
      <c r="E5408" t="s">
        <v>46</v>
      </c>
      <c r="F5408" t="s">
        <v>20</v>
      </c>
      <c r="G5408">
        <v>40341</v>
      </c>
      <c r="H5408">
        <v>32272.800000000003</v>
      </c>
      <c r="I5408" s="13">
        <v>0.5</v>
      </c>
      <c r="J5408" t="s">
        <v>6207</v>
      </c>
      <c r="K5408">
        <v>2</v>
      </c>
      <c r="L5408">
        <v>2</v>
      </c>
      <c r="M5408" t="s">
        <v>58</v>
      </c>
      <c r="N5408" s="3">
        <v>0.43</v>
      </c>
      <c r="O5408" s="3">
        <v>0.56999999999999995</v>
      </c>
      <c r="P5408">
        <v>14</v>
      </c>
      <c r="Q5408">
        <v>9</v>
      </c>
      <c r="R5408">
        <v>2</v>
      </c>
      <c r="S5408">
        <v>7</v>
      </c>
      <c r="T5408">
        <v>7</v>
      </c>
      <c r="U5408">
        <v>14</v>
      </c>
      <c r="V5408">
        <v>3</v>
      </c>
      <c r="W5408">
        <v>3</v>
      </c>
      <c r="X5408">
        <v>0</v>
      </c>
      <c r="Y5408">
        <v>0</v>
      </c>
      <c r="Z5408">
        <v>1</v>
      </c>
    </row>
    <row r="5409" spans="1:26" x14ac:dyDescent="0.2">
      <c r="A5409" t="s">
        <v>5527</v>
      </c>
      <c r="B5409" t="s">
        <v>66</v>
      </c>
      <c r="C5409">
        <v>2023</v>
      </c>
      <c r="D5409" t="s">
        <v>95</v>
      </c>
      <c r="E5409" t="s">
        <v>48</v>
      </c>
      <c r="F5409" t="s">
        <v>57</v>
      </c>
      <c r="G5409">
        <v>32050</v>
      </c>
      <c r="H5409">
        <v>25640</v>
      </c>
      <c r="I5409" s="13">
        <v>0.25</v>
      </c>
      <c r="J5409" t="s">
        <v>6207</v>
      </c>
      <c r="K5409">
        <v>1</v>
      </c>
      <c r="L5409">
        <v>2</v>
      </c>
      <c r="M5409" t="s">
        <v>1</v>
      </c>
      <c r="N5409" s="3">
        <v>0.38</v>
      </c>
      <c r="O5409" s="3">
        <v>0.62</v>
      </c>
      <c r="P5409">
        <v>14</v>
      </c>
      <c r="Q5409">
        <v>15</v>
      </c>
      <c r="R5409">
        <v>5</v>
      </c>
      <c r="S5409">
        <v>4</v>
      </c>
      <c r="T5409">
        <v>12</v>
      </c>
      <c r="U5409">
        <v>10</v>
      </c>
      <c r="V5409">
        <v>3</v>
      </c>
      <c r="W5409">
        <v>1</v>
      </c>
      <c r="X5409">
        <v>0</v>
      </c>
      <c r="Y5409">
        <v>0</v>
      </c>
      <c r="Z5409">
        <v>1</v>
      </c>
    </row>
    <row r="5410" spans="1:26" x14ac:dyDescent="0.2">
      <c r="A5410" t="s">
        <v>5528</v>
      </c>
      <c r="B5410" t="s">
        <v>93</v>
      </c>
      <c r="C5410">
        <v>2023</v>
      </c>
      <c r="D5410" t="s">
        <v>42</v>
      </c>
      <c r="E5410" t="s">
        <v>23</v>
      </c>
      <c r="F5410" t="s">
        <v>38</v>
      </c>
      <c r="G5410">
        <v>42918</v>
      </c>
      <c r="H5410">
        <v>34334.400000000001</v>
      </c>
      <c r="I5410" s="13">
        <v>1</v>
      </c>
      <c r="J5410" t="s">
        <v>6206</v>
      </c>
      <c r="K5410">
        <v>4</v>
      </c>
      <c r="L5410">
        <v>1</v>
      </c>
      <c r="M5410" t="s">
        <v>0</v>
      </c>
      <c r="N5410" s="3">
        <v>0.57999999999999996</v>
      </c>
      <c r="O5410" s="3">
        <v>0.42</v>
      </c>
      <c r="P5410">
        <v>18</v>
      </c>
      <c r="Q5410">
        <v>10</v>
      </c>
      <c r="R5410">
        <v>8</v>
      </c>
      <c r="S5410">
        <v>7</v>
      </c>
      <c r="T5410">
        <v>8</v>
      </c>
      <c r="U5410">
        <v>15</v>
      </c>
      <c r="V5410">
        <v>0</v>
      </c>
      <c r="W5410">
        <v>1</v>
      </c>
      <c r="X5410">
        <v>0</v>
      </c>
      <c r="Y5410">
        <v>0</v>
      </c>
      <c r="Z5410">
        <v>1</v>
      </c>
    </row>
    <row r="5411" spans="1:26" x14ac:dyDescent="0.2">
      <c r="A5411" t="s">
        <v>5529</v>
      </c>
      <c r="B5411" t="s">
        <v>61</v>
      </c>
      <c r="C5411">
        <v>2023</v>
      </c>
      <c r="D5411" t="s">
        <v>51</v>
      </c>
      <c r="E5411" t="s">
        <v>31</v>
      </c>
      <c r="F5411" t="s">
        <v>20</v>
      </c>
      <c r="G5411">
        <v>36284</v>
      </c>
      <c r="H5411">
        <v>29027.200000000001</v>
      </c>
      <c r="I5411" s="13">
        <v>1</v>
      </c>
      <c r="J5411" t="s">
        <v>6207</v>
      </c>
      <c r="K5411">
        <v>2</v>
      </c>
      <c r="L5411">
        <v>0</v>
      </c>
      <c r="M5411" t="s">
        <v>0</v>
      </c>
      <c r="N5411" s="3">
        <v>0.56000000000000005</v>
      </c>
      <c r="O5411" s="3">
        <v>0.44</v>
      </c>
      <c r="P5411">
        <v>20</v>
      </c>
      <c r="Q5411">
        <v>14</v>
      </c>
      <c r="R5411">
        <v>3</v>
      </c>
      <c r="S5411">
        <v>5</v>
      </c>
      <c r="T5411">
        <v>10</v>
      </c>
      <c r="U5411">
        <v>14</v>
      </c>
      <c r="V5411">
        <v>2</v>
      </c>
      <c r="W5411">
        <v>0</v>
      </c>
      <c r="X5411">
        <v>0</v>
      </c>
      <c r="Y5411">
        <v>0</v>
      </c>
      <c r="Z5411">
        <v>0</v>
      </c>
    </row>
    <row r="5412" spans="1:26" x14ac:dyDescent="0.2">
      <c r="A5412" t="s">
        <v>5530</v>
      </c>
      <c r="B5412" t="s">
        <v>92</v>
      </c>
      <c r="C5412">
        <v>2023</v>
      </c>
      <c r="D5412" t="s">
        <v>79</v>
      </c>
      <c r="E5412" t="s">
        <v>51</v>
      </c>
      <c r="F5412" t="s">
        <v>20</v>
      </c>
      <c r="G5412">
        <v>25486</v>
      </c>
      <c r="H5412">
        <v>20388.800000000003</v>
      </c>
      <c r="I5412" s="13">
        <v>0.66666666666666663</v>
      </c>
      <c r="J5412" t="s">
        <v>6207</v>
      </c>
      <c r="K5412">
        <v>1</v>
      </c>
      <c r="L5412">
        <v>2</v>
      </c>
      <c r="M5412" t="s">
        <v>1</v>
      </c>
      <c r="N5412" s="3">
        <v>0.24</v>
      </c>
      <c r="O5412" s="3">
        <v>0.76</v>
      </c>
      <c r="P5412">
        <v>14</v>
      </c>
      <c r="Q5412">
        <v>21</v>
      </c>
      <c r="R5412">
        <v>11</v>
      </c>
      <c r="S5412">
        <v>2</v>
      </c>
      <c r="T5412">
        <v>19</v>
      </c>
      <c r="U5412">
        <v>11</v>
      </c>
      <c r="V5412">
        <v>2</v>
      </c>
      <c r="W5412">
        <v>1</v>
      </c>
      <c r="X5412">
        <v>0</v>
      </c>
      <c r="Y5412">
        <v>0</v>
      </c>
      <c r="Z5412">
        <v>0</v>
      </c>
    </row>
    <row r="5413" spans="1:26" x14ac:dyDescent="0.2">
      <c r="A5413" t="s">
        <v>5531</v>
      </c>
      <c r="B5413" t="s">
        <v>84</v>
      </c>
      <c r="C5413">
        <v>2023</v>
      </c>
      <c r="D5413" t="s">
        <v>18</v>
      </c>
      <c r="E5413" t="s">
        <v>101</v>
      </c>
      <c r="F5413" t="s">
        <v>20</v>
      </c>
      <c r="G5413">
        <v>40341</v>
      </c>
      <c r="H5413">
        <v>32272.800000000003</v>
      </c>
      <c r="I5413" s="13">
        <v>1</v>
      </c>
      <c r="J5413" t="s">
        <v>6208</v>
      </c>
      <c r="K5413">
        <v>0</v>
      </c>
      <c r="L5413">
        <v>2</v>
      </c>
      <c r="M5413" t="s">
        <v>1</v>
      </c>
      <c r="N5413" s="3">
        <v>0.69</v>
      </c>
      <c r="O5413" s="3">
        <v>0.31</v>
      </c>
      <c r="P5413">
        <v>7</v>
      </c>
      <c r="Q5413">
        <v>12</v>
      </c>
      <c r="R5413">
        <v>10</v>
      </c>
      <c r="S5413">
        <v>1</v>
      </c>
      <c r="T5413">
        <v>12</v>
      </c>
      <c r="U5413">
        <v>7</v>
      </c>
      <c r="V5413">
        <v>1</v>
      </c>
      <c r="W5413">
        <v>4</v>
      </c>
      <c r="X5413">
        <v>0</v>
      </c>
      <c r="Y5413">
        <v>0</v>
      </c>
      <c r="Z5413">
        <v>0</v>
      </c>
    </row>
    <row r="5414" spans="1:26" x14ac:dyDescent="0.2">
      <c r="A5414" t="s">
        <v>5532</v>
      </c>
      <c r="B5414" t="s">
        <v>111</v>
      </c>
      <c r="C5414">
        <v>2023</v>
      </c>
      <c r="D5414" t="s">
        <v>86</v>
      </c>
      <c r="E5414" t="s">
        <v>28</v>
      </c>
      <c r="F5414" t="s">
        <v>86</v>
      </c>
      <c r="G5414">
        <v>11364</v>
      </c>
      <c r="H5414">
        <v>9091.2000000000007</v>
      </c>
      <c r="I5414" s="13">
        <v>0.6</v>
      </c>
      <c r="J5414" t="s">
        <v>6207</v>
      </c>
      <c r="K5414">
        <v>2</v>
      </c>
      <c r="L5414">
        <v>1</v>
      </c>
      <c r="M5414" t="s">
        <v>0</v>
      </c>
      <c r="N5414" s="3">
        <v>0.45</v>
      </c>
      <c r="O5414" s="3">
        <v>0.55000000000000004</v>
      </c>
      <c r="P5414">
        <v>13</v>
      </c>
      <c r="Q5414">
        <v>12</v>
      </c>
      <c r="R5414">
        <v>10</v>
      </c>
      <c r="S5414">
        <v>5</v>
      </c>
      <c r="T5414">
        <v>9</v>
      </c>
      <c r="U5414">
        <v>12</v>
      </c>
      <c r="V5414">
        <v>2</v>
      </c>
      <c r="W5414">
        <v>3</v>
      </c>
      <c r="X5414">
        <v>0</v>
      </c>
      <c r="Y5414">
        <v>0</v>
      </c>
      <c r="Z5414">
        <v>0</v>
      </c>
    </row>
    <row r="5415" spans="1:26" x14ac:dyDescent="0.2">
      <c r="A5415" t="s">
        <v>5533</v>
      </c>
      <c r="B5415" t="s">
        <v>98</v>
      </c>
      <c r="C5415">
        <v>2023</v>
      </c>
      <c r="D5415" t="s">
        <v>46</v>
      </c>
      <c r="E5415" t="s">
        <v>95</v>
      </c>
      <c r="F5415" t="s">
        <v>20</v>
      </c>
      <c r="G5415">
        <v>60704</v>
      </c>
      <c r="H5415">
        <v>48563.200000000004</v>
      </c>
      <c r="I5415" s="13">
        <v>0</v>
      </c>
      <c r="J5415" t="s">
        <v>6208</v>
      </c>
      <c r="K5415">
        <v>5</v>
      </c>
      <c r="L5415">
        <v>0</v>
      </c>
      <c r="M5415" t="s">
        <v>0</v>
      </c>
      <c r="N5415" s="3">
        <v>0.67</v>
      </c>
      <c r="O5415" s="3">
        <v>0.33</v>
      </c>
      <c r="P5415">
        <v>12</v>
      </c>
      <c r="Q5415">
        <v>10</v>
      </c>
      <c r="R5415">
        <v>6</v>
      </c>
      <c r="S5415">
        <v>1</v>
      </c>
      <c r="T5415">
        <v>9</v>
      </c>
      <c r="U5415">
        <v>13</v>
      </c>
      <c r="V5415">
        <v>0</v>
      </c>
      <c r="W5415">
        <v>3</v>
      </c>
      <c r="X5415">
        <v>0</v>
      </c>
      <c r="Y5415">
        <v>0</v>
      </c>
      <c r="Z5415">
        <v>1</v>
      </c>
    </row>
    <row r="5416" spans="1:26" x14ac:dyDescent="0.2">
      <c r="A5416" t="s">
        <v>5534</v>
      </c>
      <c r="B5416" t="s">
        <v>61</v>
      </c>
      <c r="C5416">
        <v>2023</v>
      </c>
      <c r="D5416" t="s">
        <v>22</v>
      </c>
      <c r="E5416" t="s">
        <v>64</v>
      </c>
      <c r="F5416" t="s">
        <v>24</v>
      </c>
      <c r="G5416">
        <v>31750</v>
      </c>
      <c r="H5416">
        <v>25400</v>
      </c>
      <c r="I5416" s="13">
        <v>0.2</v>
      </c>
      <c r="J5416" t="s">
        <v>6207</v>
      </c>
      <c r="K5416">
        <v>2</v>
      </c>
      <c r="L5416">
        <v>2</v>
      </c>
      <c r="M5416" t="s">
        <v>58</v>
      </c>
      <c r="N5416" s="3">
        <v>0.43</v>
      </c>
      <c r="O5416" s="3">
        <v>0.56999999999999995</v>
      </c>
      <c r="P5416">
        <v>15</v>
      </c>
      <c r="Q5416">
        <v>15</v>
      </c>
      <c r="R5416">
        <v>8</v>
      </c>
      <c r="S5416">
        <v>7</v>
      </c>
      <c r="T5416">
        <v>13</v>
      </c>
      <c r="U5416">
        <v>15</v>
      </c>
      <c r="V5416">
        <v>1</v>
      </c>
      <c r="W5416">
        <v>4</v>
      </c>
      <c r="X5416">
        <v>0</v>
      </c>
      <c r="Y5416">
        <v>0</v>
      </c>
      <c r="Z5416">
        <v>1</v>
      </c>
    </row>
    <row r="5417" spans="1:26" x14ac:dyDescent="0.2">
      <c r="A5417" t="s">
        <v>5535</v>
      </c>
      <c r="B5417" t="s">
        <v>59</v>
      </c>
      <c r="C5417">
        <v>2023</v>
      </c>
      <c r="D5417" t="s">
        <v>23</v>
      </c>
      <c r="E5417" t="s">
        <v>45</v>
      </c>
      <c r="F5417" t="s">
        <v>20</v>
      </c>
      <c r="G5417">
        <v>62500</v>
      </c>
      <c r="H5417">
        <v>50000</v>
      </c>
      <c r="I5417" s="13">
        <v>0.8</v>
      </c>
      <c r="J5417" t="s">
        <v>6206</v>
      </c>
      <c r="K5417">
        <v>0</v>
      </c>
      <c r="L5417">
        <v>1</v>
      </c>
      <c r="M5417" t="s">
        <v>1</v>
      </c>
      <c r="N5417" s="3">
        <v>0.64</v>
      </c>
      <c r="O5417" s="3">
        <v>0.36</v>
      </c>
      <c r="P5417">
        <v>14</v>
      </c>
      <c r="Q5417">
        <v>8</v>
      </c>
      <c r="R5417">
        <v>4</v>
      </c>
      <c r="S5417">
        <v>3</v>
      </c>
      <c r="T5417">
        <v>7</v>
      </c>
      <c r="U5417">
        <v>11</v>
      </c>
      <c r="V5417">
        <v>4</v>
      </c>
      <c r="W5417">
        <v>1</v>
      </c>
      <c r="X5417">
        <v>0</v>
      </c>
      <c r="Y5417">
        <v>0</v>
      </c>
      <c r="Z5417">
        <v>0</v>
      </c>
    </row>
    <row r="5418" spans="1:26" x14ac:dyDescent="0.2">
      <c r="A5418" t="s">
        <v>5536</v>
      </c>
      <c r="B5418" t="s">
        <v>88</v>
      </c>
      <c r="C5418">
        <v>2023</v>
      </c>
      <c r="D5418" t="s">
        <v>26</v>
      </c>
      <c r="E5418" t="s">
        <v>94</v>
      </c>
      <c r="F5418" t="s">
        <v>26</v>
      </c>
      <c r="G5418">
        <v>61276</v>
      </c>
      <c r="H5418">
        <v>49020.800000000003</v>
      </c>
      <c r="I5418" s="13">
        <v>0.8</v>
      </c>
      <c r="J5418" t="s">
        <v>6207</v>
      </c>
      <c r="K5418">
        <v>3</v>
      </c>
      <c r="L5418">
        <v>0</v>
      </c>
      <c r="M5418" t="s">
        <v>0</v>
      </c>
      <c r="N5418" s="3">
        <v>0.73</v>
      </c>
      <c r="O5418" s="3">
        <v>0.27</v>
      </c>
      <c r="P5418">
        <v>16</v>
      </c>
      <c r="Q5418">
        <v>10</v>
      </c>
      <c r="R5418">
        <v>8</v>
      </c>
      <c r="S5418">
        <v>3</v>
      </c>
      <c r="T5418">
        <v>9</v>
      </c>
      <c r="U5418">
        <v>13</v>
      </c>
      <c r="V5418">
        <v>2</v>
      </c>
      <c r="W5418">
        <v>3</v>
      </c>
      <c r="X5418">
        <v>0</v>
      </c>
      <c r="Y5418">
        <v>0</v>
      </c>
      <c r="Z5418">
        <v>0</v>
      </c>
    </row>
    <row r="5419" spans="1:26" x14ac:dyDescent="0.2">
      <c r="A5419" t="s">
        <v>5537</v>
      </c>
      <c r="B5419" t="s">
        <v>103</v>
      </c>
      <c r="C5419">
        <v>2023</v>
      </c>
      <c r="D5419" t="s">
        <v>90</v>
      </c>
      <c r="E5419" t="s">
        <v>31</v>
      </c>
      <c r="F5419" t="s">
        <v>91</v>
      </c>
      <c r="G5419">
        <v>31876</v>
      </c>
      <c r="H5419">
        <v>25500.800000000003</v>
      </c>
      <c r="I5419" s="13">
        <v>0.66666666666666663</v>
      </c>
      <c r="J5419" t="s">
        <v>6207</v>
      </c>
      <c r="K5419">
        <v>1</v>
      </c>
      <c r="L5419">
        <v>1</v>
      </c>
      <c r="M5419" t="s">
        <v>58</v>
      </c>
      <c r="N5419" s="3">
        <v>0.71</v>
      </c>
      <c r="O5419" s="3">
        <v>0.28999999999999998</v>
      </c>
      <c r="P5419">
        <v>9</v>
      </c>
      <c r="Q5419">
        <v>12</v>
      </c>
      <c r="R5419">
        <v>7</v>
      </c>
      <c r="S5419">
        <v>3</v>
      </c>
      <c r="T5419">
        <v>12</v>
      </c>
      <c r="U5419">
        <v>8</v>
      </c>
      <c r="V5419">
        <v>0</v>
      </c>
      <c r="W5419">
        <v>3</v>
      </c>
      <c r="X5419">
        <v>0</v>
      </c>
      <c r="Y5419">
        <v>0</v>
      </c>
      <c r="Z5419">
        <v>0</v>
      </c>
    </row>
    <row r="5420" spans="1:26" x14ac:dyDescent="0.2">
      <c r="A5420" t="s">
        <v>5538</v>
      </c>
      <c r="B5420" t="s">
        <v>104</v>
      </c>
      <c r="C5420">
        <v>2023</v>
      </c>
      <c r="D5420" t="s">
        <v>42</v>
      </c>
      <c r="E5420" t="s">
        <v>110</v>
      </c>
      <c r="F5420" t="s">
        <v>38</v>
      </c>
      <c r="G5420">
        <v>42918</v>
      </c>
      <c r="H5420">
        <v>34334.400000000001</v>
      </c>
      <c r="I5420" s="13">
        <v>0.8</v>
      </c>
      <c r="J5420" t="s">
        <v>6206</v>
      </c>
      <c r="K5420">
        <v>3</v>
      </c>
      <c r="L5420">
        <v>1</v>
      </c>
      <c r="M5420" t="s">
        <v>0</v>
      </c>
      <c r="N5420" s="3">
        <v>0.71</v>
      </c>
      <c r="O5420" s="3">
        <v>0.28999999999999998</v>
      </c>
      <c r="P5420">
        <v>17</v>
      </c>
      <c r="Q5420">
        <v>11</v>
      </c>
      <c r="R5420">
        <v>6</v>
      </c>
      <c r="S5420">
        <v>4</v>
      </c>
      <c r="T5420">
        <v>11</v>
      </c>
      <c r="U5420">
        <v>10</v>
      </c>
      <c r="V5420">
        <v>3</v>
      </c>
      <c r="W5420">
        <v>2</v>
      </c>
      <c r="X5420">
        <v>0</v>
      </c>
      <c r="Y5420">
        <v>0</v>
      </c>
      <c r="Z5420">
        <v>0</v>
      </c>
    </row>
    <row r="5421" spans="1:26" x14ac:dyDescent="0.2">
      <c r="A5421" t="s">
        <v>5539</v>
      </c>
      <c r="B5421" t="s">
        <v>81</v>
      </c>
      <c r="C5421">
        <v>2023</v>
      </c>
      <c r="D5421" t="s">
        <v>48</v>
      </c>
      <c r="E5421" t="s">
        <v>40</v>
      </c>
      <c r="F5421" t="s">
        <v>49</v>
      </c>
      <c r="G5421">
        <v>74197</v>
      </c>
      <c r="H5421">
        <v>59357.600000000006</v>
      </c>
      <c r="I5421" s="13">
        <v>0.8</v>
      </c>
      <c r="J5421" t="s">
        <v>6207</v>
      </c>
      <c r="K5421">
        <v>0</v>
      </c>
      <c r="L5421">
        <v>3</v>
      </c>
      <c r="M5421" t="s">
        <v>1</v>
      </c>
      <c r="N5421" s="3">
        <v>0.4</v>
      </c>
      <c r="O5421" s="3">
        <v>0.6</v>
      </c>
      <c r="P5421">
        <v>6</v>
      </c>
      <c r="Q5421">
        <v>13</v>
      </c>
      <c r="R5421">
        <v>7</v>
      </c>
      <c r="S5421">
        <v>12</v>
      </c>
      <c r="T5421">
        <v>9</v>
      </c>
      <c r="U5421">
        <v>5</v>
      </c>
      <c r="V5421">
        <v>4</v>
      </c>
      <c r="W5421">
        <v>1</v>
      </c>
      <c r="X5421">
        <v>0</v>
      </c>
      <c r="Y5421">
        <v>0</v>
      </c>
      <c r="Z5421">
        <v>1</v>
      </c>
    </row>
    <row r="5422" spans="1:26" x14ac:dyDescent="0.2">
      <c r="A5422" t="s">
        <v>5540</v>
      </c>
      <c r="B5422" t="s">
        <v>104</v>
      </c>
      <c r="C5422">
        <v>2023</v>
      </c>
      <c r="D5422" t="s">
        <v>31</v>
      </c>
      <c r="E5422" t="s">
        <v>48</v>
      </c>
      <c r="F5422" t="s">
        <v>20</v>
      </c>
      <c r="G5422">
        <v>28500</v>
      </c>
      <c r="H5422">
        <v>22800</v>
      </c>
      <c r="I5422" s="13">
        <v>0.8571428571428571</v>
      </c>
      <c r="J5422" t="s">
        <v>6206</v>
      </c>
      <c r="K5422">
        <v>0</v>
      </c>
      <c r="L5422">
        <v>1</v>
      </c>
      <c r="M5422" t="s">
        <v>1</v>
      </c>
      <c r="N5422" s="3">
        <v>0.45</v>
      </c>
      <c r="O5422" s="3">
        <v>0.55000000000000004</v>
      </c>
      <c r="P5422">
        <v>14</v>
      </c>
      <c r="Q5422">
        <v>7</v>
      </c>
      <c r="R5422">
        <v>9</v>
      </c>
      <c r="S5422">
        <v>4</v>
      </c>
      <c r="T5422">
        <v>9</v>
      </c>
      <c r="U5422">
        <v>15</v>
      </c>
      <c r="V5422">
        <v>5</v>
      </c>
      <c r="W5422">
        <v>2</v>
      </c>
      <c r="X5422">
        <v>0</v>
      </c>
      <c r="Y5422">
        <v>0</v>
      </c>
      <c r="Z5422">
        <v>0</v>
      </c>
    </row>
    <row r="5423" spans="1:26" x14ac:dyDescent="0.2">
      <c r="A5423" t="s">
        <v>5541</v>
      </c>
      <c r="B5423" t="s">
        <v>99</v>
      </c>
      <c r="C5423">
        <v>2023</v>
      </c>
      <c r="D5423" t="s">
        <v>95</v>
      </c>
      <c r="E5423" t="s">
        <v>22</v>
      </c>
      <c r="F5423" t="s">
        <v>57</v>
      </c>
      <c r="G5423">
        <v>32050</v>
      </c>
      <c r="H5423">
        <v>25640</v>
      </c>
      <c r="I5423" s="13">
        <v>0.5</v>
      </c>
      <c r="J5423" t="s">
        <v>6207</v>
      </c>
      <c r="K5423">
        <v>2</v>
      </c>
      <c r="L5423">
        <v>1</v>
      </c>
      <c r="M5423" t="s">
        <v>0</v>
      </c>
      <c r="N5423" s="3">
        <v>0.38</v>
      </c>
      <c r="O5423" s="3">
        <v>0.62</v>
      </c>
      <c r="P5423">
        <v>11</v>
      </c>
      <c r="Q5423">
        <v>13</v>
      </c>
      <c r="R5423">
        <v>4</v>
      </c>
      <c r="S5423">
        <v>4</v>
      </c>
      <c r="T5423">
        <v>13</v>
      </c>
      <c r="U5423">
        <v>10</v>
      </c>
      <c r="V5423">
        <v>3</v>
      </c>
      <c r="W5423">
        <v>3</v>
      </c>
      <c r="X5423">
        <v>0</v>
      </c>
      <c r="Y5423">
        <v>0</v>
      </c>
      <c r="Z5423">
        <v>1</v>
      </c>
    </row>
    <row r="5424" spans="1:26" x14ac:dyDescent="0.2">
      <c r="A5424" t="s">
        <v>5542</v>
      </c>
      <c r="B5424" t="s">
        <v>76</v>
      </c>
      <c r="C5424">
        <v>2023</v>
      </c>
      <c r="D5424" t="s">
        <v>40</v>
      </c>
      <c r="E5424" t="s">
        <v>86</v>
      </c>
      <c r="F5424" t="s">
        <v>49</v>
      </c>
      <c r="G5424">
        <v>53400</v>
      </c>
      <c r="H5424">
        <v>42720</v>
      </c>
      <c r="I5424" s="13">
        <v>1</v>
      </c>
      <c r="J5424" t="s">
        <v>6207</v>
      </c>
      <c r="K5424">
        <v>6</v>
      </c>
      <c r="L5424">
        <v>1</v>
      </c>
      <c r="M5424" t="s">
        <v>0</v>
      </c>
      <c r="N5424" s="3">
        <v>0.66</v>
      </c>
      <c r="O5424" s="3">
        <v>0.34</v>
      </c>
      <c r="P5424">
        <v>11</v>
      </c>
      <c r="Q5424">
        <v>8</v>
      </c>
      <c r="R5424">
        <v>12</v>
      </c>
      <c r="S5424">
        <v>1</v>
      </c>
      <c r="T5424">
        <v>8</v>
      </c>
      <c r="U5424">
        <v>9</v>
      </c>
      <c r="V5424">
        <v>0</v>
      </c>
      <c r="W5424">
        <v>1</v>
      </c>
      <c r="X5424">
        <v>0</v>
      </c>
      <c r="Y5424">
        <v>0</v>
      </c>
      <c r="Z5424">
        <v>0</v>
      </c>
    </row>
    <row r="5425" spans="1:26" x14ac:dyDescent="0.2">
      <c r="A5425" t="s">
        <v>5543</v>
      </c>
      <c r="B5425" t="s">
        <v>98</v>
      </c>
      <c r="C5425">
        <v>2023</v>
      </c>
      <c r="D5425" t="s">
        <v>45</v>
      </c>
      <c r="E5425" t="s">
        <v>90</v>
      </c>
      <c r="F5425" t="s">
        <v>26</v>
      </c>
      <c r="G5425">
        <v>39572</v>
      </c>
      <c r="H5425">
        <v>31657.600000000002</v>
      </c>
      <c r="I5425" s="13">
        <v>0.33333333333333331</v>
      </c>
      <c r="J5425" t="s">
        <v>6208</v>
      </c>
      <c r="K5425">
        <v>1</v>
      </c>
      <c r="L5425">
        <v>1</v>
      </c>
      <c r="M5425" t="s">
        <v>58</v>
      </c>
      <c r="N5425" s="3">
        <v>0.2</v>
      </c>
      <c r="O5425" s="3">
        <v>0.8</v>
      </c>
      <c r="P5425">
        <v>8</v>
      </c>
      <c r="Q5425">
        <v>15</v>
      </c>
      <c r="R5425">
        <v>3</v>
      </c>
      <c r="S5425">
        <v>3</v>
      </c>
      <c r="T5425">
        <v>15</v>
      </c>
      <c r="U5425">
        <v>5</v>
      </c>
      <c r="V5425">
        <v>4</v>
      </c>
      <c r="W5425">
        <v>2</v>
      </c>
      <c r="X5425">
        <v>0</v>
      </c>
      <c r="Y5425">
        <v>0</v>
      </c>
      <c r="Z5425">
        <v>0</v>
      </c>
    </row>
    <row r="5426" spans="1:26" x14ac:dyDescent="0.2">
      <c r="A5426" t="s">
        <v>5544</v>
      </c>
      <c r="B5426" t="s">
        <v>97</v>
      </c>
      <c r="C5426">
        <v>2023</v>
      </c>
      <c r="D5426" t="s">
        <v>28</v>
      </c>
      <c r="E5426" t="s">
        <v>79</v>
      </c>
      <c r="F5426" t="s">
        <v>28</v>
      </c>
      <c r="G5426">
        <v>21944</v>
      </c>
      <c r="H5426">
        <v>17555.2</v>
      </c>
      <c r="I5426" s="13">
        <v>0.8</v>
      </c>
      <c r="J5426" t="s">
        <v>6207</v>
      </c>
      <c r="K5426">
        <v>0</v>
      </c>
      <c r="L5426">
        <v>2</v>
      </c>
      <c r="M5426" t="s">
        <v>1</v>
      </c>
      <c r="N5426" s="3">
        <v>0.67</v>
      </c>
      <c r="O5426" s="3">
        <v>0.33</v>
      </c>
      <c r="P5426">
        <v>12</v>
      </c>
      <c r="Q5426">
        <v>10</v>
      </c>
      <c r="R5426">
        <v>12</v>
      </c>
      <c r="S5426">
        <v>1</v>
      </c>
      <c r="T5426">
        <v>9</v>
      </c>
      <c r="U5426">
        <v>12</v>
      </c>
      <c r="V5426">
        <v>0</v>
      </c>
      <c r="W5426">
        <v>5</v>
      </c>
      <c r="X5426">
        <v>0</v>
      </c>
      <c r="Y5426">
        <v>0</v>
      </c>
      <c r="Z5426">
        <v>0</v>
      </c>
    </row>
    <row r="5427" spans="1:26" x14ac:dyDescent="0.2">
      <c r="A5427" t="s">
        <v>5545</v>
      </c>
      <c r="B5427" t="s">
        <v>107</v>
      </c>
      <c r="C5427">
        <v>2023</v>
      </c>
      <c r="D5427" t="s">
        <v>101</v>
      </c>
      <c r="E5427" t="s">
        <v>23</v>
      </c>
      <c r="F5427" t="s">
        <v>101</v>
      </c>
      <c r="G5427">
        <v>17250</v>
      </c>
      <c r="H5427">
        <v>13800</v>
      </c>
      <c r="I5427" s="13">
        <v>0.66666666666666663</v>
      </c>
      <c r="J5427" t="s">
        <v>6207</v>
      </c>
      <c r="K5427">
        <v>3</v>
      </c>
      <c r="L5427">
        <v>2</v>
      </c>
      <c r="M5427" t="s">
        <v>0</v>
      </c>
      <c r="N5427" s="3">
        <v>0.59</v>
      </c>
      <c r="O5427" s="3">
        <v>0.41</v>
      </c>
      <c r="P5427">
        <v>12</v>
      </c>
      <c r="Q5427">
        <v>15</v>
      </c>
      <c r="R5427">
        <v>4</v>
      </c>
      <c r="S5427">
        <v>3</v>
      </c>
      <c r="T5427">
        <v>12</v>
      </c>
      <c r="U5427">
        <v>14</v>
      </c>
      <c r="V5427">
        <v>1</v>
      </c>
      <c r="W5427">
        <v>5</v>
      </c>
      <c r="X5427">
        <v>0</v>
      </c>
      <c r="Y5427">
        <v>0</v>
      </c>
      <c r="Z5427">
        <v>0</v>
      </c>
    </row>
    <row r="5428" spans="1:26" x14ac:dyDescent="0.2">
      <c r="A5428" t="s">
        <v>5546</v>
      </c>
      <c r="B5428" t="s">
        <v>59</v>
      </c>
      <c r="C5428">
        <v>2023</v>
      </c>
      <c r="D5428" t="s">
        <v>64</v>
      </c>
      <c r="E5428" t="s">
        <v>46</v>
      </c>
      <c r="F5428" t="s">
        <v>64</v>
      </c>
      <c r="G5428">
        <v>52264</v>
      </c>
      <c r="H5428">
        <v>41811.200000000004</v>
      </c>
      <c r="I5428" s="13">
        <v>0.5</v>
      </c>
      <c r="J5428" t="s">
        <v>6206</v>
      </c>
      <c r="K5428">
        <v>1</v>
      </c>
      <c r="L5428">
        <v>0</v>
      </c>
      <c r="M5428" t="s">
        <v>0</v>
      </c>
      <c r="N5428" s="3">
        <v>0.4</v>
      </c>
      <c r="O5428" s="3">
        <v>0.6</v>
      </c>
      <c r="P5428">
        <v>10</v>
      </c>
      <c r="Q5428">
        <v>16</v>
      </c>
      <c r="R5428">
        <v>0</v>
      </c>
      <c r="S5428">
        <v>11</v>
      </c>
      <c r="T5428">
        <v>14</v>
      </c>
      <c r="U5428">
        <v>9</v>
      </c>
      <c r="V5428">
        <v>5</v>
      </c>
      <c r="W5428">
        <v>1</v>
      </c>
      <c r="X5428">
        <v>0</v>
      </c>
      <c r="Y5428">
        <v>0</v>
      </c>
      <c r="Z5428">
        <v>0</v>
      </c>
    </row>
    <row r="5429" spans="1:26" x14ac:dyDescent="0.2">
      <c r="A5429" t="s">
        <v>5547</v>
      </c>
      <c r="B5429" t="s">
        <v>102</v>
      </c>
      <c r="C5429">
        <v>2023</v>
      </c>
      <c r="D5429" t="s">
        <v>94</v>
      </c>
      <c r="E5429" t="s">
        <v>42</v>
      </c>
      <c r="F5429" t="s">
        <v>106</v>
      </c>
      <c r="G5429">
        <v>30445</v>
      </c>
      <c r="H5429">
        <v>24356</v>
      </c>
      <c r="I5429" s="13">
        <v>1</v>
      </c>
      <c r="J5429" t="s">
        <v>6209</v>
      </c>
      <c r="K5429">
        <v>2</v>
      </c>
      <c r="L5429">
        <v>0</v>
      </c>
      <c r="M5429" t="s">
        <v>0</v>
      </c>
      <c r="N5429" s="3">
        <v>0.26</v>
      </c>
      <c r="O5429" s="3">
        <v>0.74</v>
      </c>
      <c r="P5429">
        <v>10</v>
      </c>
      <c r="Q5429">
        <v>15</v>
      </c>
      <c r="R5429">
        <v>0</v>
      </c>
      <c r="S5429">
        <v>10</v>
      </c>
      <c r="T5429">
        <v>6</v>
      </c>
      <c r="U5429">
        <v>9</v>
      </c>
      <c r="V5429">
        <v>1</v>
      </c>
      <c r="W5429">
        <v>1</v>
      </c>
      <c r="X5429">
        <v>0</v>
      </c>
      <c r="Y5429">
        <v>0</v>
      </c>
      <c r="Z5429">
        <v>0</v>
      </c>
    </row>
    <row r="5430" spans="1:26" x14ac:dyDescent="0.2">
      <c r="A5430" t="s">
        <v>5548</v>
      </c>
      <c r="B5430" t="s">
        <v>92</v>
      </c>
      <c r="C5430">
        <v>2023</v>
      </c>
      <c r="D5430" t="s">
        <v>110</v>
      </c>
      <c r="E5430" t="s">
        <v>26</v>
      </c>
      <c r="F5430" t="s">
        <v>110</v>
      </c>
      <c r="G5430">
        <v>12000</v>
      </c>
      <c r="H5430">
        <v>9600</v>
      </c>
      <c r="I5430" s="13">
        <v>0.66666666666666663</v>
      </c>
      <c r="J5430" t="s">
        <v>6207</v>
      </c>
      <c r="K5430">
        <v>1</v>
      </c>
      <c r="L5430">
        <v>1</v>
      </c>
      <c r="M5430" t="s">
        <v>58</v>
      </c>
      <c r="N5430" s="3">
        <v>0.26</v>
      </c>
      <c r="O5430" s="3">
        <v>0.74</v>
      </c>
      <c r="P5430">
        <v>15</v>
      </c>
      <c r="Q5430">
        <v>8</v>
      </c>
      <c r="R5430">
        <v>4</v>
      </c>
      <c r="S5430">
        <v>7</v>
      </c>
      <c r="T5430">
        <v>7</v>
      </c>
      <c r="U5430">
        <v>13</v>
      </c>
      <c r="V5430">
        <v>1</v>
      </c>
      <c r="W5430">
        <v>2</v>
      </c>
      <c r="X5430">
        <v>0</v>
      </c>
      <c r="Y5430">
        <v>0</v>
      </c>
      <c r="Z5430">
        <v>0</v>
      </c>
    </row>
    <row r="5431" spans="1:26" x14ac:dyDescent="0.2">
      <c r="A5431" t="s">
        <v>5549</v>
      </c>
      <c r="B5431" t="s">
        <v>66</v>
      </c>
      <c r="C5431">
        <v>2023</v>
      </c>
      <c r="D5431" t="s">
        <v>51</v>
      </c>
      <c r="E5431" t="s">
        <v>18</v>
      </c>
      <c r="F5431" t="s">
        <v>20</v>
      </c>
      <c r="G5431">
        <v>36284</v>
      </c>
      <c r="H5431">
        <v>29027.200000000001</v>
      </c>
      <c r="I5431" s="13">
        <v>0.7</v>
      </c>
      <c r="J5431" t="s">
        <v>6207</v>
      </c>
      <c r="K5431">
        <v>1</v>
      </c>
      <c r="L5431">
        <v>4</v>
      </c>
      <c r="M5431" t="s">
        <v>1</v>
      </c>
      <c r="N5431" s="3">
        <v>0.39</v>
      </c>
      <c r="O5431" s="3">
        <v>0.61</v>
      </c>
      <c r="P5431">
        <v>27</v>
      </c>
      <c r="Q5431">
        <v>14</v>
      </c>
      <c r="R5431">
        <v>1</v>
      </c>
      <c r="S5431">
        <v>6</v>
      </c>
      <c r="T5431">
        <v>12</v>
      </c>
      <c r="U5431">
        <v>21</v>
      </c>
      <c r="V5431">
        <v>3</v>
      </c>
      <c r="W5431">
        <v>5</v>
      </c>
      <c r="X5431">
        <v>2</v>
      </c>
      <c r="Y5431">
        <v>0</v>
      </c>
      <c r="Z5431">
        <v>1</v>
      </c>
    </row>
    <row r="5432" spans="1:26" x14ac:dyDescent="0.2">
      <c r="A5432" t="s">
        <v>5550</v>
      </c>
      <c r="B5432" t="s">
        <v>98</v>
      </c>
      <c r="C5432">
        <v>2023</v>
      </c>
      <c r="D5432" t="s">
        <v>22</v>
      </c>
      <c r="E5432" t="s">
        <v>51</v>
      </c>
      <c r="F5432" t="s">
        <v>24</v>
      </c>
      <c r="G5432">
        <v>31750</v>
      </c>
      <c r="H5432">
        <v>25400</v>
      </c>
      <c r="I5432" s="13">
        <v>0.7142857142857143</v>
      </c>
      <c r="J5432" t="s">
        <v>6208</v>
      </c>
      <c r="K5432">
        <v>2</v>
      </c>
      <c r="L5432">
        <v>1</v>
      </c>
      <c r="M5432" t="s">
        <v>0</v>
      </c>
      <c r="N5432" s="3">
        <v>0.42</v>
      </c>
      <c r="O5432" s="3">
        <v>0.57999999999999996</v>
      </c>
      <c r="P5432">
        <v>15</v>
      </c>
      <c r="Q5432">
        <v>24</v>
      </c>
      <c r="R5432">
        <v>11</v>
      </c>
      <c r="S5432">
        <v>3</v>
      </c>
      <c r="T5432">
        <v>19</v>
      </c>
      <c r="U5432">
        <v>15</v>
      </c>
      <c r="V5432">
        <v>4</v>
      </c>
      <c r="W5432">
        <v>3</v>
      </c>
      <c r="X5432">
        <v>0</v>
      </c>
      <c r="Y5432">
        <v>0</v>
      </c>
      <c r="Z5432">
        <v>0</v>
      </c>
    </row>
    <row r="5433" spans="1:26" x14ac:dyDescent="0.2">
      <c r="A5433" t="s">
        <v>5551</v>
      </c>
      <c r="B5433" t="s">
        <v>83</v>
      </c>
      <c r="C5433">
        <v>2023</v>
      </c>
      <c r="D5433" t="s">
        <v>48</v>
      </c>
      <c r="E5433" t="s">
        <v>110</v>
      </c>
      <c r="F5433" t="s">
        <v>49</v>
      </c>
      <c r="G5433">
        <v>74197</v>
      </c>
      <c r="H5433">
        <v>59357.600000000006</v>
      </c>
      <c r="I5433" s="13">
        <v>0.5</v>
      </c>
      <c r="J5433" t="s">
        <v>6208</v>
      </c>
      <c r="K5433">
        <v>1</v>
      </c>
      <c r="L5433">
        <v>0</v>
      </c>
      <c r="M5433" t="s">
        <v>0</v>
      </c>
      <c r="N5433" s="3">
        <v>0.64</v>
      </c>
      <c r="O5433" s="3">
        <v>0.36</v>
      </c>
      <c r="P5433">
        <v>12</v>
      </c>
      <c r="Q5433">
        <v>10</v>
      </c>
      <c r="R5433">
        <v>11</v>
      </c>
      <c r="S5433">
        <v>3</v>
      </c>
      <c r="T5433">
        <v>9</v>
      </c>
      <c r="U5433">
        <v>11</v>
      </c>
      <c r="V5433">
        <v>0</v>
      </c>
      <c r="W5433">
        <v>2</v>
      </c>
      <c r="X5433">
        <v>0</v>
      </c>
      <c r="Y5433">
        <v>0</v>
      </c>
      <c r="Z5433">
        <v>0</v>
      </c>
    </row>
    <row r="5434" spans="1:26" x14ac:dyDescent="0.2">
      <c r="A5434" t="s">
        <v>5552</v>
      </c>
      <c r="B5434" t="s">
        <v>111</v>
      </c>
      <c r="C5434">
        <v>2023</v>
      </c>
      <c r="D5434" t="s">
        <v>79</v>
      </c>
      <c r="E5434" t="s">
        <v>45</v>
      </c>
      <c r="F5434" t="s">
        <v>20</v>
      </c>
      <c r="G5434">
        <v>25486</v>
      </c>
      <c r="H5434">
        <v>20388.800000000003</v>
      </c>
      <c r="I5434" s="13">
        <v>0.6</v>
      </c>
      <c r="J5434" t="s">
        <v>6207</v>
      </c>
      <c r="K5434">
        <v>2</v>
      </c>
      <c r="L5434">
        <v>3</v>
      </c>
      <c r="M5434" t="s">
        <v>1</v>
      </c>
      <c r="N5434" s="3">
        <v>0.67</v>
      </c>
      <c r="O5434" s="3">
        <v>0.33</v>
      </c>
      <c r="P5434">
        <v>16</v>
      </c>
      <c r="Q5434">
        <v>11</v>
      </c>
      <c r="R5434">
        <v>9</v>
      </c>
      <c r="S5434">
        <v>2</v>
      </c>
      <c r="T5434">
        <v>9</v>
      </c>
      <c r="U5434">
        <v>18</v>
      </c>
      <c r="V5434">
        <v>1</v>
      </c>
      <c r="W5434">
        <v>4</v>
      </c>
      <c r="X5434">
        <v>0</v>
      </c>
      <c r="Y5434">
        <v>0</v>
      </c>
      <c r="Z5434">
        <v>1</v>
      </c>
    </row>
    <row r="5435" spans="1:26" x14ac:dyDescent="0.2">
      <c r="A5435" t="s">
        <v>5553</v>
      </c>
      <c r="B5435" t="s">
        <v>66</v>
      </c>
      <c r="C5435">
        <v>2023</v>
      </c>
      <c r="D5435" t="s">
        <v>46</v>
      </c>
      <c r="E5435" t="s">
        <v>28</v>
      </c>
      <c r="F5435" t="s">
        <v>20</v>
      </c>
      <c r="G5435">
        <v>60704</v>
      </c>
      <c r="H5435">
        <v>48563.200000000004</v>
      </c>
      <c r="I5435" s="13">
        <v>1</v>
      </c>
      <c r="J5435" t="s">
        <v>6207</v>
      </c>
      <c r="K5435">
        <v>3</v>
      </c>
      <c r="L5435">
        <v>1</v>
      </c>
      <c r="M5435" t="s">
        <v>0</v>
      </c>
      <c r="N5435" s="3">
        <v>0.63</v>
      </c>
      <c r="O5435" s="3">
        <v>0.37</v>
      </c>
      <c r="P5435">
        <v>10</v>
      </c>
      <c r="Q5435">
        <v>11</v>
      </c>
      <c r="R5435">
        <v>13</v>
      </c>
      <c r="S5435">
        <v>3</v>
      </c>
      <c r="T5435">
        <v>8</v>
      </c>
      <c r="U5435">
        <v>9</v>
      </c>
      <c r="V5435">
        <v>0</v>
      </c>
      <c r="W5435">
        <v>1</v>
      </c>
      <c r="X5435">
        <v>1</v>
      </c>
      <c r="Y5435">
        <v>0</v>
      </c>
      <c r="Z5435">
        <v>0</v>
      </c>
    </row>
    <row r="5436" spans="1:26" x14ac:dyDescent="0.2">
      <c r="A5436" t="s">
        <v>5554</v>
      </c>
      <c r="B5436" t="s">
        <v>88</v>
      </c>
      <c r="C5436">
        <v>2023</v>
      </c>
      <c r="D5436" t="s">
        <v>86</v>
      </c>
      <c r="E5436" t="s">
        <v>64</v>
      </c>
      <c r="F5436" t="s">
        <v>86</v>
      </c>
      <c r="G5436">
        <v>11364</v>
      </c>
      <c r="H5436">
        <v>9091.2000000000007</v>
      </c>
      <c r="I5436" s="13">
        <v>0.33333333333333331</v>
      </c>
      <c r="J5436" t="s">
        <v>6207</v>
      </c>
      <c r="K5436">
        <v>2</v>
      </c>
      <c r="L5436">
        <v>0</v>
      </c>
      <c r="M5436" t="s">
        <v>0</v>
      </c>
      <c r="N5436" s="3">
        <v>0.48</v>
      </c>
      <c r="O5436" s="3">
        <v>0.52</v>
      </c>
      <c r="P5436">
        <v>6</v>
      </c>
      <c r="Q5436">
        <v>11</v>
      </c>
      <c r="R5436">
        <v>6</v>
      </c>
      <c r="S5436">
        <v>5</v>
      </c>
      <c r="T5436">
        <v>10</v>
      </c>
      <c r="U5436">
        <v>4</v>
      </c>
      <c r="V5436">
        <v>2</v>
      </c>
      <c r="W5436">
        <v>1</v>
      </c>
      <c r="X5436">
        <v>0</v>
      </c>
      <c r="Y5436">
        <v>0</v>
      </c>
      <c r="Z5436">
        <v>0</v>
      </c>
    </row>
    <row r="5437" spans="1:26" x14ac:dyDescent="0.2">
      <c r="A5437" t="s">
        <v>5555</v>
      </c>
      <c r="B5437" t="s">
        <v>103</v>
      </c>
      <c r="C5437">
        <v>2023</v>
      </c>
      <c r="D5437" t="s">
        <v>23</v>
      </c>
      <c r="E5437" t="s">
        <v>94</v>
      </c>
      <c r="F5437" t="s">
        <v>20</v>
      </c>
      <c r="G5437">
        <v>62500</v>
      </c>
      <c r="H5437">
        <v>50000</v>
      </c>
      <c r="I5437" s="13">
        <v>1</v>
      </c>
      <c r="J5437" t="s">
        <v>6207</v>
      </c>
      <c r="K5437">
        <v>3</v>
      </c>
      <c r="L5437">
        <v>2</v>
      </c>
      <c r="M5437" t="s">
        <v>0</v>
      </c>
      <c r="N5437" s="3">
        <v>0.54</v>
      </c>
      <c r="O5437" s="3">
        <v>0.46</v>
      </c>
      <c r="P5437">
        <v>12</v>
      </c>
      <c r="Q5437">
        <v>10</v>
      </c>
      <c r="R5437">
        <v>9</v>
      </c>
      <c r="S5437">
        <v>4</v>
      </c>
      <c r="T5437">
        <v>9</v>
      </c>
      <c r="U5437">
        <v>12</v>
      </c>
      <c r="V5437">
        <v>2</v>
      </c>
      <c r="W5437">
        <v>2</v>
      </c>
      <c r="X5437">
        <v>0</v>
      </c>
      <c r="Y5437">
        <v>0</v>
      </c>
      <c r="Z5437">
        <v>0</v>
      </c>
    </row>
    <row r="5438" spans="1:26" x14ac:dyDescent="0.2">
      <c r="A5438" t="s">
        <v>5556</v>
      </c>
      <c r="B5438" t="s">
        <v>81</v>
      </c>
      <c r="C5438">
        <v>2023</v>
      </c>
      <c r="D5438" t="s">
        <v>26</v>
      </c>
      <c r="E5438" t="s">
        <v>101</v>
      </c>
      <c r="F5438" t="s">
        <v>26</v>
      </c>
      <c r="G5438">
        <v>61276</v>
      </c>
      <c r="H5438">
        <v>49020.800000000003</v>
      </c>
      <c r="I5438" s="13">
        <v>1</v>
      </c>
      <c r="J5438" t="s">
        <v>6207</v>
      </c>
      <c r="K5438">
        <v>3</v>
      </c>
      <c r="L5438">
        <v>0</v>
      </c>
      <c r="M5438" t="s">
        <v>0</v>
      </c>
      <c r="N5438" s="3">
        <v>0.59</v>
      </c>
      <c r="O5438" s="3">
        <v>0.41</v>
      </c>
      <c r="P5438">
        <v>14</v>
      </c>
      <c r="Q5438">
        <v>17</v>
      </c>
      <c r="R5438">
        <v>6</v>
      </c>
      <c r="S5438">
        <v>8</v>
      </c>
      <c r="T5438">
        <v>16</v>
      </c>
      <c r="U5438">
        <v>12</v>
      </c>
      <c r="V5438">
        <v>1</v>
      </c>
      <c r="W5438">
        <v>2</v>
      </c>
      <c r="X5438">
        <v>0</v>
      </c>
      <c r="Y5438">
        <v>0</v>
      </c>
      <c r="Z5438">
        <v>0</v>
      </c>
    </row>
    <row r="5439" spans="1:26" x14ac:dyDescent="0.2">
      <c r="A5439" t="s">
        <v>5557</v>
      </c>
      <c r="B5439" t="s">
        <v>104</v>
      </c>
      <c r="C5439">
        <v>2023</v>
      </c>
      <c r="D5439" t="s">
        <v>90</v>
      </c>
      <c r="E5439" t="s">
        <v>95</v>
      </c>
      <c r="F5439" t="s">
        <v>91</v>
      </c>
      <c r="G5439">
        <v>31876</v>
      </c>
      <c r="H5439">
        <v>25500.800000000003</v>
      </c>
      <c r="I5439" s="13">
        <v>0.5714285714285714</v>
      </c>
      <c r="J5439" t="s">
        <v>6206</v>
      </c>
      <c r="K5439">
        <v>1</v>
      </c>
      <c r="L5439">
        <v>1</v>
      </c>
      <c r="M5439" t="s">
        <v>58</v>
      </c>
      <c r="N5439" s="3">
        <v>0.61</v>
      </c>
      <c r="O5439" s="3">
        <v>0.39</v>
      </c>
      <c r="P5439">
        <v>16</v>
      </c>
      <c r="Q5439">
        <v>15</v>
      </c>
      <c r="R5439">
        <v>6</v>
      </c>
      <c r="S5439">
        <v>3</v>
      </c>
      <c r="T5439">
        <v>13</v>
      </c>
      <c r="U5439">
        <v>16</v>
      </c>
      <c r="V5439">
        <v>4</v>
      </c>
      <c r="W5439">
        <v>2</v>
      </c>
      <c r="X5439">
        <v>1</v>
      </c>
      <c r="Y5439">
        <v>0</v>
      </c>
      <c r="Z5439">
        <v>0</v>
      </c>
    </row>
    <row r="5440" spans="1:26" x14ac:dyDescent="0.2">
      <c r="A5440" t="s">
        <v>5558</v>
      </c>
      <c r="B5440" t="s">
        <v>84</v>
      </c>
      <c r="C5440">
        <v>2023</v>
      </c>
      <c r="D5440" t="s">
        <v>42</v>
      </c>
      <c r="E5440" t="s">
        <v>31</v>
      </c>
      <c r="F5440" t="s">
        <v>38</v>
      </c>
      <c r="G5440">
        <v>42918</v>
      </c>
      <c r="H5440">
        <v>34334.400000000001</v>
      </c>
      <c r="I5440" s="13">
        <v>0.5714285714285714</v>
      </c>
      <c r="J5440" t="s">
        <v>6208</v>
      </c>
      <c r="K5440">
        <v>3</v>
      </c>
      <c r="L5440">
        <v>1</v>
      </c>
      <c r="M5440" t="s">
        <v>0</v>
      </c>
      <c r="N5440" s="3">
        <v>0.51</v>
      </c>
      <c r="O5440" s="3">
        <v>0.49</v>
      </c>
      <c r="P5440">
        <v>25</v>
      </c>
      <c r="Q5440">
        <v>8</v>
      </c>
      <c r="R5440">
        <v>2</v>
      </c>
      <c r="S5440">
        <v>2</v>
      </c>
      <c r="T5440">
        <v>4</v>
      </c>
      <c r="U5440">
        <v>17</v>
      </c>
      <c r="V5440">
        <v>2</v>
      </c>
      <c r="W5440">
        <v>5</v>
      </c>
      <c r="X5440">
        <v>0</v>
      </c>
      <c r="Y5440">
        <v>0</v>
      </c>
      <c r="Z5440">
        <v>0</v>
      </c>
    </row>
    <row r="5441" spans="1:26" x14ac:dyDescent="0.2">
      <c r="A5441" t="s">
        <v>5559</v>
      </c>
      <c r="B5441" t="s">
        <v>61</v>
      </c>
      <c r="C5441">
        <v>2023</v>
      </c>
      <c r="D5441" t="s">
        <v>18</v>
      </c>
      <c r="E5441" t="s">
        <v>40</v>
      </c>
      <c r="F5441" t="s">
        <v>20</v>
      </c>
      <c r="G5441">
        <v>40341</v>
      </c>
      <c r="H5441">
        <v>32272.800000000003</v>
      </c>
      <c r="I5441" s="13">
        <v>0.55555555555555558</v>
      </c>
      <c r="J5441" t="s">
        <v>6207</v>
      </c>
      <c r="K5441">
        <v>4</v>
      </c>
      <c r="L5441">
        <v>4</v>
      </c>
      <c r="M5441" t="s">
        <v>58</v>
      </c>
      <c r="N5441" s="3">
        <v>0.45</v>
      </c>
      <c r="O5441" s="3">
        <v>0.55000000000000004</v>
      </c>
      <c r="P5441">
        <v>15</v>
      </c>
      <c r="Q5441">
        <v>13</v>
      </c>
      <c r="R5441">
        <v>3</v>
      </c>
      <c r="S5441">
        <v>3</v>
      </c>
      <c r="T5441">
        <v>12</v>
      </c>
      <c r="U5441">
        <v>15</v>
      </c>
      <c r="V5441">
        <v>6</v>
      </c>
      <c r="W5441">
        <v>3</v>
      </c>
      <c r="X5441">
        <v>0</v>
      </c>
      <c r="Y5441">
        <v>0</v>
      </c>
      <c r="Z5441">
        <v>2</v>
      </c>
    </row>
    <row r="5442" spans="1:26" x14ac:dyDescent="0.2">
      <c r="A5442" t="s">
        <v>5560</v>
      </c>
      <c r="B5442" t="s">
        <v>88</v>
      </c>
      <c r="C5442">
        <v>2023</v>
      </c>
      <c r="D5442" t="s">
        <v>40</v>
      </c>
      <c r="E5442" t="s">
        <v>26</v>
      </c>
      <c r="F5442" t="s">
        <v>49</v>
      </c>
      <c r="G5442">
        <v>53400</v>
      </c>
      <c r="H5442">
        <v>42720</v>
      </c>
      <c r="I5442" s="13">
        <v>1</v>
      </c>
      <c r="J5442" t="s">
        <v>6207</v>
      </c>
      <c r="K5442">
        <v>1</v>
      </c>
      <c r="L5442">
        <v>1</v>
      </c>
      <c r="M5442" t="s">
        <v>58</v>
      </c>
      <c r="N5442" s="3">
        <v>0.6</v>
      </c>
      <c r="O5442" s="3">
        <v>0.4</v>
      </c>
      <c r="P5442">
        <v>15</v>
      </c>
      <c r="Q5442">
        <v>12</v>
      </c>
      <c r="R5442">
        <v>9</v>
      </c>
      <c r="S5442">
        <v>6</v>
      </c>
      <c r="T5442">
        <v>9</v>
      </c>
      <c r="U5442">
        <v>11</v>
      </c>
      <c r="V5442">
        <v>1</v>
      </c>
      <c r="W5442">
        <v>3</v>
      </c>
      <c r="X5442">
        <v>0</v>
      </c>
      <c r="Y5442">
        <v>0</v>
      </c>
      <c r="Z5442">
        <v>0</v>
      </c>
    </row>
    <row r="5443" spans="1:26" x14ac:dyDescent="0.2">
      <c r="A5443" t="s">
        <v>5561</v>
      </c>
      <c r="B5443" t="s">
        <v>92</v>
      </c>
      <c r="C5443">
        <v>2023</v>
      </c>
      <c r="D5443" t="s">
        <v>95</v>
      </c>
      <c r="E5443" t="s">
        <v>86</v>
      </c>
      <c r="F5443" t="s">
        <v>57</v>
      </c>
      <c r="G5443">
        <v>32050</v>
      </c>
      <c r="H5443">
        <v>25640</v>
      </c>
      <c r="I5443" s="13">
        <v>0.4</v>
      </c>
      <c r="J5443" t="s">
        <v>6207</v>
      </c>
      <c r="K5443">
        <v>1</v>
      </c>
      <c r="L5443">
        <v>3</v>
      </c>
      <c r="M5443" t="s">
        <v>1</v>
      </c>
      <c r="N5443" s="3">
        <v>0.45</v>
      </c>
      <c r="O5443" s="3">
        <v>0.55000000000000004</v>
      </c>
      <c r="P5443">
        <v>9</v>
      </c>
      <c r="Q5443">
        <v>11</v>
      </c>
      <c r="R5443">
        <v>4</v>
      </c>
      <c r="S5443">
        <v>7</v>
      </c>
      <c r="T5443">
        <v>6</v>
      </c>
      <c r="U5443">
        <v>8</v>
      </c>
      <c r="V5443">
        <v>4</v>
      </c>
      <c r="W5443">
        <v>1</v>
      </c>
      <c r="X5443">
        <v>0</v>
      </c>
      <c r="Y5443">
        <v>0</v>
      </c>
      <c r="Z5443">
        <v>0</v>
      </c>
    </row>
    <row r="5444" spans="1:26" x14ac:dyDescent="0.2">
      <c r="A5444" t="s">
        <v>5562</v>
      </c>
      <c r="B5444" t="s">
        <v>61</v>
      </c>
      <c r="C5444">
        <v>2023</v>
      </c>
      <c r="D5444" t="s">
        <v>94</v>
      </c>
      <c r="E5444" t="s">
        <v>90</v>
      </c>
      <c r="F5444" t="s">
        <v>106</v>
      </c>
      <c r="G5444">
        <v>30445</v>
      </c>
      <c r="H5444">
        <v>24356</v>
      </c>
      <c r="I5444" s="13">
        <v>0.625</v>
      </c>
      <c r="J5444" t="s">
        <v>6207</v>
      </c>
      <c r="K5444">
        <v>2</v>
      </c>
      <c r="L5444">
        <v>3</v>
      </c>
      <c r="M5444" t="s">
        <v>1</v>
      </c>
      <c r="N5444" s="3">
        <v>0.46</v>
      </c>
      <c r="O5444" s="3">
        <v>0.54</v>
      </c>
      <c r="P5444">
        <v>7</v>
      </c>
      <c r="Q5444">
        <v>12</v>
      </c>
      <c r="R5444">
        <v>6</v>
      </c>
      <c r="S5444">
        <v>4</v>
      </c>
      <c r="T5444">
        <v>12</v>
      </c>
      <c r="U5444">
        <v>7</v>
      </c>
      <c r="V5444">
        <v>2</v>
      </c>
      <c r="W5444">
        <v>5</v>
      </c>
      <c r="X5444">
        <v>0</v>
      </c>
      <c r="Y5444">
        <v>1</v>
      </c>
      <c r="Z5444">
        <v>2</v>
      </c>
    </row>
    <row r="5445" spans="1:26" x14ac:dyDescent="0.2">
      <c r="A5445" t="s">
        <v>5563</v>
      </c>
      <c r="B5445" t="s">
        <v>84</v>
      </c>
      <c r="C5445">
        <v>2023</v>
      </c>
      <c r="D5445" t="s">
        <v>64</v>
      </c>
      <c r="E5445" t="s">
        <v>18</v>
      </c>
      <c r="F5445" t="s">
        <v>64</v>
      </c>
      <c r="G5445">
        <v>52264</v>
      </c>
      <c r="H5445">
        <v>41811.200000000004</v>
      </c>
      <c r="I5445" s="13">
        <v>0.3</v>
      </c>
      <c r="J5445" t="s">
        <v>6208</v>
      </c>
      <c r="K5445">
        <v>4</v>
      </c>
      <c r="L5445">
        <v>1</v>
      </c>
      <c r="M5445" t="s">
        <v>0</v>
      </c>
      <c r="N5445" s="3">
        <v>0.55000000000000004</v>
      </c>
      <c r="O5445" s="3">
        <v>0.45</v>
      </c>
      <c r="P5445">
        <v>18</v>
      </c>
      <c r="Q5445">
        <v>13</v>
      </c>
      <c r="R5445">
        <v>4</v>
      </c>
      <c r="S5445">
        <v>2</v>
      </c>
      <c r="T5445">
        <v>13</v>
      </c>
      <c r="U5445">
        <v>19</v>
      </c>
      <c r="V5445">
        <v>4</v>
      </c>
      <c r="W5445">
        <v>5</v>
      </c>
      <c r="X5445">
        <v>0</v>
      </c>
      <c r="Y5445">
        <v>1</v>
      </c>
      <c r="Z5445">
        <v>0</v>
      </c>
    </row>
    <row r="5446" spans="1:26" x14ac:dyDescent="0.2">
      <c r="A5446" t="s">
        <v>5564</v>
      </c>
      <c r="B5446" t="s">
        <v>102</v>
      </c>
      <c r="C5446">
        <v>2023</v>
      </c>
      <c r="D5446" t="s">
        <v>110</v>
      </c>
      <c r="E5446" t="s">
        <v>79</v>
      </c>
      <c r="F5446" t="s">
        <v>110</v>
      </c>
      <c r="G5446">
        <v>12000</v>
      </c>
      <c r="H5446">
        <v>9600</v>
      </c>
      <c r="I5446" s="13">
        <v>0.42857142857142855</v>
      </c>
      <c r="J5446" t="s">
        <v>6209</v>
      </c>
      <c r="K5446">
        <v>2</v>
      </c>
      <c r="L5446">
        <v>1</v>
      </c>
      <c r="M5446" t="s">
        <v>0</v>
      </c>
      <c r="N5446" s="3">
        <v>0.39</v>
      </c>
      <c r="O5446" s="3">
        <v>0.61</v>
      </c>
      <c r="P5446">
        <v>13</v>
      </c>
      <c r="Q5446">
        <v>15</v>
      </c>
      <c r="R5446">
        <v>4</v>
      </c>
      <c r="S5446">
        <v>5</v>
      </c>
      <c r="T5446">
        <v>15</v>
      </c>
      <c r="U5446">
        <v>12</v>
      </c>
      <c r="V5446">
        <v>6</v>
      </c>
      <c r="W5446">
        <v>1</v>
      </c>
      <c r="X5446">
        <v>0</v>
      </c>
      <c r="Y5446">
        <v>0</v>
      </c>
      <c r="Z5446">
        <v>0</v>
      </c>
    </row>
    <row r="5447" spans="1:26" x14ac:dyDescent="0.2">
      <c r="A5447" t="s">
        <v>5565</v>
      </c>
      <c r="B5447" t="s">
        <v>111</v>
      </c>
      <c r="C5447">
        <v>2023</v>
      </c>
      <c r="D5447" t="s">
        <v>28</v>
      </c>
      <c r="E5447" t="s">
        <v>23</v>
      </c>
      <c r="F5447" t="s">
        <v>28</v>
      </c>
      <c r="G5447">
        <v>21944</v>
      </c>
      <c r="H5447">
        <v>17555.2</v>
      </c>
      <c r="I5447" s="13">
        <v>1</v>
      </c>
      <c r="J5447" t="s">
        <v>6207</v>
      </c>
      <c r="K5447">
        <v>1</v>
      </c>
      <c r="L5447">
        <v>2</v>
      </c>
      <c r="M5447" t="s">
        <v>1</v>
      </c>
      <c r="N5447" s="3">
        <v>0.51</v>
      </c>
      <c r="O5447" s="3">
        <v>0.49</v>
      </c>
      <c r="P5447">
        <v>7</v>
      </c>
      <c r="Q5447">
        <v>14</v>
      </c>
      <c r="R5447">
        <v>4</v>
      </c>
      <c r="S5447">
        <v>5</v>
      </c>
      <c r="T5447">
        <v>11</v>
      </c>
      <c r="U5447">
        <v>7</v>
      </c>
      <c r="V5447">
        <v>1</v>
      </c>
      <c r="W5447">
        <v>3</v>
      </c>
      <c r="X5447">
        <v>0</v>
      </c>
      <c r="Y5447">
        <v>0</v>
      </c>
      <c r="Z5447">
        <v>1</v>
      </c>
    </row>
    <row r="5448" spans="1:26" x14ac:dyDescent="0.2">
      <c r="A5448" t="s">
        <v>5566</v>
      </c>
      <c r="B5448" t="s">
        <v>98</v>
      </c>
      <c r="C5448">
        <v>2023</v>
      </c>
      <c r="D5448" t="s">
        <v>101</v>
      </c>
      <c r="E5448" t="s">
        <v>46</v>
      </c>
      <c r="F5448" t="s">
        <v>101</v>
      </c>
      <c r="G5448">
        <v>17250</v>
      </c>
      <c r="H5448">
        <v>13800</v>
      </c>
      <c r="I5448" s="13">
        <v>1</v>
      </c>
      <c r="J5448" t="s">
        <v>6208</v>
      </c>
      <c r="K5448">
        <v>0</v>
      </c>
      <c r="L5448">
        <v>1</v>
      </c>
      <c r="M5448" t="s">
        <v>1</v>
      </c>
      <c r="N5448" s="3">
        <v>0.36</v>
      </c>
      <c r="O5448" s="3">
        <v>0.64</v>
      </c>
      <c r="P5448">
        <v>10</v>
      </c>
      <c r="Q5448">
        <v>11</v>
      </c>
      <c r="R5448">
        <v>1</v>
      </c>
      <c r="S5448">
        <v>8</v>
      </c>
      <c r="T5448">
        <v>9</v>
      </c>
      <c r="U5448">
        <v>7</v>
      </c>
      <c r="V5448">
        <v>1</v>
      </c>
      <c r="W5448">
        <v>1</v>
      </c>
      <c r="X5448">
        <v>0</v>
      </c>
      <c r="Y5448">
        <v>0</v>
      </c>
      <c r="Z5448">
        <v>0</v>
      </c>
    </row>
    <row r="5449" spans="1:26" x14ac:dyDescent="0.2">
      <c r="A5449" t="s">
        <v>5567</v>
      </c>
      <c r="B5449" t="s">
        <v>99</v>
      </c>
      <c r="C5449">
        <v>2023</v>
      </c>
      <c r="D5449" t="s">
        <v>51</v>
      </c>
      <c r="E5449" t="s">
        <v>42</v>
      </c>
      <c r="F5449" t="s">
        <v>20</v>
      </c>
      <c r="G5449">
        <v>36284</v>
      </c>
      <c r="H5449">
        <v>29027.200000000001</v>
      </c>
      <c r="I5449" s="13">
        <v>0.5</v>
      </c>
      <c r="J5449" t="s">
        <v>6207</v>
      </c>
      <c r="K5449">
        <v>1</v>
      </c>
      <c r="L5449">
        <v>2</v>
      </c>
      <c r="M5449" t="s">
        <v>1</v>
      </c>
      <c r="N5449" s="3">
        <v>0.62</v>
      </c>
      <c r="O5449" s="3">
        <v>0.38</v>
      </c>
      <c r="P5449">
        <v>15</v>
      </c>
      <c r="Q5449">
        <v>16</v>
      </c>
      <c r="R5449">
        <v>9</v>
      </c>
      <c r="S5449">
        <v>3</v>
      </c>
      <c r="T5449">
        <v>11</v>
      </c>
      <c r="U5449">
        <v>13</v>
      </c>
      <c r="V5449">
        <v>0</v>
      </c>
      <c r="W5449">
        <v>4</v>
      </c>
      <c r="X5449">
        <v>0</v>
      </c>
      <c r="Y5449">
        <v>0</v>
      </c>
      <c r="Z5449">
        <v>0</v>
      </c>
    </row>
    <row r="5450" spans="1:26" x14ac:dyDescent="0.2">
      <c r="A5450" t="s">
        <v>5568</v>
      </c>
      <c r="B5450" t="s">
        <v>104</v>
      </c>
      <c r="C5450">
        <v>2023</v>
      </c>
      <c r="D5450" t="s">
        <v>45</v>
      </c>
      <c r="E5450" t="s">
        <v>48</v>
      </c>
      <c r="F5450" t="s">
        <v>26</v>
      </c>
      <c r="G5450">
        <v>39572</v>
      </c>
      <c r="H5450">
        <v>31657.600000000002</v>
      </c>
      <c r="I5450" s="13">
        <v>0.66666666666666663</v>
      </c>
      <c r="J5450" t="s">
        <v>6206</v>
      </c>
      <c r="K5450">
        <v>0</v>
      </c>
      <c r="L5450">
        <v>3</v>
      </c>
      <c r="M5450" t="s">
        <v>1</v>
      </c>
      <c r="N5450" s="3">
        <v>0.5</v>
      </c>
      <c r="O5450" s="3">
        <v>0.5</v>
      </c>
      <c r="P5450">
        <v>10</v>
      </c>
      <c r="Q5450">
        <v>12</v>
      </c>
      <c r="R5450">
        <v>6</v>
      </c>
      <c r="S5450">
        <v>5</v>
      </c>
      <c r="T5450">
        <v>10</v>
      </c>
      <c r="U5450">
        <v>8</v>
      </c>
      <c r="V5450">
        <v>3</v>
      </c>
      <c r="W5450">
        <v>0</v>
      </c>
      <c r="X5450">
        <v>0</v>
      </c>
      <c r="Y5450">
        <v>0</v>
      </c>
      <c r="Z5450">
        <v>1</v>
      </c>
    </row>
    <row r="5451" spans="1:26" x14ac:dyDescent="0.2">
      <c r="A5451" t="s">
        <v>5569</v>
      </c>
      <c r="B5451" t="s">
        <v>103</v>
      </c>
      <c r="C5451">
        <v>2023</v>
      </c>
      <c r="D5451" t="s">
        <v>31</v>
      </c>
      <c r="E5451" t="s">
        <v>22</v>
      </c>
      <c r="F5451" t="s">
        <v>20</v>
      </c>
      <c r="G5451">
        <v>28500</v>
      </c>
      <c r="H5451">
        <v>22800</v>
      </c>
      <c r="I5451" s="13">
        <v>1</v>
      </c>
      <c r="J5451" t="s">
        <v>6207</v>
      </c>
      <c r="K5451">
        <v>3</v>
      </c>
      <c r="L5451">
        <v>2</v>
      </c>
      <c r="M5451" t="s">
        <v>0</v>
      </c>
      <c r="N5451" s="3">
        <v>0.6</v>
      </c>
      <c r="O5451" s="3">
        <v>0.4</v>
      </c>
      <c r="P5451">
        <v>13</v>
      </c>
      <c r="Q5451">
        <v>14</v>
      </c>
      <c r="R5451">
        <v>6</v>
      </c>
      <c r="S5451">
        <v>2</v>
      </c>
      <c r="T5451">
        <v>13</v>
      </c>
      <c r="U5451">
        <v>13</v>
      </c>
      <c r="V5451">
        <v>2</v>
      </c>
      <c r="W5451">
        <v>2</v>
      </c>
      <c r="X5451">
        <v>0</v>
      </c>
      <c r="Y5451">
        <v>0</v>
      </c>
      <c r="Z5451">
        <v>3</v>
      </c>
    </row>
    <row r="5452" spans="1:26" x14ac:dyDescent="0.2">
      <c r="A5452" t="s">
        <v>5570</v>
      </c>
      <c r="B5452" t="s">
        <v>88</v>
      </c>
      <c r="C5452">
        <v>2023</v>
      </c>
      <c r="D5452" t="s">
        <v>28</v>
      </c>
      <c r="E5452" t="s">
        <v>95</v>
      </c>
      <c r="F5452" t="s">
        <v>28</v>
      </c>
      <c r="G5452">
        <v>21944</v>
      </c>
      <c r="H5452">
        <v>17555.2</v>
      </c>
      <c r="I5452" s="13">
        <v>0.55555555555555558</v>
      </c>
      <c r="J5452" t="s">
        <v>6207</v>
      </c>
      <c r="K5452">
        <v>5</v>
      </c>
      <c r="L5452">
        <v>0</v>
      </c>
      <c r="M5452" t="s">
        <v>0</v>
      </c>
      <c r="N5452" s="3">
        <v>0.64</v>
      </c>
      <c r="O5452" s="3">
        <v>0.36</v>
      </c>
      <c r="P5452">
        <v>13</v>
      </c>
      <c r="Q5452">
        <v>11</v>
      </c>
      <c r="R5452">
        <v>6</v>
      </c>
      <c r="S5452">
        <v>1</v>
      </c>
      <c r="T5452">
        <v>10</v>
      </c>
      <c r="U5452">
        <v>12</v>
      </c>
      <c r="V5452">
        <v>2</v>
      </c>
      <c r="W5452">
        <v>6</v>
      </c>
      <c r="X5452">
        <v>0</v>
      </c>
      <c r="Y5452">
        <v>1</v>
      </c>
      <c r="Z5452">
        <v>0</v>
      </c>
    </row>
    <row r="5453" spans="1:26" x14ac:dyDescent="0.2">
      <c r="A5453" t="s">
        <v>5571</v>
      </c>
      <c r="B5453" t="s">
        <v>61</v>
      </c>
      <c r="C5453">
        <v>2023</v>
      </c>
      <c r="D5453" t="s">
        <v>101</v>
      </c>
      <c r="E5453" t="s">
        <v>110</v>
      </c>
      <c r="F5453" t="s">
        <v>101</v>
      </c>
      <c r="G5453">
        <v>17250</v>
      </c>
      <c r="H5453">
        <v>13800</v>
      </c>
      <c r="I5453" s="13">
        <v>1</v>
      </c>
      <c r="J5453" t="s">
        <v>6207</v>
      </c>
      <c r="K5453">
        <v>3</v>
      </c>
      <c r="L5453">
        <v>1</v>
      </c>
      <c r="M5453" t="s">
        <v>0</v>
      </c>
      <c r="N5453" s="3">
        <v>0.69</v>
      </c>
      <c r="O5453" s="3">
        <v>0.31</v>
      </c>
      <c r="P5453">
        <v>7</v>
      </c>
      <c r="Q5453">
        <v>10</v>
      </c>
      <c r="R5453">
        <v>7</v>
      </c>
      <c r="S5453">
        <v>5</v>
      </c>
      <c r="T5453">
        <v>10</v>
      </c>
      <c r="U5453">
        <v>8</v>
      </c>
      <c r="V5453">
        <v>1</v>
      </c>
      <c r="W5453">
        <v>2</v>
      </c>
      <c r="X5453">
        <v>0</v>
      </c>
      <c r="Y5453">
        <v>0</v>
      </c>
      <c r="Z5453">
        <v>0</v>
      </c>
    </row>
    <row r="5454" spans="1:26" x14ac:dyDescent="0.2">
      <c r="A5454" t="s">
        <v>5572</v>
      </c>
      <c r="B5454" t="s">
        <v>97</v>
      </c>
      <c r="C5454">
        <v>2023</v>
      </c>
      <c r="D5454" t="s">
        <v>46</v>
      </c>
      <c r="E5454" t="s">
        <v>22</v>
      </c>
      <c r="F5454" t="s">
        <v>20</v>
      </c>
      <c r="G5454">
        <v>60704</v>
      </c>
      <c r="H5454">
        <v>48563.200000000004</v>
      </c>
      <c r="I5454" s="13">
        <v>0.66666666666666663</v>
      </c>
      <c r="J5454" t="s">
        <v>6207</v>
      </c>
      <c r="K5454">
        <v>2</v>
      </c>
      <c r="L5454">
        <v>1</v>
      </c>
      <c r="M5454" t="s">
        <v>0</v>
      </c>
      <c r="N5454" s="3">
        <v>0.56000000000000005</v>
      </c>
      <c r="O5454" s="3">
        <v>0.44</v>
      </c>
      <c r="P5454">
        <v>8</v>
      </c>
      <c r="Q5454">
        <v>14</v>
      </c>
      <c r="R5454">
        <v>4</v>
      </c>
      <c r="S5454">
        <v>0</v>
      </c>
      <c r="T5454">
        <v>10</v>
      </c>
      <c r="U5454">
        <v>10</v>
      </c>
      <c r="V5454">
        <v>1</v>
      </c>
      <c r="W5454">
        <v>2</v>
      </c>
      <c r="X5454">
        <v>0</v>
      </c>
      <c r="Y5454">
        <v>0</v>
      </c>
      <c r="Z5454">
        <v>0</v>
      </c>
    </row>
    <row r="5455" spans="1:26" x14ac:dyDescent="0.2">
      <c r="A5455" t="s">
        <v>5573</v>
      </c>
      <c r="B5455" t="s">
        <v>81</v>
      </c>
      <c r="C5455">
        <v>2023</v>
      </c>
      <c r="D5455" t="s">
        <v>94</v>
      </c>
      <c r="E5455" t="s">
        <v>45</v>
      </c>
      <c r="F5455" t="s">
        <v>106</v>
      </c>
      <c r="G5455">
        <v>30445</v>
      </c>
      <c r="H5455">
        <v>24356</v>
      </c>
      <c r="I5455" s="13">
        <v>1</v>
      </c>
      <c r="J5455" t="s">
        <v>6207</v>
      </c>
      <c r="K5455">
        <v>0</v>
      </c>
      <c r="L5455">
        <v>1</v>
      </c>
      <c r="M5455" t="s">
        <v>1</v>
      </c>
      <c r="N5455" s="3">
        <v>0.62</v>
      </c>
      <c r="O5455" s="3">
        <v>0.38</v>
      </c>
      <c r="P5455">
        <v>16</v>
      </c>
      <c r="Q5455">
        <v>16</v>
      </c>
      <c r="R5455">
        <v>4</v>
      </c>
      <c r="S5455">
        <v>3</v>
      </c>
      <c r="T5455">
        <v>15</v>
      </c>
      <c r="U5455">
        <v>14</v>
      </c>
      <c r="V5455">
        <v>1</v>
      </c>
      <c r="W5455">
        <v>0</v>
      </c>
      <c r="X5455">
        <v>0</v>
      </c>
      <c r="Y5455">
        <v>0</v>
      </c>
      <c r="Z5455">
        <v>0</v>
      </c>
    </row>
    <row r="5456" spans="1:26" x14ac:dyDescent="0.2">
      <c r="A5456" t="s">
        <v>5574</v>
      </c>
      <c r="B5456" t="s">
        <v>99</v>
      </c>
      <c r="C5456">
        <v>2023</v>
      </c>
      <c r="D5456" t="s">
        <v>64</v>
      </c>
      <c r="E5456" t="s">
        <v>48</v>
      </c>
      <c r="F5456" t="s">
        <v>64</v>
      </c>
      <c r="G5456">
        <v>52264</v>
      </c>
      <c r="H5456">
        <v>41811.200000000004</v>
      </c>
      <c r="I5456" s="13">
        <v>0.66666666666666663</v>
      </c>
      <c r="J5456" t="s">
        <v>6207</v>
      </c>
      <c r="K5456">
        <v>1</v>
      </c>
      <c r="L5456">
        <v>0</v>
      </c>
      <c r="M5456" t="s">
        <v>0</v>
      </c>
      <c r="N5456" s="3">
        <v>0.57999999999999996</v>
      </c>
      <c r="O5456" s="3">
        <v>0.42</v>
      </c>
      <c r="P5456">
        <v>14</v>
      </c>
      <c r="Q5456">
        <v>6</v>
      </c>
      <c r="R5456">
        <v>7</v>
      </c>
      <c r="S5456">
        <v>3</v>
      </c>
      <c r="T5456">
        <v>6</v>
      </c>
      <c r="U5456">
        <v>14</v>
      </c>
      <c r="V5456">
        <v>1</v>
      </c>
      <c r="W5456">
        <v>2</v>
      </c>
      <c r="X5456">
        <v>0</v>
      </c>
      <c r="Y5456">
        <v>0</v>
      </c>
      <c r="Z5456">
        <v>0</v>
      </c>
    </row>
    <row r="5457" spans="1:26" x14ac:dyDescent="0.2">
      <c r="A5457" t="s">
        <v>5575</v>
      </c>
      <c r="B5457" t="s">
        <v>66</v>
      </c>
      <c r="C5457">
        <v>2023</v>
      </c>
      <c r="D5457" t="s">
        <v>23</v>
      </c>
      <c r="E5457" t="s">
        <v>79</v>
      </c>
      <c r="F5457" t="s">
        <v>20</v>
      </c>
      <c r="G5457">
        <v>62500</v>
      </c>
      <c r="H5457">
        <v>50000</v>
      </c>
      <c r="I5457" s="13">
        <v>0.5</v>
      </c>
      <c r="J5457" t="s">
        <v>6207</v>
      </c>
      <c r="K5457">
        <v>1</v>
      </c>
      <c r="L5457">
        <v>1</v>
      </c>
      <c r="M5457" t="s">
        <v>58</v>
      </c>
      <c r="N5457" s="3">
        <v>0.55000000000000004</v>
      </c>
      <c r="O5457" s="3">
        <v>0.45</v>
      </c>
      <c r="P5457">
        <v>7</v>
      </c>
      <c r="Q5457">
        <v>20</v>
      </c>
      <c r="R5457">
        <v>2</v>
      </c>
      <c r="S5457">
        <v>3</v>
      </c>
      <c r="T5457">
        <v>17</v>
      </c>
      <c r="U5457">
        <v>7</v>
      </c>
      <c r="V5457">
        <v>2</v>
      </c>
      <c r="W5457">
        <v>0</v>
      </c>
      <c r="X5457">
        <v>0</v>
      </c>
      <c r="Y5457">
        <v>0</v>
      </c>
      <c r="Z5457">
        <v>0</v>
      </c>
    </row>
    <row r="5458" spans="1:26" x14ac:dyDescent="0.2">
      <c r="A5458" t="s">
        <v>5576</v>
      </c>
      <c r="B5458" t="s">
        <v>59</v>
      </c>
      <c r="C5458">
        <v>2023</v>
      </c>
      <c r="D5458" t="s">
        <v>26</v>
      </c>
      <c r="E5458" t="s">
        <v>31</v>
      </c>
      <c r="F5458" t="s">
        <v>26</v>
      </c>
      <c r="G5458">
        <v>61276</v>
      </c>
      <c r="H5458">
        <v>49020.800000000003</v>
      </c>
      <c r="I5458" s="13">
        <v>0</v>
      </c>
      <c r="J5458" t="s">
        <v>6206</v>
      </c>
      <c r="K5458">
        <v>4</v>
      </c>
      <c r="L5458">
        <v>3</v>
      </c>
      <c r="M5458" t="s">
        <v>0</v>
      </c>
      <c r="N5458" s="3">
        <v>0.62</v>
      </c>
      <c r="O5458" s="3">
        <v>0.38</v>
      </c>
      <c r="P5458">
        <v>8</v>
      </c>
      <c r="Q5458">
        <v>11</v>
      </c>
      <c r="R5458">
        <v>3</v>
      </c>
      <c r="S5458">
        <v>4</v>
      </c>
      <c r="T5458">
        <v>6</v>
      </c>
      <c r="U5458">
        <v>7</v>
      </c>
      <c r="V5458">
        <v>0</v>
      </c>
      <c r="W5458">
        <v>0</v>
      </c>
      <c r="X5458">
        <v>0</v>
      </c>
      <c r="Y5458">
        <v>0</v>
      </c>
      <c r="Z5458">
        <v>0</v>
      </c>
    </row>
    <row r="5459" spans="1:26" x14ac:dyDescent="0.2">
      <c r="A5459" t="s">
        <v>5577</v>
      </c>
      <c r="B5459" t="s">
        <v>76</v>
      </c>
      <c r="C5459">
        <v>2023</v>
      </c>
      <c r="D5459" t="s">
        <v>18</v>
      </c>
      <c r="E5459" t="s">
        <v>90</v>
      </c>
      <c r="F5459" t="s">
        <v>20</v>
      </c>
      <c r="G5459">
        <v>40341</v>
      </c>
      <c r="H5459">
        <v>32272.800000000003</v>
      </c>
      <c r="I5459" s="13">
        <v>0.5</v>
      </c>
      <c r="J5459" t="s">
        <v>6207</v>
      </c>
      <c r="K5459">
        <v>3</v>
      </c>
      <c r="L5459">
        <v>2</v>
      </c>
      <c r="M5459" t="s">
        <v>0</v>
      </c>
      <c r="N5459" s="3">
        <v>0.32</v>
      </c>
      <c r="O5459" s="3">
        <v>0.68</v>
      </c>
      <c r="P5459">
        <v>14</v>
      </c>
      <c r="Q5459">
        <v>18</v>
      </c>
      <c r="R5459">
        <v>5</v>
      </c>
      <c r="S5459">
        <v>8</v>
      </c>
      <c r="T5459">
        <v>16</v>
      </c>
      <c r="U5459">
        <v>12</v>
      </c>
      <c r="V5459">
        <v>4</v>
      </c>
      <c r="W5459">
        <v>5</v>
      </c>
      <c r="X5459">
        <v>1</v>
      </c>
      <c r="Y5459">
        <v>0</v>
      </c>
      <c r="Z5459">
        <v>1</v>
      </c>
    </row>
    <row r="5460" spans="1:26" x14ac:dyDescent="0.2">
      <c r="A5460" t="s">
        <v>5578</v>
      </c>
      <c r="B5460" t="s">
        <v>107</v>
      </c>
      <c r="C5460">
        <v>2023</v>
      </c>
      <c r="D5460" t="s">
        <v>86</v>
      </c>
      <c r="E5460" t="s">
        <v>42</v>
      </c>
      <c r="F5460" t="s">
        <v>86</v>
      </c>
      <c r="G5460">
        <v>11364</v>
      </c>
      <c r="H5460">
        <v>9091.2000000000007</v>
      </c>
      <c r="I5460" s="13">
        <v>0.875</v>
      </c>
      <c r="J5460" t="s">
        <v>6207</v>
      </c>
      <c r="K5460">
        <v>2</v>
      </c>
      <c r="L5460">
        <v>2</v>
      </c>
      <c r="M5460" t="s">
        <v>58</v>
      </c>
      <c r="N5460" s="3">
        <v>0.37</v>
      </c>
      <c r="O5460" s="3">
        <v>0.63</v>
      </c>
      <c r="P5460">
        <v>14</v>
      </c>
      <c r="Q5460">
        <v>19</v>
      </c>
      <c r="R5460">
        <v>7</v>
      </c>
      <c r="S5460">
        <v>7</v>
      </c>
      <c r="T5460">
        <v>16</v>
      </c>
      <c r="U5460">
        <v>12</v>
      </c>
      <c r="V5460">
        <v>5</v>
      </c>
      <c r="W5460">
        <v>3</v>
      </c>
      <c r="X5460">
        <v>0</v>
      </c>
      <c r="Y5460">
        <v>0</v>
      </c>
      <c r="Z5460">
        <v>0</v>
      </c>
    </row>
    <row r="5461" spans="1:26" x14ac:dyDescent="0.2">
      <c r="A5461" t="s">
        <v>5579</v>
      </c>
      <c r="B5461" t="s">
        <v>84</v>
      </c>
      <c r="C5461">
        <v>2023</v>
      </c>
      <c r="D5461" t="s">
        <v>40</v>
      </c>
      <c r="E5461" t="s">
        <v>51</v>
      </c>
      <c r="F5461" t="s">
        <v>49</v>
      </c>
      <c r="G5461">
        <v>53400</v>
      </c>
      <c r="H5461">
        <v>42720</v>
      </c>
      <c r="I5461" s="13">
        <v>0.75</v>
      </c>
      <c r="J5461" t="s">
        <v>6208</v>
      </c>
      <c r="K5461">
        <v>3</v>
      </c>
      <c r="L5461">
        <v>3</v>
      </c>
      <c r="M5461" t="s">
        <v>58</v>
      </c>
      <c r="N5461" s="3">
        <v>0.55000000000000004</v>
      </c>
      <c r="O5461" s="3">
        <v>0.45</v>
      </c>
      <c r="P5461">
        <v>16</v>
      </c>
      <c r="Q5461">
        <v>16</v>
      </c>
      <c r="R5461">
        <v>10</v>
      </c>
      <c r="S5461">
        <v>8</v>
      </c>
      <c r="T5461">
        <v>14</v>
      </c>
      <c r="U5461">
        <v>14</v>
      </c>
      <c r="V5461">
        <v>4</v>
      </c>
      <c r="W5461">
        <v>4</v>
      </c>
      <c r="X5461">
        <v>0</v>
      </c>
      <c r="Y5461">
        <v>0</v>
      </c>
      <c r="Z5461">
        <v>0</v>
      </c>
    </row>
    <row r="5462" spans="1:26" x14ac:dyDescent="0.2">
      <c r="A5462" t="s">
        <v>5580</v>
      </c>
      <c r="B5462" t="s">
        <v>102</v>
      </c>
      <c r="C5462">
        <v>2023</v>
      </c>
      <c r="D5462" t="s">
        <v>22</v>
      </c>
      <c r="E5462" t="s">
        <v>28</v>
      </c>
      <c r="F5462" t="s">
        <v>24</v>
      </c>
      <c r="G5462">
        <v>31750</v>
      </c>
      <c r="H5462">
        <v>25400</v>
      </c>
      <c r="I5462" s="13">
        <v>0.5</v>
      </c>
      <c r="J5462" t="s">
        <v>6209</v>
      </c>
      <c r="K5462">
        <v>1</v>
      </c>
      <c r="L5462">
        <v>0</v>
      </c>
      <c r="M5462" t="s">
        <v>0</v>
      </c>
      <c r="N5462" s="3">
        <v>0.51</v>
      </c>
      <c r="O5462" s="3">
        <v>0.49</v>
      </c>
      <c r="P5462">
        <v>15</v>
      </c>
      <c r="Q5462">
        <v>13</v>
      </c>
      <c r="R5462">
        <v>5</v>
      </c>
      <c r="S5462">
        <v>8</v>
      </c>
      <c r="T5462">
        <v>11</v>
      </c>
      <c r="U5462">
        <v>15</v>
      </c>
      <c r="V5462">
        <v>2</v>
      </c>
      <c r="W5462">
        <v>4</v>
      </c>
      <c r="X5462">
        <v>0</v>
      </c>
      <c r="Y5462">
        <v>0</v>
      </c>
      <c r="Z5462">
        <v>0</v>
      </c>
    </row>
    <row r="5463" spans="1:26" x14ac:dyDescent="0.2">
      <c r="A5463" t="s">
        <v>5581</v>
      </c>
      <c r="B5463" t="s">
        <v>111</v>
      </c>
      <c r="C5463">
        <v>2023</v>
      </c>
      <c r="D5463" t="s">
        <v>110</v>
      </c>
      <c r="E5463" t="s">
        <v>46</v>
      </c>
      <c r="F5463" t="s">
        <v>110</v>
      </c>
      <c r="G5463">
        <v>12000</v>
      </c>
      <c r="H5463">
        <v>9600</v>
      </c>
      <c r="I5463" s="13">
        <v>0.5</v>
      </c>
      <c r="J5463" t="s">
        <v>6207</v>
      </c>
      <c r="K5463">
        <v>3</v>
      </c>
      <c r="L5463">
        <v>4</v>
      </c>
      <c r="M5463" t="s">
        <v>1</v>
      </c>
      <c r="N5463" s="3">
        <v>0.33</v>
      </c>
      <c r="O5463" s="3">
        <v>0.67</v>
      </c>
      <c r="P5463">
        <v>11</v>
      </c>
      <c r="Q5463">
        <v>15</v>
      </c>
      <c r="R5463">
        <v>3</v>
      </c>
      <c r="S5463">
        <v>8</v>
      </c>
      <c r="T5463">
        <v>14</v>
      </c>
      <c r="U5463">
        <v>7</v>
      </c>
      <c r="V5463">
        <v>2</v>
      </c>
      <c r="W5463">
        <v>2</v>
      </c>
      <c r="X5463">
        <v>0</v>
      </c>
      <c r="Y5463">
        <v>0</v>
      </c>
      <c r="Z5463">
        <v>0</v>
      </c>
    </row>
    <row r="5464" spans="1:26" x14ac:dyDescent="0.2">
      <c r="A5464" t="s">
        <v>5582</v>
      </c>
      <c r="B5464" t="s">
        <v>84</v>
      </c>
      <c r="C5464">
        <v>2023</v>
      </c>
      <c r="D5464" t="s">
        <v>95</v>
      </c>
      <c r="E5464" t="s">
        <v>26</v>
      </c>
      <c r="F5464" t="s">
        <v>57</v>
      </c>
      <c r="G5464">
        <v>32050</v>
      </c>
      <c r="H5464">
        <v>25640</v>
      </c>
      <c r="I5464" s="13">
        <v>0.6</v>
      </c>
      <c r="J5464" t="s">
        <v>6208</v>
      </c>
      <c r="K5464">
        <v>0</v>
      </c>
      <c r="L5464">
        <v>2</v>
      </c>
      <c r="M5464" t="s">
        <v>1</v>
      </c>
      <c r="N5464" s="3">
        <v>0.24</v>
      </c>
      <c r="O5464" s="3">
        <v>0.76</v>
      </c>
      <c r="P5464">
        <v>12</v>
      </c>
      <c r="Q5464">
        <v>12</v>
      </c>
      <c r="R5464">
        <v>2</v>
      </c>
      <c r="S5464">
        <v>12</v>
      </c>
      <c r="T5464">
        <v>12</v>
      </c>
      <c r="U5464">
        <v>8</v>
      </c>
      <c r="V5464">
        <v>2</v>
      </c>
      <c r="W5464">
        <v>3</v>
      </c>
      <c r="X5464">
        <v>0</v>
      </c>
      <c r="Y5464">
        <v>0</v>
      </c>
      <c r="Z5464">
        <v>0</v>
      </c>
    </row>
    <row r="5465" spans="1:26" x14ac:dyDescent="0.2">
      <c r="A5465" t="s">
        <v>5583</v>
      </c>
      <c r="B5465" t="s">
        <v>109</v>
      </c>
      <c r="C5465">
        <v>2023</v>
      </c>
      <c r="D5465" t="s">
        <v>31</v>
      </c>
      <c r="E5465" t="s">
        <v>94</v>
      </c>
      <c r="F5465" t="s">
        <v>20</v>
      </c>
      <c r="G5465">
        <v>28500</v>
      </c>
      <c r="H5465">
        <v>22800</v>
      </c>
      <c r="I5465" s="13">
        <v>0</v>
      </c>
      <c r="J5465" t="s">
        <v>6209</v>
      </c>
      <c r="K5465">
        <v>5</v>
      </c>
      <c r="L5465">
        <v>0</v>
      </c>
      <c r="M5465" t="s">
        <v>0</v>
      </c>
      <c r="N5465" s="3">
        <v>0.64</v>
      </c>
      <c r="O5465" s="3">
        <v>0.36</v>
      </c>
      <c r="P5465">
        <v>12</v>
      </c>
      <c r="Q5465">
        <v>10</v>
      </c>
      <c r="R5465">
        <v>6</v>
      </c>
      <c r="S5465">
        <v>1</v>
      </c>
      <c r="T5465">
        <v>7</v>
      </c>
      <c r="U5465">
        <v>10</v>
      </c>
      <c r="V5465">
        <v>0</v>
      </c>
      <c r="W5465">
        <v>1</v>
      </c>
      <c r="X5465">
        <v>0</v>
      </c>
      <c r="Y5465">
        <v>0</v>
      </c>
      <c r="Z5465">
        <v>0</v>
      </c>
    </row>
    <row r="5466" spans="1:26" x14ac:dyDescent="0.2">
      <c r="A5466" t="s">
        <v>5584</v>
      </c>
      <c r="B5466" t="s">
        <v>76</v>
      </c>
      <c r="C5466">
        <v>2023</v>
      </c>
      <c r="D5466" t="s">
        <v>79</v>
      </c>
      <c r="E5466" t="s">
        <v>86</v>
      </c>
      <c r="F5466" t="s">
        <v>20</v>
      </c>
      <c r="G5466">
        <v>25486</v>
      </c>
      <c r="H5466">
        <v>20388.800000000003</v>
      </c>
      <c r="I5466" s="13">
        <v>1</v>
      </c>
      <c r="J5466" t="s">
        <v>6207</v>
      </c>
      <c r="K5466">
        <v>0</v>
      </c>
      <c r="L5466">
        <v>2</v>
      </c>
      <c r="M5466" t="s">
        <v>1</v>
      </c>
      <c r="N5466" s="3">
        <v>0.59</v>
      </c>
      <c r="O5466" s="3">
        <v>0.41</v>
      </c>
      <c r="P5466">
        <v>17</v>
      </c>
      <c r="Q5466">
        <v>10</v>
      </c>
      <c r="R5466">
        <v>3</v>
      </c>
      <c r="S5466">
        <v>9</v>
      </c>
      <c r="T5466">
        <v>10</v>
      </c>
      <c r="U5466">
        <v>17</v>
      </c>
      <c r="V5466">
        <v>1</v>
      </c>
      <c r="W5466">
        <v>3</v>
      </c>
      <c r="X5466">
        <v>0</v>
      </c>
      <c r="Y5466">
        <v>0</v>
      </c>
      <c r="Z5466">
        <v>0</v>
      </c>
    </row>
    <row r="5467" spans="1:26" x14ac:dyDescent="0.2">
      <c r="A5467" t="s">
        <v>5585</v>
      </c>
      <c r="B5467" t="s">
        <v>97</v>
      </c>
      <c r="C5467">
        <v>2023</v>
      </c>
      <c r="D5467" t="s">
        <v>90</v>
      </c>
      <c r="E5467" t="s">
        <v>101</v>
      </c>
      <c r="F5467" t="s">
        <v>91</v>
      </c>
      <c r="G5467">
        <v>31876</v>
      </c>
      <c r="H5467">
        <v>25500.800000000003</v>
      </c>
      <c r="I5467" s="13">
        <v>0.75</v>
      </c>
      <c r="J5467" t="s">
        <v>6207</v>
      </c>
      <c r="K5467">
        <v>2</v>
      </c>
      <c r="L5467">
        <v>1</v>
      </c>
      <c r="M5467" t="s">
        <v>0</v>
      </c>
      <c r="N5467" s="3">
        <v>0.61</v>
      </c>
      <c r="O5467" s="3">
        <v>0.39</v>
      </c>
      <c r="P5467">
        <v>13</v>
      </c>
      <c r="Q5467">
        <v>12</v>
      </c>
      <c r="R5467">
        <v>7</v>
      </c>
      <c r="S5467">
        <v>3</v>
      </c>
      <c r="T5467">
        <v>10</v>
      </c>
      <c r="U5467">
        <v>8</v>
      </c>
      <c r="V5467">
        <v>3</v>
      </c>
      <c r="W5467">
        <v>1</v>
      </c>
      <c r="X5467">
        <v>0</v>
      </c>
      <c r="Y5467">
        <v>0</v>
      </c>
      <c r="Z5467">
        <v>1</v>
      </c>
    </row>
    <row r="5468" spans="1:26" x14ac:dyDescent="0.2">
      <c r="A5468" t="s">
        <v>5586</v>
      </c>
      <c r="B5468" t="s">
        <v>88</v>
      </c>
      <c r="C5468">
        <v>2023</v>
      </c>
      <c r="D5468" t="s">
        <v>48</v>
      </c>
      <c r="E5468" t="s">
        <v>18</v>
      </c>
      <c r="F5468" t="s">
        <v>49</v>
      </c>
      <c r="G5468">
        <v>74197</v>
      </c>
      <c r="H5468">
        <v>59357.600000000006</v>
      </c>
      <c r="I5468" s="13">
        <v>0.75</v>
      </c>
      <c r="J5468" t="s">
        <v>6207</v>
      </c>
      <c r="K5468">
        <v>2</v>
      </c>
      <c r="L5468">
        <v>1</v>
      </c>
      <c r="M5468" t="s">
        <v>0</v>
      </c>
      <c r="N5468" s="3">
        <v>0.45</v>
      </c>
      <c r="O5468" s="3">
        <v>0.55000000000000004</v>
      </c>
      <c r="P5468">
        <v>11</v>
      </c>
      <c r="Q5468">
        <v>14</v>
      </c>
      <c r="R5468">
        <v>12</v>
      </c>
      <c r="S5468">
        <v>4</v>
      </c>
      <c r="T5468">
        <v>12</v>
      </c>
      <c r="U5468">
        <v>12</v>
      </c>
      <c r="V5468">
        <v>4</v>
      </c>
      <c r="W5468">
        <v>0</v>
      </c>
      <c r="X5468">
        <v>0</v>
      </c>
      <c r="Y5468">
        <v>0</v>
      </c>
      <c r="Z5468">
        <v>1</v>
      </c>
    </row>
    <row r="5469" spans="1:26" x14ac:dyDescent="0.2">
      <c r="A5469" t="s">
        <v>5587</v>
      </c>
      <c r="B5469" t="s">
        <v>104</v>
      </c>
      <c r="C5469">
        <v>2023</v>
      </c>
      <c r="D5469" t="s">
        <v>42</v>
      </c>
      <c r="E5469" t="s">
        <v>40</v>
      </c>
      <c r="F5469" t="s">
        <v>38</v>
      </c>
      <c r="G5469">
        <v>42918</v>
      </c>
      <c r="H5469">
        <v>34334.400000000001</v>
      </c>
      <c r="I5469" s="13">
        <v>0.25</v>
      </c>
      <c r="J5469" t="s">
        <v>6206</v>
      </c>
      <c r="K5469">
        <v>1</v>
      </c>
      <c r="L5469">
        <v>0</v>
      </c>
      <c r="M5469" t="s">
        <v>0</v>
      </c>
      <c r="N5469" s="3">
        <v>0.46</v>
      </c>
      <c r="O5469" s="3">
        <v>0.54</v>
      </c>
      <c r="P5469">
        <v>18</v>
      </c>
      <c r="Q5469">
        <v>13</v>
      </c>
      <c r="R5469">
        <v>6</v>
      </c>
      <c r="S5469">
        <v>0</v>
      </c>
      <c r="T5469">
        <v>13</v>
      </c>
      <c r="U5469">
        <v>13</v>
      </c>
      <c r="V5469">
        <v>2</v>
      </c>
      <c r="W5469">
        <v>2</v>
      </c>
      <c r="X5469">
        <v>0</v>
      </c>
      <c r="Y5469">
        <v>0</v>
      </c>
      <c r="Z5469">
        <v>0</v>
      </c>
    </row>
    <row r="5470" spans="1:26" x14ac:dyDescent="0.2">
      <c r="A5470" t="s">
        <v>5588</v>
      </c>
      <c r="B5470" t="s">
        <v>98</v>
      </c>
      <c r="C5470">
        <v>2023</v>
      </c>
      <c r="D5470" t="s">
        <v>45</v>
      </c>
      <c r="E5470" t="s">
        <v>64</v>
      </c>
      <c r="F5470" t="s">
        <v>26</v>
      </c>
      <c r="G5470">
        <v>39572</v>
      </c>
      <c r="H5470">
        <v>31657.600000000002</v>
      </c>
      <c r="I5470" s="13">
        <v>0.5</v>
      </c>
      <c r="J5470" t="s">
        <v>6208</v>
      </c>
      <c r="K5470">
        <v>3</v>
      </c>
      <c r="L5470">
        <v>0</v>
      </c>
      <c r="M5470" t="s">
        <v>0</v>
      </c>
      <c r="N5470" s="3">
        <v>0.39</v>
      </c>
      <c r="O5470" s="3">
        <v>0.61</v>
      </c>
      <c r="P5470">
        <v>10</v>
      </c>
      <c r="Q5470">
        <v>19</v>
      </c>
      <c r="R5470">
        <v>5</v>
      </c>
      <c r="S5470">
        <v>2</v>
      </c>
      <c r="T5470">
        <v>18</v>
      </c>
      <c r="U5470">
        <v>8</v>
      </c>
      <c r="V5470">
        <v>4</v>
      </c>
      <c r="W5470">
        <v>0</v>
      </c>
      <c r="X5470">
        <v>0</v>
      </c>
      <c r="Y5470">
        <v>0</v>
      </c>
      <c r="Z5470">
        <v>0</v>
      </c>
    </row>
    <row r="5471" spans="1:26" x14ac:dyDescent="0.2">
      <c r="A5471" t="s">
        <v>5589</v>
      </c>
      <c r="B5471" t="s">
        <v>103</v>
      </c>
      <c r="C5471">
        <v>2023</v>
      </c>
      <c r="D5471" t="s">
        <v>51</v>
      </c>
      <c r="E5471" t="s">
        <v>23</v>
      </c>
      <c r="F5471" t="s">
        <v>20</v>
      </c>
      <c r="G5471">
        <v>36284</v>
      </c>
      <c r="H5471">
        <v>29027.200000000001</v>
      </c>
      <c r="I5471" s="13">
        <v>0.83333333333333337</v>
      </c>
      <c r="J5471" t="s">
        <v>6207</v>
      </c>
      <c r="K5471">
        <v>1</v>
      </c>
      <c r="L5471">
        <v>2</v>
      </c>
      <c r="M5471" t="s">
        <v>1</v>
      </c>
      <c r="N5471" s="3">
        <v>0.75</v>
      </c>
      <c r="O5471" s="3">
        <v>0.25</v>
      </c>
      <c r="P5471">
        <v>19</v>
      </c>
      <c r="Q5471">
        <v>12</v>
      </c>
      <c r="R5471">
        <v>8</v>
      </c>
      <c r="S5471">
        <v>4</v>
      </c>
      <c r="T5471">
        <v>11</v>
      </c>
      <c r="U5471">
        <v>12</v>
      </c>
      <c r="V5471">
        <v>3</v>
      </c>
      <c r="W5471">
        <v>3</v>
      </c>
      <c r="X5471">
        <v>0</v>
      </c>
      <c r="Y5471">
        <v>0</v>
      </c>
      <c r="Z5471">
        <v>0</v>
      </c>
    </row>
    <row r="5472" spans="1:26" x14ac:dyDescent="0.2">
      <c r="A5472" t="s">
        <v>5590</v>
      </c>
      <c r="B5472" t="s">
        <v>92</v>
      </c>
      <c r="C5472">
        <v>2023</v>
      </c>
      <c r="D5472" t="s">
        <v>79</v>
      </c>
      <c r="E5472" t="s">
        <v>26</v>
      </c>
      <c r="F5472" t="s">
        <v>20</v>
      </c>
      <c r="G5472">
        <v>25486</v>
      </c>
      <c r="H5472">
        <v>20388.800000000003</v>
      </c>
      <c r="I5472" s="13">
        <v>0.7</v>
      </c>
      <c r="J5472" t="s">
        <v>6207</v>
      </c>
      <c r="K5472">
        <v>1</v>
      </c>
      <c r="L5472">
        <v>2</v>
      </c>
      <c r="M5472" t="s">
        <v>1</v>
      </c>
      <c r="N5472" s="3">
        <v>0.24</v>
      </c>
      <c r="O5472" s="3">
        <v>0.76</v>
      </c>
      <c r="P5472">
        <v>23</v>
      </c>
      <c r="Q5472">
        <v>17</v>
      </c>
      <c r="R5472">
        <v>6</v>
      </c>
      <c r="S5472">
        <v>5</v>
      </c>
      <c r="T5472">
        <v>17</v>
      </c>
      <c r="U5472">
        <v>17</v>
      </c>
      <c r="V5472">
        <v>7</v>
      </c>
      <c r="W5472">
        <v>2</v>
      </c>
      <c r="X5472">
        <v>1</v>
      </c>
      <c r="Y5472">
        <v>0</v>
      </c>
      <c r="Z5472">
        <v>1</v>
      </c>
    </row>
    <row r="5473" spans="1:26" x14ac:dyDescent="0.2">
      <c r="A5473" t="s">
        <v>5591</v>
      </c>
      <c r="B5473" t="s">
        <v>111</v>
      </c>
      <c r="C5473">
        <v>2023</v>
      </c>
      <c r="D5473" t="s">
        <v>22</v>
      </c>
      <c r="E5473" t="s">
        <v>94</v>
      </c>
      <c r="F5473" t="s">
        <v>24</v>
      </c>
      <c r="G5473">
        <v>31750</v>
      </c>
      <c r="H5473">
        <v>25400</v>
      </c>
      <c r="I5473" s="13">
        <v>0.5</v>
      </c>
      <c r="J5473" t="s">
        <v>6207</v>
      </c>
      <c r="K5473">
        <v>1</v>
      </c>
      <c r="L5473">
        <v>1</v>
      </c>
      <c r="M5473" t="s">
        <v>58</v>
      </c>
      <c r="N5473" s="3">
        <v>0.68</v>
      </c>
      <c r="O5473" s="3">
        <v>0.32</v>
      </c>
      <c r="P5473">
        <v>13</v>
      </c>
      <c r="Q5473">
        <v>12</v>
      </c>
      <c r="R5473">
        <v>4</v>
      </c>
      <c r="S5473">
        <v>3</v>
      </c>
      <c r="T5473">
        <v>9</v>
      </c>
      <c r="U5473">
        <v>11</v>
      </c>
      <c r="V5473">
        <v>0</v>
      </c>
      <c r="W5473">
        <v>2</v>
      </c>
      <c r="X5473">
        <v>0</v>
      </c>
      <c r="Y5473">
        <v>0</v>
      </c>
      <c r="Z5473">
        <v>0</v>
      </c>
    </row>
    <row r="5474" spans="1:26" x14ac:dyDescent="0.2">
      <c r="A5474" t="s">
        <v>5592</v>
      </c>
      <c r="B5474" t="s">
        <v>59</v>
      </c>
      <c r="C5474">
        <v>2023</v>
      </c>
      <c r="D5474" t="s">
        <v>95</v>
      </c>
      <c r="E5474" t="s">
        <v>101</v>
      </c>
      <c r="F5474" t="s">
        <v>57</v>
      </c>
      <c r="G5474">
        <v>32050</v>
      </c>
      <c r="H5474">
        <v>25640</v>
      </c>
      <c r="I5474" s="13">
        <v>0.5</v>
      </c>
      <c r="J5474" t="s">
        <v>6206</v>
      </c>
      <c r="K5474">
        <v>1</v>
      </c>
      <c r="L5474">
        <v>0</v>
      </c>
      <c r="M5474" t="s">
        <v>0</v>
      </c>
      <c r="N5474" s="3">
        <v>0.4</v>
      </c>
      <c r="O5474" s="3">
        <v>0.6</v>
      </c>
      <c r="P5474">
        <v>14</v>
      </c>
      <c r="Q5474">
        <v>14</v>
      </c>
      <c r="R5474">
        <v>3</v>
      </c>
      <c r="S5474">
        <v>3</v>
      </c>
      <c r="T5474">
        <v>14</v>
      </c>
      <c r="U5474">
        <v>13</v>
      </c>
      <c r="V5474">
        <v>5</v>
      </c>
      <c r="W5474">
        <v>1</v>
      </c>
      <c r="X5474">
        <v>0</v>
      </c>
      <c r="Y5474">
        <v>0</v>
      </c>
      <c r="Z5474">
        <v>0</v>
      </c>
    </row>
    <row r="5475" spans="1:26" x14ac:dyDescent="0.2">
      <c r="A5475" t="s">
        <v>5593</v>
      </c>
      <c r="B5475" t="s">
        <v>97</v>
      </c>
      <c r="C5475">
        <v>2023</v>
      </c>
      <c r="D5475" t="s">
        <v>48</v>
      </c>
      <c r="E5475" t="s">
        <v>86</v>
      </c>
      <c r="F5475" t="s">
        <v>49</v>
      </c>
      <c r="G5475">
        <v>74197</v>
      </c>
      <c r="H5475">
        <v>59357.600000000006</v>
      </c>
      <c r="I5475" s="13">
        <v>0.75</v>
      </c>
      <c r="J5475" t="s">
        <v>6207</v>
      </c>
      <c r="K5475">
        <v>0</v>
      </c>
      <c r="L5475">
        <v>3</v>
      </c>
      <c r="M5475" t="s">
        <v>1</v>
      </c>
      <c r="N5475" s="3">
        <v>0.69</v>
      </c>
      <c r="O5475" s="3">
        <v>0.31</v>
      </c>
      <c r="P5475">
        <v>12</v>
      </c>
      <c r="Q5475">
        <v>8</v>
      </c>
      <c r="R5475">
        <v>10</v>
      </c>
      <c r="S5475">
        <v>4</v>
      </c>
      <c r="T5475">
        <v>7</v>
      </c>
      <c r="U5475">
        <v>10</v>
      </c>
      <c r="V5475">
        <v>3</v>
      </c>
      <c r="W5475">
        <v>1</v>
      </c>
      <c r="X5475">
        <v>0</v>
      </c>
      <c r="Y5475">
        <v>0</v>
      </c>
      <c r="Z5475">
        <v>0</v>
      </c>
    </row>
    <row r="5476" spans="1:26" x14ac:dyDescent="0.2">
      <c r="A5476" t="s">
        <v>5594</v>
      </c>
      <c r="B5476" t="s">
        <v>84</v>
      </c>
      <c r="C5476">
        <v>2023</v>
      </c>
      <c r="D5476" t="s">
        <v>90</v>
      </c>
      <c r="E5476" t="s">
        <v>28</v>
      </c>
      <c r="F5476" t="s">
        <v>91</v>
      </c>
      <c r="G5476">
        <v>31876</v>
      </c>
      <c r="H5476">
        <v>25500.800000000003</v>
      </c>
      <c r="I5476" s="13">
        <v>0.5</v>
      </c>
      <c r="J5476" t="s">
        <v>6208</v>
      </c>
      <c r="K5476">
        <v>1</v>
      </c>
      <c r="L5476">
        <v>1</v>
      </c>
      <c r="M5476" t="s">
        <v>58</v>
      </c>
      <c r="N5476" s="3">
        <v>0.72</v>
      </c>
      <c r="O5476" s="3">
        <v>0.28000000000000003</v>
      </c>
      <c r="P5476">
        <v>9</v>
      </c>
      <c r="Q5476">
        <v>7</v>
      </c>
      <c r="R5476">
        <v>9</v>
      </c>
      <c r="S5476">
        <v>1</v>
      </c>
      <c r="T5476">
        <v>5</v>
      </c>
      <c r="U5476">
        <v>8</v>
      </c>
      <c r="V5476">
        <v>0</v>
      </c>
      <c r="W5476">
        <v>4</v>
      </c>
      <c r="X5476">
        <v>0</v>
      </c>
      <c r="Y5476">
        <v>0</v>
      </c>
      <c r="Z5476">
        <v>0</v>
      </c>
    </row>
    <row r="5477" spans="1:26" x14ac:dyDescent="0.2">
      <c r="A5477" t="s">
        <v>5595</v>
      </c>
      <c r="B5477" t="s">
        <v>102</v>
      </c>
      <c r="C5477">
        <v>2023</v>
      </c>
      <c r="D5477" t="s">
        <v>42</v>
      </c>
      <c r="E5477" t="s">
        <v>46</v>
      </c>
      <c r="F5477" t="s">
        <v>38</v>
      </c>
      <c r="G5477">
        <v>42918</v>
      </c>
      <c r="H5477">
        <v>34334.400000000001</v>
      </c>
      <c r="I5477" s="13">
        <v>0.66666666666666663</v>
      </c>
      <c r="J5477" t="s">
        <v>6209</v>
      </c>
      <c r="K5477">
        <v>1</v>
      </c>
      <c r="L5477">
        <v>0</v>
      </c>
      <c r="M5477" t="s">
        <v>0</v>
      </c>
      <c r="N5477" s="3">
        <v>0.39</v>
      </c>
      <c r="O5477" s="3">
        <v>0.61</v>
      </c>
      <c r="P5477">
        <v>15</v>
      </c>
      <c r="Q5477">
        <v>17</v>
      </c>
      <c r="R5477">
        <v>3</v>
      </c>
      <c r="S5477">
        <v>3</v>
      </c>
      <c r="T5477">
        <v>16</v>
      </c>
      <c r="U5477">
        <v>11</v>
      </c>
      <c r="V5477">
        <v>4</v>
      </c>
      <c r="W5477">
        <v>2</v>
      </c>
      <c r="X5477">
        <v>0</v>
      </c>
      <c r="Y5477">
        <v>0</v>
      </c>
      <c r="Z5477">
        <v>0</v>
      </c>
    </row>
    <row r="5478" spans="1:26" x14ac:dyDescent="0.2">
      <c r="A5478" t="s">
        <v>5596</v>
      </c>
      <c r="B5478" t="s">
        <v>98</v>
      </c>
      <c r="C5478">
        <v>2023</v>
      </c>
      <c r="D5478" t="s">
        <v>110</v>
      </c>
      <c r="E5478" t="s">
        <v>40</v>
      </c>
      <c r="F5478" t="s">
        <v>110</v>
      </c>
      <c r="G5478">
        <v>12000</v>
      </c>
      <c r="H5478">
        <v>9600</v>
      </c>
      <c r="I5478" s="13">
        <v>0.66666666666666663</v>
      </c>
      <c r="J5478" t="s">
        <v>6208</v>
      </c>
      <c r="K5478">
        <v>1</v>
      </c>
      <c r="L5478">
        <v>2</v>
      </c>
      <c r="M5478" t="s">
        <v>1</v>
      </c>
      <c r="N5478" s="3">
        <v>0.34</v>
      </c>
      <c r="O5478" s="3">
        <v>0.66</v>
      </c>
      <c r="P5478">
        <v>7</v>
      </c>
      <c r="Q5478">
        <v>17</v>
      </c>
      <c r="R5478">
        <v>6</v>
      </c>
      <c r="S5478">
        <v>3</v>
      </c>
      <c r="T5478">
        <v>16</v>
      </c>
      <c r="U5478">
        <v>6</v>
      </c>
      <c r="V5478">
        <v>2</v>
      </c>
      <c r="W5478">
        <v>1</v>
      </c>
      <c r="X5478">
        <v>0</v>
      </c>
      <c r="Y5478">
        <v>0</v>
      </c>
      <c r="Z5478">
        <v>0</v>
      </c>
    </row>
    <row r="5479" spans="1:26" x14ac:dyDescent="0.2">
      <c r="A5479" t="s">
        <v>5597</v>
      </c>
      <c r="B5479" t="s">
        <v>81</v>
      </c>
      <c r="C5479">
        <v>2023</v>
      </c>
      <c r="D5479" t="s">
        <v>31</v>
      </c>
      <c r="E5479" t="s">
        <v>23</v>
      </c>
      <c r="F5479" t="s">
        <v>20</v>
      </c>
      <c r="G5479">
        <v>28500</v>
      </c>
      <c r="H5479">
        <v>22800</v>
      </c>
      <c r="I5479" s="13">
        <v>0.66666666666666663</v>
      </c>
      <c r="J5479" t="s">
        <v>6207</v>
      </c>
      <c r="K5479">
        <v>5</v>
      </c>
      <c r="L5479">
        <v>0</v>
      </c>
      <c r="M5479" t="s">
        <v>0</v>
      </c>
      <c r="N5479" s="3">
        <v>0.63</v>
      </c>
      <c r="O5479" s="3">
        <v>0.37</v>
      </c>
      <c r="P5479">
        <v>10</v>
      </c>
      <c r="Q5479">
        <v>5</v>
      </c>
      <c r="R5479">
        <v>3</v>
      </c>
      <c r="S5479">
        <v>6</v>
      </c>
      <c r="T5479">
        <v>5</v>
      </c>
      <c r="U5479">
        <v>10</v>
      </c>
      <c r="V5479">
        <v>2</v>
      </c>
      <c r="W5479">
        <v>1</v>
      </c>
      <c r="X5479">
        <v>0</v>
      </c>
      <c r="Y5479">
        <v>0</v>
      </c>
      <c r="Z5479">
        <v>0</v>
      </c>
    </row>
    <row r="5480" spans="1:26" x14ac:dyDescent="0.2">
      <c r="A5480" t="s">
        <v>5598</v>
      </c>
      <c r="B5480" t="s">
        <v>66</v>
      </c>
      <c r="C5480">
        <v>2023</v>
      </c>
      <c r="D5480" t="s">
        <v>45</v>
      </c>
      <c r="E5480" t="s">
        <v>18</v>
      </c>
      <c r="F5480" t="s">
        <v>26</v>
      </c>
      <c r="G5480">
        <v>39572</v>
      </c>
      <c r="H5480">
        <v>31657.600000000002</v>
      </c>
      <c r="I5480" s="13">
        <v>0.5</v>
      </c>
      <c r="J5480" t="s">
        <v>6207</v>
      </c>
      <c r="K5480">
        <v>2</v>
      </c>
      <c r="L5480">
        <v>0</v>
      </c>
      <c r="M5480" t="s">
        <v>0</v>
      </c>
      <c r="N5480" s="3">
        <v>0.28000000000000003</v>
      </c>
      <c r="O5480" s="3">
        <v>0.72</v>
      </c>
      <c r="P5480">
        <v>11</v>
      </c>
      <c r="Q5480">
        <v>11</v>
      </c>
      <c r="R5480">
        <v>4</v>
      </c>
      <c r="S5480">
        <v>8</v>
      </c>
      <c r="T5480">
        <v>12</v>
      </c>
      <c r="U5480">
        <v>12</v>
      </c>
      <c r="V5480">
        <v>2</v>
      </c>
      <c r="W5480">
        <v>2</v>
      </c>
      <c r="X5480">
        <v>0</v>
      </c>
      <c r="Y5480">
        <v>0</v>
      </c>
      <c r="Z5480">
        <v>0</v>
      </c>
    </row>
    <row r="5481" spans="1:26" x14ac:dyDescent="0.2">
      <c r="A5481" t="s">
        <v>5599</v>
      </c>
      <c r="B5481" t="s">
        <v>88</v>
      </c>
      <c r="C5481">
        <v>2023</v>
      </c>
      <c r="D5481" t="s">
        <v>51</v>
      </c>
      <c r="E5481" t="s">
        <v>64</v>
      </c>
      <c r="F5481" t="s">
        <v>20</v>
      </c>
      <c r="G5481">
        <v>36284</v>
      </c>
      <c r="H5481">
        <v>29027.200000000001</v>
      </c>
      <c r="I5481" s="13">
        <v>0.5</v>
      </c>
      <c r="J5481" t="s">
        <v>6207</v>
      </c>
      <c r="K5481">
        <v>4</v>
      </c>
      <c r="L5481">
        <v>1</v>
      </c>
      <c r="M5481" t="s">
        <v>0</v>
      </c>
      <c r="N5481" s="3">
        <v>0.56999999999999995</v>
      </c>
      <c r="O5481" s="3">
        <v>0.43</v>
      </c>
      <c r="P5481">
        <v>13</v>
      </c>
      <c r="Q5481">
        <v>11</v>
      </c>
      <c r="R5481">
        <v>3</v>
      </c>
      <c r="S5481">
        <v>6</v>
      </c>
      <c r="T5481">
        <v>10</v>
      </c>
      <c r="U5481">
        <v>12</v>
      </c>
      <c r="V5481">
        <v>1</v>
      </c>
      <c r="W5481">
        <v>3</v>
      </c>
      <c r="X5481">
        <v>0</v>
      </c>
      <c r="Y5481">
        <v>0</v>
      </c>
      <c r="Z5481">
        <v>1</v>
      </c>
    </row>
    <row r="5482" spans="1:26" x14ac:dyDescent="0.2">
      <c r="A5482" t="s">
        <v>5600</v>
      </c>
      <c r="B5482" t="s">
        <v>102</v>
      </c>
      <c r="C5482">
        <v>2023</v>
      </c>
      <c r="D5482" t="s">
        <v>94</v>
      </c>
      <c r="E5482" t="s">
        <v>51</v>
      </c>
      <c r="F5482" t="s">
        <v>106</v>
      </c>
      <c r="G5482">
        <v>30445</v>
      </c>
      <c r="H5482">
        <v>24356</v>
      </c>
      <c r="I5482" s="13">
        <v>0.5714285714285714</v>
      </c>
      <c r="J5482" t="s">
        <v>6209</v>
      </c>
      <c r="K5482">
        <v>0</v>
      </c>
      <c r="L5482">
        <v>2</v>
      </c>
      <c r="M5482" t="s">
        <v>1</v>
      </c>
      <c r="N5482" s="3">
        <v>0.33</v>
      </c>
      <c r="O5482" s="3">
        <v>0.67</v>
      </c>
      <c r="P5482">
        <v>12</v>
      </c>
      <c r="Q5482">
        <v>20</v>
      </c>
      <c r="R5482">
        <v>6</v>
      </c>
      <c r="S5482">
        <v>4</v>
      </c>
      <c r="T5482">
        <v>16</v>
      </c>
      <c r="U5482">
        <v>11</v>
      </c>
      <c r="V5482">
        <v>2</v>
      </c>
      <c r="W5482">
        <v>4</v>
      </c>
      <c r="X5482">
        <v>0</v>
      </c>
      <c r="Y5482">
        <v>1</v>
      </c>
      <c r="Z5482">
        <v>0</v>
      </c>
    </row>
    <row r="5483" spans="1:26" x14ac:dyDescent="0.2">
      <c r="A5483" t="s">
        <v>5601</v>
      </c>
      <c r="B5483" t="s">
        <v>111</v>
      </c>
      <c r="C5483">
        <v>2023</v>
      </c>
      <c r="D5483" t="s">
        <v>64</v>
      </c>
      <c r="E5483" t="s">
        <v>31</v>
      </c>
      <c r="F5483" t="s">
        <v>64</v>
      </c>
      <c r="G5483">
        <v>52264</v>
      </c>
      <c r="H5483">
        <v>41811.200000000004</v>
      </c>
      <c r="I5483" s="13">
        <v>1</v>
      </c>
      <c r="J5483" t="s">
        <v>6207</v>
      </c>
      <c r="K5483">
        <v>3</v>
      </c>
      <c r="L5483">
        <v>0</v>
      </c>
      <c r="M5483" t="s">
        <v>0</v>
      </c>
      <c r="N5483" s="3">
        <v>0.71</v>
      </c>
      <c r="O5483" s="3">
        <v>0.28999999999999998</v>
      </c>
      <c r="P5483">
        <v>12</v>
      </c>
      <c r="Q5483">
        <v>9</v>
      </c>
      <c r="R5483">
        <v>5</v>
      </c>
      <c r="S5483">
        <v>1</v>
      </c>
      <c r="T5483">
        <v>7</v>
      </c>
      <c r="U5483">
        <v>12</v>
      </c>
      <c r="V5483">
        <v>0</v>
      </c>
      <c r="W5483">
        <v>2</v>
      </c>
      <c r="X5483">
        <v>0</v>
      </c>
      <c r="Y5483">
        <v>1</v>
      </c>
      <c r="Z5483">
        <v>0</v>
      </c>
    </row>
    <row r="5484" spans="1:26" x14ac:dyDescent="0.2">
      <c r="A5484" t="s">
        <v>5602</v>
      </c>
      <c r="B5484" t="s">
        <v>81</v>
      </c>
      <c r="C5484">
        <v>2023</v>
      </c>
      <c r="D5484" t="s">
        <v>40</v>
      </c>
      <c r="E5484" t="s">
        <v>79</v>
      </c>
      <c r="F5484" t="s">
        <v>49</v>
      </c>
      <c r="G5484">
        <v>53400</v>
      </c>
      <c r="H5484">
        <v>42720</v>
      </c>
      <c r="I5484" s="13">
        <v>1</v>
      </c>
      <c r="J5484" t="s">
        <v>6207</v>
      </c>
      <c r="K5484">
        <v>2</v>
      </c>
      <c r="L5484">
        <v>2</v>
      </c>
      <c r="M5484" t="s">
        <v>58</v>
      </c>
      <c r="N5484" s="3">
        <v>0.74</v>
      </c>
      <c r="O5484" s="3">
        <v>0.26</v>
      </c>
      <c r="P5484">
        <v>11</v>
      </c>
      <c r="Q5484">
        <v>14</v>
      </c>
      <c r="R5484">
        <v>6</v>
      </c>
      <c r="S5484">
        <v>1</v>
      </c>
      <c r="T5484">
        <v>12</v>
      </c>
      <c r="U5484">
        <v>9</v>
      </c>
      <c r="V5484">
        <v>1</v>
      </c>
      <c r="W5484">
        <v>1</v>
      </c>
      <c r="X5484">
        <v>0</v>
      </c>
      <c r="Y5484">
        <v>0</v>
      </c>
      <c r="Z5484">
        <v>1</v>
      </c>
    </row>
    <row r="5485" spans="1:26" x14ac:dyDescent="0.2">
      <c r="A5485" t="s">
        <v>5603</v>
      </c>
      <c r="B5485" t="s">
        <v>92</v>
      </c>
      <c r="C5485">
        <v>2023</v>
      </c>
      <c r="D5485" t="s">
        <v>18</v>
      </c>
      <c r="E5485" t="s">
        <v>95</v>
      </c>
      <c r="F5485" t="s">
        <v>20</v>
      </c>
      <c r="G5485">
        <v>40341</v>
      </c>
      <c r="H5485">
        <v>32272.800000000003</v>
      </c>
      <c r="I5485" s="13">
        <v>0.25</v>
      </c>
      <c r="J5485" t="s">
        <v>6207</v>
      </c>
      <c r="K5485">
        <v>2</v>
      </c>
      <c r="L5485">
        <v>0</v>
      </c>
      <c r="M5485" t="s">
        <v>0</v>
      </c>
      <c r="N5485" s="3">
        <v>0.78</v>
      </c>
      <c r="O5485" s="3">
        <v>0.22</v>
      </c>
      <c r="P5485">
        <v>15</v>
      </c>
      <c r="Q5485">
        <v>13</v>
      </c>
      <c r="R5485">
        <v>7</v>
      </c>
      <c r="S5485">
        <v>5</v>
      </c>
      <c r="T5485">
        <v>9</v>
      </c>
      <c r="U5485">
        <v>14</v>
      </c>
      <c r="V5485">
        <v>1</v>
      </c>
      <c r="W5485">
        <v>3</v>
      </c>
      <c r="X5485">
        <v>0</v>
      </c>
      <c r="Y5485">
        <v>0</v>
      </c>
      <c r="Z5485">
        <v>0</v>
      </c>
    </row>
    <row r="5486" spans="1:26" x14ac:dyDescent="0.2">
      <c r="A5486" t="s">
        <v>5604</v>
      </c>
      <c r="B5486" t="s">
        <v>61</v>
      </c>
      <c r="C5486">
        <v>2023</v>
      </c>
      <c r="D5486" t="s">
        <v>28</v>
      </c>
      <c r="E5486" t="s">
        <v>45</v>
      </c>
      <c r="F5486" t="s">
        <v>28</v>
      </c>
      <c r="G5486">
        <v>21944</v>
      </c>
      <c r="H5486">
        <v>17555.2</v>
      </c>
      <c r="I5486" s="13">
        <v>0</v>
      </c>
      <c r="J5486" t="s">
        <v>6207</v>
      </c>
      <c r="K5486">
        <v>0</v>
      </c>
      <c r="L5486">
        <v>2</v>
      </c>
      <c r="M5486" t="s">
        <v>1</v>
      </c>
      <c r="N5486" s="3">
        <v>0.62</v>
      </c>
      <c r="O5486" s="3">
        <v>0.38</v>
      </c>
      <c r="P5486">
        <v>12</v>
      </c>
      <c r="Q5486">
        <v>9</v>
      </c>
      <c r="R5486">
        <v>8</v>
      </c>
      <c r="S5486">
        <v>6</v>
      </c>
      <c r="T5486">
        <v>9</v>
      </c>
      <c r="U5486">
        <v>8</v>
      </c>
      <c r="V5486">
        <v>0</v>
      </c>
      <c r="W5486">
        <v>1</v>
      </c>
      <c r="X5486">
        <v>0</v>
      </c>
      <c r="Y5486">
        <v>0</v>
      </c>
      <c r="Z5486">
        <v>0</v>
      </c>
    </row>
    <row r="5487" spans="1:26" x14ac:dyDescent="0.2">
      <c r="A5487" t="s">
        <v>5605</v>
      </c>
      <c r="B5487" t="s">
        <v>88</v>
      </c>
      <c r="C5487">
        <v>2023</v>
      </c>
      <c r="D5487" t="s">
        <v>23</v>
      </c>
      <c r="E5487" t="s">
        <v>22</v>
      </c>
      <c r="F5487" t="s">
        <v>20</v>
      </c>
      <c r="G5487">
        <v>62500</v>
      </c>
      <c r="H5487">
        <v>50000</v>
      </c>
      <c r="I5487" s="13">
        <v>0.8</v>
      </c>
      <c r="J5487" t="s">
        <v>6207</v>
      </c>
      <c r="K5487">
        <v>3</v>
      </c>
      <c r="L5487">
        <v>0</v>
      </c>
      <c r="M5487" t="s">
        <v>0</v>
      </c>
      <c r="N5487" s="3">
        <v>0.44</v>
      </c>
      <c r="O5487" s="3">
        <v>0.56000000000000005</v>
      </c>
      <c r="P5487">
        <v>17</v>
      </c>
      <c r="Q5487">
        <v>13</v>
      </c>
      <c r="R5487">
        <v>6</v>
      </c>
      <c r="S5487">
        <v>5</v>
      </c>
      <c r="T5487">
        <v>12</v>
      </c>
      <c r="U5487">
        <v>15</v>
      </c>
      <c r="V5487">
        <v>3</v>
      </c>
      <c r="W5487">
        <v>2</v>
      </c>
      <c r="X5487">
        <v>0</v>
      </c>
      <c r="Y5487">
        <v>0</v>
      </c>
      <c r="Z5487">
        <v>0</v>
      </c>
    </row>
    <row r="5488" spans="1:26" x14ac:dyDescent="0.2">
      <c r="A5488" t="s">
        <v>5606</v>
      </c>
      <c r="B5488" t="s">
        <v>93</v>
      </c>
      <c r="C5488">
        <v>2023</v>
      </c>
      <c r="D5488" t="s">
        <v>101</v>
      </c>
      <c r="E5488" t="s">
        <v>42</v>
      </c>
      <c r="F5488" t="s">
        <v>101</v>
      </c>
      <c r="G5488">
        <v>17250</v>
      </c>
      <c r="H5488">
        <v>13800</v>
      </c>
      <c r="I5488" s="13">
        <v>0.76923076923076927</v>
      </c>
      <c r="J5488" t="s">
        <v>6206</v>
      </c>
      <c r="K5488">
        <v>1</v>
      </c>
      <c r="L5488">
        <v>2</v>
      </c>
      <c r="M5488" t="s">
        <v>1</v>
      </c>
      <c r="N5488" s="3">
        <v>0.33</v>
      </c>
      <c r="O5488" s="3">
        <v>0.67</v>
      </c>
      <c r="P5488">
        <v>6</v>
      </c>
      <c r="Q5488">
        <v>26</v>
      </c>
      <c r="R5488">
        <v>7</v>
      </c>
      <c r="S5488">
        <v>11</v>
      </c>
      <c r="T5488">
        <v>19</v>
      </c>
      <c r="U5488">
        <v>6</v>
      </c>
      <c r="V5488">
        <v>6</v>
      </c>
      <c r="W5488">
        <v>5</v>
      </c>
      <c r="X5488">
        <v>1</v>
      </c>
      <c r="Y5488">
        <v>1</v>
      </c>
      <c r="Z5488">
        <v>0</v>
      </c>
    </row>
    <row r="5489" spans="1:26" x14ac:dyDescent="0.2">
      <c r="A5489" t="s">
        <v>5607</v>
      </c>
      <c r="B5489" t="s">
        <v>98</v>
      </c>
      <c r="C5489">
        <v>2023</v>
      </c>
      <c r="D5489" t="s">
        <v>46</v>
      </c>
      <c r="E5489" t="s">
        <v>90</v>
      </c>
      <c r="F5489" t="s">
        <v>20</v>
      </c>
      <c r="G5489">
        <v>60704</v>
      </c>
      <c r="H5489">
        <v>48563.200000000004</v>
      </c>
      <c r="I5489" s="13">
        <v>0.6</v>
      </c>
      <c r="J5489" t="s">
        <v>6208</v>
      </c>
      <c r="K5489">
        <v>2</v>
      </c>
      <c r="L5489">
        <v>0</v>
      </c>
      <c r="M5489" t="s">
        <v>0</v>
      </c>
      <c r="N5489" s="3">
        <v>0.49</v>
      </c>
      <c r="O5489" s="3">
        <v>0.51</v>
      </c>
      <c r="P5489">
        <v>10</v>
      </c>
      <c r="Q5489">
        <v>12</v>
      </c>
      <c r="R5489">
        <v>10</v>
      </c>
      <c r="S5489">
        <v>1</v>
      </c>
      <c r="T5489">
        <v>11</v>
      </c>
      <c r="U5489">
        <v>9</v>
      </c>
      <c r="V5489">
        <v>2</v>
      </c>
      <c r="W5489">
        <v>3</v>
      </c>
      <c r="X5489">
        <v>0</v>
      </c>
      <c r="Y5489">
        <v>0</v>
      </c>
      <c r="Z5489">
        <v>0</v>
      </c>
    </row>
    <row r="5490" spans="1:26" x14ac:dyDescent="0.2">
      <c r="A5490" t="s">
        <v>5608</v>
      </c>
      <c r="B5490" t="s">
        <v>66</v>
      </c>
      <c r="C5490">
        <v>2023</v>
      </c>
      <c r="D5490" t="s">
        <v>26</v>
      </c>
      <c r="E5490" t="s">
        <v>48</v>
      </c>
      <c r="F5490" t="s">
        <v>26</v>
      </c>
      <c r="G5490">
        <v>61276</v>
      </c>
      <c r="H5490">
        <v>49020.800000000003</v>
      </c>
      <c r="I5490" s="13">
        <v>0.5</v>
      </c>
      <c r="J5490" t="s">
        <v>6207</v>
      </c>
      <c r="K5490">
        <v>0</v>
      </c>
      <c r="L5490">
        <v>0</v>
      </c>
      <c r="M5490" t="s">
        <v>58</v>
      </c>
      <c r="N5490" s="3">
        <v>0.68</v>
      </c>
      <c r="O5490" s="3">
        <v>0.32</v>
      </c>
      <c r="P5490">
        <v>10</v>
      </c>
      <c r="Q5490">
        <v>17</v>
      </c>
      <c r="R5490">
        <v>12</v>
      </c>
      <c r="S5490">
        <v>0</v>
      </c>
      <c r="T5490">
        <v>13</v>
      </c>
      <c r="U5490">
        <v>8</v>
      </c>
      <c r="V5490">
        <v>2</v>
      </c>
      <c r="W5490">
        <v>5</v>
      </c>
      <c r="X5490">
        <v>0</v>
      </c>
      <c r="Y5490">
        <v>1</v>
      </c>
      <c r="Z5490">
        <v>0</v>
      </c>
    </row>
    <row r="5491" spans="1:26" x14ac:dyDescent="0.2">
      <c r="A5491" t="s">
        <v>5609</v>
      </c>
      <c r="B5491" t="s">
        <v>112</v>
      </c>
      <c r="C5491">
        <v>2023</v>
      </c>
      <c r="D5491" t="s">
        <v>86</v>
      </c>
      <c r="E5491" t="s">
        <v>110</v>
      </c>
      <c r="F5491" t="s">
        <v>86</v>
      </c>
      <c r="G5491">
        <v>11364</v>
      </c>
      <c r="H5491">
        <v>9091.2000000000007</v>
      </c>
      <c r="I5491" s="13">
        <v>0.33333333333333331</v>
      </c>
      <c r="J5491" t="s">
        <v>6209</v>
      </c>
      <c r="K5491">
        <v>4</v>
      </c>
      <c r="L5491">
        <v>3</v>
      </c>
      <c r="M5491" t="s">
        <v>0</v>
      </c>
      <c r="N5491" s="3">
        <v>0.59</v>
      </c>
      <c r="O5491" s="3">
        <v>0.41</v>
      </c>
      <c r="P5491">
        <v>12</v>
      </c>
      <c r="Q5491">
        <v>17</v>
      </c>
      <c r="R5491">
        <v>11</v>
      </c>
      <c r="S5491">
        <v>3</v>
      </c>
      <c r="T5491">
        <v>16</v>
      </c>
      <c r="U5491">
        <v>11</v>
      </c>
      <c r="V5491">
        <v>1</v>
      </c>
      <c r="W5491">
        <v>2</v>
      </c>
      <c r="X5491">
        <v>0</v>
      </c>
      <c r="Y5491">
        <v>0</v>
      </c>
      <c r="Z5491">
        <v>0</v>
      </c>
    </row>
    <row r="5492" spans="1:26" x14ac:dyDescent="0.2">
      <c r="A5492" t="s">
        <v>5610</v>
      </c>
      <c r="B5492" t="s">
        <v>104</v>
      </c>
      <c r="C5492">
        <v>2023</v>
      </c>
      <c r="D5492" t="s">
        <v>79</v>
      </c>
      <c r="E5492" t="s">
        <v>90</v>
      </c>
      <c r="F5492" t="s">
        <v>20</v>
      </c>
      <c r="G5492">
        <v>25486</v>
      </c>
      <c r="H5492">
        <v>20388.800000000003</v>
      </c>
      <c r="I5492" s="13">
        <v>0.2857142857142857</v>
      </c>
      <c r="J5492" t="s">
        <v>6206</v>
      </c>
      <c r="K5492">
        <v>1</v>
      </c>
      <c r="L5492">
        <v>1</v>
      </c>
      <c r="M5492" t="s">
        <v>58</v>
      </c>
      <c r="N5492" s="3">
        <v>0.34</v>
      </c>
      <c r="O5492" s="3">
        <v>0.66</v>
      </c>
      <c r="P5492">
        <v>13</v>
      </c>
      <c r="Q5492">
        <v>13</v>
      </c>
      <c r="R5492">
        <v>3</v>
      </c>
      <c r="S5492">
        <v>1</v>
      </c>
      <c r="T5492">
        <v>12</v>
      </c>
      <c r="U5492">
        <v>11</v>
      </c>
      <c r="V5492">
        <v>5</v>
      </c>
      <c r="W5492">
        <v>2</v>
      </c>
      <c r="X5492">
        <v>0</v>
      </c>
      <c r="Y5492">
        <v>0</v>
      </c>
      <c r="Z5492">
        <v>0</v>
      </c>
    </row>
    <row r="5493" spans="1:26" x14ac:dyDescent="0.2">
      <c r="A5493" t="s">
        <v>5611</v>
      </c>
      <c r="B5493" t="s">
        <v>61</v>
      </c>
      <c r="C5493">
        <v>2023</v>
      </c>
      <c r="D5493" t="s">
        <v>42</v>
      </c>
      <c r="E5493" t="s">
        <v>95</v>
      </c>
      <c r="F5493" t="s">
        <v>38</v>
      </c>
      <c r="G5493">
        <v>42918</v>
      </c>
      <c r="H5493">
        <v>34334.400000000001</v>
      </c>
      <c r="I5493" s="13">
        <v>0.83333333333333337</v>
      </c>
      <c r="J5493" t="s">
        <v>6207</v>
      </c>
      <c r="K5493">
        <v>1</v>
      </c>
      <c r="L5493">
        <v>1</v>
      </c>
      <c r="M5493" t="s">
        <v>58</v>
      </c>
      <c r="N5493" s="3">
        <v>0.78</v>
      </c>
      <c r="O5493" s="3">
        <v>0.22</v>
      </c>
      <c r="P5493">
        <v>20</v>
      </c>
      <c r="Q5493">
        <v>11</v>
      </c>
      <c r="R5493">
        <v>9</v>
      </c>
      <c r="S5493">
        <v>1</v>
      </c>
      <c r="T5493">
        <v>11</v>
      </c>
      <c r="U5493">
        <v>16</v>
      </c>
      <c r="V5493">
        <v>3</v>
      </c>
      <c r="W5493">
        <v>3</v>
      </c>
      <c r="X5493">
        <v>0</v>
      </c>
      <c r="Y5493">
        <v>0</v>
      </c>
      <c r="Z5493">
        <v>0</v>
      </c>
    </row>
    <row r="5494" spans="1:26" x14ac:dyDescent="0.2">
      <c r="A5494" t="s">
        <v>5612</v>
      </c>
      <c r="B5494" t="s">
        <v>84</v>
      </c>
      <c r="C5494">
        <v>2023</v>
      </c>
      <c r="D5494" t="s">
        <v>23</v>
      </c>
      <c r="E5494" t="s">
        <v>48</v>
      </c>
      <c r="F5494" t="s">
        <v>20</v>
      </c>
      <c r="G5494">
        <v>62500</v>
      </c>
      <c r="H5494">
        <v>50000</v>
      </c>
      <c r="I5494" s="13">
        <v>0.6</v>
      </c>
      <c r="J5494" t="s">
        <v>6208</v>
      </c>
      <c r="K5494">
        <v>2</v>
      </c>
      <c r="L5494">
        <v>0</v>
      </c>
      <c r="M5494" t="s">
        <v>0</v>
      </c>
      <c r="N5494" s="3">
        <v>0.35</v>
      </c>
      <c r="O5494" s="3">
        <v>0.65</v>
      </c>
      <c r="P5494">
        <v>16</v>
      </c>
      <c r="Q5494">
        <v>14</v>
      </c>
      <c r="R5494">
        <v>4</v>
      </c>
      <c r="S5494">
        <v>4</v>
      </c>
      <c r="T5494">
        <v>13</v>
      </c>
      <c r="U5494">
        <v>15</v>
      </c>
      <c r="V5494">
        <v>2</v>
      </c>
      <c r="W5494">
        <v>3</v>
      </c>
      <c r="X5494">
        <v>0</v>
      </c>
      <c r="Y5494">
        <v>0</v>
      </c>
      <c r="Z5494">
        <v>0</v>
      </c>
    </row>
    <row r="5495" spans="1:26" x14ac:dyDescent="0.2">
      <c r="A5495" t="s">
        <v>5613</v>
      </c>
      <c r="B5495" t="s">
        <v>59</v>
      </c>
      <c r="C5495">
        <v>2023</v>
      </c>
      <c r="D5495" t="s">
        <v>51</v>
      </c>
      <c r="E5495" t="s">
        <v>45</v>
      </c>
      <c r="F5495" t="s">
        <v>20</v>
      </c>
      <c r="G5495">
        <v>36284</v>
      </c>
      <c r="H5495">
        <v>29027.200000000001</v>
      </c>
      <c r="I5495" s="13">
        <v>0.8</v>
      </c>
      <c r="J5495" t="s">
        <v>6206</v>
      </c>
      <c r="K5495">
        <v>2</v>
      </c>
      <c r="L5495">
        <v>1</v>
      </c>
      <c r="M5495" t="s">
        <v>0</v>
      </c>
      <c r="N5495" s="3">
        <v>0.6</v>
      </c>
      <c r="O5495" s="3">
        <v>0.4</v>
      </c>
      <c r="P5495">
        <v>21</v>
      </c>
      <c r="Q5495">
        <v>8</v>
      </c>
      <c r="R5495">
        <v>3</v>
      </c>
      <c r="S5495">
        <v>8</v>
      </c>
      <c r="T5495">
        <v>6</v>
      </c>
      <c r="U5495">
        <v>18</v>
      </c>
      <c r="V5495">
        <v>1</v>
      </c>
      <c r="W5495">
        <v>4</v>
      </c>
      <c r="X5495">
        <v>0</v>
      </c>
      <c r="Y5495">
        <v>0</v>
      </c>
      <c r="Z5495">
        <v>0</v>
      </c>
    </row>
    <row r="5496" spans="1:26" x14ac:dyDescent="0.2">
      <c r="A5496" t="s">
        <v>5614</v>
      </c>
      <c r="B5496" t="s">
        <v>99</v>
      </c>
      <c r="C5496">
        <v>2023</v>
      </c>
      <c r="D5496" t="s">
        <v>94</v>
      </c>
      <c r="E5496" t="s">
        <v>86</v>
      </c>
      <c r="F5496" t="s">
        <v>106</v>
      </c>
      <c r="G5496">
        <v>30445</v>
      </c>
      <c r="H5496">
        <v>24356</v>
      </c>
      <c r="I5496" s="13">
        <v>0.33333333333333331</v>
      </c>
      <c r="J5496" t="s">
        <v>6207</v>
      </c>
      <c r="K5496">
        <v>2</v>
      </c>
      <c r="L5496">
        <v>3</v>
      </c>
      <c r="M5496" t="s">
        <v>1</v>
      </c>
      <c r="N5496" s="3">
        <v>0.32</v>
      </c>
      <c r="O5496" s="3">
        <v>0.68</v>
      </c>
      <c r="P5496">
        <v>10</v>
      </c>
      <c r="Q5496">
        <v>10</v>
      </c>
      <c r="R5496">
        <v>6</v>
      </c>
      <c r="S5496">
        <v>6</v>
      </c>
      <c r="T5496">
        <v>10</v>
      </c>
      <c r="U5496">
        <v>10</v>
      </c>
      <c r="V5496">
        <v>1</v>
      </c>
      <c r="W5496">
        <v>4</v>
      </c>
      <c r="X5496">
        <v>1</v>
      </c>
      <c r="Y5496">
        <v>0</v>
      </c>
      <c r="Z5496">
        <v>0</v>
      </c>
    </row>
    <row r="5497" spans="1:26" x14ac:dyDescent="0.2">
      <c r="A5497" t="s">
        <v>5615</v>
      </c>
      <c r="B5497" t="s">
        <v>100</v>
      </c>
      <c r="C5497">
        <v>2023</v>
      </c>
      <c r="D5497" t="s">
        <v>110</v>
      </c>
      <c r="E5497" t="s">
        <v>64</v>
      </c>
      <c r="F5497" t="s">
        <v>110</v>
      </c>
      <c r="G5497">
        <v>12000</v>
      </c>
      <c r="H5497">
        <v>9600</v>
      </c>
      <c r="I5497" s="13">
        <v>0.25</v>
      </c>
      <c r="J5497" t="s">
        <v>6207</v>
      </c>
      <c r="K5497">
        <v>1</v>
      </c>
      <c r="L5497">
        <v>0</v>
      </c>
      <c r="M5497" t="s">
        <v>0</v>
      </c>
      <c r="N5497" s="3">
        <v>0.35</v>
      </c>
      <c r="O5497" s="3">
        <v>0.65</v>
      </c>
      <c r="P5497">
        <v>9</v>
      </c>
      <c r="Q5497">
        <v>10</v>
      </c>
      <c r="R5497">
        <v>5</v>
      </c>
      <c r="S5497">
        <v>7</v>
      </c>
      <c r="T5497">
        <v>11</v>
      </c>
      <c r="U5497">
        <v>5</v>
      </c>
      <c r="V5497">
        <v>2</v>
      </c>
      <c r="W5497">
        <v>2</v>
      </c>
      <c r="X5497">
        <v>0</v>
      </c>
      <c r="Y5497">
        <v>0</v>
      </c>
      <c r="Z5497">
        <v>0</v>
      </c>
    </row>
    <row r="5498" spans="1:26" x14ac:dyDescent="0.2">
      <c r="A5498" t="s">
        <v>5616</v>
      </c>
      <c r="B5498" t="s">
        <v>113</v>
      </c>
      <c r="C5498">
        <v>2023</v>
      </c>
      <c r="D5498" t="s">
        <v>31</v>
      </c>
      <c r="E5498" t="s">
        <v>28</v>
      </c>
      <c r="F5498" t="s">
        <v>20</v>
      </c>
      <c r="G5498">
        <v>28500</v>
      </c>
      <c r="H5498">
        <v>22800</v>
      </c>
      <c r="I5498" s="13">
        <v>1</v>
      </c>
      <c r="J5498" t="s">
        <v>6209</v>
      </c>
      <c r="K5498">
        <v>0</v>
      </c>
      <c r="L5498">
        <v>2</v>
      </c>
      <c r="M5498" t="s">
        <v>1</v>
      </c>
      <c r="N5498" s="3">
        <v>0.66</v>
      </c>
      <c r="O5498" s="3">
        <v>0.34</v>
      </c>
      <c r="P5498">
        <v>20</v>
      </c>
      <c r="Q5498">
        <v>7</v>
      </c>
      <c r="R5498">
        <v>8</v>
      </c>
      <c r="S5498">
        <v>6</v>
      </c>
      <c r="T5498">
        <v>5</v>
      </c>
      <c r="U5498">
        <v>17</v>
      </c>
      <c r="V5498">
        <v>2</v>
      </c>
      <c r="W5498">
        <v>1</v>
      </c>
      <c r="X5498">
        <v>0</v>
      </c>
      <c r="Y5498">
        <v>0</v>
      </c>
      <c r="Z5498">
        <v>0</v>
      </c>
    </row>
    <row r="5499" spans="1:26" x14ac:dyDescent="0.2">
      <c r="A5499" t="s">
        <v>5617</v>
      </c>
      <c r="B5499" t="s">
        <v>88</v>
      </c>
      <c r="C5499">
        <v>2023</v>
      </c>
      <c r="D5499" t="s">
        <v>26</v>
      </c>
      <c r="E5499" t="s">
        <v>46</v>
      </c>
      <c r="F5499" t="s">
        <v>26</v>
      </c>
      <c r="G5499">
        <v>61276</v>
      </c>
      <c r="H5499">
        <v>49020.800000000003</v>
      </c>
      <c r="I5499" s="13">
        <v>0.42857142857142855</v>
      </c>
      <c r="J5499" t="s">
        <v>6207</v>
      </c>
      <c r="K5499">
        <v>1</v>
      </c>
      <c r="L5499">
        <v>1</v>
      </c>
      <c r="M5499" t="s">
        <v>58</v>
      </c>
      <c r="N5499" s="3">
        <v>0.51</v>
      </c>
      <c r="O5499" s="3">
        <v>0.49</v>
      </c>
      <c r="P5499">
        <v>15</v>
      </c>
      <c r="Q5499">
        <v>14</v>
      </c>
      <c r="R5499">
        <v>4</v>
      </c>
      <c r="S5499">
        <v>5</v>
      </c>
      <c r="T5499">
        <v>13</v>
      </c>
      <c r="U5499">
        <v>14</v>
      </c>
      <c r="V5499">
        <v>2</v>
      </c>
      <c r="W5499">
        <v>5</v>
      </c>
      <c r="X5499">
        <v>0</v>
      </c>
      <c r="Y5499">
        <v>0</v>
      </c>
      <c r="Z5499">
        <v>0</v>
      </c>
    </row>
    <row r="5500" spans="1:26" x14ac:dyDescent="0.2">
      <c r="A5500" t="s">
        <v>5618</v>
      </c>
      <c r="B5500" t="s">
        <v>93</v>
      </c>
      <c r="C5500">
        <v>2023</v>
      </c>
      <c r="D5500" t="s">
        <v>22</v>
      </c>
      <c r="E5500" t="s">
        <v>18</v>
      </c>
      <c r="F5500" t="s">
        <v>24</v>
      </c>
      <c r="G5500">
        <v>31750</v>
      </c>
      <c r="H5500">
        <v>25400</v>
      </c>
      <c r="I5500" s="13">
        <v>0.55555555555555558</v>
      </c>
      <c r="J5500" t="s">
        <v>6206</v>
      </c>
      <c r="K5500">
        <v>2</v>
      </c>
      <c r="L5500">
        <v>1</v>
      </c>
      <c r="M5500" t="s">
        <v>0</v>
      </c>
      <c r="N5500" s="3">
        <v>0.31</v>
      </c>
      <c r="O5500" s="3">
        <v>0.69</v>
      </c>
      <c r="P5500">
        <v>9</v>
      </c>
      <c r="Q5500">
        <v>14</v>
      </c>
      <c r="R5500">
        <v>10</v>
      </c>
      <c r="S5500">
        <v>6</v>
      </c>
      <c r="T5500">
        <v>11</v>
      </c>
      <c r="U5500">
        <v>9</v>
      </c>
      <c r="V5500">
        <v>3</v>
      </c>
      <c r="W5500">
        <v>6</v>
      </c>
      <c r="X5500">
        <v>0</v>
      </c>
      <c r="Y5500">
        <v>0</v>
      </c>
      <c r="Z5500">
        <v>0</v>
      </c>
    </row>
    <row r="5501" spans="1:26" x14ac:dyDescent="0.2">
      <c r="A5501" t="s">
        <v>5619</v>
      </c>
      <c r="B5501" t="s">
        <v>100</v>
      </c>
      <c r="C5501">
        <v>2023</v>
      </c>
      <c r="D5501" t="s">
        <v>40</v>
      </c>
      <c r="E5501" t="s">
        <v>101</v>
      </c>
      <c r="F5501" t="s">
        <v>49</v>
      </c>
      <c r="G5501">
        <v>53400</v>
      </c>
      <c r="H5501">
        <v>42720</v>
      </c>
      <c r="I5501" s="13">
        <v>0.33333333333333331</v>
      </c>
      <c r="J5501" t="s">
        <v>6207</v>
      </c>
      <c r="K5501">
        <v>1</v>
      </c>
      <c r="L5501">
        <v>0</v>
      </c>
      <c r="M5501" t="s">
        <v>0</v>
      </c>
      <c r="N5501" s="3">
        <v>0.7</v>
      </c>
      <c r="O5501" s="3">
        <v>0.3</v>
      </c>
      <c r="P5501">
        <v>9</v>
      </c>
      <c r="Q5501">
        <v>13</v>
      </c>
      <c r="R5501">
        <v>10</v>
      </c>
      <c r="S5501">
        <v>1</v>
      </c>
      <c r="T5501">
        <v>12</v>
      </c>
      <c r="U5501">
        <v>6</v>
      </c>
      <c r="V5501">
        <v>2</v>
      </c>
      <c r="W5501">
        <v>4</v>
      </c>
      <c r="X5501">
        <v>0</v>
      </c>
      <c r="Y5501">
        <v>0</v>
      </c>
      <c r="Z5501">
        <v>0</v>
      </c>
    </row>
    <row r="5502" spans="1:26" x14ac:dyDescent="0.2">
      <c r="A5502" t="s">
        <v>5620</v>
      </c>
      <c r="B5502" t="s">
        <v>88</v>
      </c>
      <c r="C5502">
        <v>2023</v>
      </c>
      <c r="D5502" t="s">
        <v>64</v>
      </c>
      <c r="E5502" t="s">
        <v>94</v>
      </c>
      <c r="F5502" t="s">
        <v>64</v>
      </c>
      <c r="G5502">
        <v>52264</v>
      </c>
      <c r="H5502">
        <v>41811.200000000004</v>
      </c>
      <c r="I5502" s="13">
        <v>0.66666666666666663</v>
      </c>
      <c r="J5502" t="s">
        <v>6207</v>
      </c>
      <c r="K5502">
        <v>1</v>
      </c>
      <c r="L5502">
        <v>3</v>
      </c>
      <c r="M5502" t="s">
        <v>1</v>
      </c>
      <c r="N5502" s="3">
        <v>0.62</v>
      </c>
      <c r="O5502" s="3">
        <v>0.38</v>
      </c>
      <c r="P5502">
        <v>12</v>
      </c>
      <c r="Q5502">
        <v>10</v>
      </c>
      <c r="R5502">
        <v>10</v>
      </c>
      <c r="S5502">
        <v>2</v>
      </c>
      <c r="T5502">
        <v>10</v>
      </c>
      <c r="U5502">
        <v>11</v>
      </c>
      <c r="V5502">
        <v>3</v>
      </c>
      <c r="W5502">
        <v>3</v>
      </c>
      <c r="X5502">
        <v>0</v>
      </c>
      <c r="Y5502">
        <v>0</v>
      </c>
      <c r="Z5502">
        <v>1</v>
      </c>
    </row>
    <row r="5503" spans="1:26" x14ac:dyDescent="0.2">
      <c r="A5503" t="s">
        <v>5621</v>
      </c>
      <c r="B5503" t="s">
        <v>112</v>
      </c>
      <c r="C5503">
        <v>2023</v>
      </c>
      <c r="D5503" t="s">
        <v>95</v>
      </c>
      <c r="E5503" t="s">
        <v>110</v>
      </c>
      <c r="F5503" t="s">
        <v>57</v>
      </c>
      <c r="G5503">
        <v>32050</v>
      </c>
      <c r="H5503">
        <v>25640</v>
      </c>
      <c r="I5503" s="13">
        <v>0.6</v>
      </c>
      <c r="J5503" t="s">
        <v>6209</v>
      </c>
      <c r="K5503">
        <v>2</v>
      </c>
      <c r="L5503">
        <v>3</v>
      </c>
      <c r="M5503" t="s">
        <v>1</v>
      </c>
      <c r="N5503" s="3">
        <v>0.51</v>
      </c>
      <c r="O5503" s="3">
        <v>0.49</v>
      </c>
      <c r="P5503">
        <v>13</v>
      </c>
      <c r="Q5503">
        <v>14</v>
      </c>
      <c r="R5503">
        <v>9</v>
      </c>
      <c r="S5503">
        <v>4</v>
      </c>
      <c r="T5503">
        <v>13</v>
      </c>
      <c r="U5503">
        <v>13</v>
      </c>
      <c r="V5503">
        <v>5</v>
      </c>
      <c r="W5503">
        <v>0</v>
      </c>
      <c r="X5503">
        <v>0</v>
      </c>
      <c r="Y5503">
        <v>0</v>
      </c>
      <c r="Z5503">
        <v>0</v>
      </c>
    </row>
    <row r="5504" spans="1:26" x14ac:dyDescent="0.2">
      <c r="A5504" t="s">
        <v>5622</v>
      </c>
      <c r="B5504" t="s">
        <v>98</v>
      </c>
      <c r="C5504">
        <v>2023</v>
      </c>
      <c r="D5504" t="s">
        <v>86</v>
      </c>
      <c r="E5504" t="s">
        <v>31</v>
      </c>
      <c r="F5504" t="s">
        <v>86</v>
      </c>
      <c r="G5504">
        <v>11364</v>
      </c>
      <c r="H5504">
        <v>9091.2000000000007</v>
      </c>
      <c r="I5504" s="13">
        <v>1</v>
      </c>
      <c r="J5504" t="s">
        <v>6208</v>
      </c>
      <c r="K5504">
        <v>3</v>
      </c>
      <c r="L5504">
        <v>0</v>
      </c>
      <c r="M5504" t="s">
        <v>0</v>
      </c>
      <c r="N5504" s="3">
        <v>0.42</v>
      </c>
      <c r="O5504" s="3">
        <v>0.57999999999999996</v>
      </c>
      <c r="P5504">
        <v>10</v>
      </c>
      <c r="Q5504">
        <v>13</v>
      </c>
      <c r="R5504">
        <v>6</v>
      </c>
      <c r="S5504">
        <v>5</v>
      </c>
      <c r="T5504">
        <v>10</v>
      </c>
      <c r="U5504">
        <v>10</v>
      </c>
      <c r="V5504">
        <v>0</v>
      </c>
      <c r="W5504">
        <v>2</v>
      </c>
      <c r="X5504">
        <v>0</v>
      </c>
      <c r="Y5504">
        <v>0</v>
      </c>
      <c r="Z5504">
        <v>1</v>
      </c>
    </row>
    <row r="5505" spans="1:26" x14ac:dyDescent="0.2">
      <c r="A5505" t="s">
        <v>5623</v>
      </c>
      <c r="B5505" t="s">
        <v>81</v>
      </c>
      <c r="C5505">
        <v>2023</v>
      </c>
      <c r="D5505" t="s">
        <v>28</v>
      </c>
      <c r="E5505" t="s">
        <v>26</v>
      </c>
      <c r="F5505" t="s">
        <v>28</v>
      </c>
      <c r="G5505">
        <v>21944</v>
      </c>
      <c r="H5505">
        <v>17555.2</v>
      </c>
      <c r="I5505" s="13">
        <v>0.66666666666666663</v>
      </c>
      <c r="J5505" t="s">
        <v>6207</v>
      </c>
      <c r="K5505">
        <v>0</v>
      </c>
      <c r="L5505">
        <v>2</v>
      </c>
      <c r="M5505" t="s">
        <v>1</v>
      </c>
      <c r="N5505" s="3">
        <v>0.31</v>
      </c>
      <c r="O5505" s="3">
        <v>0.69</v>
      </c>
      <c r="P5505">
        <v>14</v>
      </c>
      <c r="Q5505">
        <v>8</v>
      </c>
      <c r="R5505">
        <v>4</v>
      </c>
      <c r="S5505">
        <v>4</v>
      </c>
      <c r="T5505">
        <v>7</v>
      </c>
      <c r="U5505">
        <v>10</v>
      </c>
      <c r="V5505">
        <v>2</v>
      </c>
      <c r="W5505">
        <v>1</v>
      </c>
      <c r="X5505">
        <v>0</v>
      </c>
      <c r="Y5505">
        <v>0</v>
      </c>
      <c r="Z5505">
        <v>0</v>
      </c>
    </row>
    <row r="5506" spans="1:26" x14ac:dyDescent="0.2">
      <c r="A5506" t="s">
        <v>5624</v>
      </c>
      <c r="B5506" t="s">
        <v>76</v>
      </c>
      <c r="C5506">
        <v>2023</v>
      </c>
      <c r="D5506" t="s">
        <v>48</v>
      </c>
      <c r="E5506" t="s">
        <v>42</v>
      </c>
      <c r="F5506" t="s">
        <v>49</v>
      </c>
      <c r="G5506">
        <v>74197</v>
      </c>
      <c r="H5506">
        <v>59357.600000000006</v>
      </c>
      <c r="I5506" s="13">
        <v>0.5</v>
      </c>
      <c r="J5506" t="s">
        <v>6207</v>
      </c>
      <c r="K5506">
        <v>3</v>
      </c>
      <c r="L5506">
        <v>2</v>
      </c>
      <c r="M5506" t="s">
        <v>0</v>
      </c>
      <c r="N5506" s="3">
        <v>0.46</v>
      </c>
      <c r="O5506" s="3">
        <v>0.54</v>
      </c>
      <c r="P5506">
        <v>10</v>
      </c>
      <c r="Q5506">
        <v>19</v>
      </c>
      <c r="R5506">
        <v>3</v>
      </c>
      <c r="S5506">
        <v>6</v>
      </c>
      <c r="T5506">
        <v>10</v>
      </c>
      <c r="U5506">
        <v>10</v>
      </c>
      <c r="V5506">
        <v>1</v>
      </c>
      <c r="W5506">
        <v>3</v>
      </c>
      <c r="X5506">
        <v>0</v>
      </c>
      <c r="Y5506">
        <v>0</v>
      </c>
      <c r="Z5506">
        <v>0</v>
      </c>
    </row>
    <row r="5507" spans="1:26" x14ac:dyDescent="0.2">
      <c r="A5507" t="s">
        <v>5625</v>
      </c>
      <c r="B5507" t="s">
        <v>103</v>
      </c>
      <c r="C5507">
        <v>2023</v>
      </c>
      <c r="D5507" t="s">
        <v>18</v>
      </c>
      <c r="E5507" t="s">
        <v>79</v>
      </c>
      <c r="F5507" t="s">
        <v>20</v>
      </c>
      <c r="G5507">
        <v>40341</v>
      </c>
      <c r="H5507">
        <v>32272.800000000003</v>
      </c>
      <c r="I5507" s="13">
        <v>0.4</v>
      </c>
      <c r="J5507" t="s">
        <v>6207</v>
      </c>
      <c r="K5507">
        <v>2</v>
      </c>
      <c r="L5507">
        <v>1</v>
      </c>
      <c r="M5507" t="s">
        <v>0</v>
      </c>
      <c r="N5507" s="3">
        <v>0.64</v>
      </c>
      <c r="O5507" s="3">
        <v>0.36</v>
      </c>
      <c r="P5507">
        <v>22</v>
      </c>
      <c r="Q5507">
        <v>16</v>
      </c>
      <c r="R5507">
        <v>4</v>
      </c>
      <c r="S5507">
        <v>3</v>
      </c>
      <c r="T5507">
        <v>13</v>
      </c>
      <c r="U5507">
        <v>16</v>
      </c>
      <c r="V5507">
        <v>3</v>
      </c>
      <c r="W5507">
        <v>2</v>
      </c>
      <c r="X5507">
        <v>0</v>
      </c>
      <c r="Y5507">
        <v>0</v>
      </c>
      <c r="Z5507">
        <v>1</v>
      </c>
    </row>
    <row r="5508" spans="1:26" x14ac:dyDescent="0.2">
      <c r="A5508" t="s">
        <v>5626</v>
      </c>
      <c r="B5508" t="s">
        <v>92</v>
      </c>
      <c r="C5508">
        <v>2023</v>
      </c>
      <c r="D5508" t="s">
        <v>101</v>
      </c>
      <c r="E5508" t="s">
        <v>22</v>
      </c>
      <c r="F5508" t="s">
        <v>101</v>
      </c>
      <c r="G5508">
        <v>17250</v>
      </c>
      <c r="H5508">
        <v>13800</v>
      </c>
      <c r="I5508" s="13">
        <v>0.5</v>
      </c>
      <c r="J5508" t="s">
        <v>6207</v>
      </c>
      <c r="K5508">
        <v>1</v>
      </c>
      <c r="L5508">
        <v>4</v>
      </c>
      <c r="M5508" t="s">
        <v>1</v>
      </c>
      <c r="N5508" s="3">
        <v>0.6</v>
      </c>
      <c r="O5508" s="3">
        <v>0.4</v>
      </c>
      <c r="P5508">
        <v>17</v>
      </c>
      <c r="Q5508">
        <v>6</v>
      </c>
      <c r="R5508">
        <v>8</v>
      </c>
      <c r="S5508">
        <v>2</v>
      </c>
      <c r="T5508">
        <v>5</v>
      </c>
      <c r="U5508">
        <v>14</v>
      </c>
      <c r="V5508">
        <v>1</v>
      </c>
      <c r="W5508">
        <v>1</v>
      </c>
      <c r="X5508">
        <v>0</v>
      </c>
      <c r="Y5508">
        <v>0</v>
      </c>
      <c r="Z5508">
        <v>0</v>
      </c>
    </row>
    <row r="5509" spans="1:26" x14ac:dyDescent="0.2">
      <c r="A5509" t="s">
        <v>5627</v>
      </c>
      <c r="B5509" t="s">
        <v>104</v>
      </c>
      <c r="C5509">
        <v>2023</v>
      </c>
      <c r="D5509" t="s">
        <v>45</v>
      </c>
      <c r="E5509" t="s">
        <v>40</v>
      </c>
      <c r="F5509" t="s">
        <v>26</v>
      </c>
      <c r="G5509">
        <v>39572</v>
      </c>
      <c r="H5509">
        <v>31657.600000000002</v>
      </c>
      <c r="I5509" s="13">
        <v>0.33333333333333331</v>
      </c>
      <c r="J5509" t="s">
        <v>6206</v>
      </c>
      <c r="K5509">
        <v>1</v>
      </c>
      <c r="L5509">
        <v>3</v>
      </c>
      <c r="M5509" t="s">
        <v>1</v>
      </c>
      <c r="N5509" s="3">
        <v>0.28000000000000003</v>
      </c>
      <c r="O5509" s="3">
        <v>0.72</v>
      </c>
      <c r="P5509">
        <v>6</v>
      </c>
      <c r="Q5509">
        <v>14</v>
      </c>
      <c r="R5509">
        <v>4</v>
      </c>
      <c r="S5509">
        <v>8</v>
      </c>
      <c r="T5509">
        <v>13</v>
      </c>
      <c r="U5509">
        <v>5</v>
      </c>
      <c r="V5509">
        <v>4</v>
      </c>
      <c r="W5509">
        <v>2</v>
      </c>
      <c r="X5509">
        <v>0</v>
      </c>
      <c r="Y5509">
        <v>0</v>
      </c>
      <c r="Z5509">
        <v>1</v>
      </c>
    </row>
    <row r="5510" spans="1:26" x14ac:dyDescent="0.2">
      <c r="A5510" t="s">
        <v>5628</v>
      </c>
      <c r="B5510" t="s">
        <v>102</v>
      </c>
      <c r="C5510">
        <v>2023</v>
      </c>
      <c r="D5510" t="s">
        <v>90</v>
      </c>
      <c r="E5510" t="s">
        <v>51</v>
      </c>
      <c r="F5510" t="s">
        <v>91</v>
      </c>
      <c r="G5510">
        <v>31876</v>
      </c>
      <c r="H5510">
        <v>25500.800000000003</v>
      </c>
      <c r="I5510" s="13">
        <v>0.8</v>
      </c>
      <c r="J5510" t="s">
        <v>6209</v>
      </c>
      <c r="K5510">
        <v>4</v>
      </c>
      <c r="L5510">
        <v>2</v>
      </c>
      <c r="M5510" t="s">
        <v>0</v>
      </c>
      <c r="N5510" s="3">
        <v>0.46</v>
      </c>
      <c r="O5510" s="3">
        <v>0.54</v>
      </c>
      <c r="P5510">
        <v>11</v>
      </c>
      <c r="Q5510">
        <v>20</v>
      </c>
      <c r="R5510">
        <v>7</v>
      </c>
      <c r="S5510">
        <v>6</v>
      </c>
      <c r="T5510">
        <v>18</v>
      </c>
      <c r="U5510">
        <v>6</v>
      </c>
      <c r="V5510">
        <v>3</v>
      </c>
      <c r="W5510">
        <v>2</v>
      </c>
      <c r="X5510">
        <v>0</v>
      </c>
      <c r="Y5510">
        <v>0</v>
      </c>
      <c r="Z5510">
        <v>2</v>
      </c>
    </row>
    <row r="5511" spans="1:26" x14ac:dyDescent="0.2">
      <c r="A5511" t="s">
        <v>5629</v>
      </c>
      <c r="B5511" t="s">
        <v>66</v>
      </c>
      <c r="C5511">
        <v>2023</v>
      </c>
      <c r="D5511" t="s">
        <v>46</v>
      </c>
      <c r="E5511" t="s">
        <v>23</v>
      </c>
      <c r="F5511" t="s">
        <v>20</v>
      </c>
      <c r="G5511">
        <v>60704</v>
      </c>
      <c r="H5511">
        <v>48563.200000000004</v>
      </c>
      <c r="I5511" s="13">
        <v>0.5</v>
      </c>
      <c r="J5511" t="s">
        <v>6207</v>
      </c>
      <c r="K5511">
        <v>0</v>
      </c>
      <c r="L5511">
        <v>2</v>
      </c>
      <c r="M5511" t="s">
        <v>1</v>
      </c>
      <c r="N5511" s="3">
        <v>0.74</v>
      </c>
      <c r="O5511" s="3">
        <v>0.26</v>
      </c>
      <c r="P5511">
        <v>9</v>
      </c>
      <c r="Q5511">
        <v>8</v>
      </c>
      <c r="R5511">
        <v>10</v>
      </c>
      <c r="S5511">
        <v>3</v>
      </c>
      <c r="T5511">
        <v>8</v>
      </c>
      <c r="U5511">
        <v>8</v>
      </c>
      <c r="V5511">
        <v>2</v>
      </c>
      <c r="W5511">
        <v>0</v>
      </c>
      <c r="X5511">
        <v>0</v>
      </c>
      <c r="Y5511">
        <v>0</v>
      </c>
      <c r="Z5511">
        <v>1</v>
      </c>
    </row>
    <row r="5512" spans="1:26" x14ac:dyDescent="0.2">
      <c r="A5512" t="s">
        <v>5630</v>
      </c>
      <c r="B5512" t="s">
        <v>81</v>
      </c>
      <c r="C5512">
        <v>2023</v>
      </c>
      <c r="D5512" t="s">
        <v>110</v>
      </c>
      <c r="E5512" t="s">
        <v>18</v>
      </c>
      <c r="F5512" t="s">
        <v>110</v>
      </c>
      <c r="G5512">
        <v>12000</v>
      </c>
      <c r="H5512">
        <v>9600</v>
      </c>
      <c r="I5512" s="13">
        <v>0.5</v>
      </c>
      <c r="J5512" t="s">
        <v>6207</v>
      </c>
      <c r="K5512">
        <v>2</v>
      </c>
      <c r="L5512">
        <v>3</v>
      </c>
      <c r="M5512" t="s">
        <v>1</v>
      </c>
      <c r="N5512" s="3">
        <v>0.51</v>
      </c>
      <c r="O5512" s="3">
        <v>0.49</v>
      </c>
      <c r="P5512">
        <v>22</v>
      </c>
      <c r="Q5512">
        <v>20</v>
      </c>
      <c r="R5512">
        <v>7</v>
      </c>
      <c r="S5512">
        <v>2</v>
      </c>
      <c r="T5512">
        <v>14</v>
      </c>
      <c r="U5512">
        <v>21</v>
      </c>
      <c r="V5512">
        <v>2</v>
      </c>
      <c r="W5512">
        <v>2</v>
      </c>
      <c r="X5512">
        <v>0</v>
      </c>
      <c r="Y5512">
        <v>0</v>
      </c>
      <c r="Z5512">
        <v>0</v>
      </c>
    </row>
    <row r="5513" spans="1:26" x14ac:dyDescent="0.2">
      <c r="A5513" t="s">
        <v>5631</v>
      </c>
      <c r="B5513" t="s">
        <v>107</v>
      </c>
      <c r="C5513">
        <v>2023</v>
      </c>
      <c r="D5513" t="s">
        <v>22</v>
      </c>
      <c r="E5513" t="s">
        <v>45</v>
      </c>
      <c r="F5513" t="s">
        <v>24</v>
      </c>
      <c r="G5513">
        <v>31750</v>
      </c>
      <c r="H5513">
        <v>25400</v>
      </c>
      <c r="I5513" s="13">
        <v>0.16666666666666666</v>
      </c>
      <c r="J5513" t="s">
        <v>6207</v>
      </c>
      <c r="K5513">
        <v>3</v>
      </c>
      <c r="L5513">
        <v>0</v>
      </c>
      <c r="M5513" t="s">
        <v>0</v>
      </c>
      <c r="N5513" s="3">
        <v>0.53</v>
      </c>
      <c r="O5513" s="3">
        <v>0.47</v>
      </c>
      <c r="P5513">
        <v>15</v>
      </c>
      <c r="Q5513">
        <v>11</v>
      </c>
      <c r="R5513">
        <v>5</v>
      </c>
      <c r="S5513">
        <v>2</v>
      </c>
      <c r="T5513">
        <v>9</v>
      </c>
      <c r="U5513">
        <v>14</v>
      </c>
      <c r="V5513">
        <v>2</v>
      </c>
      <c r="W5513">
        <v>4</v>
      </c>
      <c r="X5513">
        <v>0</v>
      </c>
      <c r="Y5513">
        <v>0</v>
      </c>
      <c r="Z5513">
        <v>0</v>
      </c>
    </row>
    <row r="5514" spans="1:26" x14ac:dyDescent="0.2">
      <c r="A5514" t="s">
        <v>5632</v>
      </c>
      <c r="B5514" t="s">
        <v>93</v>
      </c>
      <c r="C5514">
        <v>2023</v>
      </c>
      <c r="D5514" t="s">
        <v>40</v>
      </c>
      <c r="E5514" t="s">
        <v>95</v>
      </c>
      <c r="F5514" t="s">
        <v>49</v>
      </c>
      <c r="G5514">
        <v>53400</v>
      </c>
      <c r="H5514">
        <v>42720</v>
      </c>
      <c r="I5514" s="13">
        <v>0.5</v>
      </c>
      <c r="J5514" t="s">
        <v>6206</v>
      </c>
      <c r="K5514">
        <v>2</v>
      </c>
      <c r="L5514">
        <v>0</v>
      </c>
      <c r="M5514" t="s">
        <v>0</v>
      </c>
      <c r="N5514" s="3">
        <v>0.82</v>
      </c>
      <c r="O5514" s="3">
        <v>0.18</v>
      </c>
      <c r="P5514">
        <v>9</v>
      </c>
      <c r="Q5514">
        <v>6</v>
      </c>
      <c r="R5514">
        <v>12</v>
      </c>
      <c r="S5514">
        <v>2</v>
      </c>
      <c r="T5514">
        <v>5</v>
      </c>
      <c r="U5514">
        <v>6</v>
      </c>
      <c r="V5514">
        <v>1</v>
      </c>
      <c r="W5514">
        <v>1</v>
      </c>
      <c r="X5514">
        <v>0</v>
      </c>
      <c r="Y5514">
        <v>0</v>
      </c>
      <c r="Z5514">
        <v>0</v>
      </c>
    </row>
    <row r="5515" spans="1:26" x14ac:dyDescent="0.2">
      <c r="A5515" t="s">
        <v>5633</v>
      </c>
      <c r="B5515" t="s">
        <v>99</v>
      </c>
      <c r="C5515">
        <v>2023</v>
      </c>
      <c r="D5515" t="s">
        <v>79</v>
      </c>
      <c r="E5515" t="s">
        <v>101</v>
      </c>
      <c r="F5515" t="s">
        <v>20</v>
      </c>
      <c r="G5515">
        <v>25486</v>
      </c>
      <c r="H5515">
        <v>20388.800000000003</v>
      </c>
      <c r="I5515" s="13">
        <v>1</v>
      </c>
      <c r="J5515" t="s">
        <v>6207</v>
      </c>
      <c r="K5515">
        <v>3</v>
      </c>
      <c r="L5515">
        <v>1</v>
      </c>
      <c r="M5515" t="s">
        <v>0</v>
      </c>
      <c r="N5515" s="3">
        <v>0.48</v>
      </c>
      <c r="O5515" s="3">
        <v>0.52</v>
      </c>
      <c r="P5515">
        <v>10</v>
      </c>
      <c r="Q5515">
        <v>14</v>
      </c>
      <c r="R5515">
        <v>7</v>
      </c>
      <c r="S5515">
        <v>4</v>
      </c>
      <c r="T5515">
        <v>14</v>
      </c>
      <c r="U5515">
        <v>10</v>
      </c>
      <c r="V5515">
        <v>0</v>
      </c>
      <c r="W5515">
        <v>1</v>
      </c>
      <c r="X5515">
        <v>0</v>
      </c>
      <c r="Y5515">
        <v>0</v>
      </c>
      <c r="Z5515">
        <v>0</v>
      </c>
    </row>
    <row r="5516" spans="1:26" x14ac:dyDescent="0.2">
      <c r="A5516" t="s">
        <v>5634</v>
      </c>
      <c r="B5516" t="s">
        <v>59</v>
      </c>
      <c r="C5516">
        <v>2023</v>
      </c>
      <c r="D5516" t="s">
        <v>42</v>
      </c>
      <c r="E5516" t="s">
        <v>28</v>
      </c>
      <c r="F5516" t="s">
        <v>38</v>
      </c>
      <c r="G5516">
        <v>42918</v>
      </c>
      <c r="H5516">
        <v>34334.400000000001</v>
      </c>
      <c r="I5516" s="13">
        <v>0.2857142857142857</v>
      </c>
      <c r="J5516" t="s">
        <v>6206</v>
      </c>
      <c r="K5516">
        <v>3</v>
      </c>
      <c r="L5516">
        <v>2</v>
      </c>
      <c r="M5516" t="s">
        <v>0</v>
      </c>
      <c r="N5516" s="3">
        <v>0.65</v>
      </c>
      <c r="O5516" s="3">
        <v>0.35</v>
      </c>
      <c r="P5516">
        <v>13</v>
      </c>
      <c r="Q5516">
        <v>8</v>
      </c>
      <c r="R5516">
        <v>6</v>
      </c>
      <c r="S5516">
        <v>2</v>
      </c>
      <c r="T5516">
        <v>9</v>
      </c>
      <c r="U5516">
        <v>14</v>
      </c>
      <c r="V5516">
        <v>4</v>
      </c>
      <c r="W5516">
        <v>2</v>
      </c>
      <c r="X5516">
        <v>0</v>
      </c>
      <c r="Y5516">
        <v>1</v>
      </c>
      <c r="Z5516">
        <v>1</v>
      </c>
    </row>
    <row r="5517" spans="1:26" x14ac:dyDescent="0.2">
      <c r="A5517" t="s">
        <v>5635</v>
      </c>
      <c r="B5517" t="s">
        <v>98</v>
      </c>
      <c r="C5517">
        <v>2023</v>
      </c>
      <c r="D5517" t="s">
        <v>94</v>
      </c>
      <c r="E5517" t="s">
        <v>48</v>
      </c>
      <c r="F5517" t="s">
        <v>106</v>
      </c>
      <c r="G5517">
        <v>30445</v>
      </c>
      <c r="H5517">
        <v>24356</v>
      </c>
      <c r="I5517" s="13">
        <v>0.83333333333333337</v>
      </c>
      <c r="J5517" t="s">
        <v>6208</v>
      </c>
      <c r="K5517">
        <v>2</v>
      </c>
      <c r="L5517">
        <v>1</v>
      </c>
      <c r="M5517" t="s">
        <v>0</v>
      </c>
      <c r="N5517" s="3">
        <v>0.46</v>
      </c>
      <c r="O5517" s="3">
        <v>0.54</v>
      </c>
      <c r="P5517">
        <v>13</v>
      </c>
      <c r="Q5517">
        <v>10</v>
      </c>
      <c r="R5517">
        <v>4</v>
      </c>
      <c r="S5517">
        <v>5</v>
      </c>
      <c r="T5517">
        <v>9</v>
      </c>
      <c r="U5517">
        <v>11</v>
      </c>
      <c r="V5517">
        <v>2</v>
      </c>
      <c r="W5517">
        <v>4</v>
      </c>
      <c r="X5517">
        <v>0</v>
      </c>
      <c r="Y5517">
        <v>0</v>
      </c>
      <c r="Z5517">
        <v>0</v>
      </c>
    </row>
    <row r="5518" spans="1:26" x14ac:dyDescent="0.2">
      <c r="A5518" t="s">
        <v>5636</v>
      </c>
      <c r="B5518" t="s">
        <v>84</v>
      </c>
      <c r="C5518">
        <v>2023</v>
      </c>
      <c r="D5518" t="s">
        <v>51</v>
      </c>
      <c r="E5518" t="s">
        <v>86</v>
      </c>
      <c r="F5518" t="s">
        <v>20</v>
      </c>
      <c r="G5518">
        <v>36284</v>
      </c>
      <c r="H5518">
        <v>29027.200000000001</v>
      </c>
      <c r="I5518" s="13">
        <v>0.5</v>
      </c>
      <c r="J5518" t="s">
        <v>6208</v>
      </c>
      <c r="K5518">
        <v>3</v>
      </c>
      <c r="L5518">
        <v>1</v>
      </c>
      <c r="M5518" t="s">
        <v>0</v>
      </c>
      <c r="N5518" s="3">
        <v>0.51</v>
      </c>
      <c r="O5518" s="3">
        <v>0.49</v>
      </c>
      <c r="P5518">
        <v>21</v>
      </c>
      <c r="Q5518">
        <v>13</v>
      </c>
      <c r="R5518">
        <v>4</v>
      </c>
      <c r="S5518">
        <v>13</v>
      </c>
      <c r="T5518">
        <v>9</v>
      </c>
      <c r="U5518">
        <v>18</v>
      </c>
      <c r="V5518">
        <v>4</v>
      </c>
      <c r="W5518">
        <v>2</v>
      </c>
      <c r="X5518">
        <v>0</v>
      </c>
      <c r="Y5518">
        <v>0</v>
      </c>
      <c r="Z5518">
        <v>0</v>
      </c>
    </row>
    <row r="5519" spans="1:26" x14ac:dyDescent="0.2">
      <c r="A5519" t="s">
        <v>5637</v>
      </c>
      <c r="B5519" t="s">
        <v>109</v>
      </c>
      <c r="C5519">
        <v>2023</v>
      </c>
      <c r="D5519" t="s">
        <v>31</v>
      </c>
      <c r="E5519" t="s">
        <v>46</v>
      </c>
      <c r="F5519" t="s">
        <v>20</v>
      </c>
      <c r="G5519">
        <v>28500</v>
      </c>
      <c r="H5519">
        <v>22800</v>
      </c>
      <c r="I5519" s="13">
        <v>0.8</v>
      </c>
      <c r="J5519" t="s">
        <v>6209</v>
      </c>
      <c r="K5519">
        <v>2</v>
      </c>
      <c r="L5519">
        <v>1</v>
      </c>
      <c r="M5519" t="s">
        <v>0</v>
      </c>
      <c r="N5519" s="3">
        <v>0.39</v>
      </c>
      <c r="O5519" s="3">
        <v>0.61</v>
      </c>
      <c r="P5519">
        <v>10</v>
      </c>
      <c r="Q5519">
        <v>15</v>
      </c>
      <c r="R5519">
        <v>5</v>
      </c>
      <c r="S5519">
        <v>4</v>
      </c>
      <c r="T5519">
        <v>11</v>
      </c>
      <c r="U5519">
        <v>10</v>
      </c>
      <c r="V5519">
        <v>4</v>
      </c>
      <c r="W5519">
        <v>1</v>
      </c>
      <c r="X5519">
        <v>0</v>
      </c>
      <c r="Y5519">
        <v>0</v>
      </c>
      <c r="Z5519">
        <v>0</v>
      </c>
    </row>
    <row r="5520" spans="1:26" x14ac:dyDescent="0.2">
      <c r="A5520" t="s">
        <v>5638</v>
      </c>
      <c r="B5520" t="s">
        <v>61</v>
      </c>
      <c r="C5520">
        <v>2023</v>
      </c>
      <c r="D5520" t="s">
        <v>26</v>
      </c>
      <c r="E5520" t="s">
        <v>64</v>
      </c>
      <c r="F5520" t="s">
        <v>26</v>
      </c>
      <c r="G5520">
        <v>61276</v>
      </c>
      <c r="H5520">
        <v>49020.800000000003</v>
      </c>
      <c r="I5520" s="13">
        <v>0.625</v>
      </c>
      <c r="J5520" t="s">
        <v>6207</v>
      </c>
      <c r="K5520">
        <v>4</v>
      </c>
      <c r="L5520">
        <v>2</v>
      </c>
      <c r="M5520" t="s">
        <v>0</v>
      </c>
      <c r="N5520" s="3">
        <v>0.62</v>
      </c>
      <c r="O5520" s="3">
        <v>0.38</v>
      </c>
      <c r="P5520">
        <v>18</v>
      </c>
      <c r="Q5520">
        <v>17</v>
      </c>
      <c r="R5520">
        <v>7</v>
      </c>
      <c r="S5520">
        <v>3</v>
      </c>
      <c r="T5520">
        <v>16</v>
      </c>
      <c r="U5520">
        <v>15</v>
      </c>
      <c r="V5520">
        <v>3</v>
      </c>
      <c r="W5520">
        <v>5</v>
      </c>
      <c r="X5520">
        <v>0</v>
      </c>
      <c r="Y5520">
        <v>0</v>
      </c>
      <c r="Z5520">
        <v>2</v>
      </c>
    </row>
    <row r="5521" spans="1:26" x14ac:dyDescent="0.2">
      <c r="A5521" t="s">
        <v>5639</v>
      </c>
      <c r="B5521" t="s">
        <v>111</v>
      </c>
      <c r="C5521">
        <v>2023</v>
      </c>
      <c r="D5521" t="s">
        <v>23</v>
      </c>
      <c r="E5521" t="s">
        <v>90</v>
      </c>
      <c r="F5521" t="s">
        <v>20</v>
      </c>
      <c r="G5521">
        <v>62500</v>
      </c>
      <c r="H5521">
        <v>50000</v>
      </c>
      <c r="I5521" s="13">
        <v>0</v>
      </c>
      <c r="J5521" t="s">
        <v>6207</v>
      </c>
      <c r="K5521">
        <v>0</v>
      </c>
      <c r="L5521">
        <v>0</v>
      </c>
      <c r="M5521" t="s">
        <v>58</v>
      </c>
      <c r="N5521" s="3">
        <v>0.32</v>
      </c>
      <c r="O5521" s="3">
        <v>0.68</v>
      </c>
      <c r="P5521">
        <v>7</v>
      </c>
      <c r="Q5521">
        <v>7</v>
      </c>
      <c r="R5521">
        <v>2</v>
      </c>
      <c r="S5521">
        <v>0</v>
      </c>
      <c r="T5521">
        <v>4</v>
      </c>
      <c r="U5521">
        <v>6</v>
      </c>
      <c r="V5521">
        <v>1</v>
      </c>
      <c r="W5521">
        <v>0</v>
      </c>
      <c r="X5521">
        <v>0</v>
      </c>
      <c r="Y5521">
        <v>0</v>
      </c>
      <c r="Z5521">
        <v>0</v>
      </c>
    </row>
    <row r="5522" spans="1:26" x14ac:dyDescent="0.2">
      <c r="A5522" t="s">
        <v>5640</v>
      </c>
      <c r="B5522" t="s">
        <v>105</v>
      </c>
      <c r="C5522">
        <v>2023</v>
      </c>
      <c r="D5522" t="s">
        <v>28</v>
      </c>
      <c r="E5522" t="s">
        <v>110</v>
      </c>
      <c r="F5522" t="s">
        <v>28</v>
      </c>
      <c r="G5522">
        <v>21944</v>
      </c>
      <c r="H5522">
        <v>17555.2</v>
      </c>
      <c r="I5522" s="13">
        <v>0</v>
      </c>
      <c r="J5522" t="s">
        <v>6207</v>
      </c>
      <c r="K5522">
        <v>1</v>
      </c>
      <c r="L5522">
        <v>1</v>
      </c>
      <c r="M5522" t="s">
        <v>58</v>
      </c>
      <c r="N5522" s="3">
        <v>0.39</v>
      </c>
      <c r="O5522" s="3">
        <v>0.61</v>
      </c>
      <c r="P5522">
        <v>16</v>
      </c>
      <c r="Q5522">
        <v>8</v>
      </c>
      <c r="R5522">
        <v>2</v>
      </c>
      <c r="S5522">
        <v>8</v>
      </c>
      <c r="T5522">
        <v>7</v>
      </c>
      <c r="U5522">
        <v>12</v>
      </c>
      <c r="V5522">
        <v>1</v>
      </c>
      <c r="W5522">
        <v>0</v>
      </c>
      <c r="X5522">
        <v>0</v>
      </c>
      <c r="Y5522">
        <v>0</v>
      </c>
      <c r="Z5522">
        <v>0</v>
      </c>
    </row>
    <row r="5523" spans="1:26" x14ac:dyDescent="0.2">
      <c r="A5523" t="s">
        <v>5641</v>
      </c>
      <c r="B5523" t="s">
        <v>61</v>
      </c>
      <c r="C5523">
        <v>2023</v>
      </c>
      <c r="D5523" t="s">
        <v>18</v>
      </c>
      <c r="E5523" t="s">
        <v>31</v>
      </c>
      <c r="F5523" t="s">
        <v>20</v>
      </c>
      <c r="G5523">
        <v>40341</v>
      </c>
      <c r="H5523">
        <v>32272.800000000003</v>
      </c>
      <c r="I5523" s="13">
        <v>0.66666666666666663</v>
      </c>
      <c r="J5523" t="s">
        <v>6207</v>
      </c>
      <c r="K5523">
        <v>1</v>
      </c>
      <c r="L5523">
        <v>0</v>
      </c>
      <c r="M5523" t="s">
        <v>0</v>
      </c>
      <c r="N5523" s="3">
        <v>0.55000000000000004</v>
      </c>
      <c r="O5523" s="3">
        <v>0.45</v>
      </c>
      <c r="P5523">
        <v>9</v>
      </c>
      <c r="Q5523">
        <v>15</v>
      </c>
      <c r="R5523">
        <v>6</v>
      </c>
      <c r="S5523">
        <v>4</v>
      </c>
      <c r="T5523">
        <v>13</v>
      </c>
      <c r="U5523">
        <v>9</v>
      </c>
      <c r="V5523">
        <v>5</v>
      </c>
      <c r="W5523">
        <v>1</v>
      </c>
      <c r="X5523">
        <v>0</v>
      </c>
      <c r="Y5523">
        <v>0</v>
      </c>
      <c r="Z5523">
        <v>1</v>
      </c>
    </row>
    <row r="5524" spans="1:26" x14ac:dyDescent="0.2">
      <c r="A5524" t="s">
        <v>5642</v>
      </c>
      <c r="B5524" t="s">
        <v>88</v>
      </c>
      <c r="C5524">
        <v>2023</v>
      </c>
      <c r="D5524" t="s">
        <v>64</v>
      </c>
      <c r="E5524" t="s">
        <v>40</v>
      </c>
      <c r="F5524" t="s">
        <v>64</v>
      </c>
      <c r="G5524">
        <v>52264</v>
      </c>
      <c r="H5524">
        <v>41811.200000000004</v>
      </c>
      <c r="I5524" s="13">
        <v>1</v>
      </c>
      <c r="J5524" t="s">
        <v>6207</v>
      </c>
      <c r="K5524">
        <v>2</v>
      </c>
      <c r="L5524">
        <v>3</v>
      </c>
      <c r="M5524" t="s">
        <v>1</v>
      </c>
      <c r="N5524" s="3">
        <v>0.27</v>
      </c>
      <c r="O5524" s="3">
        <v>0.73</v>
      </c>
      <c r="P5524">
        <v>8</v>
      </c>
      <c r="Q5524">
        <v>15</v>
      </c>
      <c r="R5524">
        <v>3</v>
      </c>
      <c r="S5524">
        <v>13</v>
      </c>
      <c r="T5524">
        <v>7</v>
      </c>
      <c r="U5524">
        <v>7</v>
      </c>
      <c r="V5524">
        <v>1</v>
      </c>
      <c r="W5524">
        <v>2</v>
      </c>
      <c r="X5524">
        <v>0</v>
      </c>
      <c r="Y5524">
        <v>0</v>
      </c>
      <c r="Z5524">
        <v>0</v>
      </c>
    </row>
    <row r="5525" spans="1:26" x14ac:dyDescent="0.2">
      <c r="A5525" t="s">
        <v>5643</v>
      </c>
      <c r="B5525" t="s">
        <v>93</v>
      </c>
      <c r="C5525">
        <v>2023</v>
      </c>
      <c r="D5525" t="s">
        <v>45</v>
      </c>
      <c r="E5525" t="s">
        <v>42</v>
      </c>
      <c r="F5525" t="s">
        <v>26</v>
      </c>
      <c r="G5525">
        <v>39572</v>
      </c>
      <c r="H5525">
        <v>31657.600000000002</v>
      </c>
      <c r="I5525" s="13">
        <v>0.6</v>
      </c>
      <c r="J5525" t="s">
        <v>6206</v>
      </c>
      <c r="K5525">
        <v>0</v>
      </c>
      <c r="L5525">
        <v>0</v>
      </c>
      <c r="M5525" t="s">
        <v>58</v>
      </c>
      <c r="N5525" s="3">
        <v>0.31</v>
      </c>
      <c r="O5525" s="3">
        <v>0.69</v>
      </c>
      <c r="P5525">
        <v>15</v>
      </c>
      <c r="Q5525">
        <v>18</v>
      </c>
      <c r="R5525">
        <v>4</v>
      </c>
      <c r="S5525">
        <v>5</v>
      </c>
      <c r="T5525">
        <v>13</v>
      </c>
      <c r="U5525">
        <v>14</v>
      </c>
      <c r="V5525">
        <v>1</v>
      </c>
      <c r="W5525">
        <v>4</v>
      </c>
      <c r="X5525">
        <v>0</v>
      </c>
      <c r="Y5525">
        <v>0</v>
      </c>
      <c r="Z5525">
        <v>0</v>
      </c>
    </row>
    <row r="5526" spans="1:26" x14ac:dyDescent="0.2">
      <c r="A5526" t="s">
        <v>5644</v>
      </c>
      <c r="B5526" t="s">
        <v>104</v>
      </c>
      <c r="C5526">
        <v>2023</v>
      </c>
      <c r="D5526" t="s">
        <v>48</v>
      </c>
      <c r="E5526" t="s">
        <v>51</v>
      </c>
      <c r="F5526" t="s">
        <v>49</v>
      </c>
      <c r="G5526">
        <v>74197</v>
      </c>
      <c r="H5526">
        <v>59357.600000000006</v>
      </c>
      <c r="I5526" s="13">
        <v>1</v>
      </c>
      <c r="J5526" t="s">
        <v>6206</v>
      </c>
      <c r="K5526">
        <v>2</v>
      </c>
      <c r="L5526">
        <v>2</v>
      </c>
      <c r="M5526" t="s">
        <v>58</v>
      </c>
      <c r="N5526" s="3">
        <v>0.36</v>
      </c>
      <c r="O5526" s="3">
        <v>0.64</v>
      </c>
      <c r="P5526">
        <v>9</v>
      </c>
      <c r="Q5526">
        <v>11</v>
      </c>
      <c r="R5526">
        <v>8</v>
      </c>
      <c r="S5526">
        <v>13</v>
      </c>
      <c r="T5526">
        <v>8</v>
      </c>
      <c r="U5526">
        <v>5</v>
      </c>
      <c r="V5526">
        <v>2</v>
      </c>
      <c r="W5526">
        <v>1</v>
      </c>
      <c r="X5526">
        <v>0</v>
      </c>
      <c r="Y5526">
        <v>0</v>
      </c>
      <c r="Z5526">
        <v>0</v>
      </c>
    </row>
    <row r="5527" spans="1:26" x14ac:dyDescent="0.2">
      <c r="A5527" t="s">
        <v>5645</v>
      </c>
      <c r="B5527" t="s">
        <v>81</v>
      </c>
      <c r="C5527">
        <v>2023</v>
      </c>
      <c r="D5527" t="s">
        <v>46</v>
      </c>
      <c r="E5527" t="s">
        <v>79</v>
      </c>
      <c r="F5527" t="s">
        <v>20</v>
      </c>
      <c r="G5527">
        <v>60704</v>
      </c>
      <c r="H5527">
        <v>48563.200000000004</v>
      </c>
      <c r="I5527" s="13">
        <v>0</v>
      </c>
      <c r="J5527" t="s">
        <v>6207</v>
      </c>
      <c r="K5527">
        <v>5</v>
      </c>
      <c r="L5527">
        <v>0</v>
      </c>
      <c r="M5527" t="s">
        <v>0</v>
      </c>
      <c r="N5527" s="3">
        <v>0.61</v>
      </c>
      <c r="O5527" s="3">
        <v>0.39</v>
      </c>
      <c r="P5527">
        <v>14</v>
      </c>
      <c r="Q5527">
        <v>13</v>
      </c>
      <c r="R5527">
        <v>6</v>
      </c>
      <c r="S5527">
        <v>7</v>
      </c>
      <c r="T5527">
        <v>8</v>
      </c>
      <c r="U5527">
        <v>12</v>
      </c>
      <c r="V5527">
        <v>0</v>
      </c>
      <c r="W5527">
        <v>0</v>
      </c>
      <c r="X5527">
        <v>0</v>
      </c>
      <c r="Y5527">
        <v>0</v>
      </c>
      <c r="Z5527">
        <v>0</v>
      </c>
    </row>
    <row r="5528" spans="1:26" x14ac:dyDescent="0.2">
      <c r="A5528" t="s">
        <v>5646</v>
      </c>
      <c r="B5528" t="s">
        <v>100</v>
      </c>
      <c r="C5528">
        <v>2023</v>
      </c>
      <c r="D5528" t="s">
        <v>101</v>
      </c>
      <c r="E5528" t="s">
        <v>94</v>
      </c>
      <c r="F5528" t="s">
        <v>101</v>
      </c>
      <c r="G5528">
        <v>17250</v>
      </c>
      <c r="H5528">
        <v>13800</v>
      </c>
      <c r="I5528" s="13">
        <v>0.75</v>
      </c>
      <c r="J5528" t="s">
        <v>6207</v>
      </c>
      <c r="K5528">
        <v>3</v>
      </c>
      <c r="L5528">
        <v>2</v>
      </c>
      <c r="M5528" t="s">
        <v>0</v>
      </c>
      <c r="N5528" s="3">
        <v>0.48</v>
      </c>
      <c r="O5528" s="3">
        <v>0.52</v>
      </c>
      <c r="P5528">
        <v>13</v>
      </c>
      <c r="Q5528">
        <v>10</v>
      </c>
      <c r="R5528">
        <v>6</v>
      </c>
      <c r="S5528">
        <v>4</v>
      </c>
      <c r="T5528">
        <v>10</v>
      </c>
      <c r="U5528">
        <v>14</v>
      </c>
      <c r="V5528">
        <v>1</v>
      </c>
      <c r="W5528">
        <v>3</v>
      </c>
      <c r="X5528">
        <v>0</v>
      </c>
      <c r="Y5528">
        <v>0</v>
      </c>
      <c r="Z5528">
        <v>0</v>
      </c>
    </row>
    <row r="5529" spans="1:26" x14ac:dyDescent="0.2">
      <c r="A5529" t="s">
        <v>5647</v>
      </c>
      <c r="B5529" t="s">
        <v>103</v>
      </c>
      <c r="C5529">
        <v>2023</v>
      </c>
      <c r="D5529" t="s">
        <v>95</v>
      </c>
      <c r="E5529" t="s">
        <v>23</v>
      </c>
      <c r="F5529" t="s">
        <v>57</v>
      </c>
      <c r="G5529">
        <v>32050</v>
      </c>
      <c r="H5529">
        <v>25640</v>
      </c>
      <c r="I5529" s="13">
        <v>0.42857142857142855</v>
      </c>
      <c r="J5529" t="s">
        <v>6207</v>
      </c>
      <c r="K5529">
        <v>2</v>
      </c>
      <c r="L5529">
        <v>2</v>
      </c>
      <c r="M5529" t="s">
        <v>58</v>
      </c>
      <c r="N5529" s="3">
        <v>0.56999999999999995</v>
      </c>
      <c r="O5529" s="3">
        <v>0.43</v>
      </c>
      <c r="P5529">
        <v>10</v>
      </c>
      <c r="Q5529">
        <v>11</v>
      </c>
      <c r="R5529">
        <v>4</v>
      </c>
      <c r="S5529">
        <v>1</v>
      </c>
      <c r="T5529">
        <v>11</v>
      </c>
      <c r="U5529">
        <v>10</v>
      </c>
      <c r="V5529">
        <v>3</v>
      </c>
      <c r="W5529">
        <v>2</v>
      </c>
      <c r="X5529">
        <v>1</v>
      </c>
      <c r="Y5529">
        <v>1</v>
      </c>
      <c r="Z5529">
        <v>2</v>
      </c>
    </row>
    <row r="5530" spans="1:26" x14ac:dyDescent="0.2">
      <c r="A5530" t="s">
        <v>5648</v>
      </c>
      <c r="B5530" t="s">
        <v>92</v>
      </c>
      <c r="C5530">
        <v>2023</v>
      </c>
      <c r="D5530" t="s">
        <v>86</v>
      </c>
      <c r="E5530" t="s">
        <v>26</v>
      </c>
      <c r="F5530" t="s">
        <v>86</v>
      </c>
      <c r="G5530">
        <v>11364</v>
      </c>
      <c r="H5530">
        <v>9091.2000000000007</v>
      </c>
      <c r="I5530" s="13">
        <v>0.33333333333333331</v>
      </c>
      <c r="J5530" t="s">
        <v>6207</v>
      </c>
      <c r="K5530">
        <v>0</v>
      </c>
      <c r="L5530">
        <v>4</v>
      </c>
      <c r="M5530" t="s">
        <v>1</v>
      </c>
      <c r="N5530" s="3">
        <v>0.39</v>
      </c>
      <c r="O5530" s="3">
        <v>0.61</v>
      </c>
      <c r="P5530">
        <v>12</v>
      </c>
      <c r="Q5530">
        <v>10</v>
      </c>
      <c r="R5530">
        <v>8</v>
      </c>
      <c r="S5530">
        <v>5</v>
      </c>
      <c r="T5530">
        <v>9</v>
      </c>
      <c r="U5530">
        <v>12</v>
      </c>
      <c r="V5530">
        <v>1</v>
      </c>
      <c r="W5530">
        <v>2</v>
      </c>
      <c r="X5530">
        <v>0</v>
      </c>
      <c r="Y5530">
        <v>0</v>
      </c>
      <c r="Z5530">
        <v>0</v>
      </c>
    </row>
    <row r="5531" spans="1:26" x14ac:dyDescent="0.2">
      <c r="A5531" t="s">
        <v>5649</v>
      </c>
      <c r="B5531" t="s">
        <v>76</v>
      </c>
      <c r="C5531">
        <v>2023</v>
      </c>
      <c r="D5531" t="s">
        <v>90</v>
      </c>
      <c r="E5531" t="s">
        <v>22</v>
      </c>
      <c r="F5531" t="s">
        <v>91</v>
      </c>
      <c r="G5531">
        <v>31876</v>
      </c>
      <c r="H5531">
        <v>25500.800000000003</v>
      </c>
      <c r="I5531" s="13">
        <v>0.4</v>
      </c>
      <c r="J5531" t="s">
        <v>6207</v>
      </c>
      <c r="K5531">
        <v>0</v>
      </c>
      <c r="L5531">
        <v>0</v>
      </c>
      <c r="M5531" t="s">
        <v>58</v>
      </c>
      <c r="N5531" s="3">
        <v>0.71</v>
      </c>
      <c r="O5531" s="3">
        <v>0.28999999999999998</v>
      </c>
      <c r="P5531">
        <v>13</v>
      </c>
      <c r="Q5531">
        <v>14</v>
      </c>
      <c r="R5531">
        <v>8</v>
      </c>
      <c r="S5531">
        <v>2</v>
      </c>
      <c r="T5531">
        <v>10</v>
      </c>
      <c r="U5531">
        <v>13</v>
      </c>
      <c r="V5531">
        <v>1</v>
      </c>
      <c r="W5531">
        <v>4</v>
      </c>
      <c r="X5531">
        <v>0</v>
      </c>
      <c r="Y5531">
        <v>0</v>
      </c>
      <c r="Z5531">
        <v>0</v>
      </c>
    </row>
    <row r="5532" spans="1:26" x14ac:dyDescent="0.2">
      <c r="A5532" t="s">
        <v>5650</v>
      </c>
      <c r="B5532" t="s">
        <v>84</v>
      </c>
      <c r="C5532">
        <v>2023</v>
      </c>
      <c r="D5532" t="s">
        <v>94</v>
      </c>
      <c r="E5532" t="s">
        <v>46</v>
      </c>
      <c r="F5532" t="s">
        <v>106</v>
      </c>
      <c r="G5532">
        <v>30445</v>
      </c>
      <c r="H5532">
        <v>24356</v>
      </c>
      <c r="I5532" s="13">
        <v>1</v>
      </c>
      <c r="J5532" t="s">
        <v>6208</v>
      </c>
      <c r="K5532">
        <v>1</v>
      </c>
      <c r="L5532">
        <v>2</v>
      </c>
      <c r="M5532" t="s">
        <v>1</v>
      </c>
      <c r="N5532" s="3">
        <v>0.27</v>
      </c>
      <c r="O5532" s="3">
        <v>0.73</v>
      </c>
      <c r="P5532">
        <v>10</v>
      </c>
      <c r="Q5532">
        <v>7</v>
      </c>
      <c r="R5532">
        <v>2</v>
      </c>
      <c r="S5532">
        <v>10</v>
      </c>
      <c r="T5532">
        <v>6</v>
      </c>
      <c r="U5532">
        <v>7</v>
      </c>
      <c r="V5532">
        <v>0</v>
      </c>
      <c r="W5532">
        <v>1</v>
      </c>
      <c r="X5532">
        <v>0</v>
      </c>
      <c r="Y5532">
        <v>0</v>
      </c>
      <c r="Z5532">
        <v>0</v>
      </c>
    </row>
    <row r="5533" spans="1:26" x14ac:dyDescent="0.2">
      <c r="A5533" t="s">
        <v>5651</v>
      </c>
      <c r="B5533" t="s">
        <v>99</v>
      </c>
      <c r="C5533">
        <v>2023</v>
      </c>
      <c r="D5533" t="s">
        <v>110</v>
      </c>
      <c r="E5533" t="s">
        <v>90</v>
      </c>
      <c r="F5533" t="s">
        <v>110</v>
      </c>
      <c r="G5533">
        <v>12000</v>
      </c>
      <c r="H5533">
        <v>9600</v>
      </c>
      <c r="I5533" s="13">
        <v>0.5</v>
      </c>
      <c r="J5533" t="s">
        <v>6207</v>
      </c>
      <c r="K5533">
        <v>4</v>
      </c>
      <c r="L5533">
        <v>0</v>
      </c>
      <c r="M5533" t="s">
        <v>0</v>
      </c>
      <c r="N5533" s="3">
        <v>0.41</v>
      </c>
      <c r="O5533" s="3">
        <v>0.59</v>
      </c>
      <c r="P5533">
        <v>15</v>
      </c>
      <c r="Q5533">
        <v>17</v>
      </c>
      <c r="R5533">
        <v>7</v>
      </c>
      <c r="S5533">
        <v>4</v>
      </c>
      <c r="T5533">
        <v>13</v>
      </c>
      <c r="U5533">
        <v>14</v>
      </c>
      <c r="V5533">
        <v>2</v>
      </c>
      <c r="W5533">
        <v>2</v>
      </c>
      <c r="X5533">
        <v>0</v>
      </c>
      <c r="Y5533">
        <v>0</v>
      </c>
      <c r="Z5533">
        <v>0</v>
      </c>
    </row>
    <row r="5534" spans="1:26" x14ac:dyDescent="0.2">
      <c r="A5534" t="s">
        <v>5652</v>
      </c>
      <c r="B5534" t="s">
        <v>107</v>
      </c>
      <c r="C5534">
        <v>2023</v>
      </c>
      <c r="D5534" t="s">
        <v>31</v>
      </c>
      <c r="E5534" t="s">
        <v>45</v>
      </c>
      <c r="F5534" t="s">
        <v>20</v>
      </c>
      <c r="G5534">
        <v>28500</v>
      </c>
      <c r="H5534">
        <v>22800</v>
      </c>
      <c r="I5534" s="13">
        <v>0.33333333333333331</v>
      </c>
      <c r="J5534" t="s">
        <v>6207</v>
      </c>
      <c r="K5534">
        <v>0</v>
      </c>
      <c r="L5534">
        <v>0</v>
      </c>
      <c r="M5534" t="s">
        <v>58</v>
      </c>
      <c r="N5534" s="3">
        <v>0.7</v>
      </c>
      <c r="O5534" s="3">
        <v>0.3</v>
      </c>
      <c r="P5534">
        <v>15</v>
      </c>
      <c r="Q5534">
        <v>10</v>
      </c>
      <c r="R5534">
        <v>15</v>
      </c>
      <c r="S5534">
        <v>6</v>
      </c>
      <c r="T5534">
        <v>6</v>
      </c>
      <c r="U5534">
        <v>13</v>
      </c>
      <c r="V5534">
        <v>1</v>
      </c>
      <c r="W5534">
        <v>2</v>
      </c>
      <c r="X5534">
        <v>0</v>
      </c>
      <c r="Y5534">
        <v>0</v>
      </c>
      <c r="Z5534">
        <v>0</v>
      </c>
    </row>
    <row r="5535" spans="1:26" x14ac:dyDescent="0.2">
      <c r="A5535" t="s">
        <v>5653</v>
      </c>
      <c r="B5535" t="s">
        <v>105</v>
      </c>
      <c r="C5535">
        <v>2023</v>
      </c>
      <c r="D5535" t="s">
        <v>79</v>
      </c>
      <c r="E5535" t="s">
        <v>95</v>
      </c>
      <c r="F5535" t="s">
        <v>20</v>
      </c>
      <c r="G5535">
        <v>25486</v>
      </c>
      <c r="H5535">
        <v>20388.800000000003</v>
      </c>
      <c r="I5535" s="13">
        <v>0.6</v>
      </c>
      <c r="J5535" t="s">
        <v>6207</v>
      </c>
      <c r="K5535">
        <v>3</v>
      </c>
      <c r="L5535">
        <v>2</v>
      </c>
      <c r="M5535" t="s">
        <v>0</v>
      </c>
      <c r="N5535" s="3">
        <v>0.53</v>
      </c>
      <c r="O5535" s="3">
        <v>0.47</v>
      </c>
      <c r="P5535">
        <v>19</v>
      </c>
      <c r="Q5535">
        <v>9</v>
      </c>
      <c r="R5535">
        <v>11</v>
      </c>
      <c r="S5535">
        <v>1</v>
      </c>
      <c r="T5535">
        <v>8</v>
      </c>
      <c r="U5535">
        <v>18</v>
      </c>
      <c r="V5535">
        <v>1</v>
      </c>
      <c r="W5535">
        <v>4</v>
      </c>
      <c r="X5535">
        <v>0</v>
      </c>
      <c r="Y5535">
        <v>0</v>
      </c>
      <c r="Z5535">
        <v>0</v>
      </c>
    </row>
    <row r="5536" spans="1:26" x14ac:dyDescent="0.2">
      <c r="A5536" t="s">
        <v>5654</v>
      </c>
      <c r="B5536" t="s">
        <v>104</v>
      </c>
      <c r="C5536">
        <v>2023</v>
      </c>
      <c r="D5536" t="s">
        <v>42</v>
      </c>
      <c r="E5536" t="s">
        <v>64</v>
      </c>
      <c r="F5536" t="s">
        <v>38</v>
      </c>
      <c r="G5536">
        <v>42918</v>
      </c>
      <c r="H5536">
        <v>34334.400000000001</v>
      </c>
      <c r="I5536" s="13">
        <v>0.6</v>
      </c>
      <c r="J5536" t="s">
        <v>6206</v>
      </c>
      <c r="K5536">
        <v>1</v>
      </c>
      <c r="L5536">
        <v>3</v>
      </c>
      <c r="M5536" t="s">
        <v>1</v>
      </c>
      <c r="N5536" s="3">
        <v>0.61</v>
      </c>
      <c r="O5536" s="3">
        <v>0.39</v>
      </c>
      <c r="P5536">
        <v>16</v>
      </c>
      <c r="Q5536">
        <v>16</v>
      </c>
      <c r="R5536">
        <v>8</v>
      </c>
      <c r="S5536">
        <v>7</v>
      </c>
      <c r="T5536">
        <v>14</v>
      </c>
      <c r="U5536">
        <v>12</v>
      </c>
      <c r="V5536">
        <v>4</v>
      </c>
      <c r="W5536">
        <v>1</v>
      </c>
      <c r="X5536">
        <v>0</v>
      </c>
      <c r="Y5536">
        <v>0</v>
      </c>
      <c r="Z5536">
        <v>0</v>
      </c>
    </row>
    <row r="5537" spans="1:26" x14ac:dyDescent="0.2">
      <c r="A5537" t="s">
        <v>5655</v>
      </c>
      <c r="B5537" t="s">
        <v>93</v>
      </c>
      <c r="C5537">
        <v>2023</v>
      </c>
      <c r="D5537" t="s">
        <v>51</v>
      </c>
      <c r="E5537" t="s">
        <v>101</v>
      </c>
      <c r="F5537" t="s">
        <v>20</v>
      </c>
      <c r="G5537">
        <v>36284</v>
      </c>
      <c r="H5537">
        <v>29027.200000000001</v>
      </c>
      <c r="I5537" s="13">
        <v>0.8</v>
      </c>
      <c r="J5537" t="s">
        <v>6206</v>
      </c>
      <c r="K5537">
        <v>3</v>
      </c>
      <c r="L5537">
        <v>2</v>
      </c>
      <c r="M5537" t="s">
        <v>0</v>
      </c>
      <c r="N5537" s="3">
        <v>0.68</v>
      </c>
      <c r="O5537" s="3">
        <v>0.32</v>
      </c>
      <c r="P5537">
        <v>18</v>
      </c>
      <c r="Q5537">
        <v>15</v>
      </c>
      <c r="R5537">
        <v>5</v>
      </c>
      <c r="S5537">
        <v>3</v>
      </c>
      <c r="T5537">
        <v>13</v>
      </c>
      <c r="U5537">
        <v>15</v>
      </c>
      <c r="V5537">
        <v>2</v>
      </c>
      <c r="W5537">
        <v>3</v>
      </c>
      <c r="X5537">
        <v>0</v>
      </c>
      <c r="Y5537">
        <v>0</v>
      </c>
      <c r="Z5537">
        <v>0</v>
      </c>
    </row>
    <row r="5538" spans="1:26" x14ac:dyDescent="0.2">
      <c r="A5538" t="s">
        <v>5656</v>
      </c>
      <c r="B5538" t="s">
        <v>111</v>
      </c>
      <c r="C5538">
        <v>2023</v>
      </c>
      <c r="D5538" t="s">
        <v>40</v>
      </c>
      <c r="E5538" t="s">
        <v>28</v>
      </c>
      <c r="F5538" t="s">
        <v>49</v>
      </c>
      <c r="G5538">
        <v>53400</v>
      </c>
      <c r="H5538">
        <v>42720</v>
      </c>
      <c r="I5538" s="13">
        <v>0.75</v>
      </c>
      <c r="J5538" t="s">
        <v>6207</v>
      </c>
      <c r="K5538">
        <v>3</v>
      </c>
      <c r="L5538">
        <v>1</v>
      </c>
      <c r="M5538" t="s">
        <v>0</v>
      </c>
      <c r="N5538" s="3">
        <v>0.74</v>
      </c>
      <c r="O5538" s="3">
        <v>0.26</v>
      </c>
      <c r="P5538">
        <v>16</v>
      </c>
      <c r="Q5538">
        <v>6</v>
      </c>
      <c r="R5538">
        <v>7</v>
      </c>
      <c r="S5538">
        <v>3</v>
      </c>
      <c r="T5538">
        <v>3</v>
      </c>
      <c r="U5538">
        <v>13</v>
      </c>
      <c r="V5538">
        <v>2</v>
      </c>
      <c r="W5538">
        <v>2</v>
      </c>
      <c r="X5538">
        <v>0</v>
      </c>
      <c r="Y5538">
        <v>0</v>
      </c>
      <c r="Z5538">
        <v>0</v>
      </c>
    </row>
    <row r="5539" spans="1:26" x14ac:dyDescent="0.2">
      <c r="A5539" t="s">
        <v>5657</v>
      </c>
      <c r="B5539" t="s">
        <v>81</v>
      </c>
      <c r="C5539">
        <v>2023</v>
      </c>
      <c r="D5539" t="s">
        <v>26</v>
      </c>
      <c r="E5539" t="s">
        <v>18</v>
      </c>
      <c r="F5539" t="s">
        <v>26</v>
      </c>
      <c r="G5539">
        <v>61276</v>
      </c>
      <c r="H5539">
        <v>49020.800000000003</v>
      </c>
      <c r="I5539" s="13">
        <v>0.83333333333333337</v>
      </c>
      <c r="J5539" t="s">
        <v>6207</v>
      </c>
      <c r="K5539">
        <v>4</v>
      </c>
      <c r="L5539">
        <v>1</v>
      </c>
      <c r="M5539" t="s">
        <v>0</v>
      </c>
      <c r="N5539" s="3">
        <v>0.51</v>
      </c>
      <c r="O5539" s="3">
        <v>0.49</v>
      </c>
      <c r="P5539">
        <v>19</v>
      </c>
      <c r="Q5539">
        <v>18</v>
      </c>
      <c r="R5539">
        <v>8</v>
      </c>
      <c r="S5539">
        <v>1</v>
      </c>
      <c r="T5539">
        <v>15</v>
      </c>
      <c r="U5539">
        <v>16</v>
      </c>
      <c r="V5539">
        <v>2</v>
      </c>
      <c r="W5539">
        <v>4</v>
      </c>
      <c r="X5539">
        <v>0</v>
      </c>
      <c r="Y5539">
        <v>0</v>
      </c>
      <c r="Z5539">
        <v>1</v>
      </c>
    </row>
    <row r="5540" spans="1:26" x14ac:dyDescent="0.2">
      <c r="A5540" t="s">
        <v>5658</v>
      </c>
      <c r="B5540" t="s">
        <v>98</v>
      </c>
      <c r="C5540">
        <v>2023</v>
      </c>
      <c r="D5540" t="s">
        <v>23</v>
      </c>
      <c r="E5540" t="s">
        <v>86</v>
      </c>
      <c r="F5540" t="s">
        <v>20</v>
      </c>
      <c r="G5540">
        <v>62500</v>
      </c>
      <c r="H5540">
        <v>50000</v>
      </c>
      <c r="I5540" s="13">
        <v>0.25</v>
      </c>
      <c r="J5540" t="s">
        <v>6208</v>
      </c>
      <c r="K5540">
        <v>1</v>
      </c>
      <c r="L5540">
        <v>1</v>
      </c>
      <c r="M5540" t="s">
        <v>58</v>
      </c>
      <c r="N5540" s="3">
        <v>0.49</v>
      </c>
      <c r="O5540" s="3">
        <v>0.51</v>
      </c>
      <c r="P5540">
        <v>14</v>
      </c>
      <c r="Q5540">
        <v>14</v>
      </c>
      <c r="R5540">
        <v>1</v>
      </c>
      <c r="S5540">
        <v>5</v>
      </c>
      <c r="T5540">
        <v>13</v>
      </c>
      <c r="U5540">
        <v>11</v>
      </c>
      <c r="V5540">
        <v>1</v>
      </c>
      <c r="W5540">
        <v>3</v>
      </c>
      <c r="X5540">
        <v>0</v>
      </c>
      <c r="Y5540">
        <v>0</v>
      </c>
      <c r="Z5540">
        <v>1</v>
      </c>
    </row>
    <row r="5541" spans="1:26" x14ac:dyDescent="0.2">
      <c r="A5541" t="s">
        <v>5659</v>
      </c>
      <c r="B5541" t="s">
        <v>102</v>
      </c>
      <c r="C5541">
        <v>2023</v>
      </c>
      <c r="D5541" t="s">
        <v>22</v>
      </c>
      <c r="E5541" t="s">
        <v>48</v>
      </c>
      <c r="F5541" t="s">
        <v>24</v>
      </c>
      <c r="G5541">
        <v>31750</v>
      </c>
      <c r="H5541">
        <v>25400</v>
      </c>
      <c r="I5541" s="13">
        <v>0.7142857142857143</v>
      </c>
      <c r="J5541" t="s">
        <v>6209</v>
      </c>
      <c r="K5541">
        <v>3</v>
      </c>
      <c r="L5541">
        <v>4</v>
      </c>
      <c r="M5541" t="s">
        <v>1</v>
      </c>
      <c r="N5541" s="3">
        <v>0.53</v>
      </c>
      <c r="O5541" s="3">
        <v>0.47</v>
      </c>
      <c r="P5541">
        <v>12</v>
      </c>
      <c r="Q5541">
        <v>11</v>
      </c>
      <c r="R5541">
        <v>4</v>
      </c>
      <c r="S5541">
        <v>5</v>
      </c>
      <c r="T5541">
        <v>10</v>
      </c>
      <c r="U5541">
        <v>10</v>
      </c>
      <c r="V5541">
        <v>2</v>
      </c>
      <c r="W5541">
        <v>5</v>
      </c>
      <c r="X5541">
        <v>0</v>
      </c>
      <c r="Y5541">
        <v>0</v>
      </c>
      <c r="Z5541">
        <v>1</v>
      </c>
    </row>
    <row r="5542" spans="1:26" x14ac:dyDescent="0.2">
      <c r="A5542" t="s">
        <v>5660</v>
      </c>
      <c r="B5542" t="s">
        <v>66</v>
      </c>
      <c r="C5542">
        <v>2023</v>
      </c>
      <c r="D5542" t="s">
        <v>45</v>
      </c>
      <c r="E5542" t="s">
        <v>51</v>
      </c>
      <c r="F5542" t="s">
        <v>26</v>
      </c>
      <c r="G5542">
        <v>39572</v>
      </c>
      <c r="H5542">
        <v>31657.600000000002</v>
      </c>
      <c r="I5542" s="13">
        <v>0</v>
      </c>
      <c r="J5542" t="s">
        <v>6207</v>
      </c>
      <c r="K5542">
        <v>2</v>
      </c>
      <c r="L5542">
        <v>2</v>
      </c>
      <c r="M5542" t="s">
        <v>58</v>
      </c>
      <c r="N5542" s="3">
        <v>0.43</v>
      </c>
      <c r="O5542" s="3">
        <v>0.56999999999999995</v>
      </c>
      <c r="P5542">
        <v>13</v>
      </c>
      <c r="Q5542">
        <v>12</v>
      </c>
      <c r="R5542">
        <v>9</v>
      </c>
      <c r="S5542">
        <v>5</v>
      </c>
      <c r="T5542">
        <v>8</v>
      </c>
      <c r="U5542">
        <v>14</v>
      </c>
      <c r="V5542">
        <v>4</v>
      </c>
      <c r="W5542">
        <v>0</v>
      </c>
      <c r="X5542">
        <v>0</v>
      </c>
      <c r="Y5542">
        <v>0</v>
      </c>
      <c r="Z5542">
        <v>0</v>
      </c>
    </row>
    <row r="5543" spans="1:26" x14ac:dyDescent="0.2">
      <c r="A5543" t="s">
        <v>5661</v>
      </c>
      <c r="B5543" t="s">
        <v>107</v>
      </c>
      <c r="C5543">
        <v>2023</v>
      </c>
      <c r="D5543" t="s">
        <v>64</v>
      </c>
      <c r="E5543" t="s">
        <v>110</v>
      </c>
      <c r="F5543" t="s">
        <v>64</v>
      </c>
      <c r="G5543">
        <v>52264</v>
      </c>
      <c r="H5543">
        <v>41811.200000000004</v>
      </c>
      <c r="I5543" s="13">
        <v>0.75</v>
      </c>
      <c r="J5543" t="s">
        <v>6207</v>
      </c>
      <c r="K5543">
        <v>4</v>
      </c>
      <c r="L5543">
        <v>4</v>
      </c>
      <c r="M5543" t="s">
        <v>58</v>
      </c>
      <c r="N5543" s="3">
        <v>0.54</v>
      </c>
      <c r="O5543" s="3">
        <v>0.46</v>
      </c>
      <c r="P5543">
        <v>16</v>
      </c>
      <c r="Q5543">
        <v>13</v>
      </c>
      <c r="R5543">
        <v>8</v>
      </c>
      <c r="S5543">
        <v>2</v>
      </c>
      <c r="T5543">
        <v>13</v>
      </c>
      <c r="U5543">
        <v>16</v>
      </c>
      <c r="V5543">
        <v>2</v>
      </c>
      <c r="W5543">
        <v>2</v>
      </c>
      <c r="X5543">
        <v>0</v>
      </c>
      <c r="Y5543">
        <v>0</v>
      </c>
      <c r="Z5543">
        <v>1</v>
      </c>
    </row>
    <row r="5544" spans="1:26" x14ac:dyDescent="0.2">
      <c r="A5544" t="s">
        <v>5662</v>
      </c>
      <c r="B5544" t="s">
        <v>108</v>
      </c>
      <c r="C5544">
        <v>2023</v>
      </c>
      <c r="D5544" t="s">
        <v>28</v>
      </c>
      <c r="E5544" t="s">
        <v>31</v>
      </c>
      <c r="F5544" t="s">
        <v>28</v>
      </c>
      <c r="G5544">
        <v>21944</v>
      </c>
      <c r="H5544">
        <v>17555.2</v>
      </c>
      <c r="I5544" s="13">
        <v>0.5</v>
      </c>
      <c r="J5544" t="s">
        <v>6207</v>
      </c>
      <c r="K5544">
        <v>2</v>
      </c>
      <c r="L5544">
        <v>2</v>
      </c>
      <c r="M5544" t="s">
        <v>58</v>
      </c>
      <c r="N5544" s="3">
        <v>0.44</v>
      </c>
      <c r="O5544" s="3">
        <v>0.56000000000000005</v>
      </c>
      <c r="P5544">
        <v>8</v>
      </c>
      <c r="Q5544">
        <v>12</v>
      </c>
      <c r="R5544">
        <v>2</v>
      </c>
      <c r="S5544">
        <v>13</v>
      </c>
      <c r="T5544">
        <v>11</v>
      </c>
      <c r="U5544">
        <v>7</v>
      </c>
      <c r="V5544">
        <v>2</v>
      </c>
      <c r="W5544">
        <v>2</v>
      </c>
      <c r="X5544">
        <v>0</v>
      </c>
      <c r="Y5544">
        <v>0</v>
      </c>
      <c r="Z5544">
        <v>0</v>
      </c>
    </row>
    <row r="5545" spans="1:26" x14ac:dyDescent="0.2">
      <c r="A5545" t="s">
        <v>5663</v>
      </c>
      <c r="B5545" t="s">
        <v>84</v>
      </c>
      <c r="C5545">
        <v>2023</v>
      </c>
      <c r="D5545" t="s">
        <v>90</v>
      </c>
      <c r="E5545" t="s">
        <v>79</v>
      </c>
      <c r="F5545" t="s">
        <v>91</v>
      </c>
      <c r="G5545">
        <v>31876</v>
      </c>
      <c r="H5545">
        <v>25500.800000000003</v>
      </c>
      <c r="I5545" s="13">
        <v>0.2</v>
      </c>
      <c r="J5545" t="s">
        <v>6208</v>
      </c>
      <c r="K5545">
        <v>4</v>
      </c>
      <c r="L5545">
        <v>1</v>
      </c>
      <c r="M5545" t="s">
        <v>0</v>
      </c>
      <c r="N5545" s="3">
        <v>0.69</v>
      </c>
      <c r="O5545" s="3">
        <v>0.31</v>
      </c>
      <c r="P5545">
        <v>16</v>
      </c>
      <c r="Q5545">
        <v>10</v>
      </c>
      <c r="R5545">
        <v>3</v>
      </c>
      <c r="S5545">
        <v>2</v>
      </c>
      <c r="T5545">
        <v>8</v>
      </c>
      <c r="U5545">
        <v>14</v>
      </c>
      <c r="V5545">
        <v>2</v>
      </c>
      <c r="W5545">
        <v>3</v>
      </c>
      <c r="X5545">
        <v>0</v>
      </c>
      <c r="Y5545">
        <v>0</v>
      </c>
      <c r="Z5545">
        <v>0</v>
      </c>
    </row>
    <row r="5546" spans="1:26" x14ac:dyDescent="0.2">
      <c r="A5546" t="s">
        <v>5664</v>
      </c>
      <c r="B5546" t="s">
        <v>81</v>
      </c>
      <c r="C5546">
        <v>2023</v>
      </c>
      <c r="D5546" t="s">
        <v>95</v>
      </c>
      <c r="E5546" t="s">
        <v>42</v>
      </c>
      <c r="F5546" t="s">
        <v>57</v>
      </c>
      <c r="G5546">
        <v>32050</v>
      </c>
      <c r="H5546">
        <v>25640</v>
      </c>
      <c r="I5546" s="13">
        <v>0</v>
      </c>
      <c r="J5546" t="s">
        <v>6207</v>
      </c>
      <c r="K5546">
        <v>0</v>
      </c>
      <c r="L5546">
        <v>5</v>
      </c>
      <c r="M5546" t="s">
        <v>1</v>
      </c>
      <c r="N5546" s="3">
        <v>0.34</v>
      </c>
      <c r="O5546" s="3">
        <v>0.66</v>
      </c>
      <c r="P5546">
        <v>7</v>
      </c>
      <c r="Q5546">
        <v>16</v>
      </c>
      <c r="R5546">
        <v>3</v>
      </c>
      <c r="S5546">
        <v>4</v>
      </c>
      <c r="T5546">
        <v>10</v>
      </c>
      <c r="U5546">
        <v>7</v>
      </c>
      <c r="V5546">
        <v>1</v>
      </c>
      <c r="W5546">
        <v>0</v>
      </c>
      <c r="X5546">
        <v>0</v>
      </c>
      <c r="Y5546">
        <v>0</v>
      </c>
      <c r="Z5546">
        <v>0</v>
      </c>
    </row>
    <row r="5547" spans="1:26" x14ac:dyDescent="0.2">
      <c r="A5547" t="s">
        <v>5665</v>
      </c>
      <c r="B5547" t="s">
        <v>92</v>
      </c>
      <c r="C5547">
        <v>2023</v>
      </c>
      <c r="D5547" t="s">
        <v>48</v>
      </c>
      <c r="E5547" t="s">
        <v>23</v>
      </c>
      <c r="F5547" t="s">
        <v>49</v>
      </c>
      <c r="G5547">
        <v>74197</v>
      </c>
      <c r="H5547">
        <v>59357.600000000006</v>
      </c>
      <c r="I5547" s="13">
        <v>1</v>
      </c>
      <c r="J5547" t="s">
        <v>6207</v>
      </c>
      <c r="K5547">
        <v>3</v>
      </c>
      <c r="L5547">
        <v>0</v>
      </c>
      <c r="M5547" t="s">
        <v>0</v>
      </c>
      <c r="N5547" s="3">
        <v>0.51</v>
      </c>
      <c r="O5547" s="3">
        <v>0.49</v>
      </c>
      <c r="P5547">
        <v>5</v>
      </c>
      <c r="Q5547">
        <v>11</v>
      </c>
      <c r="R5547">
        <v>5</v>
      </c>
      <c r="S5547">
        <v>8</v>
      </c>
      <c r="T5547">
        <v>10</v>
      </c>
      <c r="U5547">
        <v>5</v>
      </c>
      <c r="V5547">
        <v>0</v>
      </c>
      <c r="W5547">
        <v>1</v>
      </c>
      <c r="X5547">
        <v>0</v>
      </c>
      <c r="Y5547">
        <v>0</v>
      </c>
      <c r="Z5547">
        <v>0</v>
      </c>
    </row>
    <row r="5548" spans="1:26" x14ac:dyDescent="0.2">
      <c r="A5548" t="s">
        <v>5666</v>
      </c>
      <c r="B5548" t="s">
        <v>98</v>
      </c>
      <c r="C5548">
        <v>2023</v>
      </c>
      <c r="D5548" t="s">
        <v>18</v>
      </c>
      <c r="E5548" t="s">
        <v>22</v>
      </c>
      <c r="F5548" t="s">
        <v>20</v>
      </c>
      <c r="G5548">
        <v>40341</v>
      </c>
      <c r="H5548">
        <v>32272.800000000003</v>
      </c>
      <c r="I5548" s="13">
        <v>0.8</v>
      </c>
      <c r="J5548" t="s">
        <v>6208</v>
      </c>
      <c r="K5548">
        <v>2</v>
      </c>
      <c r="L5548">
        <v>4</v>
      </c>
      <c r="M5548" t="s">
        <v>1</v>
      </c>
      <c r="N5548" s="3">
        <v>0.64</v>
      </c>
      <c r="O5548" s="3">
        <v>0.36</v>
      </c>
      <c r="P5548">
        <v>11</v>
      </c>
      <c r="Q5548">
        <v>16</v>
      </c>
      <c r="R5548">
        <v>10</v>
      </c>
      <c r="S5548">
        <v>1</v>
      </c>
      <c r="T5548">
        <v>15</v>
      </c>
      <c r="U5548">
        <v>11</v>
      </c>
      <c r="V5548">
        <v>3</v>
      </c>
      <c r="W5548">
        <v>2</v>
      </c>
      <c r="X5548">
        <v>0</v>
      </c>
      <c r="Y5548">
        <v>0</v>
      </c>
      <c r="Z5548">
        <v>1</v>
      </c>
    </row>
    <row r="5549" spans="1:26" x14ac:dyDescent="0.2">
      <c r="A5549" t="s">
        <v>5667</v>
      </c>
      <c r="B5549" t="s">
        <v>113</v>
      </c>
      <c r="C5549">
        <v>2023</v>
      </c>
      <c r="D5549" t="s">
        <v>86</v>
      </c>
      <c r="E5549" t="s">
        <v>94</v>
      </c>
      <c r="F5549" t="s">
        <v>86</v>
      </c>
      <c r="G5549">
        <v>11364</v>
      </c>
      <c r="H5549">
        <v>9091.2000000000007</v>
      </c>
      <c r="I5549" s="13">
        <v>0.7142857142857143</v>
      </c>
      <c r="J5549" t="s">
        <v>6209</v>
      </c>
      <c r="K5549">
        <v>1</v>
      </c>
      <c r="L5549">
        <v>1</v>
      </c>
      <c r="M5549" t="s">
        <v>58</v>
      </c>
      <c r="N5549" s="3">
        <v>0.44</v>
      </c>
      <c r="O5549" s="3">
        <v>0.56000000000000005</v>
      </c>
      <c r="P5549">
        <v>12</v>
      </c>
      <c r="Q5549">
        <v>17</v>
      </c>
      <c r="R5549">
        <v>11</v>
      </c>
      <c r="S5549">
        <v>6</v>
      </c>
      <c r="T5549">
        <v>19</v>
      </c>
      <c r="U5549">
        <v>12</v>
      </c>
      <c r="V5549">
        <v>3</v>
      </c>
      <c r="W5549">
        <v>3</v>
      </c>
      <c r="X5549">
        <v>1</v>
      </c>
      <c r="Y5549">
        <v>0</v>
      </c>
      <c r="Z5549">
        <v>0</v>
      </c>
    </row>
    <row r="5550" spans="1:26" x14ac:dyDescent="0.2">
      <c r="A5550" t="s">
        <v>5668</v>
      </c>
      <c r="B5550" t="s">
        <v>61</v>
      </c>
      <c r="C5550">
        <v>2023</v>
      </c>
      <c r="D5550" t="s">
        <v>46</v>
      </c>
      <c r="E5550" t="s">
        <v>26</v>
      </c>
      <c r="F5550" t="s">
        <v>20</v>
      </c>
      <c r="G5550">
        <v>60704</v>
      </c>
      <c r="H5550">
        <v>48563.200000000004</v>
      </c>
      <c r="I5550" s="13">
        <v>0.7</v>
      </c>
      <c r="J5550" t="s">
        <v>6207</v>
      </c>
      <c r="K5550">
        <v>3</v>
      </c>
      <c r="L5550">
        <v>1</v>
      </c>
      <c r="M5550" t="s">
        <v>0</v>
      </c>
      <c r="N5550" s="3">
        <v>0.43</v>
      </c>
      <c r="O5550" s="3">
        <v>0.56999999999999995</v>
      </c>
      <c r="P5550">
        <v>12</v>
      </c>
      <c r="Q5550">
        <v>14</v>
      </c>
      <c r="R5550">
        <v>2</v>
      </c>
      <c r="S5550">
        <v>4</v>
      </c>
      <c r="T5550">
        <v>11</v>
      </c>
      <c r="U5550">
        <v>11</v>
      </c>
      <c r="V5550">
        <v>6</v>
      </c>
      <c r="W5550">
        <v>3</v>
      </c>
      <c r="X5550">
        <v>0</v>
      </c>
      <c r="Y5550">
        <v>1</v>
      </c>
      <c r="Z5550">
        <v>0</v>
      </c>
    </row>
    <row r="5551" spans="1:26" x14ac:dyDescent="0.2">
      <c r="A5551" t="s">
        <v>5669</v>
      </c>
      <c r="B5551" t="s">
        <v>102</v>
      </c>
      <c r="C5551">
        <v>2023</v>
      </c>
      <c r="D5551" t="s">
        <v>101</v>
      </c>
      <c r="E5551" t="s">
        <v>40</v>
      </c>
      <c r="F5551" t="s">
        <v>101</v>
      </c>
      <c r="G5551">
        <v>17250</v>
      </c>
      <c r="H5551">
        <v>13800</v>
      </c>
      <c r="I5551" s="13">
        <v>1</v>
      </c>
      <c r="J5551" t="s">
        <v>6209</v>
      </c>
      <c r="K5551">
        <v>1</v>
      </c>
      <c r="L5551">
        <v>3</v>
      </c>
      <c r="M5551" t="s">
        <v>1</v>
      </c>
      <c r="N5551" s="3">
        <v>0.28000000000000003</v>
      </c>
      <c r="O5551" s="3">
        <v>0.72</v>
      </c>
      <c r="P5551">
        <v>4</v>
      </c>
      <c r="Q5551">
        <v>4</v>
      </c>
      <c r="R5551">
        <v>8</v>
      </c>
      <c r="S5551">
        <v>13</v>
      </c>
      <c r="T5551">
        <v>2</v>
      </c>
      <c r="U5551">
        <v>4</v>
      </c>
      <c r="V5551">
        <v>1</v>
      </c>
      <c r="W5551">
        <v>0</v>
      </c>
      <c r="X5551">
        <v>0</v>
      </c>
      <c r="Y5551">
        <v>0</v>
      </c>
      <c r="Z5551">
        <v>0</v>
      </c>
    </row>
    <row r="5552" spans="1:26" x14ac:dyDescent="0.2">
      <c r="A5552" t="s">
        <v>5670</v>
      </c>
      <c r="B5552" t="s">
        <v>104</v>
      </c>
      <c r="C5552">
        <v>2023</v>
      </c>
      <c r="D5552" t="s">
        <v>40</v>
      </c>
      <c r="E5552" t="s">
        <v>45</v>
      </c>
      <c r="F5552" t="s">
        <v>49</v>
      </c>
      <c r="G5552">
        <v>53400</v>
      </c>
      <c r="H5552">
        <v>42720</v>
      </c>
      <c r="I5552" s="13">
        <v>0.5</v>
      </c>
      <c r="J5552" t="s">
        <v>6206</v>
      </c>
      <c r="K5552">
        <v>2</v>
      </c>
      <c r="L5552">
        <v>0</v>
      </c>
      <c r="M5552" t="s">
        <v>0</v>
      </c>
      <c r="N5552" s="3">
        <v>0.72</v>
      </c>
      <c r="O5552" s="3">
        <v>0.28000000000000003</v>
      </c>
      <c r="P5552">
        <v>13</v>
      </c>
      <c r="Q5552">
        <v>7</v>
      </c>
      <c r="R5552">
        <v>9</v>
      </c>
      <c r="S5552">
        <v>0</v>
      </c>
      <c r="T5552">
        <v>6</v>
      </c>
      <c r="U5552">
        <v>11</v>
      </c>
      <c r="V5552">
        <v>0</v>
      </c>
      <c r="W5552">
        <v>2</v>
      </c>
      <c r="X5552">
        <v>0</v>
      </c>
      <c r="Y5552">
        <v>0</v>
      </c>
      <c r="Z5552">
        <v>0</v>
      </c>
    </row>
    <row r="5553" spans="1:26" x14ac:dyDescent="0.2">
      <c r="A5553" t="s">
        <v>5671</v>
      </c>
      <c r="B5553" t="s">
        <v>84</v>
      </c>
      <c r="C5553">
        <v>2023</v>
      </c>
      <c r="D5553" t="s">
        <v>22</v>
      </c>
      <c r="E5553" t="s">
        <v>101</v>
      </c>
      <c r="F5553" t="s">
        <v>24</v>
      </c>
      <c r="G5553">
        <v>31750</v>
      </c>
      <c r="H5553">
        <v>25400</v>
      </c>
      <c r="I5553" s="13">
        <v>1</v>
      </c>
      <c r="J5553" t="s">
        <v>6208</v>
      </c>
      <c r="K5553">
        <v>0</v>
      </c>
      <c r="L5553">
        <v>2</v>
      </c>
      <c r="M5553" t="s">
        <v>1</v>
      </c>
      <c r="N5553" s="3">
        <v>0.72</v>
      </c>
      <c r="O5553" s="3">
        <v>0.28000000000000003</v>
      </c>
      <c r="P5553">
        <v>9</v>
      </c>
      <c r="Q5553">
        <v>12</v>
      </c>
      <c r="R5553">
        <v>7</v>
      </c>
      <c r="S5553">
        <v>4</v>
      </c>
      <c r="T5553">
        <v>11</v>
      </c>
      <c r="U5553">
        <v>9</v>
      </c>
      <c r="V5553">
        <v>2</v>
      </c>
      <c r="W5553">
        <v>3</v>
      </c>
      <c r="X5553">
        <v>0</v>
      </c>
      <c r="Y5553">
        <v>0</v>
      </c>
      <c r="Z5553">
        <v>0</v>
      </c>
    </row>
    <row r="5554" spans="1:26" x14ac:dyDescent="0.2">
      <c r="A5554" t="s">
        <v>5672</v>
      </c>
      <c r="B5554" t="s">
        <v>111</v>
      </c>
      <c r="C5554">
        <v>2023</v>
      </c>
      <c r="D5554" t="s">
        <v>51</v>
      </c>
      <c r="E5554" t="s">
        <v>90</v>
      </c>
      <c r="F5554" t="s">
        <v>20</v>
      </c>
      <c r="G5554">
        <v>36284</v>
      </c>
      <c r="H5554">
        <v>29027.200000000001</v>
      </c>
      <c r="I5554" s="13">
        <v>0.6</v>
      </c>
      <c r="J5554" t="s">
        <v>6207</v>
      </c>
      <c r="K5554">
        <v>2</v>
      </c>
      <c r="L5554">
        <v>1</v>
      </c>
      <c r="M5554" t="s">
        <v>0</v>
      </c>
      <c r="N5554" s="3">
        <v>0.52</v>
      </c>
      <c r="O5554" s="3">
        <v>0.48</v>
      </c>
      <c r="P5554">
        <v>19</v>
      </c>
      <c r="Q5554">
        <v>18</v>
      </c>
      <c r="R5554">
        <v>9</v>
      </c>
      <c r="S5554">
        <v>6</v>
      </c>
      <c r="T5554">
        <v>14</v>
      </c>
      <c r="U5554">
        <v>13</v>
      </c>
      <c r="V5554">
        <v>2</v>
      </c>
      <c r="W5554">
        <v>3</v>
      </c>
      <c r="X5554">
        <v>0</v>
      </c>
      <c r="Y5554">
        <v>0</v>
      </c>
      <c r="Z5554">
        <v>1</v>
      </c>
    </row>
    <row r="5555" spans="1:26" x14ac:dyDescent="0.2">
      <c r="A5555" t="s">
        <v>5673</v>
      </c>
      <c r="B5555" t="s">
        <v>88</v>
      </c>
      <c r="C5555">
        <v>2023</v>
      </c>
      <c r="D5555" t="s">
        <v>110</v>
      </c>
      <c r="E5555" t="s">
        <v>95</v>
      </c>
      <c r="F5555" t="s">
        <v>110</v>
      </c>
      <c r="G5555">
        <v>12000</v>
      </c>
      <c r="H5555">
        <v>9600</v>
      </c>
      <c r="I5555" s="13">
        <v>1</v>
      </c>
      <c r="J5555" t="s">
        <v>6207</v>
      </c>
      <c r="K5555">
        <v>1</v>
      </c>
      <c r="L5555">
        <v>3</v>
      </c>
      <c r="M5555" t="s">
        <v>1</v>
      </c>
      <c r="N5555" s="3">
        <v>0.75</v>
      </c>
      <c r="O5555" s="3">
        <v>0.25</v>
      </c>
      <c r="P5555">
        <v>12</v>
      </c>
      <c r="Q5555">
        <v>9</v>
      </c>
      <c r="R5555">
        <v>13</v>
      </c>
      <c r="S5555">
        <v>1</v>
      </c>
      <c r="T5555">
        <v>7</v>
      </c>
      <c r="U5555">
        <v>12</v>
      </c>
      <c r="V5555">
        <v>1</v>
      </c>
      <c r="W5555">
        <v>2</v>
      </c>
      <c r="X5555">
        <v>0</v>
      </c>
      <c r="Y5555">
        <v>0</v>
      </c>
      <c r="Z5555">
        <v>2</v>
      </c>
    </row>
    <row r="5556" spans="1:26" x14ac:dyDescent="0.2">
      <c r="A5556" t="s">
        <v>5674</v>
      </c>
      <c r="B5556" t="s">
        <v>98</v>
      </c>
      <c r="C5556">
        <v>2023</v>
      </c>
      <c r="D5556" t="s">
        <v>26</v>
      </c>
      <c r="E5556" t="s">
        <v>28</v>
      </c>
      <c r="F5556" t="s">
        <v>26</v>
      </c>
      <c r="G5556">
        <v>61276</v>
      </c>
      <c r="H5556">
        <v>49020.800000000003</v>
      </c>
      <c r="I5556" s="13">
        <v>0.5714285714285714</v>
      </c>
      <c r="J5556" t="s">
        <v>6208</v>
      </c>
      <c r="K5556">
        <v>3</v>
      </c>
      <c r="L5556">
        <v>1</v>
      </c>
      <c r="M5556" t="s">
        <v>0</v>
      </c>
      <c r="N5556" s="3">
        <v>0.71</v>
      </c>
      <c r="O5556" s="3">
        <v>0.28999999999999998</v>
      </c>
      <c r="P5556">
        <v>15</v>
      </c>
      <c r="Q5556">
        <v>13</v>
      </c>
      <c r="R5556">
        <v>9</v>
      </c>
      <c r="S5556">
        <v>3</v>
      </c>
      <c r="T5556">
        <v>11</v>
      </c>
      <c r="U5556">
        <v>13</v>
      </c>
      <c r="V5556">
        <v>4</v>
      </c>
      <c r="W5556">
        <v>3</v>
      </c>
      <c r="X5556">
        <v>0</v>
      </c>
      <c r="Y5556">
        <v>0</v>
      </c>
      <c r="Z5556">
        <v>0</v>
      </c>
    </row>
    <row r="5557" spans="1:26" x14ac:dyDescent="0.2">
      <c r="A5557" t="s">
        <v>5675</v>
      </c>
      <c r="B5557" t="s">
        <v>100</v>
      </c>
      <c r="C5557">
        <v>2023</v>
      </c>
      <c r="D5557" t="s">
        <v>31</v>
      </c>
      <c r="E5557" t="s">
        <v>86</v>
      </c>
      <c r="F5557" t="s">
        <v>20</v>
      </c>
      <c r="G5557">
        <v>28500</v>
      </c>
      <c r="H5557">
        <v>22800</v>
      </c>
      <c r="I5557" s="13">
        <v>0</v>
      </c>
      <c r="J5557" t="s">
        <v>6207</v>
      </c>
      <c r="K5557">
        <v>3</v>
      </c>
      <c r="L5557">
        <v>1</v>
      </c>
      <c r="M5557" t="s">
        <v>0</v>
      </c>
      <c r="N5557" s="3">
        <v>0.5</v>
      </c>
      <c r="O5557" s="3">
        <v>0.5</v>
      </c>
      <c r="P5557">
        <v>14</v>
      </c>
      <c r="Q5557">
        <v>12</v>
      </c>
      <c r="R5557">
        <v>1</v>
      </c>
      <c r="S5557">
        <v>13</v>
      </c>
      <c r="T5557">
        <v>11</v>
      </c>
      <c r="U5557">
        <v>11</v>
      </c>
      <c r="V5557">
        <v>1</v>
      </c>
      <c r="W5557">
        <v>2</v>
      </c>
      <c r="X5557">
        <v>0</v>
      </c>
      <c r="Y5557">
        <v>0</v>
      </c>
      <c r="Z5557">
        <v>0</v>
      </c>
    </row>
    <row r="5558" spans="1:26" x14ac:dyDescent="0.2">
      <c r="A5558" t="s">
        <v>5676</v>
      </c>
      <c r="B5558" t="s">
        <v>61</v>
      </c>
      <c r="C5558">
        <v>2023</v>
      </c>
      <c r="D5558" t="s">
        <v>94</v>
      </c>
      <c r="E5558" t="s">
        <v>64</v>
      </c>
      <c r="F5558" t="s">
        <v>106</v>
      </c>
      <c r="G5558">
        <v>30445</v>
      </c>
      <c r="H5558">
        <v>24356</v>
      </c>
      <c r="I5558" s="13">
        <v>0.33333333333333331</v>
      </c>
      <c r="J5558" t="s">
        <v>6207</v>
      </c>
      <c r="K5558">
        <v>2</v>
      </c>
      <c r="L5558">
        <v>3</v>
      </c>
      <c r="M5558" t="s">
        <v>1</v>
      </c>
      <c r="N5558" s="3">
        <v>0.38</v>
      </c>
      <c r="O5558" s="3">
        <v>0.62</v>
      </c>
      <c r="P5558">
        <v>6</v>
      </c>
      <c r="Q5558">
        <v>12</v>
      </c>
      <c r="R5558">
        <v>4</v>
      </c>
      <c r="S5558">
        <v>4</v>
      </c>
      <c r="T5558">
        <v>9</v>
      </c>
      <c r="U5558">
        <v>6</v>
      </c>
      <c r="V5558">
        <v>1</v>
      </c>
      <c r="W5558">
        <v>2</v>
      </c>
      <c r="X5558">
        <v>0</v>
      </c>
      <c r="Y5558">
        <v>0</v>
      </c>
      <c r="Z5558">
        <v>0</v>
      </c>
    </row>
    <row r="5559" spans="1:26" x14ac:dyDescent="0.2">
      <c r="A5559" t="s">
        <v>5677</v>
      </c>
      <c r="B5559" t="s">
        <v>76</v>
      </c>
      <c r="C5559">
        <v>2023</v>
      </c>
      <c r="D5559" t="s">
        <v>23</v>
      </c>
      <c r="E5559" t="s">
        <v>46</v>
      </c>
      <c r="F5559" t="s">
        <v>20</v>
      </c>
      <c r="G5559">
        <v>62500</v>
      </c>
      <c r="H5559">
        <v>50000</v>
      </c>
      <c r="I5559" s="13">
        <v>0.75</v>
      </c>
      <c r="J5559" t="s">
        <v>6207</v>
      </c>
      <c r="K5559">
        <v>0</v>
      </c>
      <c r="L5559">
        <v>6</v>
      </c>
      <c r="M5559" t="s">
        <v>1</v>
      </c>
      <c r="N5559" s="3">
        <v>0.28999999999999998</v>
      </c>
      <c r="O5559" s="3">
        <v>0.71</v>
      </c>
      <c r="P5559">
        <v>13</v>
      </c>
      <c r="Q5559">
        <v>19</v>
      </c>
      <c r="R5559">
        <v>2</v>
      </c>
      <c r="S5559">
        <v>6</v>
      </c>
      <c r="T5559">
        <v>17</v>
      </c>
      <c r="U5559">
        <v>11</v>
      </c>
      <c r="V5559">
        <v>4</v>
      </c>
      <c r="W5559">
        <v>0</v>
      </c>
      <c r="X5559">
        <v>0</v>
      </c>
      <c r="Y5559">
        <v>0</v>
      </c>
      <c r="Z5559">
        <v>1</v>
      </c>
    </row>
    <row r="5560" spans="1:26" x14ac:dyDescent="0.2">
      <c r="A5560" t="s">
        <v>5678</v>
      </c>
      <c r="B5560" t="s">
        <v>99</v>
      </c>
      <c r="C5560">
        <v>2023</v>
      </c>
      <c r="D5560" t="s">
        <v>42</v>
      </c>
      <c r="E5560" t="s">
        <v>48</v>
      </c>
      <c r="F5560" t="s">
        <v>38</v>
      </c>
      <c r="G5560">
        <v>42918</v>
      </c>
      <c r="H5560">
        <v>34334.400000000001</v>
      </c>
      <c r="I5560" s="13">
        <v>0.8</v>
      </c>
      <c r="J5560" t="s">
        <v>6207</v>
      </c>
      <c r="K5560">
        <v>1</v>
      </c>
      <c r="L5560">
        <v>2</v>
      </c>
      <c r="M5560" t="s">
        <v>1</v>
      </c>
      <c r="N5560" s="3">
        <v>0.56000000000000005</v>
      </c>
      <c r="O5560" s="3">
        <v>0.44</v>
      </c>
      <c r="P5560">
        <v>13</v>
      </c>
      <c r="Q5560">
        <v>9</v>
      </c>
      <c r="R5560">
        <v>10</v>
      </c>
      <c r="S5560">
        <v>8</v>
      </c>
      <c r="T5560">
        <v>9</v>
      </c>
      <c r="U5560">
        <v>7</v>
      </c>
      <c r="V5560">
        <v>3</v>
      </c>
      <c r="W5560">
        <v>2</v>
      </c>
      <c r="X5560">
        <v>0</v>
      </c>
      <c r="Y5560">
        <v>0</v>
      </c>
      <c r="Z5560">
        <v>0</v>
      </c>
    </row>
    <row r="5561" spans="1:26" x14ac:dyDescent="0.2">
      <c r="A5561" t="s">
        <v>5679</v>
      </c>
      <c r="B5561" t="s">
        <v>66</v>
      </c>
      <c r="C5561">
        <v>2023</v>
      </c>
      <c r="D5561" t="s">
        <v>79</v>
      </c>
      <c r="E5561" t="s">
        <v>18</v>
      </c>
      <c r="F5561" t="s">
        <v>20</v>
      </c>
      <c r="G5561">
        <v>25486</v>
      </c>
      <c r="H5561">
        <v>20388.800000000003</v>
      </c>
      <c r="I5561" s="13">
        <v>1</v>
      </c>
      <c r="J5561" t="s">
        <v>6207</v>
      </c>
      <c r="K5561">
        <v>1</v>
      </c>
      <c r="L5561">
        <v>3</v>
      </c>
      <c r="M5561" t="s">
        <v>1</v>
      </c>
      <c r="N5561" s="3">
        <v>0.23</v>
      </c>
      <c r="O5561" s="3">
        <v>0.77</v>
      </c>
      <c r="P5561">
        <v>11</v>
      </c>
      <c r="Q5561">
        <v>16</v>
      </c>
      <c r="R5561">
        <v>1</v>
      </c>
      <c r="S5561">
        <v>7</v>
      </c>
      <c r="T5561">
        <v>14</v>
      </c>
      <c r="U5561">
        <v>7</v>
      </c>
      <c r="V5561">
        <v>2</v>
      </c>
      <c r="W5561">
        <v>2</v>
      </c>
      <c r="X5561">
        <v>0</v>
      </c>
      <c r="Y5561">
        <v>0</v>
      </c>
      <c r="Z5561">
        <v>0</v>
      </c>
    </row>
    <row r="5562" spans="1:26" x14ac:dyDescent="0.2">
      <c r="A5562" t="s">
        <v>5680</v>
      </c>
      <c r="B5562" t="s">
        <v>66</v>
      </c>
      <c r="C5562">
        <v>2023</v>
      </c>
      <c r="D5562" t="s">
        <v>101</v>
      </c>
      <c r="E5562" t="s">
        <v>26</v>
      </c>
      <c r="F5562" t="s">
        <v>101</v>
      </c>
      <c r="G5562">
        <v>17250</v>
      </c>
      <c r="H5562">
        <v>13800</v>
      </c>
      <c r="I5562" s="13">
        <v>1</v>
      </c>
      <c r="J5562" t="s">
        <v>6207</v>
      </c>
      <c r="K5562">
        <v>1</v>
      </c>
      <c r="L5562">
        <v>4</v>
      </c>
      <c r="M5562" t="s">
        <v>1</v>
      </c>
      <c r="N5562" s="3">
        <v>0.37</v>
      </c>
      <c r="O5562" s="3">
        <v>0.63</v>
      </c>
      <c r="P5562">
        <v>20</v>
      </c>
      <c r="Q5562">
        <v>7</v>
      </c>
      <c r="R5562">
        <v>1</v>
      </c>
      <c r="S5562">
        <v>6</v>
      </c>
      <c r="T5562">
        <v>4</v>
      </c>
      <c r="U5562">
        <v>18</v>
      </c>
      <c r="V5562">
        <v>2</v>
      </c>
      <c r="W5562">
        <v>1</v>
      </c>
      <c r="X5562">
        <v>0</v>
      </c>
      <c r="Y5562">
        <v>0</v>
      </c>
      <c r="Z5562">
        <v>0</v>
      </c>
    </row>
    <row r="5563" spans="1:26" x14ac:dyDescent="0.2">
      <c r="A5563" t="s">
        <v>5681</v>
      </c>
      <c r="B5563" t="s">
        <v>61</v>
      </c>
      <c r="C5563">
        <v>2023</v>
      </c>
      <c r="D5563" t="s">
        <v>51</v>
      </c>
      <c r="E5563" t="s">
        <v>22</v>
      </c>
      <c r="F5563" t="s">
        <v>20</v>
      </c>
      <c r="G5563">
        <v>36284</v>
      </c>
      <c r="H5563">
        <v>29027.200000000001</v>
      </c>
      <c r="I5563" s="13">
        <v>1</v>
      </c>
      <c r="J5563" t="s">
        <v>6207</v>
      </c>
      <c r="K5563">
        <v>1</v>
      </c>
      <c r="L5563">
        <v>2</v>
      </c>
      <c r="M5563" t="s">
        <v>1</v>
      </c>
      <c r="N5563" s="3">
        <v>0.71</v>
      </c>
      <c r="O5563" s="3">
        <v>0.28999999999999998</v>
      </c>
      <c r="P5563">
        <v>15</v>
      </c>
      <c r="Q5563">
        <v>9</v>
      </c>
      <c r="R5563">
        <v>10</v>
      </c>
      <c r="S5563">
        <v>4</v>
      </c>
      <c r="T5563">
        <v>8</v>
      </c>
      <c r="U5563">
        <v>13</v>
      </c>
      <c r="V5563">
        <v>0</v>
      </c>
      <c r="W5563">
        <v>1</v>
      </c>
      <c r="X5563">
        <v>0</v>
      </c>
      <c r="Y5563">
        <v>0</v>
      </c>
      <c r="Z5563">
        <v>0</v>
      </c>
    </row>
    <row r="5564" spans="1:26" x14ac:dyDescent="0.2">
      <c r="A5564" t="s">
        <v>5682</v>
      </c>
      <c r="B5564" t="s">
        <v>107</v>
      </c>
      <c r="C5564">
        <v>2023</v>
      </c>
      <c r="D5564" t="s">
        <v>94</v>
      </c>
      <c r="E5564" t="s">
        <v>23</v>
      </c>
      <c r="F5564" t="s">
        <v>106</v>
      </c>
      <c r="G5564">
        <v>30445</v>
      </c>
      <c r="H5564">
        <v>24356</v>
      </c>
      <c r="I5564" s="13">
        <v>0.54545454545454541</v>
      </c>
      <c r="J5564" t="s">
        <v>6207</v>
      </c>
      <c r="K5564">
        <v>2</v>
      </c>
      <c r="L5564">
        <v>0</v>
      </c>
      <c r="M5564" t="s">
        <v>0</v>
      </c>
      <c r="N5564" s="3">
        <v>0.48</v>
      </c>
      <c r="O5564" s="3">
        <v>0.52</v>
      </c>
      <c r="P5564">
        <v>16</v>
      </c>
      <c r="Q5564">
        <v>14</v>
      </c>
      <c r="R5564">
        <v>5</v>
      </c>
      <c r="S5564">
        <v>2</v>
      </c>
      <c r="T5564">
        <v>13</v>
      </c>
      <c r="U5564">
        <v>15</v>
      </c>
      <c r="V5564">
        <v>5</v>
      </c>
      <c r="W5564">
        <v>5</v>
      </c>
      <c r="X5564">
        <v>0</v>
      </c>
      <c r="Y5564">
        <v>1</v>
      </c>
      <c r="Z5564">
        <v>0</v>
      </c>
    </row>
    <row r="5565" spans="1:26" x14ac:dyDescent="0.2">
      <c r="A5565" t="s">
        <v>5683</v>
      </c>
      <c r="B5565" t="s">
        <v>103</v>
      </c>
      <c r="C5565">
        <v>2023</v>
      </c>
      <c r="D5565" t="s">
        <v>64</v>
      </c>
      <c r="E5565" t="s">
        <v>86</v>
      </c>
      <c r="F5565" t="s">
        <v>64</v>
      </c>
      <c r="G5565">
        <v>52264</v>
      </c>
      <c r="H5565">
        <v>41811.200000000004</v>
      </c>
      <c r="I5565" s="13">
        <v>0.75</v>
      </c>
      <c r="J5565" t="s">
        <v>6207</v>
      </c>
      <c r="K5565">
        <v>2</v>
      </c>
      <c r="L5565">
        <v>2</v>
      </c>
      <c r="M5565" t="s">
        <v>58</v>
      </c>
      <c r="N5565" s="3">
        <v>0.63</v>
      </c>
      <c r="O5565" s="3">
        <v>0.37</v>
      </c>
      <c r="P5565">
        <v>25</v>
      </c>
      <c r="Q5565">
        <v>9</v>
      </c>
      <c r="R5565">
        <v>4</v>
      </c>
      <c r="S5565">
        <v>2</v>
      </c>
      <c r="T5565">
        <v>9</v>
      </c>
      <c r="U5565">
        <v>23</v>
      </c>
      <c r="V5565">
        <v>1</v>
      </c>
      <c r="W5565">
        <v>3</v>
      </c>
      <c r="X5565">
        <v>0</v>
      </c>
      <c r="Y5565">
        <v>0</v>
      </c>
      <c r="Z5565">
        <v>1</v>
      </c>
    </row>
    <row r="5566" spans="1:26" x14ac:dyDescent="0.2">
      <c r="A5566" t="s">
        <v>5684</v>
      </c>
      <c r="B5566" t="s">
        <v>114</v>
      </c>
      <c r="C5566">
        <v>2023</v>
      </c>
      <c r="D5566" t="s">
        <v>31</v>
      </c>
      <c r="E5566" t="s">
        <v>42</v>
      </c>
      <c r="F5566" t="s">
        <v>20</v>
      </c>
      <c r="G5566">
        <v>28500</v>
      </c>
      <c r="H5566">
        <v>22800</v>
      </c>
      <c r="I5566" s="13">
        <v>0.7142857142857143</v>
      </c>
      <c r="J5566" t="s">
        <v>6209</v>
      </c>
      <c r="K5566">
        <v>1</v>
      </c>
      <c r="L5566">
        <v>2</v>
      </c>
      <c r="M5566" t="s">
        <v>1</v>
      </c>
      <c r="N5566" s="3">
        <v>0.52</v>
      </c>
      <c r="O5566" s="3">
        <v>0.48</v>
      </c>
      <c r="P5566">
        <v>14</v>
      </c>
      <c r="Q5566">
        <v>12</v>
      </c>
      <c r="R5566">
        <v>4</v>
      </c>
      <c r="S5566">
        <v>4</v>
      </c>
      <c r="T5566">
        <v>11</v>
      </c>
      <c r="U5566">
        <v>6</v>
      </c>
      <c r="V5566">
        <v>5</v>
      </c>
      <c r="W5566">
        <v>2</v>
      </c>
      <c r="X5566">
        <v>0</v>
      </c>
      <c r="Y5566">
        <v>0</v>
      </c>
      <c r="Z5566">
        <v>0</v>
      </c>
    </row>
    <row r="5567" spans="1:26" x14ac:dyDescent="0.2">
      <c r="A5567" t="s">
        <v>5685</v>
      </c>
      <c r="B5567" t="s">
        <v>102</v>
      </c>
      <c r="C5567">
        <v>2023</v>
      </c>
      <c r="D5567" t="s">
        <v>28</v>
      </c>
      <c r="E5567" t="s">
        <v>46</v>
      </c>
      <c r="F5567" t="s">
        <v>28</v>
      </c>
      <c r="G5567">
        <v>21944</v>
      </c>
      <c r="H5567">
        <v>17555.2</v>
      </c>
      <c r="I5567" s="13">
        <v>0.33333333333333331</v>
      </c>
      <c r="J5567" t="s">
        <v>6209</v>
      </c>
      <c r="K5567">
        <v>0</v>
      </c>
      <c r="L5567">
        <v>5</v>
      </c>
      <c r="M5567" t="s">
        <v>1</v>
      </c>
      <c r="N5567" s="3">
        <v>0.35</v>
      </c>
      <c r="O5567" s="3">
        <v>0.65</v>
      </c>
      <c r="P5567">
        <v>9</v>
      </c>
      <c r="Q5567">
        <v>17</v>
      </c>
      <c r="R5567">
        <v>4</v>
      </c>
      <c r="S5567">
        <v>6</v>
      </c>
      <c r="T5567">
        <v>11</v>
      </c>
      <c r="U5567">
        <v>8</v>
      </c>
      <c r="V5567">
        <v>2</v>
      </c>
      <c r="W5567">
        <v>1</v>
      </c>
      <c r="X5567">
        <v>0</v>
      </c>
      <c r="Y5567">
        <v>0</v>
      </c>
      <c r="Z5567">
        <v>1</v>
      </c>
    </row>
    <row r="5568" spans="1:26" x14ac:dyDescent="0.2">
      <c r="A5568" t="s">
        <v>5686</v>
      </c>
      <c r="B5568" t="s">
        <v>92</v>
      </c>
      <c r="C5568">
        <v>2023</v>
      </c>
      <c r="D5568" t="s">
        <v>40</v>
      </c>
      <c r="E5568" t="s">
        <v>18</v>
      </c>
      <c r="F5568" t="s">
        <v>49</v>
      </c>
      <c r="G5568">
        <v>53400</v>
      </c>
      <c r="H5568">
        <v>42720</v>
      </c>
      <c r="I5568" s="13">
        <v>0.75</v>
      </c>
      <c r="J5568" t="s">
        <v>6207</v>
      </c>
      <c r="K5568">
        <v>1</v>
      </c>
      <c r="L5568">
        <v>1</v>
      </c>
      <c r="M5568" t="s">
        <v>58</v>
      </c>
      <c r="N5568" s="3">
        <v>0.7</v>
      </c>
      <c r="O5568" s="3">
        <v>0.3</v>
      </c>
      <c r="P5568">
        <v>17</v>
      </c>
      <c r="Q5568">
        <v>7</v>
      </c>
      <c r="R5568">
        <v>12</v>
      </c>
      <c r="S5568">
        <v>1</v>
      </c>
      <c r="T5568">
        <v>7</v>
      </c>
      <c r="U5568">
        <v>12</v>
      </c>
      <c r="V5568">
        <v>1</v>
      </c>
      <c r="W5568">
        <v>3</v>
      </c>
      <c r="X5568">
        <v>0</v>
      </c>
      <c r="Y5568">
        <v>0</v>
      </c>
      <c r="Z5568">
        <v>0</v>
      </c>
    </row>
    <row r="5569" spans="1:26" x14ac:dyDescent="0.2">
      <c r="A5569" t="s">
        <v>5687</v>
      </c>
      <c r="B5569" t="s">
        <v>59</v>
      </c>
      <c r="C5569">
        <v>2023</v>
      </c>
      <c r="D5569" t="s">
        <v>95</v>
      </c>
      <c r="E5569" t="s">
        <v>90</v>
      </c>
      <c r="F5569" t="s">
        <v>57</v>
      </c>
      <c r="G5569">
        <v>32050</v>
      </c>
      <c r="H5569">
        <v>25640</v>
      </c>
      <c r="I5569" s="13">
        <v>0.66666666666666663</v>
      </c>
      <c r="J5569" t="s">
        <v>6206</v>
      </c>
      <c r="K5569">
        <v>0</v>
      </c>
      <c r="L5569">
        <v>5</v>
      </c>
      <c r="M5569" t="s">
        <v>1</v>
      </c>
      <c r="N5569" s="3">
        <v>0.21</v>
      </c>
      <c r="O5569" s="3">
        <v>0.79</v>
      </c>
      <c r="P5569">
        <v>7</v>
      </c>
      <c r="Q5569">
        <v>5</v>
      </c>
      <c r="R5569">
        <v>5</v>
      </c>
      <c r="S5569">
        <v>10</v>
      </c>
      <c r="T5569">
        <v>3</v>
      </c>
      <c r="U5569">
        <v>5</v>
      </c>
      <c r="V5569">
        <v>1</v>
      </c>
      <c r="W5569">
        <v>4</v>
      </c>
      <c r="X5569">
        <v>1</v>
      </c>
      <c r="Y5569">
        <v>0</v>
      </c>
      <c r="Z5569">
        <v>0</v>
      </c>
    </row>
    <row r="5570" spans="1:26" x14ac:dyDescent="0.2">
      <c r="A5570" t="s">
        <v>5688</v>
      </c>
      <c r="B5570" t="s">
        <v>93</v>
      </c>
      <c r="C5570">
        <v>2023</v>
      </c>
      <c r="D5570" t="s">
        <v>110</v>
      </c>
      <c r="E5570" t="s">
        <v>48</v>
      </c>
      <c r="F5570" t="s">
        <v>110</v>
      </c>
      <c r="G5570">
        <v>12000</v>
      </c>
      <c r="H5570">
        <v>9600</v>
      </c>
      <c r="I5570" s="13">
        <v>0.5</v>
      </c>
      <c r="J5570" t="s">
        <v>6206</v>
      </c>
      <c r="K5570">
        <v>1</v>
      </c>
      <c r="L5570">
        <v>2</v>
      </c>
      <c r="M5570" t="s">
        <v>1</v>
      </c>
      <c r="N5570" s="3">
        <v>0.57999999999999996</v>
      </c>
      <c r="O5570" s="3">
        <v>0.42</v>
      </c>
      <c r="P5570">
        <v>22</v>
      </c>
      <c r="Q5570">
        <v>11</v>
      </c>
      <c r="R5570">
        <v>8</v>
      </c>
      <c r="S5570">
        <v>6</v>
      </c>
      <c r="T5570">
        <v>7</v>
      </c>
      <c r="U5570">
        <v>21</v>
      </c>
      <c r="V5570">
        <v>3</v>
      </c>
      <c r="W5570">
        <v>5</v>
      </c>
      <c r="X5570">
        <v>0</v>
      </c>
      <c r="Y5570">
        <v>0</v>
      </c>
      <c r="Z5570">
        <v>0</v>
      </c>
    </row>
    <row r="5571" spans="1:26" x14ac:dyDescent="0.2">
      <c r="A5571" t="s">
        <v>5689</v>
      </c>
      <c r="B5571" t="s">
        <v>81</v>
      </c>
      <c r="C5571">
        <v>2023</v>
      </c>
      <c r="D5571" t="s">
        <v>45</v>
      </c>
      <c r="E5571" t="s">
        <v>79</v>
      </c>
      <c r="F5571" t="s">
        <v>26</v>
      </c>
      <c r="G5571">
        <v>39572</v>
      </c>
      <c r="H5571">
        <v>31657.600000000002</v>
      </c>
      <c r="I5571" s="13">
        <v>1</v>
      </c>
      <c r="J5571" t="s">
        <v>6207</v>
      </c>
      <c r="K5571">
        <v>1</v>
      </c>
      <c r="L5571">
        <v>1</v>
      </c>
      <c r="M5571" t="s">
        <v>58</v>
      </c>
      <c r="N5571" s="3">
        <v>0.63</v>
      </c>
      <c r="O5571" s="3">
        <v>0.37</v>
      </c>
      <c r="P5571">
        <v>14</v>
      </c>
      <c r="Q5571">
        <v>9</v>
      </c>
      <c r="R5571">
        <v>3</v>
      </c>
      <c r="S5571">
        <v>6</v>
      </c>
      <c r="T5571">
        <v>8</v>
      </c>
      <c r="U5571">
        <v>12</v>
      </c>
      <c r="V5571">
        <v>0</v>
      </c>
      <c r="W5571">
        <v>2</v>
      </c>
      <c r="X5571">
        <v>0</v>
      </c>
      <c r="Y5571">
        <v>0</v>
      </c>
      <c r="Z5571">
        <v>0</v>
      </c>
    </row>
    <row r="5572" spans="1:26" x14ac:dyDescent="0.2">
      <c r="A5572" t="s">
        <v>5690</v>
      </c>
      <c r="B5572" t="s">
        <v>92</v>
      </c>
      <c r="C5572">
        <v>2023</v>
      </c>
      <c r="D5572" t="s">
        <v>26</v>
      </c>
      <c r="E5572" t="s">
        <v>110</v>
      </c>
      <c r="F5572" t="s">
        <v>26</v>
      </c>
      <c r="G5572">
        <v>61276</v>
      </c>
      <c r="H5572">
        <v>49020.800000000003</v>
      </c>
      <c r="I5572" s="13">
        <v>0.4</v>
      </c>
      <c r="J5572" t="s">
        <v>6207</v>
      </c>
      <c r="K5572">
        <v>4</v>
      </c>
      <c r="L5572">
        <v>1</v>
      </c>
      <c r="M5572" t="s">
        <v>0</v>
      </c>
      <c r="N5572" s="3">
        <v>0.61</v>
      </c>
      <c r="O5572" s="3">
        <v>0.39</v>
      </c>
      <c r="P5572">
        <v>17</v>
      </c>
      <c r="Q5572">
        <v>17</v>
      </c>
      <c r="R5572">
        <v>13</v>
      </c>
      <c r="S5572">
        <v>4</v>
      </c>
      <c r="T5572">
        <v>15</v>
      </c>
      <c r="U5572">
        <v>14</v>
      </c>
      <c r="V5572">
        <v>1</v>
      </c>
      <c r="W5572">
        <v>4</v>
      </c>
      <c r="X5572">
        <v>0</v>
      </c>
      <c r="Y5572">
        <v>0</v>
      </c>
      <c r="Z5572">
        <v>0</v>
      </c>
    </row>
    <row r="5573" spans="1:26" x14ac:dyDescent="0.2">
      <c r="A5573" t="s">
        <v>5691</v>
      </c>
      <c r="B5573" t="s">
        <v>66</v>
      </c>
      <c r="C5573">
        <v>2023</v>
      </c>
      <c r="D5573" t="s">
        <v>48</v>
      </c>
      <c r="E5573" t="s">
        <v>31</v>
      </c>
      <c r="F5573" t="s">
        <v>49</v>
      </c>
      <c r="G5573">
        <v>74197</v>
      </c>
      <c r="H5573">
        <v>59357.600000000006</v>
      </c>
      <c r="I5573" s="13">
        <v>0.42857142857142855</v>
      </c>
      <c r="J5573" t="s">
        <v>6207</v>
      </c>
      <c r="K5573">
        <v>1</v>
      </c>
      <c r="L5573">
        <v>2</v>
      </c>
      <c r="M5573" t="s">
        <v>1</v>
      </c>
      <c r="N5573" s="3">
        <v>0.56999999999999995</v>
      </c>
      <c r="O5573" s="3">
        <v>0.43</v>
      </c>
      <c r="P5573">
        <v>9</v>
      </c>
      <c r="Q5573">
        <v>6</v>
      </c>
      <c r="R5573">
        <v>10</v>
      </c>
      <c r="S5573">
        <v>9</v>
      </c>
      <c r="T5573">
        <v>6</v>
      </c>
      <c r="U5573">
        <v>11</v>
      </c>
      <c r="V5573">
        <v>2</v>
      </c>
      <c r="W5573">
        <v>5</v>
      </c>
      <c r="X5573">
        <v>0</v>
      </c>
      <c r="Y5573">
        <v>0</v>
      </c>
      <c r="Z5573">
        <v>0</v>
      </c>
    </row>
    <row r="5574" spans="1:26" x14ac:dyDescent="0.2">
      <c r="A5574" t="s">
        <v>5692</v>
      </c>
      <c r="B5574" t="s">
        <v>114</v>
      </c>
      <c r="C5574">
        <v>2023</v>
      </c>
      <c r="D5574" t="s">
        <v>79</v>
      </c>
      <c r="E5574" t="s">
        <v>28</v>
      </c>
      <c r="F5574" t="s">
        <v>20</v>
      </c>
      <c r="G5574">
        <v>25486</v>
      </c>
      <c r="H5574">
        <v>20388.800000000003</v>
      </c>
      <c r="I5574" s="13">
        <v>0.4</v>
      </c>
      <c r="J5574" t="s">
        <v>6209</v>
      </c>
      <c r="K5574">
        <v>3</v>
      </c>
      <c r="L5574">
        <v>0</v>
      </c>
      <c r="M5574" t="s">
        <v>0</v>
      </c>
      <c r="N5574" s="3">
        <v>0.56000000000000005</v>
      </c>
      <c r="O5574" s="3">
        <v>0.44</v>
      </c>
      <c r="P5574">
        <v>16</v>
      </c>
      <c r="Q5574">
        <v>14</v>
      </c>
      <c r="R5574">
        <v>12</v>
      </c>
      <c r="S5574">
        <v>3</v>
      </c>
      <c r="T5574">
        <v>8</v>
      </c>
      <c r="U5574">
        <v>14</v>
      </c>
      <c r="V5574">
        <v>3</v>
      </c>
      <c r="W5574">
        <v>1</v>
      </c>
      <c r="X5574">
        <v>0</v>
      </c>
      <c r="Y5574">
        <v>1</v>
      </c>
      <c r="Z5574">
        <v>1</v>
      </c>
    </row>
    <row r="5575" spans="1:26" x14ac:dyDescent="0.2">
      <c r="A5575" t="s">
        <v>5693</v>
      </c>
      <c r="B5575" t="s">
        <v>105</v>
      </c>
      <c r="C5575">
        <v>2023</v>
      </c>
      <c r="D5575" t="s">
        <v>90</v>
      </c>
      <c r="E5575" t="s">
        <v>45</v>
      </c>
      <c r="F5575" t="s">
        <v>91</v>
      </c>
      <c r="G5575">
        <v>31876</v>
      </c>
      <c r="H5575">
        <v>25500.800000000003</v>
      </c>
      <c r="I5575" s="13">
        <v>0.5714285714285714</v>
      </c>
      <c r="J5575" t="s">
        <v>6207</v>
      </c>
      <c r="K5575">
        <v>1</v>
      </c>
      <c r="L5575">
        <v>1</v>
      </c>
      <c r="M5575" t="s">
        <v>58</v>
      </c>
      <c r="N5575" s="3">
        <v>0.65</v>
      </c>
      <c r="O5575" s="3">
        <v>0.35</v>
      </c>
      <c r="P5575">
        <v>17</v>
      </c>
      <c r="Q5575">
        <v>10</v>
      </c>
      <c r="R5575">
        <v>11</v>
      </c>
      <c r="S5575">
        <v>3</v>
      </c>
      <c r="T5575">
        <v>9</v>
      </c>
      <c r="U5575">
        <v>14</v>
      </c>
      <c r="V5575">
        <v>3</v>
      </c>
      <c r="W5575">
        <v>3</v>
      </c>
      <c r="X5575">
        <v>1</v>
      </c>
      <c r="Y5575">
        <v>0</v>
      </c>
      <c r="Z5575">
        <v>0</v>
      </c>
    </row>
    <row r="5576" spans="1:26" x14ac:dyDescent="0.2">
      <c r="A5576" t="s">
        <v>5694</v>
      </c>
      <c r="B5576" t="s">
        <v>111</v>
      </c>
      <c r="C5576">
        <v>2023</v>
      </c>
      <c r="D5576" t="s">
        <v>42</v>
      </c>
      <c r="E5576" t="s">
        <v>94</v>
      </c>
      <c r="F5576" t="s">
        <v>38</v>
      </c>
      <c r="G5576">
        <v>42918</v>
      </c>
      <c r="H5576">
        <v>34334.400000000001</v>
      </c>
      <c r="I5576" s="13">
        <v>1</v>
      </c>
      <c r="J5576" t="s">
        <v>6207</v>
      </c>
      <c r="K5576">
        <v>4</v>
      </c>
      <c r="L5576">
        <v>2</v>
      </c>
      <c r="M5576" t="s">
        <v>0</v>
      </c>
      <c r="N5576" s="3">
        <v>0.57999999999999996</v>
      </c>
      <c r="O5576" s="3">
        <v>0.42</v>
      </c>
      <c r="P5576">
        <v>18</v>
      </c>
      <c r="Q5576">
        <v>8</v>
      </c>
      <c r="R5576">
        <v>7</v>
      </c>
      <c r="S5576">
        <v>2</v>
      </c>
      <c r="T5576">
        <v>7</v>
      </c>
      <c r="U5576">
        <v>16</v>
      </c>
      <c r="V5576">
        <v>1</v>
      </c>
      <c r="W5576">
        <v>2</v>
      </c>
      <c r="X5576">
        <v>0</v>
      </c>
      <c r="Y5576">
        <v>0</v>
      </c>
      <c r="Z5576">
        <v>0</v>
      </c>
    </row>
    <row r="5577" spans="1:26" x14ac:dyDescent="0.2">
      <c r="A5577" t="s">
        <v>5695</v>
      </c>
      <c r="B5577" t="s">
        <v>102</v>
      </c>
      <c r="C5577">
        <v>2023</v>
      </c>
      <c r="D5577" t="s">
        <v>86</v>
      </c>
      <c r="E5577" t="s">
        <v>40</v>
      </c>
      <c r="F5577" t="s">
        <v>86</v>
      </c>
      <c r="G5577">
        <v>11364</v>
      </c>
      <c r="H5577">
        <v>9091.2000000000007</v>
      </c>
      <c r="I5577" s="13">
        <v>0.75</v>
      </c>
      <c r="J5577" t="s">
        <v>6209</v>
      </c>
      <c r="K5577">
        <v>0</v>
      </c>
      <c r="L5577">
        <v>1</v>
      </c>
      <c r="M5577" t="s">
        <v>1</v>
      </c>
      <c r="N5577" s="3">
        <v>0.38</v>
      </c>
      <c r="O5577" s="3">
        <v>0.62</v>
      </c>
      <c r="P5577">
        <v>6</v>
      </c>
      <c r="Q5577">
        <v>16</v>
      </c>
      <c r="R5577">
        <v>3</v>
      </c>
      <c r="S5577">
        <v>8</v>
      </c>
      <c r="T5577">
        <v>14</v>
      </c>
      <c r="U5577">
        <v>6</v>
      </c>
      <c r="V5577">
        <v>2</v>
      </c>
      <c r="W5577">
        <v>2</v>
      </c>
      <c r="X5577">
        <v>0</v>
      </c>
      <c r="Y5577">
        <v>0</v>
      </c>
      <c r="Z5577">
        <v>0</v>
      </c>
    </row>
    <row r="5578" spans="1:26" x14ac:dyDescent="0.2">
      <c r="A5578" t="s">
        <v>5696</v>
      </c>
      <c r="B5578" t="s">
        <v>81</v>
      </c>
      <c r="C5578">
        <v>2023</v>
      </c>
      <c r="D5578" t="s">
        <v>46</v>
      </c>
      <c r="E5578" t="s">
        <v>64</v>
      </c>
      <c r="F5578" t="s">
        <v>20</v>
      </c>
      <c r="G5578">
        <v>60704</v>
      </c>
      <c r="H5578">
        <v>48563.200000000004</v>
      </c>
      <c r="I5578" s="13">
        <v>1</v>
      </c>
      <c r="J5578" t="s">
        <v>6207</v>
      </c>
      <c r="K5578">
        <v>4</v>
      </c>
      <c r="L5578">
        <v>1</v>
      </c>
      <c r="M5578" t="s">
        <v>0</v>
      </c>
      <c r="N5578" s="3">
        <v>0.55000000000000004</v>
      </c>
      <c r="O5578" s="3">
        <v>0.45</v>
      </c>
      <c r="P5578">
        <v>8</v>
      </c>
      <c r="Q5578">
        <v>18</v>
      </c>
      <c r="R5578">
        <v>9</v>
      </c>
      <c r="S5578">
        <v>0</v>
      </c>
      <c r="T5578">
        <v>15</v>
      </c>
      <c r="U5578">
        <v>6</v>
      </c>
      <c r="V5578">
        <v>1</v>
      </c>
      <c r="W5578">
        <v>0</v>
      </c>
      <c r="X5578">
        <v>0</v>
      </c>
      <c r="Y5578">
        <v>0</v>
      </c>
      <c r="Z5578">
        <v>0</v>
      </c>
    </row>
    <row r="5579" spans="1:26" x14ac:dyDescent="0.2">
      <c r="A5579" t="s">
        <v>5697</v>
      </c>
      <c r="B5579" t="s">
        <v>108</v>
      </c>
      <c r="C5579">
        <v>2023</v>
      </c>
      <c r="D5579" t="s">
        <v>22</v>
      </c>
      <c r="E5579" t="s">
        <v>95</v>
      </c>
      <c r="F5579" t="s">
        <v>24</v>
      </c>
      <c r="G5579">
        <v>31750</v>
      </c>
      <c r="H5579">
        <v>25400</v>
      </c>
      <c r="I5579" s="13">
        <v>1</v>
      </c>
      <c r="J5579" t="s">
        <v>6207</v>
      </c>
      <c r="K5579">
        <v>1</v>
      </c>
      <c r="L5579">
        <v>0</v>
      </c>
      <c r="M5579" t="s">
        <v>0</v>
      </c>
      <c r="N5579" s="3">
        <v>0.63</v>
      </c>
      <c r="O5579" s="3">
        <v>0.37</v>
      </c>
      <c r="P5579">
        <v>5</v>
      </c>
      <c r="Q5579">
        <v>7</v>
      </c>
      <c r="R5579">
        <v>5</v>
      </c>
      <c r="S5579">
        <v>6</v>
      </c>
      <c r="T5579">
        <v>8</v>
      </c>
      <c r="U5579">
        <v>4</v>
      </c>
      <c r="V5579">
        <v>2</v>
      </c>
      <c r="W5579">
        <v>1</v>
      </c>
      <c r="X5579">
        <v>0</v>
      </c>
      <c r="Y5579">
        <v>0</v>
      </c>
      <c r="Z5579">
        <v>0</v>
      </c>
    </row>
    <row r="5580" spans="1:26" x14ac:dyDescent="0.2">
      <c r="A5580" t="s">
        <v>5698</v>
      </c>
      <c r="B5580" t="s">
        <v>84</v>
      </c>
      <c r="C5580">
        <v>2023</v>
      </c>
      <c r="D5580" t="s">
        <v>23</v>
      </c>
      <c r="E5580" t="s">
        <v>101</v>
      </c>
      <c r="F5580" t="s">
        <v>20</v>
      </c>
      <c r="G5580">
        <v>62500</v>
      </c>
      <c r="H5580">
        <v>50000</v>
      </c>
      <c r="I5580" s="13">
        <v>1</v>
      </c>
      <c r="J5580" t="s">
        <v>6208</v>
      </c>
      <c r="K5580">
        <v>4</v>
      </c>
      <c r="L5580">
        <v>2</v>
      </c>
      <c r="M5580" t="s">
        <v>0</v>
      </c>
      <c r="N5580" s="3">
        <v>0.41</v>
      </c>
      <c r="O5580" s="3">
        <v>0.59</v>
      </c>
      <c r="P5580">
        <v>13</v>
      </c>
      <c r="Q5580">
        <v>7</v>
      </c>
      <c r="R5580">
        <v>1</v>
      </c>
      <c r="S5580">
        <v>7</v>
      </c>
      <c r="T5580">
        <v>5</v>
      </c>
      <c r="U5580">
        <v>9</v>
      </c>
      <c r="V5580">
        <v>1</v>
      </c>
      <c r="W5580">
        <v>2</v>
      </c>
      <c r="X5580">
        <v>0</v>
      </c>
      <c r="Y5580">
        <v>0</v>
      </c>
      <c r="Z5580">
        <v>0</v>
      </c>
    </row>
    <row r="5581" spans="1:26" x14ac:dyDescent="0.2">
      <c r="A5581" t="s">
        <v>5699</v>
      </c>
      <c r="B5581" t="s">
        <v>99</v>
      </c>
      <c r="C5581">
        <v>2023</v>
      </c>
      <c r="D5581" t="s">
        <v>18</v>
      </c>
      <c r="E5581" t="s">
        <v>51</v>
      </c>
      <c r="F5581" t="s">
        <v>20</v>
      </c>
      <c r="G5581">
        <v>40341</v>
      </c>
      <c r="H5581">
        <v>32272.800000000003</v>
      </c>
      <c r="I5581" s="13">
        <v>1</v>
      </c>
      <c r="J5581" t="s">
        <v>6207</v>
      </c>
      <c r="K5581">
        <v>2</v>
      </c>
      <c r="L5581">
        <v>0</v>
      </c>
      <c r="M5581" t="s">
        <v>0</v>
      </c>
      <c r="N5581" s="3">
        <v>0.38</v>
      </c>
      <c r="O5581" s="3">
        <v>0.62</v>
      </c>
      <c r="P5581">
        <v>19</v>
      </c>
      <c r="Q5581">
        <v>13</v>
      </c>
      <c r="R5581">
        <v>4</v>
      </c>
      <c r="S5581">
        <v>9</v>
      </c>
      <c r="T5581">
        <v>12</v>
      </c>
      <c r="U5581">
        <v>16</v>
      </c>
      <c r="V5581">
        <v>0</v>
      </c>
      <c r="W5581">
        <v>1</v>
      </c>
      <c r="X5581">
        <v>0</v>
      </c>
      <c r="Y5581">
        <v>0</v>
      </c>
      <c r="Z5581">
        <v>0</v>
      </c>
    </row>
    <row r="5582" spans="1:26" x14ac:dyDescent="0.2">
      <c r="A5582" t="s">
        <v>5700</v>
      </c>
      <c r="B5582" t="s">
        <v>104</v>
      </c>
      <c r="C5582">
        <v>2023</v>
      </c>
      <c r="D5582" t="s">
        <v>51</v>
      </c>
      <c r="E5582" t="s">
        <v>79</v>
      </c>
      <c r="F5582" t="s">
        <v>20</v>
      </c>
      <c r="G5582">
        <v>36284</v>
      </c>
      <c r="H5582">
        <v>29027.200000000001</v>
      </c>
      <c r="I5582" s="13">
        <v>0.66666666666666663</v>
      </c>
      <c r="J5582" t="s">
        <v>6206</v>
      </c>
      <c r="K5582">
        <v>3</v>
      </c>
      <c r="L5582">
        <v>1</v>
      </c>
      <c r="M5582" t="s">
        <v>0</v>
      </c>
      <c r="N5582" s="3">
        <v>0.78</v>
      </c>
      <c r="O5582" s="3">
        <v>0.22</v>
      </c>
      <c r="P5582">
        <v>21</v>
      </c>
      <c r="Q5582">
        <v>9</v>
      </c>
      <c r="R5582">
        <v>11</v>
      </c>
      <c r="S5582">
        <v>1</v>
      </c>
      <c r="T5582">
        <v>7</v>
      </c>
      <c r="U5582">
        <v>16</v>
      </c>
      <c r="V5582">
        <v>1</v>
      </c>
      <c r="W5582">
        <v>2</v>
      </c>
      <c r="X5582">
        <v>0</v>
      </c>
      <c r="Y5582">
        <v>0</v>
      </c>
      <c r="Z5582">
        <v>0</v>
      </c>
    </row>
    <row r="5583" spans="1:26" x14ac:dyDescent="0.2">
      <c r="A5583" t="s">
        <v>5701</v>
      </c>
      <c r="B5583" t="s">
        <v>81</v>
      </c>
      <c r="C5583">
        <v>2023</v>
      </c>
      <c r="D5583" t="s">
        <v>94</v>
      </c>
      <c r="E5583" t="s">
        <v>26</v>
      </c>
      <c r="F5583" t="s">
        <v>106</v>
      </c>
      <c r="G5583">
        <v>30445</v>
      </c>
      <c r="H5583">
        <v>24356</v>
      </c>
      <c r="I5583" s="13">
        <v>0.4</v>
      </c>
      <c r="J5583" t="s">
        <v>6207</v>
      </c>
      <c r="K5583">
        <v>0</v>
      </c>
      <c r="L5583">
        <v>1</v>
      </c>
      <c r="M5583" t="s">
        <v>1</v>
      </c>
      <c r="N5583" s="3">
        <v>0.3</v>
      </c>
      <c r="O5583" s="3">
        <v>0.7</v>
      </c>
      <c r="P5583">
        <v>12</v>
      </c>
      <c r="Q5583">
        <v>13</v>
      </c>
      <c r="R5583">
        <v>3</v>
      </c>
      <c r="S5583">
        <v>12</v>
      </c>
      <c r="T5583">
        <v>11</v>
      </c>
      <c r="U5583">
        <v>12</v>
      </c>
      <c r="V5583">
        <v>3</v>
      </c>
      <c r="W5583">
        <v>2</v>
      </c>
      <c r="X5583">
        <v>0</v>
      </c>
      <c r="Y5583">
        <v>0</v>
      </c>
      <c r="Z5583">
        <v>0</v>
      </c>
    </row>
    <row r="5584" spans="1:26" x14ac:dyDescent="0.2">
      <c r="A5584" t="s">
        <v>5702</v>
      </c>
      <c r="B5584" t="s">
        <v>98</v>
      </c>
      <c r="C5584">
        <v>2023</v>
      </c>
      <c r="D5584" t="s">
        <v>64</v>
      </c>
      <c r="E5584" t="s">
        <v>22</v>
      </c>
      <c r="F5584" t="s">
        <v>64</v>
      </c>
      <c r="G5584">
        <v>52264</v>
      </c>
      <c r="H5584">
        <v>41811.200000000004</v>
      </c>
      <c r="I5584" s="13">
        <v>1</v>
      </c>
      <c r="J5584" t="s">
        <v>6208</v>
      </c>
      <c r="K5584">
        <v>3</v>
      </c>
      <c r="L5584">
        <v>0</v>
      </c>
      <c r="M5584" t="s">
        <v>0</v>
      </c>
      <c r="N5584" s="3">
        <v>0.44</v>
      </c>
      <c r="O5584" s="3">
        <v>0.56000000000000005</v>
      </c>
      <c r="P5584">
        <v>13</v>
      </c>
      <c r="Q5584">
        <v>8</v>
      </c>
      <c r="R5584">
        <v>3</v>
      </c>
      <c r="S5584">
        <v>5</v>
      </c>
      <c r="T5584">
        <v>8</v>
      </c>
      <c r="U5584">
        <v>11</v>
      </c>
      <c r="V5584">
        <v>0</v>
      </c>
      <c r="W5584">
        <v>1</v>
      </c>
      <c r="X5584">
        <v>0</v>
      </c>
      <c r="Y5584">
        <v>0</v>
      </c>
      <c r="Z5584">
        <v>0</v>
      </c>
    </row>
    <row r="5585" spans="1:26" x14ac:dyDescent="0.2">
      <c r="A5585" t="s">
        <v>5703</v>
      </c>
      <c r="B5585" t="s">
        <v>84</v>
      </c>
      <c r="C5585">
        <v>2023</v>
      </c>
      <c r="D5585" t="s">
        <v>31</v>
      </c>
      <c r="E5585" t="s">
        <v>90</v>
      </c>
      <c r="F5585" t="s">
        <v>20</v>
      </c>
      <c r="G5585">
        <v>28500</v>
      </c>
      <c r="H5585">
        <v>22800</v>
      </c>
      <c r="I5585" s="13">
        <v>1</v>
      </c>
      <c r="J5585" t="s">
        <v>6208</v>
      </c>
      <c r="K5585">
        <v>3</v>
      </c>
      <c r="L5585">
        <v>0</v>
      </c>
      <c r="M5585" t="s">
        <v>0</v>
      </c>
      <c r="N5585" s="3">
        <v>0.28999999999999998</v>
      </c>
      <c r="O5585" s="3">
        <v>0.71</v>
      </c>
      <c r="P5585">
        <v>14</v>
      </c>
      <c r="Q5585">
        <v>18</v>
      </c>
      <c r="R5585">
        <v>2</v>
      </c>
      <c r="S5585">
        <v>6</v>
      </c>
      <c r="T5585">
        <v>16</v>
      </c>
      <c r="U5585">
        <v>10</v>
      </c>
      <c r="V5585">
        <v>1</v>
      </c>
      <c r="W5585">
        <v>2</v>
      </c>
      <c r="X5585">
        <v>0</v>
      </c>
      <c r="Y5585">
        <v>0</v>
      </c>
      <c r="Z5585">
        <v>0</v>
      </c>
    </row>
    <row r="5586" spans="1:26" x14ac:dyDescent="0.2">
      <c r="A5586" t="s">
        <v>5704</v>
      </c>
      <c r="B5586" t="s">
        <v>76</v>
      </c>
      <c r="C5586">
        <v>2023</v>
      </c>
      <c r="D5586" t="s">
        <v>45</v>
      </c>
      <c r="E5586" t="s">
        <v>23</v>
      </c>
      <c r="F5586" t="s">
        <v>26</v>
      </c>
      <c r="G5586">
        <v>39572</v>
      </c>
      <c r="H5586">
        <v>31657.600000000002</v>
      </c>
      <c r="I5586" s="13">
        <v>0.66666666666666663</v>
      </c>
      <c r="J5586" t="s">
        <v>6207</v>
      </c>
      <c r="K5586">
        <v>1</v>
      </c>
      <c r="L5586">
        <v>3</v>
      </c>
      <c r="M5586" t="s">
        <v>1</v>
      </c>
      <c r="N5586" s="3">
        <v>0.55000000000000004</v>
      </c>
      <c r="O5586" s="3">
        <v>0.45</v>
      </c>
      <c r="P5586">
        <v>7</v>
      </c>
      <c r="Q5586">
        <v>11</v>
      </c>
      <c r="R5586">
        <v>4</v>
      </c>
      <c r="S5586">
        <v>5</v>
      </c>
      <c r="T5586">
        <v>9</v>
      </c>
      <c r="U5586">
        <v>6</v>
      </c>
      <c r="V5586">
        <v>1</v>
      </c>
      <c r="W5586">
        <v>2</v>
      </c>
      <c r="X5586">
        <v>0</v>
      </c>
      <c r="Y5586">
        <v>0</v>
      </c>
      <c r="Z5586">
        <v>1</v>
      </c>
    </row>
    <row r="5587" spans="1:26" x14ac:dyDescent="0.2">
      <c r="A5587" t="s">
        <v>5705</v>
      </c>
      <c r="B5587" t="s">
        <v>102</v>
      </c>
      <c r="C5587">
        <v>2023</v>
      </c>
      <c r="D5587" t="s">
        <v>101</v>
      </c>
      <c r="E5587" t="s">
        <v>18</v>
      </c>
      <c r="F5587" t="s">
        <v>101</v>
      </c>
      <c r="G5587">
        <v>17250</v>
      </c>
      <c r="H5587">
        <v>13800</v>
      </c>
      <c r="I5587" s="13">
        <v>0.75</v>
      </c>
      <c r="J5587" t="s">
        <v>6209</v>
      </c>
      <c r="K5587">
        <v>2</v>
      </c>
      <c r="L5587">
        <v>2</v>
      </c>
      <c r="M5587" t="s">
        <v>58</v>
      </c>
      <c r="N5587" s="3">
        <v>0.32</v>
      </c>
      <c r="O5587" s="3">
        <v>0.68</v>
      </c>
      <c r="P5587">
        <v>13</v>
      </c>
      <c r="Q5587">
        <v>10</v>
      </c>
      <c r="R5587">
        <v>0</v>
      </c>
      <c r="S5587">
        <v>6</v>
      </c>
      <c r="T5587">
        <v>10</v>
      </c>
      <c r="U5587">
        <v>9</v>
      </c>
      <c r="V5587">
        <v>3</v>
      </c>
      <c r="W5587">
        <v>1</v>
      </c>
      <c r="X5587">
        <v>0</v>
      </c>
      <c r="Y5587">
        <v>0</v>
      </c>
      <c r="Z5587">
        <v>0</v>
      </c>
    </row>
    <row r="5588" spans="1:26" x14ac:dyDescent="0.2">
      <c r="A5588" t="s">
        <v>5706</v>
      </c>
      <c r="B5588" t="s">
        <v>66</v>
      </c>
      <c r="C5588">
        <v>2023</v>
      </c>
      <c r="D5588" t="s">
        <v>110</v>
      </c>
      <c r="E5588" t="s">
        <v>42</v>
      </c>
      <c r="F5588" t="s">
        <v>110</v>
      </c>
      <c r="G5588">
        <v>12000</v>
      </c>
      <c r="H5588">
        <v>9600</v>
      </c>
      <c r="I5588" s="13">
        <v>0.6</v>
      </c>
      <c r="J5588" t="s">
        <v>6207</v>
      </c>
      <c r="K5588">
        <v>2</v>
      </c>
      <c r="L5588">
        <v>3</v>
      </c>
      <c r="M5588" t="s">
        <v>1</v>
      </c>
      <c r="N5588" s="3">
        <v>0.47</v>
      </c>
      <c r="O5588" s="3">
        <v>0.53</v>
      </c>
      <c r="P5588">
        <v>20</v>
      </c>
      <c r="Q5588">
        <v>11</v>
      </c>
      <c r="R5588">
        <v>8</v>
      </c>
      <c r="S5588">
        <v>6</v>
      </c>
      <c r="T5588">
        <v>8</v>
      </c>
      <c r="U5588">
        <v>19</v>
      </c>
      <c r="V5588">
        <v>1</v>
      </c>
      <c r="W5588">
        <v>4</v>
      </c>
      <c r="X5588">
        <v>0</v>
      </c>
      <c r="Y5588">
        <v>0</v>
      </c>
      <c r="Z5588">
        <v>0</v>
      </c>
    </row>
    <row r="5589" spans="1:26" x14ac:dyDescent="0.2">
      <c r="A5589" t="s">
        <v>5707</v>
      </c>
      <c r="B5589" t="s">
        <v>93</v>
      </c>
      <c r="C5589">
        <v>2023</v>
      </c>
      <c r="D5589" t="s">
        <v>28</v>
      </c>
      <c r="E5589" t="s">
        <v>86</v>
      </c>
      <c r="F5589" t="s">
        <v>28</v>
      </c>
      <c r="G5589">
        <v>21944</v>
      </c>
      <c r="H5589">
        <v>17555.2</v>
      </c>
      <c r="I5589" s="13">
        <v>0.66666666666666663</v>
      </c>
      <c r="J5589" t="s">
        <v>6206</v>
      </c>
      <c r="K5589">
        <v>0</v>
      </c>
      <c r="L5589">
        <v>2</v>
      </c>
      <c r="M5589" t="s">
        <v>1</v>
      </c>
      <c r="N5589" s="3">
        <v>0.75</v>
      </c>
      <c r="O5589" s="3">
        <v>0.25</v>
      </c>
      <c r="P5589">
        <v>17</v>
      </c>
      <c r="Q5589">
        <v>10</v>
      </c>
      <c r="R5589">
        <v>7</v>
      </c>
      <c r="S5589">
        <v>2</v>
      </c>
      <c r="T5589">
        <v>8</v>
      </c>
      <c r="U5589">
        <v>13</v>
      </c>
      <c r="V5589">
        <v>2</v>
      </c>
      <c r="W5589">
        <v>4</v>
      </c>
      <c r="X5589">
        <v>0</v>
      </c>
      <c r="Y5589">
        <v>0</v>
      </c>
      <c r="Z5589">
        <v>0</v>
      </c>
    </row>
    <row r="5590" spans="1:26" x14ac:dyDescent="0.2">
      <c r="A5590" t="s">
        <v>5708</v>
      </c>
      <c r="B5590" t="s">
        <v>92</v>
      </c>
      <c r="C5590">
        <v>2023</v>
      </c>
      <c r="D5590" t="s">
        <v>40</v>
      </c>
      <c r="E5590" t="s">
        <v>48</v>
      </c>
      <c r="F5590" t="s">
        <v>49</v>
      </c>
      <c r="G5590">
        <v>53400</v>
      </c>
      <c r="H5590">
        <v>42720</v>
      </c>
      <c r="I5590" s="13">
        <v>0.5</v>
      </c>
      <c r="J5590" t="s">
        <v>6207</v>
      </c>
      <c r="K5590">
        <v>3</v>
      </c>
      <c r="L5590">
        <v>1</v>
      </c>
      <c r="M5590" t="s">
        <v>0</v>
      </c>
      <c r="N5590" s="3">
        <v>0.73</v>
      </c>
      <c r="O5590" s="3">
        <v>0.27</v>
      </c>
      <c r="P5590">
        <v>11</v>
      </c>
      <c r="Q5590">
        <v>5</v>
      </c>
      <c r="R5590">
        <v>15</v>
      </c>
      <c r="S5590">
        <v>2</v>
      </c>
      <c r="T5590">
        <v>5</v>
      </c>
      <c r="U5590">
        <v>10</v>
      </c>
      <c r="V5590">
        <v>0</v>
      </c>
      <c r="W5590">
        <v>2</v>
      </c>
      <c r="X5590">
        <v>0</v>
      </c>
      <c r="Y5590">
        <v>0</v>
      </c>
      <c r="Z5590">
        <v>0</v>
      </c>
    </row>
    <row r="5591" spans="1:26" x14ac:dyDescent="0.2">
      <c r="A5591" t="s">
        <v>5709</v>
      </c>
      <c r="B5591" t="s">
        <v>111</v>
      </c>
      <c r="C5591">
        <v>2023</v>
      </c>
      <c r="D5591" t="s">
        <v>95</v>
      </c>
      <c r="E5591" t="s">
        <v>46</v>
      </c>
      <c r="F5591" t="s">
        <v>57</v>
      </c>
      <c r="G5591">
        <v>32050</v>
      </c>
      <c r="H5591">
        <v>25640</v>
      </c>
      <c r="I5591" s="13">
        <v>0</v>
      </c>
      <c r="J5591" t="s">
        <v>6207</v>
      </c>
      <c r="K5591">
        <v>0</v>
      </c>
      <c r="L5591">
        <v>6</v>
      </c>
      <c r="M5591" t="s">
        <v>1</v>
      </c>
      <c r="N5591" s="3">
        <v>0.19</v>
      </c>
      <c r="O5591" s="3">
        <v>0.81</v>
      </c>
      <c r="P5591">
        <v>9</v>
      </c>
      <c r="Q5591">
        <v>13</v>
      </c>
      <c r="R5591">
        <v>0</v>
      </c>
      <c r="S5591">
        <v>7</v>
      </c>
      <c r="T5591">
        <v>11</v>
      </c>
      <c r="U5591">
        <v>4</v>
      </c>
      <c r="V5591">
        <v>1</v>
      </c>
      <c r="W5591">
        <v>0</v>
      </c>
      <c r="X5591">
        <v>0</v>
      </c>
      <c r="Y5591">
        <v>0</v>
      </c>
      <c r="Z5591">
        <v>0</v>
      </c>
    </row>
    <row r="5592" spans="1:26" x14ac:dyDescent="0.2">
      <c r="A5592" t="s">
        <v>5710</v>
      </c>
      <c r="B5592" t="s">
        <v>84</v>
      </c>
      <c r="C5592">
        <v>2023</v>
      </c>
      <c r="D5592" t="s">
        <v>48</v>
      </c>
      <c r="E5592" t="s">
        <v>45</v>
      </c>
      <c r="F5592" t="s">
        <v>49</v>
      </c>
      <c r="G5592">
        <v>74197</v>
      </c>
      <c r="H5592">
        <v>59357.600000000006</v>
      </c>
      <c r="I5592" s="13">
        <v>0.66666666666666663</v>
      </c>
      <c r="J5592" t="s">
        <v>6208</v>
      </c>
      <c r="K5592">
        <v>2</v>
      </c>
      <c r="L5592">
        <v>0</v>
      </c>
      <c r="M5592" t="s">
        <v>0</v>
      </c>
      <c r="N5592" s="3">
        <v>0.51</v>
      </c>
      <c r="O5592" s="3">
        <v>0.49</v>
      </c>
      <c r="P5592">
        <v>12</v>
      </c>
      <c r="Q5592">
        <v>19</v>
      </c>
      <c r="R5592">
        <v>5</v>
      </c>
      <c r="S5592">
        <v>8</v>
      </c>
      <c r="T5592">
        <v>13</v>
      </c>
      <c r="U5592">
        <v>11</v>
      </c>
      <c r="V5592">
        <v>1</v>
      </c>
      <c r="W5592">
        <v>2</v>
      </c>
      <c r="X5592">
        <v>0</v>
      </c>
      <c r="Y5592">
        <v>0</v>
      </c>
      <c r="Z5592">
        <v>2</v>
      </c>
    </row>
    <row r="5593" spans="1:26" x14ac:dyDescent="0.2">
      <c r="A5593" t="s">
        <v>5711</v>
      </c>
      <c r="B5593" t="s">
        <v>105</v>
      </c>
      <c r="C5593">
        <v>2023</v>
      </c>
      <c r="D5593" t="s">
        <v>22</v>
      </c>
      <c r="E5593" t="s">
        <v>31</v>
      </c>
      <c r="F5593" t="s">
        <v>24</v>
      </c>
      <c r="G5593">
        <v>31750</v>
      </c>
      <c r="H5593">
        <v>25400</v>
      </c>
      <c r="I5593" s="13">
        <v>0.75</v>
      </c>
      <c r="J5593" t="s">
        <v>6207</v>
      </c>
      <c r="K5593">
        <v>2</v>
      </c>
      <c r="L5593">
        <v>1</v>
      </c>
      <c r="M5593" t="s">
        <v>0</v>
      </c>
      <c r="N5593" s="3">
        <v>0.48</v>
      </c>
      <c r="O5593" s="3">
        <v>0.52</v>
      </c>
      <c r="P5593">
        <v>11</v>
      </c>
      <c r="Q5593">
        <v>10</v>
      </c>
      <c r="R5593">
        <v>3</v>
      </c>
      <c r="S5593">
        <v>4</v>
      </c>
      <c r="T5593">
        <v>7</v>
      </c>
      <c r="U5593">
        <v>11</v>
      </c>
      <c r="V5593">
        <v>2</v>
      </c>
      <c r="W5593">
        <v>2</v>
      </c>
      <c r="X5593">
        <v>0</v>
      </c>
      <c r="Y5593">
        <v>0</v>
      </c>
      <c r="Z5593">
        <v>0</v>
      </c>
    </row>
    <row r="5594" spans="1:26" x14ac:dyDescent="0.2">
      <c r="A5594" t="s">
        <v>5712</v>
      </c>
      <c r="B5594" t="s">
        <v>115</v>
      </c>
      <c r="C5594">
        <v>2023</v>
      </c>
      <c r="D5594" t="s">
        <v>79</v>
      </c>
      <c r="E5594" t="s">
        <v>110</v>
      </c>
      <c r="F5594" t="s">
        <v>20</v>
      </c>
      <c r="G5594">
        <v>25486</v>
      </c>
      <c r="H5594">
        <v>20388.800000000003</v>
      </c>
      <c r="I5594" s="13">
        <v>0.4</v>
      </c>
      <c r="J5594" t="s">
        <v>6209</v>
      </c>
      <c r="K5594">
        <v>1</v>
      </c>
      <c r="L5594">
        <v>1</v>
      </c>
      <c r="M5594" t="s">
        <v>58</v>
      </c>
      <c r="N5594" s="3">
        <v>0.5</v>
      </c>
      <c r="O5594" s="3">
        <v>0.5</v>
      </c>
      <c r="P5594">
        <v>12</v>
      </c>
      <c r="Q5594">
        <v>20</v>
      </c>
      <c r="R5594">
        <v>8</v>
      </c>
      <c r="S5594">
        <v>6</v>
      </c>
      <c r="T5594">
        <v>20</v>
      </c>
      <c r="U5594">
        <v>11</v>
      </c>
      <c r="V5594">
        <v>2</v>
      </c>
      <c r="W5594">
        <v>3</v>
      </c>
      <c r="X5594">
        <v>0</v>
      </c>
      <c r="Y5594">
        <v>0</v>
      </c>
      <c r="Z5594">
        <v>0</v>
      </c>
    </row>
    <row r="5595" spans="1:26" x14ac:dyDescent="0.2">
      <c r="A5595" t="s">
        <v>5713</v>
      </c>
      <c r="B5595" t="s">
        <v>61</v>
      </c>
      <c r="C5595">
        <v>2023</v>
      </c>
      <c r="D5595" t="s">
        <v>86</v>
      </c>
      <c r="E5595" t="s">
        <v>95</v>
      </c>
      <c r="F5595" t="s">
        <v>86</v>
      </c>
      <c r="G5595">
        <v>11364</v>
      </c>
      <c r="H5595">
        <v>9091.2000000000007</v>
      </c>
      <c r="I5595" s="13">
        <v>0.5</v>
      </c>
      <c r="J5595" t="s">
        <v>6207</v>
      </c>
      <c r="K5595">
        <v>2</v>
      </c>
      <c r="L5595">
        <v>2</v>
      </c>
      <c r="M5595" t="s">
        <v>58</v>
      </c>
      <c r="N5595" s="3">
        <v>0.7</v>
      </c>
      <c r="O5595" s="3">
        <v>0.3</v>
      </c>
      <c r="P5595">
        <v>11</v>
      </c>
      <c r="Q5595">
        <v>13</v>
      </c>
      <c r="R5595">
        <v>10</v>
      </c>
      <c r="S5595">
        <v>3</v>
      </c>
      <c r="T5595">
        <v>12</v>
      </c>
      <c r="U5595">
        <v>11</v>
      </c>
      <c r="V5595">
        <v>3</v>
      </c>
      <c r="W5595">
        <v>5</v>
      </c>
      <c r="X5595">
        <v>0</v>
      </c>
      <c r="Y5595">
        <v>0</v>
      </c>
      <c r="Z5595">
        <v>1</v>
      </c>
    </row>
    <row r="5596" spans="1:26" x14ac:dyDescent="0.2">
      <c r="A5596" t="s">
        <v>5714</v>
      </c>
      <c r="B5596" t="s">
        <v>99</v>
      </c>
      <c r="C5596">
        <v>2023</v>
      </c>
      <c r="D5596" t="s">
        <v>46</v>
      </c>
      <c r="E5596" t="s">
        <v>101</v>
      </c>
      <c r="F5596" t="s">
        <v>20</v>
      </c>
      <c r="G5596">
        <v>60704</v>
      </c>
      <c r="H5596">
        <v>48563.200000000004</v>
      </c>
      <c r="I5596" s="13">
        <v>1</v>
      </c>
      <c r="J5596" t="s">
        <v>6207</v>
      </c>
      <c r="K5596">
        <v>2</v>
      </c>
      <c r="L5596">
        <v>1</v>
      </c>
      <c r="M5596" t="s">
        <v>0</v>
      </c>
      <c r="N5596" s="3">
        <v>0.72</v>
      </c>
      <c r="O5596" s="3">
        <v>0.28000000000000003</v>
      </c>
      <c r="P5596">
        <v>12</v>
      </c>
      <c r="Q5596">
        <v>10</v>
      </c>
      <c r="R5596">
        <v>10</v>
      </c>
      <c r="S5596">
        <v>4</v>
      </c>
      <c r="T5596">
        <v>9</v>
      </c>
      <c r="U5596">
        <v>10</v>
      </c>
      <c r="V5596">
        <v>2</v>
      </c>
      <c r="W5596">
        <v>4</v>
      </c>
      <c r="X5596">
        <v>0</v>
      </c>
      <c r="Y5596">
        <v>0</v>
      </c>
      <c r="Z5596">
        <v>0</v>
      </c>
    </row>
    <row r="5597" spans="1:26" x14ac:dyDescent="0.2">
      <c r="A5597" t="s">
        <v>5715</v>
      </c>
      <c r="B5597" t="s">
        <v>88</v>
      </c>
      <c r="C5597">
        <v>2023</v>
      </c>
      <c r="D5597" t="s">
        <v>42</v>
      </c>
      <c r="E5597" t="s">
        <v>51</v>
      </c>
      <c r="F5597" t="s">
        <v>38</v>
      </c>
      <c r="G5597">
        <v>42918</v>
      </c>
      <c r="H5597">
        <v>34334.400000000001</v>
      </c>
      <c r="I5597" s="13">
        <v>0.66666666666666663</v>
      </c>
      <c r="J5597" t="s">
        <v>6207</v>
      </c>
      <c r="K5597">
        <v>0</v>
      </c>
      <c r="L5597">
        <v>4</v>
      </c>
      <c r="M5597" t="s">
        <v>1</v>
      </c>
      <c r="N5597" s="3">
        <v>0.31</v>
      </c>
      <c r="O5597" s="3">
        <v>0.69</v>
      </c>
      <c r="P5597">
        <v>17</v>
      </c>
      <c r="Q5597">
        <v>16</v>
      </c>
      <c r="R5597">
        <v>6</v>
      </c>
      <c r="S5597">
        <v>4</v>
      </c>
      <c r="T5597">
        <v>11</v>
      </c>
      <c r="U5597">
        <v>15</v>
      </c>
      <c r="V5597">
        <v>0</v>
      </c>
      <c r="W5597">
        <v>2</v>
      </c>
      <c r="X5597">
        <v>1</v>
      </c>
      <c r="Y5597">
        <v>0</v>
      </c>
      <c r="Z5597">
        <v>0</v>
      </c>
    </row>
    <row r="5598" spans="1:26" x14ac:dyDescent="0.2">
      <c r="A5598" t="s">
        <v>5716</v>
      </c>
      <c r="B5598" t="s">
        <v>100</v>
      </c>
      <c r="C5598">
        <v>2023</v>
      </c>
      <c r="D5598" t="s">
        <v>23</v>
      </c>
      <c r="E5598" t="s">
        <v>28</v>
      </c>
      <c r="F5598" t="s">
        <v>20</v>
      </c>
      <c r="G5598">
        <v>62500</v>
      </c>
      <c r="H5598">
        <v>50000</v>
      </c>
      <c r="I5598" s="13">
        <v>1</v>
      </c>
      <c r="J5598" t="s">
        <v>6207</v>
      </c>
      <c r="K5598">
        <v>2</v>
      </c>
      <c r="L5598">
        <v>2</v>
      </c>
      <c r="M5598" t="s">
        <v>58</v>
      </c>
      <c r="N5598" s="3">
        <v>0.52</v>
      </c>
      <c r="O5598" s="3">
        <v>0.48</v>
      </c>
      <c r="P5598">
        <v>20</v>
      </c>
      <c r="Q5598">
        <v>16</v>
      </c>
      <c r="R5598">
        <v>4</v>
      </c>
      <c r="S5598">
        <v>3</v>
      </c>
      <c r="T5598">
        <v>11</v>
      </c>
      <c r="U5598">
        <v>18</v>
      </c>
      <c r="V5598">
        <v>2</v>
      </c>
      <c r="W5598">
        <v>4</v>
      </c>
      <c r="X5598">
        <v>0</v>
      </c>
      <c r="Y5598">
        <v>0</v>
      </c>
      <c r="Z5598">
        <v>0</v>
      </c>
    </row>
    <row r="5599" spans="1:26" x14ac:dyDescent="0.2">
      <c r="A5599" t="s">
        <v>5717</v>
      </c>
      <c r="B5599" t="s">
        <v>103</v>
      </c>
      <c r="C5599">
        <v>2023</v>
      </c>
      <c r="D5599" t="s">
        <v>90</v>
      </c>
      <c r="E5599" t="s">
        <v>94</v>
      </c>
      <c r="F5599" t="s">
        <v>91</v>
      </c>
      <c r="G5599">
        <v>31876</v>
      </c>
      <c r="H5599">
        <v>25500.800000000003</v>
      </c>
      <c r="I5599" s="13">
        <v>0.75</v>
      </c>
      <c r="J5599" t="s">
        <v>6207</v>
      </c>
      <c r="K5599">
        <v>1</v>
      </c>
      <c r="L5599">
        <v>0</v>
      </c>
      <c r="M5599" t="s">
        <v>0</v>
      </c>
      <c r="N5599" s="3">
        <v>0.64</v>
      </c>
      <c r="O5599" s="3">
        <v>0.36</v>
      </c>
      <c r="P5599">
        <v>15</v>
      </c>
      <c r="Q5599">
        <v>15</v>
      </c>
      <c r="R5599">
        <v>6</v>
      </c>
      <c r="S5599">
        <v>3</v>
      </c>
      <c r="T5599">
        <v>14</v>
      </c>
      <c r="U5599">
        <v>14</v>
      </c>
      <c r="V5599">
        <v>4</v>
      </c>
      <c r="W5599">
        <v>4</v>
      </c>
      <c r="X5599">
        <v>0</v>
      </c>
      <c r="Y5599">
        <v>0</v>
      </c>
      <c r="Z5599">
        <v>0</v>
      </c>
    </row>
    <row r="5600" spans="1:26" x14ac:dyDescent="0.2">
      <c r="A5600" t="s">
        <v>5718</v>
      </c>
      <c r="B5600" t="s">
        <v>66</v>
      </c>
      <c r="C5600">
        <v>2023</v>
      </c>
      <c r="D5600" t="s">
        <v>26</v>
      </c>
      <c r="E5600" t="s">
        <v>40</v>
      </c>
      <c r="F5600" t="s">
        <v>26</v>
      </c>
      <c r="G5600">
        <v>61276</v>
      </c>
      <c r="H5600">
        <v>49020.800000000003</v>
      </c>
      <c r="I5600" s="13">
        <v>1</v>
      </c>
      <c r="J5600" t="s">
        <v>6207</v>
      </c>
      <c r="K5600">
        <v>1</v>
      </c>
      <c r="L5600">
        <v>1</v>
      </c>
      <c r="M5600" t="s">
        <v>58</v>
      </c>
      <c r="N5600" s="3">
        <v>0.53</v>
      </c>
      <c r="O5600" s="3">
        <v>0.47</v>
      </c>
      <c r="P5600">
        <v>10</v>
      </c>
      <c r="Q5600">
        <v>12</v>
      </c>
      <c r="R5600">
        <v>7</v>
      </c>
      <c r="S5600">
        <v>4</v>
      </c>
      <c r="T5600">
        <v>6</v>
      </c>
      <c r="U5600">
        <v>10</v>
      </c>
      <c r="V5600">
        <v>0</v>
      </c>
      <c r="W5600">
        <v>3</v>
      </c>
      <c r="X5600">
        <v>0</v>
      </c>
      <c r="Y5600">
        <v>0</v>
      </c>
      <c r="Z5600">
        <v>1</v>
      </c>
    </row>
    <row r="5601" spans="1:26" x14ac:dyDescent="0.2">
      <c r="A5601" t="s">
        <v>5719</v>
      </c>
      <c r="B5601" t="s">
        <v>104</v>
      </c>
      <c r="C5601">
        <v>2023</v>
      </c>
      <c r="D5601" t="s">
        <v>18</v>
      </c>
      <c r="E5601" t="s">
        <v>64</v>
      </c>
      <c r="F5601" t="s">
        <v>20</v>
      </c>
      <c r="G5601">
        <v>40341</v>
      </c>
      <c r="H5601">
        <v>32272.800000000003</v>
      </c>
      <c r="I5601" s="13">
        <v>0.5</v>
      </c>
      <c r="J5601" t="s">
        <v>6206</v>
      </c>
      <c r="K5601">
        <v>3</v>
      </c>
      <c r="L5601">
        <v>2</v>
      </c>
      <c r="M5601" t="s">
        <v>0</v>
      </c>
      <c r="N5601" s="3">
        <v>0.45</v>
      </c>
      <c r="O5601" s="3">
        <v>0.55000000000000004</v>
      </c>
      <c r="P5601">
        <v>9</v>
      </c>
      <c r="Q5601">
        <v>14</v>
      </c>
      <c r="R5601">
        <v>0</v>
      </c>
      <c r="S5601">
        <v>4</v>
      </c>
      <c r="T5601">
        <v>12</v>
      </c>
      <c r="U5601">
        <v>7</v>
      </c>
      <c r="V5601">
        <v>3</v>
      </c>
      <c r="W5601">
        <v>1</v>
      </c>
      <c r="X5601">
        <v>0</v>
      </c>
      <c r="Y5601">
        <v>0</v>
      </c>
      <c r="Z5601">
        <v>0</v>
      </c>
    </row>
    <row r="5602" spans="1:26" x14ac:dyDescent="0.2">
      <c r="A5602" t="s">
        <v>5720</v>
      </c>
      <c r="B5602" t="s">
        <v>100</v>
      </c>
      <c r="C5602">
        <v>2023</v>
      </c>
      <c r="D5602" t="s">
        <v>110</v>
      </c>
      <c r="E5602" t="s">
        <v>94</v>
      </c>
      <c r="F5602" t="s">
        <v>110</v>
      </c>
      <c r="G5602">
        <v>12000</v>
      </c>
      <c r="H5602">
        <v>9600</v>
      </c>
      <c r="I5602" s="13">
        <v>0.66666666666666663</v>
      </c>
      <c r="J5602" t="s">
        <v>6207</v>
      </c>
      <c r="K5602">
        <v>1</v>
      </c>
      <c r="L5602">
        <v>1</v>
      </c>
      <c r="M5602" t="s">
        <v>58</v>
      </c>
      <c r="N5602" s="3">
        <v>0.6</v>
      </c>
      <c r="O5602" s="3">
        <v>0.4</v>
      </c>
      <c r="P5602">
        <v>19</v>
      </c>
      <c r="Q5602">
        <v>11</v>
      </c>
      <c r="R5602">
        <v>6</v>
      </c>
      <c r="S5602">
        <v>7</v>
      </c>
      <c r="T5602">
        <v>10</v>
      </c>
      <c r="U5602">
        <v>17</v>
      </c>
      <c r="V5602">
        <v>1</v>
      </c>
      <c r="W5602">
        <v>2</v>
      </c>
      <c r="X5602">
        <v>0</v>
      </c>
      <c r="Y5602">
        <v>0</v>
      </c>
      <c r="Z5602">
        <v>0</v>
      </c>
    </row>
    <row r="5603" spans="1:26" x14ac:dyDescent="0.2">
      <c r="A5603" t="s">
        <v>5721</v>
      </c>
      <c r="B5603" t="s">
        <v>108</v>
      </c>
      <c r="C5603">
        <v>2023</v>
      </c>
      <c r="D5603" t="s">
        <v>28</v>
      </c>
      <c r="E5603" t="s">
        <v>101</v>
      </c>
      <c r="F5603" t="s">
        <v>28</v>
      </c>
      <c r="G5603">
        <v>21944</v>
      </c>
      <c r="H5603">
        <v>17555.2</v>
      </c>
      <c r="I5603" s="13">
        <v>0.7142857142857143</v>
      </c>
      <c r="J5603" t="s">
        <v>6207</v>
      </c>
      <c r="K5603">
        <v>2</v>
      </c>
      <c r="L5603">
        <v>1</v>
      </c>
      <c r="M5603" t="s">
        <v>0</v>
      </c>
      <c r="N5603" s="3">
        <v>0.6</v>
      </c>
      <c r="O5603" s="3">
        <v>0.4</v>
      </c>
      <c r="P5603">
        <v>21</v>
      </c>
      <c r="Q5603">
        <v>19</v>
      </c>
      <c r="R5603">
        <v>5</v>
      </c>
      <c r="S5603">
        <v>4</v>
      </c>
      <c r="T5603">
        <v>14</v>
      </c>
      <c r="U5603">
        <v>17</v>
      </c>
      <c r="V5603">
        <v>2</v>
      </c>
      <c r="W5603">
        <v>4</v>
      </c>
      <c r="X5603">
        <v>0</v>
      </c>
      <c r="Y5603">
        <v>1</v>
      </c>
      <c r="Z5603">
        <v>1</v>
      </c>
    </row>
    <row r="5604" spans="1:26" x14ac:dyDescent="0.2">
      <c r="A5604" t="s">
        <v>5722</v>
      </c>
      <c r="B5604" t="s">
        <v>99</v>
      </c>
      <c r="C5604">
        <v>2023</v>
      </c>
      <c r="D5604" t="s">
        <v>31</v>
      </c>
      <c r="E5604" t="s">
        <v>51</v>
      </c>
      <c r="F5604" t="s">
        <v>20</v>
      </c>
      <c r="G5604">
        <v>28500</v>
      </c>
      <c r="H5604">
        <v>22800</v>
      </c>
      <c r="I5604" s="13">
        <v>0.6</v>
      </c>
      <c r="J5604" t="s">
        <v>6207</v>
      </c>
      <c r="K5604">
        <v>3</v>
      </c>
      <c r="L5604">
        <v>0</v>
      </c>
      <c r="M5604" t="s">
        <v>0</v>
      </c>
      <c r="N5604" s="3">
        <v>0.43</v>
      </c>
      <c r="O5604" s="3">
        <v>0.56999999999999995</v>
      </c>
      <c r="P5604">
        <v>14</v>
      </c>
      <c r="Q5604">
        <v>11</v>
      </c>
      <c r="R5604">
        <v>4</v>
      </c>
      <c r="S5604">
        <v>5</v>
      </c>
      <c r="T5604">
        <v>9</v>
      </c>
      <c r="U5604">
        <v>10</v>
      </c>
      <c r="V5604">
        <v>2</v>
      </c>
      <c r="W5604">
        <v>3</v>
      </c>
      <c r="X5604">
        <v>0</v>
      </c>
      <c r="Y5604">
        <v>0</v>
      </c>
      <c r="Z5604">
        <v>0</v>
      </c>
    </row>
    <row r="5605" spans="1:26" x14ac:dyDescent="0.2">
      <c r="A5605" t="s">
        <v>5723</v>
      </c>
      <c r="B5605" t="s">
        <v>102</v>
      </c>
      <c r="C5605">
        <v>2023</v>
      </c>
      <c r="D5605" t="s">
        <v>23</v>
      </c>
      <c r="E5605" t="s">
        <v>42</v>
      </c>
      <c r="F5605" t="s">
        <v>20</v>
      </c>
      <c r="G5605">
        <v>62500</v>
      </c>
      <c r="H5605">
        <v>50000</v>
      </c>
      <c r="I5605" s="13">
        <v>1</v>
      </c>
      <c r="J5605" t="s">
        <v>6209</v>
      </c>
      <c r="K5605">
        <v>1</v>
      </c>
      <c r="L5605">
        <v>1</v>
      </c>
      <c r="M5605" t="s">
        <v>58</v>
      </c>
      <c r="N5605" s="3">
        <v>0.31</v>
      </c>
      <c r="O5605" s="3">
        <v>0.69</v>
      </c>
      <c r="P5605">
        <v>14</v>
      </c>
      <c r="Q5605">
        <v>17</v>
      </c>
      <c r="R5605">
        <v>7</v>
      </c>
      <c r="S5605">
        <v>10</v>
      </c>
      <c r="T5605">
        <v>13</v>
      </c>
      <c r="U5605">
        <v>12</v>
      </c>
      <c r="V5605">
        <v>3</v>
      </c>
      <c r="W5605">
        <v>3</v>
      </c>
      <c r="X5605">
        <v>0</v>
      </c>
      <c r="Y5605">
        <v>0</v>
      </c>
      <c r="Z5605">
        <v>0</v>
      </c>
    </row>
    <row r="5606" spans="1:26" x14ac:dyDescent="0.2">
      <c r="A5606" t="s">
        <v>5724</v>
      </c>
      <c r="B5606" t="s">
        <v>84</v>
      </c>
      <c r="C5606">
        <v>2023</v>
      </c>
      <c r="D5606" t="s">
        <v>46</v>
      </c>
      <c r="E5606" t="s">
        <v>18</v>
      </c>
      <c r="F5606" t="s">
        <v>20</v>
      </c>
      <c r="G5606">
        <v>60704</v>
      </c>
      <c r="H5606">
        <v>48563.200000000004</v>
      </c>
      <c r="I5606" s="13">
        <v>0.6</v>
      </c>
      <c r="J5606" t="s">
        <v>6208</v>
      </c>
      <c r="K5606">
        <v>5</v>
      </c>
      <c r="L5606">
        <v>0</v>
      </c>
      <c r="M5606" t="s">
        <v>0</v>
      </c>
      <c r="N5606" s="3">
        <v>0.44</v>
      </c>
      <c r="O5606" s="3">
        <v>0.56000000000000005</v>
      </c>
      <c r="P5606">
        <v>11</v>
      </c>
      <c r="Q5606">
        <v>15</v>
      </c>
      <c r="R5606">
        <v>4</v>
      </c>
      <c r="S5606">
        <v>2</v>
      </c>
      <c r="T5606">
        <v>12</v>
      </c>
      <c r="U5606">
        <v>11</v>
      </c>
      <c r="V5606">
        <v>3</v>
      </c>
      <c r="W5606">
        <v>2</v>
      </c>
      <c r="X5606">
        <v>0</v>
      </c>
      <c r="Y5606">
        <v>0</v>
      </c>
      <c r="Z5606">
        <v>0</v>
      </c>
    </row>
    <row r="5607" spans="1:26" x14ac:dyDescent="0.2">
      <c r="A5607" t="s">
        <v>5725</v>
      </c>
      <c r="B5607" t="s">
        <v>59</v>
      </c>
      <c r="C5607">
        <v>2023</v>
      </c>
      <c r="D5607" t="s">
        <v>22</v>
      </c>
      <c r="E5607" t="s">
        <v>86</v>
      </c>
      <c r="F5607" t="s">
        <v>24</v>
      </c>
      <c r="G5607">
        <v>31750</v>
      </c>
      <c r="H5607">
        <v>25400</v>
      </c>
      <c r="I5607" s="13">
        <v>1</v>
      </c>
      <c r="J5607" t="s">
        <v>6206</v>
      </c>
      <c r="K5607">
        <v>0</v>
      </c>
      <c r="L5607">
        <v>1</v>
      </c>
      <c r="M5607" t="s">
        <v>1</v>
      </c>
      <c r="N5607" s="3">
        <v>0.63</v>
      </c>
      <c r="O5607" s="3">
        <v>0.37</v>
      </c>
      <c r="P5607">
        <v>18</v>
      </c>
      <c r="Q5607">
        <v>12</v>
      </c>
      <c r="R5607">
        <v>8</v>
      </c>
      <c r="S5607">
        <v>12</v>
      </c>
      <c r="T5607">
        <v>10</v>
      </c>
      <c r="U5607">
        <v>17</v>
      </c>
      <c r="V5607">
        <v>4</v>
      </c>
      <c r="W5607">
        <v>1</v>
      </c>
      <c r="X5607">
        <v>0</v>
      </c>
      <c r="Y5607">
        <v>1</v>
      </c>
      <c r="Z5607">
        <v>0</v>
      </c>
    </row>
    <row r="5608" spans="1:26" x14ac:dyDescent="0.2">
      <c r="A5608" t="s">
        <v>5726</v>
      </c>
      <c r="B5608" t="s">
        <v>103</v>
      </c>
      <c r="C5608">
        <v>2023</v>
      </c>
      <c r="D5608" t="s">
        <v>48</v>
      </c>
      <c r="E5608" t="s">
        <v>95</v>
      </c>
      <c r="F5608" t="s">
        <v>49</v>
      </c>
      <c r="G5608">
        <v>74197</v>
      </c>
      <c r="H5608">
        <v>59357.600000000006</v>
      </c>
      <c r="I5608" s="13">
        <v>1</v>
      </c>
      <c r="J5608" t="s">
        <v>6207</v>
      </c>
      <c r="K5608">
        <v>4</v>
      </c>
      <c r="L5608">
        <v>2</v>
      </c>
      <c r="M5608" t="s">
        <v>0</v>
      </c>
      <c r="N5608" s="3">
        <v>0.71</v>
      </c>
      <c r="O5608" s="3">
        <v>0.28999999999999998</v>
      </c>
      <c r="P5608">
        <v>10</v>
      </c>
      <c r="Q5608">
        <v>10</v>
      </c>
      <c r="R5608">
        <v>8</v>
      </c>
      <c r="S5608">
        <v>4</v>
      </c>
      <c r="T5608">
        <v>7</v>
      </c>
      <c r="U5608">
        <v>9</v>
      </c>
      <c r="V5608">
        <v>0</v>
      </c>
      <c r="W5608">
        <v>1</v>
      </c>
      <c r="X5608">
        <v>0</v>
      </c>
      <c r="Y5608">
        <v>0</v>
      </c>
      <c r="Z5608">
        <v>1</v>
      </c>
    </row>
    <row r="5609" spans="1:26" x14ac:dyDescent="0.2">
      <c r="A5609" t="s">
        <v>5727</v>
      </c>
      <c r="B5609" t="s">
        <v>92</v>
      </c>
      <c r="C5609">
        <v>2023</v>
      </c>
      <c r="D5609" t="s">
        <v>45</v>
      </c>
      <c r="E5609" t="s">
        <v>26</v>
      </c>
      <c r="F5609" t="s">
        <v>26</v>
      </c>
      <c r="G5609">
        <v>39572</v>
      </c>
      <c r="H5609">
        <v>31657.600000000002</v>
      </c>
      <c r="I5609" s="13">
        <v>0.66666666666666663</v>
      </c>
      <c r="J5609" t="s">
        <v>6207</v>
      </c>
      <c r="K5609">
        <v>2</v>
      </c>
      <c r="L5609">
        <v>0</v>
      </c>
      <c r="M5609" t="s">
        <v>0</v>
      </c>
      <c r="N5609" s="3">
        <v>0.23</v>
      </c>
      <c r="O5609" s="3">
        <v>0.77</v>
      </c>
      <c r="P5609">
        <v>14</v>
      </c>
      <c r="Q5609">
        <v>8</v>
      </c>
      <c r="R5609">
        <v>4</v>
      </c>
      <c r="S5609">
        <v>13</v>
      </c>
      <c r="T5609">
        <v>6</v>
      </c>
      <c r="U5609">
        <v>13</v>
      </c>
      <c r="V5609">
        <v>0</v>
      </c>
      <c r="W5609">
        <v>3</v>
      </c>
      <c r="X5609">
        <v>0</v>
      </c>
      <c r="Y5609">
        <v>0</v>
      </c>
      <c r="Z5609">
        <v>0</v>
      </c>
    </row>
    <row r="5610" spans="1:26" x14ac:dyDescent="0.2">
      <c r="A5610" t="s">
        <v>5728</v>
      </c>
      <c r="B5610" t="s">
        <v>107</v>
      </c>
      <c r="C5610">
        <v>2023</v>
      </c>
      <c r="D5610" t="s">
        <v>79</v>
      </c>
      <c r="E5610" t="s">
        <v>64</v>
      </c>
      <c r="F5610" t="s">
        <v>20</v>
      </c>
      <c r="G5610">
        <v>25486</v>
      </c>
      <c r="H5610">
        <v>20388.800000000003</v>
      </c>
      <c r="I5610" s="13">
        <v>0.33333333333333331</v>
      </c>
      <c r="J5610" t="s">
        <v>6207</v>
      </c>
      <c r="K5610">
        <v>2</v>
      </c>
      <c r="L5610">
        <v>0</v>
      </c>
      <c r="M5610" t="s">
        <v>0</v>
      </c>
      <c r="N5610" s="3">
        <v>0.47</v>
      </c>
      <c r="O5610" s="3">
        <v>0.53</v>
      </c>
      <c r="P5610">
        <v>16</v>
      </c>
      <c r="Q5610">
        <v>14</v>
      </c>
      <c r="R5610">
        <v>7</v>
      </c>
      <c r="S5610">
        <v>2</v>
      </c>
      <c r="T5610">
        <v>10</v>
      </c>
      <c r="U5610">
        <v>15</v>
      </c>
      <c r="V5610">
        <v>3</v>
      </c>
      <c r="W5610">
        <v>3</v>
      </c>
      <c r="X5610">
        <v>0</v>
      </c>
      <c r="Y5610">
        <v>0</v>
      </c>
      <c r="Z5610">
        <v>0</v>
      </c>
    </row>
    <row r="5611" spans="1:26" x14ac:dyDescent="0.2">
      <c r="A5611" t="s">
        <v>5729</v>
      </c>
      <c r="B5611" t="s">
        <v>102</v>
      </c>
      <c r="C5611">
        <v>2023</v>
      </c>
      <c r="D5611" t="s">
        <v>90</v>
      </c>
      <c r="E5611" t="s">
        <v>40</v>
      </c>
      <c r="F5611" t="s">
        <v>91</v>
      </c>
      <c r="G5611">
        <v>31876</v>
      </c>
      <c r="H5611">
        <v>25500.800000000003</v>
      </c>
      <c r="I5611" s="13">
        <v>1</v>
      </c>
      <c r="J5611" t="s">
        <v>6209</v>
      </c>
      <c r="K5611">
        <v>0</v>
      </c>
      <c r="L5611">
        <v>4</v>
      </c>
      <c r="M5611" t="s">
        <v>1</v>
      </c>
      <c r="N5611" s="3">
        <v>0.35</v>
      </c>
      <c r="O5611" s="3">
        <v>0.65</v>
      </c>
      <c r="P5611">
        <v>4</v>
      </c>
      <c r="Q5611">
        <v>14</v>
      </c>
      <c r="R5611">
        <v>4</v>
      </c>
      <c r="S5611">
        <v>4</v>
      </c>
      <c r="T5611">
        <v>10</v>
      </c>
      <c r="U5611">
        <v>3</v>
      </c>
      <c r="V5611">
        <v>2</v>
      </c>
      <c r="W5611">
        <v>0</v>
      </c>
      <c r="X5611">
        <v>0</v>
      </c>
      <c r="Y5611">
        <v>0</v>
      </c>
      <c r="Z5611">
        <v>0</v>
      </c>
    </row>
    <row r="5612" spans="1:26" x14ac:dyDescent="0.2">
      <c r="A5612" t="s">
        <v>5730</v>
      </c>
      <c r="B5612" t="s">
        <v>99</v>
      </c>
      <c r="C5612">
        <v>2023</v>
      </c>
      <c r="D5612" t="s">
        <v>64</v>
      </c>
      <c r="E5612" t="s">
        <v>23</v>
      </c>
      <c r="F5612" t="s">
        <v>64</v>
      </c>
      <c r="G5612">
        <v>52264</v>
      </c>
      <c r="H5612">
        <v>41811.200000000004</v>
      </c>
      <c r="I5612" s="13">
        <v>0.4</v>
      </c>
      <c r="J5612" t="s">
        <v>6207</v>
      </c>
      <c r="K5612">
        <v>4</v>
      </c>
      <c r="L5612">
        <v>3</v>
      </c>
      <c r="M5612" t="s">
        <v>0</v>
      </c>
      <c r="N5612" s="3">
        <v>0.6</v>
      </c>
      <c r="O5612" s="3">
        <v>0.4</v>
      </c>
      <c r="P5612">
        <v>9</v>
      </c>
      <c r="Q5612">
        <v>10</v>
      </c>
      <c r="R5612">
        <v>3</v>
      </c>
      <c r="S5612">
        <v>4</v>
      </c>
      <c r="T5612">
        <v>9</v>
      </c>
      <c r="U5612">
        <v>8</v>
      </c>
      <c r="V5612">
        <v>2</v>
      </c>
      <c r="W5612">
        <v>2</v>
      </c>
      <c r="X5612">
        <v>1</v>
      </c>
      <c r="Y5612">
        <v>0</v>
      </c>
      <c r="Z5612">
        <v>2</v>
      </c>
    </row>
    <row r="5613" spans="1:26" x14ac:dyDescent="0.2">
      <c r="A5613" t="s">
        <v>5731</v>
      </c>
      <c r="B5613" t="s">
        <v>102</v>
      </c>
      <c r="C5613">
        <v>2023</v>
      </c>
      <c r="D5613" t="s">
        <v>51</v>
      </c>
      <c r="E5613" t="s">
        <v>110</v>
      </c>
      <c r="F5613" t="s">
        <v>20</v>
      </c>
      <c r="G5613">
        <v>36284</v>
      </c>
      <c r="H5613">
        <v>29027.200000000001</v>
      </c>
      <c r="I5613" s="13">
        <v>0.5</v>
      </c>
      <c r="J5613" t="s">
        <v>6209</v>
      </c>
      <c r="K5613">
        <v>2</v>
      </c>
      <c r="L5613">
        <v>1</v>
      </c>
      <c r="M5613" t="s">
        <v>0</v>
      </c>
      <c r="N5613" s="3">
        <v>0.7</v>
      </c>
      <c r="O5613" s="3">
        <v>0.3</v>
      </c>
      <c r="P5613">
        <v>12</v>
      </c>
      <c r="Q5613">
        <v>16</v>
      </c>
      <c r="R5613">
        <v>3</v>
      </c>
      <c r="S5613">
        <v>6</v>
      </c>
      <c r="T5613">
        <v>16</v>
      </c>
      <c r="U5613">
        <v>14</v>
      </c>
      <c r="V5613">
        <v>2</v>
      </c>
      <c r="W5613">
        <v>4</v>
      </c>
      <c r="X5613">
        <v>0</v>
      </c>
      <c r="Y5613">
        <v>0</v>
      </c>
      <c r="Z5613">
        <v>0</v>
      </c>
    </row>
    <row r="5614" spans="1:26" x14ac:dyDescent="0.2">
      <c r="A5614" t="s">
        <v>5732</v>
      </c>
      <c r="B5614" t="s">
        <v>98</v>
      </c>
      <c r="C5614">
        <v>2023</v>
      </c>
      <c r="D5614" t="s">
        <v>95</v>
      </c>
      <c r="E5614" t="s">
        <v>31</v>
      </c>
      <c r="F5614" t="s">
        <v>57</v>
      </c>
      <c r="G5614">
        <v>32050</v>
      </c>
      <c r="H5614">
        <v>25640</v>
      </c>
      <c r="I5614" s="13">
        <v>0.6</v>
      </c>
      <c r="J5614" t="s">
        <v>6208</v>
      </c>
      <c r="K5614">
        <v>3</v>
      </c>
      <c r="L5614">
        <v>3</v>
      </c>
      <c r="M5614" t="s">
        <v>58</v>
      </c>
      <c r="N5614" s="3">
        <v>0.26</v>
      </c>
      <c r="O5614" s="3">
        <v>0.74</v>
      </c>
      <c r="P5614">
        <v>11</v>
      </c>
      <c r="Q5614">
        <v>10</v>
      </c>
      <c r="R5614">
        <v>2</v>
      </c>
      <c r="S5614">
        <v>15</v>
      </c>
      <c r="T5614">
        <v>10</v>
      </c>
      <c r="U5614">
        <v>13</v>
      </c>
      <c r="V5614">
        <v>4</v>
      </c>
      <c r="W5614">
        <v>1</v>
      </c>
      <c r="X5614">
        <v>0</v>
      </c>
      <c r="Y5614">
        <v>0</v>
      </c>
      <c r="Z5614">
        <v>0</v>
      </c>
    </row>
    <row r="5615" spans="1:26" x14ac:dyDescent="0.2">
      <c r="A5615" t="s">
        <v>5733</v>
      </c>
      <c r="B5615" t="s">
        <v>88</v>
      </c>
      <c r="C5615">
        <v>2023</v>
      </c>
      <c r="D5615" t="s">
        <v>94</v>
      </c>
      <c r="E5615" t="s">
        <v>79</v>
      </c>
      <c r="F5615" t="s">
        <v>106</v>
      </c>
      <c r="G5615">
        <v>30445</v>
      </c>
      <c r="H5615">
        <v>24356</v>
      </c>
      <c r="I5615" s="13">
        <v>1</v>
      </c>
      <c r="J5615" t="s">
        <v>6207</v>
      </c>
      <c r="K5615">
        <v>1</v>
      </c>
      <c r="L5615">
        <v>1</v>
      </c>
      <c r="M5615" t="s">
        <v>58</v>
      </c>
      <c r="N5615" s="3">
        <v>0.59</v>
      </c>
      <c r="O5615" s="3">
        <v>0.41</v>
      </c>
      <c r="P5615">
        <v>12</v>
      </c>
      <c r="Q5615">
        <v>18</v>
      </c>
      <c r="R5615">
        <v>4</v>
      </c>
      <c r="S5615">
        <v>6</v>
      </c>
      <c r="T5615">
        <v>14</v>
      </c>
      <c r="U5615">
        <v>12</v>
      </c>
      <c r="V5615">
        <v>1</v>
      </c>
      <c r="W5615">
        <v>1</v>
      </c>
      <c r="X5615">
        <v>0</v>
      </c>
      <c r="Y5615">
        <v>0</v>
      </c>
      <c r="Z5615">
        <v>0</v>
      </c>
    </row>
    <row r="5616" spans="1:26" x14ac:dyDescent="0.2">
      <c r="A5616" t="s">
        <v>5734</v>
      </c>
      <c r="B5616" t="s">
        <v>100</v>
      </c>
      <c r="C5616">
        <v>2023</v>
      </c>
      <c r="D5616" t="s">
        <v>18</v>
      </c>
      <c r="E5616" t="s">
        <v>28</v>
      </c>
      <c r="F5616" t="s">
        <v>20</v>
      </c>
      <c r="G5616">
        <v>40341</v>
      </c>
      <c r="H5616">
        <v>32272.800000000003</v>
      </c>
      <c r="I5616" s="13">
        <v>0.7142857142857143</v>
      </c>
      <c r="J5616" t="s">
        <v>6207</v>
      </c>
      <c r="K5616">
        <v>2</v>
      </c>
      <c r="L5616">
        <v>2</v>
      </c>
      <c r="M5616" t="s">
        <v>58</v>
      </c>
      <c r="N5616" s="3">
        <v>0.69</v>
      </c>
      <c r="O5616" s="3">
        <v>0.31</v>
      </c>
      <c r="P5616">
        <v>6</v>
      </c>
      <c r="Q5616">
        <v>14</v>
      </c>
      <c r="R5616">
        <v>12</v>
      </c>
      <c r="S5616">
        <v>4</v>
      </c>
      <c r="T5616">
        <v>12</v>
      </c>
      <c r="U5616">
        <v>7</v>
      </c>
      <c r="V5616">
        <v>2</v>
      </c>
      <c r="W5616">
        <v>3</v>
      </c>
      <c r="X5616">
        <v>0</v>
      </c>
      <c r="Y5616">
        <v>2</v>
      </c>
      <c r="Z5616">
        <v>1</v>
      </c>
    </row>
    <row r="5617" spans="1:26" x14ac:dyDescent="0.2">
      <c r="A5617" t="s">
        <v>5735</v>
      </c>
      <c r="B5617" t="s">
        <v>111</v>
      </c>
      <c r="C5617">
        <v>2023</v>
      </c>
      <c r="D5617" t="s">
        <v>86</v>
      </c>
      <c r="E5617" t="s">
        <v>45</v>
      </c>
      <c r="F5617" t="s">
        <v>86</v>
      </c>
      <c r="G5617">
        <v>11364</v>
      </c>
      <c r="H5617">
        <v>9091.2000000000007</v>
      </c>
      <c r="I5617" s="13">
        <v>0.33333333333333331</v>
      </c>
      <c r="J5617" t="s">
        <v>6207</v>
      </c>
      <c r="K5617">
        <v>2</v>
      </c>
      <c r="L5617">
        <v>1</v>
      </c>
      <c r="M5617" t="s">
        <v>0</v>
      </c>
      <c r="N5617" s="3">
        <v>0.49</v>
      </c>
      <c r="O5617" s="3">
        <v>0.51</v>
      </c>
      <c r="P5617">
        <v>15</v>
      </c>
      <c r="Q5617">
        <v>14</v>
      </c>
      <c r="R5617">
        <v>9</v>
      </c>
      <c r="S5617">
        <v>8</v>
      </c>
      <c r="T5617">
        <v>14</v>
      </c>
      <c r="U5617">
        <v>11</v>
      </c>
      <c r="V5617">
        <v>1</v>
      </c>
      <c r="W5617">
        <v>2</v>
      </c>
      <c r="X5617">
        <v>0</v>
      </c>
      <c r="Y5617">
        <v>0</v>
      </c>
      <c r="Z5617">
        <v>0</v>
      </c>
    </row>
    <row r="5618" spans="1:26" x14ac:dyDescent="0.2">
      <c r="A5618" t="s">
        <v>5736</v>
      </c>
      <c r="B5618" t="s">
        <v>81</v>
      </c>
      <c r="C5618">
        <v>2023</v>
      </c>
      <c r="D5618" t="s">
        <v>42</v>
      </c>
      <c r="E5618" t="s">
        <v>22</v>
      </c>
      <c r="F5618" t="s">
        <v>38</v>
      </c>
      <c r="G5618">
        <v>42918</v>
      </c>
      <c r="H5618">
        <v>34334.400000000001</v>
      </c>
      <c r="I5618" s="13">
        <v>0.8571428571428571</v>
      </c>
      <c r="J5618" t="s">
        <v>6207</v>
      </c>
      <c r="K5618">
        <v>2</v>
      </c>
      <c r="L5618">
        <v>0</v>
      </c>
      <c r="M5618" t="s">
        <v>0</v>
      </c>
      <c r="N5618" s="3">
        <v>0.48</v>
      </c>
      <c r="O5618" s="3">
        <v>0.52</v>
      </c>
      <c r="P5618">
        <v>21</v>
      </c>
      <c r="Q5618">
        <v>12</v>
      </c>
      <c r="R5618">
        <v>5</v>
      </c>
      <c r="S5618">
        <v>4</v>
      </c>
      <c r="T5618">
        <v>11</v>
      </c>
      <c r="U5618">
        <v>19</v>
      </c>
      <c r="V5618">
        <v>3</v>
      </c>
      <c r="W5618">
        <v>4</v>
      </c>
      <c r="X5618">
        <v>0</v>
      </c>
      <c r="Y5618">
        <v>0</v>
      </c>
      <c r="Z5618">
        <v>0</v>
      </c>
    </row>
    <row r="5619" spans="1:26" x14ac:dyDescent="0.2">
      <c r="A5619" t="s">
        <v>5737</v>
      </c>
      <c r="B5619" t="s">
        <v>84</v>
      </c>
      <c r="C5619">
        <v>2023</v>
      </c>
      <c r="D5619" t="s">
        <v>101</v>
      </c>
      <c r="E5619" t="s">
        <v>48</v>
      </c>
      <c r="F5619" t="s">
        <v>101</v>
      </c>
      <c r="G5619">
        <v>17250</v>
      </c>
      <c r="H5619">
        <v>13800</v>
      </c>
      <c r="I5619" s="13">
        <v>0.8</v>
      </c>
      <c r="J5619" t="s">
        <v>6208</v>
      </c>
      <c r="K5619">
        <v>1</v>
      </c>
      <c r="L5619">
        <v>1</v>
      </c>
      <c r="M5619" t="s">
        <v>58</v>
      </c>
      <c r="N5619" s="3">
        <v>0.47</v>
      </c>
      <c r="O5619" s="3">
        <v>0.53</v>
      </c>
      <c r="P5619">
        <v>15</v>
      </c>
      <c r="Q5619">
        <v>7</v>
      </c>
      <c r="R5619">
        <v>14</v>
      </c>
      <c r="S5619">
        <v>4</v>
      </c>
      <c r="T5619">
        <v>7</v>
      </c>
      <c r="U5619">
        <v>14</v>
      </c>
      <c r="V5619">
        <v>3</v>
      </c>
      <c r="W5619">
        <v>2</v>
      </c>
      <c r="X5619">
        <v>0</v>
      </c>
      <c r="Y5619">
        <v>0</v>
      </c>
      <c r="Z5619">
        <v>0</v>
      </c>
    </row>
    <row r="5620" spans="1:26" x14ac:dyDescent="0.2">
      <c r="A5620" t="s">
        <v>5738</v>
      </c>
      <c r="B5620" t="s">
        <v>93</v>
      </c>
      <c r="C5620">
        <v>2023</v>
      </c>
      <c r="D5620" t="s">
        <v>26</v>
      </c>
      <c r="E5620" t="s">
        <v>90</v>
      </c>
      <c r="F5620" t="s">
        <v>26</v>
      </c>
      <c r="G5620">
        <v>61276</v>
      </c>
      <c r="H5620">
        <v>49020.800000000003</v>
      </c>
      <c r="I5620" s="13">
        <v>0.75</v>
      </c>
      <c r="J5620" t="s">
        <v>6206</v>
      </c>
      <c r="K5620">
        <v>2</v>
      </c>
      <c r="L5620">
        <v>1</v>
      </c>
      <c r="M5620" t="s">
        <v>0</v>
      </c>
      <c r="N5620" s="3">
        <v>0.55000000000000004</v>
      </c>
      <c r="O5620" s="3">
        <v>0.45</v>
      </c>
      <c r="P5620">
        <v>10</v>
      </c>
      <c r="Q5620">
        <v>24</v>
      </c>
      <c r="R5620">
        <v>8</v>
      </c>
      <c r="S5620">
        <v>4</v>
      </c>
      <c r="T5620">
        <v>20</v>
      </c>
      <c r="U5620">
        <v>6</v>
      </c>
      <c r="V5620">
        <v>5</v>
      </c>
      <c r="W5620">
        <v>3</v>
      </c>
      <c r="X5620">
        <v>0</v>
      </c>
      <c r="Y5620">
        <v>0</v>
      </c>
      <c r="Z5620">
        <v>0</v>
      </c>
    </row>
    <row r="5621" spans="1:26" x14ac:dyDescent="0.2">
      <c r="A5621" t="s">
        <v>5739</v>
      </c>
      <c r="B5621" t="s">
        <v>61</v>
      </c>
      <c r="C5621">
        <v>2023</v>
      </c>
      <c r="D5621" t="s">
        <v>40</v>
      </c>
      <c r="E5621" t="s">
        <v>46</v>
      </c>
      <c r="F5621" t="s">
        <v>49</v>
      </c>
      <c r="G5621">
        <v>53400</v>
      </c>
      <c r="H5621">
        <v>42720</v>
      </c>
      <c r="I5621" s="13">
        <v>1</v>
      </c>
      <c r="J5621" t="s">
        <v>6207</v>
      </c>
      <c r="K5621">
        <v>0</v>
      </c>
      <c r="L5621">
        <v>0</v>
      </c>
      <c r="M5621" t="s">
        <v>58</v>
      </c>
      <c r="N5621" s="3">
        <v>0.72</v>
      </c>
      <c r="O5621" s="3">
        <v>0.28000000000000003</v>
      </c>
      <c r="P5621">
        <v>21</v>
      </c>
      <c r="Q5621">
        <v>13</v>
      </c>
      <c r="R5621">
        <v>7</v>
      </c>
      <c r="S5621">
        <v>4</v>
      </c>
      <c r="T5621">
        <v>9</v>
      </c>
      <c r="U5621">
        <v>20</v>
      </c>
      <c r="V5621">
        <v>0</v>
      </c>
      <c r="W5621">
        <v>2</v>
      </c>
      <c r="X5621">
        <v>0</v>
      </c>
      <c r="Y5621">
        <v>0</v>
      </c>
      <c r="Z5621">
        <v>0</v>
      </c>
    </row>
    <row r="5622" spans="1:26" x14ac:dyDescent="0.2">
      <c r="A5622" t="s">
        <v>5740</v>
      </c>
      <c r="B5622" t="s">
        <v>66</v>
      </c>
      <c r="C5622">
        <v>2023</v>
      </c>
      <c r="D5622" t="s">
        <v>94</v>
      </c>
      <c r="E5622" t="s">
        <v>31</v>
      </c>
      <c r="F5622" t="s">
        <v>106</v>
      </c>
      <c r="G5622">
        <v>30445</v>
      </c>
      <c r="H5622">
        <v>24356</v>
      </c>
      <c r="I5622" s="13">
        <v>1</v>
      </c>
      <c r="J5622" t="s">
        <v>6207</v>
      </c>
      <c r="K5622">
        <v>3</v>
      </c>
      <c r="L5622">
        <v>1</v>
      </c>
      <c r="M5622" t="s">
        <v>0</v>
      </c>
      <c r="N5622" s="3">
        <v>0.33</v>
      </c>
      <c r="O5622" s="3">
        <v>0.67</v>
      </c>
      <c r="P5622">
        <v>8</v>
      </c>
      <c r="Q5622">
        <v>8</v>
      </c>
      <c r="R5622">
        <v>3</v>
      </c>
      <c r="S5622">
        <v>8</v>
      </c>
      <c r="T5622">
        <v>7</v>
      </c>
      <c r="U5622">
        <v>8</v>
      </c>
      <c r="V5622">
        <v>1</v>
      </c>
      <c r="W5622">
        <v>0</v>
      </c>
      <c r="X5622">
        <v>0</v>
      </c>
      <c r="Y5622">
        <v>0</v>
      </c>
      <c r="Z5622">
        <v>0</v>
      </c>
    </row>
    <row r="5623" spans="1:26" x14ac:dyDescent="0.2">
      <c r="A5623" t="s">
        <v>5741</v>
      </c>
      <c r="B5623" t="s">
        <v>105</v>
      </c>
      <c r="C5623">
        <v>2023</v>
      </c>
      <c r="D5623" t="s">
        <v>64</v>
      </c>
      <c r="E5623" t="s">
        <v>45</v>
      </c>
      <c r="F5623" t="s">
        <v>64</v>
      </c>
      <c r="G5623">
        <v>52264</v>
      </c>
      <c r="H5623">
        <v>41811.200000000004</v>
      </c>
      <c r="I5623" s="13">
        <v>0</v>
      </c>
      <c r="J5623" t="s">
        <v>6207</v>
      </c>
      <c r="K5623">
        <v>1</v>
      </c>
      <c r="L5623">
        <v>1</v>
      </c>
      <c r="M5623" t="s">
        <v>58</v>
      </c>
      <c r="N5623" s="3">
        <v>0.57999999999999996</v>
      </c>
      <c r="O5623" s="3">
        <v>0.42</v>
      </c>
      <c r="P5623">
        <v>14</v>
      </c>
      <c r="Q5623">
        <v>11</v>
      </c>
      <c r="R5623">
        <v>7</v>
      </c>
      <c r="S5623">
        <v>3</v>
      </c>
      <c r="T5623">
        <v>9</v>
      </c>
      <c r="U5623">
        <v>14</v>
      </c>
      <c r="V5623">
        <v>0</v>
      </c>
      <c r="W5623">
        <v>3</v>
      </c>
      <c r="X5623">
        <v>0</v>
      </c>
      <c r="Y5623">
        <v>0</v>
      </c>
      <c r="Z5623">
        <v>1</v>
      </c>
    </row>
    <row r="5624" spans="1:26" x14ac:dyDescent="0.2">
      <c r="A5624" t="s">
        <v>5742</v>
      </c>
      <c r="B5624" t="s">
        <v>107</v>
      </c>
      <c r="C5624">
        <v>2023</v>
      </c>
      <c r="D5624" t="s">
        <v>28</v>
      </c>
      <c r="E5624" t="s">
        <v>22</v>
      </c>
      <c r="F5624" t="s">
        <v>28</v>
      </c>
      <c r="G5624">
        <v>21944</v>
      </c>
      <c r="H5624">
        <v>17555.2</v>
      </c>
      <c r="I5624" s="13">
        <v>1</v>
      </c>
      <c r="J5624" t="s">
        <v>6207</v>
      </c>
      <c r="K5624">
        <v>1</v>
      </c>
      <c r="L5624">
        <v>1</v>
      </c>
      <c r="M5624" t="s">
        <v>58</v>
      </c>
      <c r="N5624" s="3">
        <v>0.51</v>
      </c>
      <c r="O5624" s="3">
        <v>0.49</v>
      </c>
      <c r="P5624">
        <v>18</v>
      </c>
      <c r="Q5624">
        <v>12</v>
      </c>
      <c r="R5624">
        <v>7</v>
      </c>
      <c r="S5624">
        <v>4</v>
      </c>
      <c r="T5624">
        <v>10</v>
      </c>
      <c r="U5624">
        <v>12</v>
      </c>
      <c r="V5624">
        <v>0</v>
      </c>
      <c r="W5624">
        <v>2</v>
      </c>
      <c r="X5624">
        <v>0</v>
      </c>
      <c r="Y5624">
        <v>0</v>
      </c>
      <c r="Z5624">
        <v>0</v>
      </c>
    </row>
    <row r="5625" spans="1:26" x14ac:dyDescent="0.2">
      <c r="A5625" t="s">
        <v>5743</v>
      </c>
      <c r="B5625" t="s">
        <v>83</v>
      </c>
      <c r="C5625">
        <v>2023</v>
      </c>
      <c r="D5625" t="s">
        <v>86</v>
      </c>
      <c r="E5625" t="s">
        <v>79</v>
      </c>
      <c r="F5625" t="s">
        <v>86</v>
      </c>
      <c r="G5625">
        <v>11364</v>
      </c>
      <c r="H5625">
        <v>9091.2000000000007</v>
      </c>
      <c r="I5625" s="13">
        <v>0.4</v>
      </c>
      <c r="J5625" t="s">
        <v>6208</v>
      </c>
      <c r="K5625">
        <v>1</v>
      </c>
      <c r="L5625">
        <v>0</v>
      </c>
      <c r="M5625" t="s">
        <v>0</v>
      </c>
      <c r="N5625" s="3">
        <v>0.5</v>
      </c>
      <c r="O5625" s="3">
        <v>0.5</v>
      </c>
      <c r="P5625">
        <v>18</v>
      </c>
      <c r="Q5625">
        <v>13</v>
      </c>
      <c r="R5625">
        <v>9</v>
      </c>
      <c r="S5625">
        <v>2</v>
      </c>
      <c r="T5625">
        <v>13</v>
      </c>
      <c r="U5625">
        <v>14</v>
      </c>
      <c r="V5625">
        <v>3</v>
      </c>
      <c r="W5625">
        <v>2</v>
      </c>
      <c r="X5625">
        <v>0</v>
      </c>
      <c r="Y5625">
        <v>0</v>
      </c>
      <c r="Z5625">
        <v>0</v>
      </c>
    </row>
    <row r="5626" spans="1:26" x14ac:dyDescent="0.2">
      <c r="A5626" t="s">
        <v>5744</v>
      </c>
      <c r="B5626" t="s">
        <v>104</v>
      </c>
      <c r="C5626">
        <v>2023</v>
      </c>
      <c r="D5626" t="s">
        <v>23</v>
      </c>
      <c r="E5626" t="s">
        <v>51</v>
      </c>
      <c r="F5626" t="s">
        <v>20</v>
      </c>
      <c r="G5626">
        <v>62500</v>
      </c>
      <c r="H5626">
        <v>50000</v>
      </c>
      <c r="I5626" s="13">
        <v>0.8</v>
      </c>
      <c r="J5626" t="s">
        <v>6206</v>
      </c>
      <c r="K5626">
        <v>1</v>
      </c>
      <c r="L5626">
        <v>1</v>
      </c>
      <c r="M5626" t="s">
        <v>58</v>
      </c>
      <c r="N5626" s="3">
        <v>0.32</v>
      </c>
      <c r="O5626" s="3">
        <v>0.68</v>
      </c>
      <c r="P5626">
        <v>10</v>
      </c>
      <c r="Q5626">
        <v>16</v>
      </c>
      <c r="R5626">
        <v>9</v>
      </c>
      <c r="S5626">
        <v>5</v>
      </c>
      <c r="T5626">
        <v>13</v>
      </c>
      <c r="U5626">
        <v>9</v>
      </c>
      <c r="V5626">
        <v>1</v>
      </c>
      <c r="W5626">
        <v>4</v>
      </c>
      <c r="X5626">
        <v>0</v>
      </c>
      <c r="Y5626">
        <v>0</v>
      </c>
      <c r="Z5626">
        <v>0</v>
      </c>
    </row>
    <row r="5627" spans="1:26" x14ac:dyDescent="0.2">
      <c r="A5627" t="s">
        <v>5745</v>
      </c>
      <c r="B5627" t="s">
        <v>92</v>
      </c>
      <c r="C5627">
        <v>2023</v>
      </c>
      <c r="D5627" t="s">
        <v>101</v>
      </c>
      <c r="E5627" t="s">
        <v>90</v>
      </c>
      <c r="F5627" t="s">
        <v>101</v>
      </c>
      <c r="G5627">
        <v>17250</v>
      </c>
      <c r="H5627">
        <v>13800</v>
      </c>
      <c r="I5627" s="13">
        <v>1</v>
      </c>
      <c r="J5627" t="s">
        <v>6207</v>
      </c>
      <c r="K5627">
        <v>0</v>
      </c>
      <c r="L5627">
        <v>0</v>
      </c>
      <c r="M5627" t="s">
        <v>58</v>
      </c>
      <c r="N5627" s="3">
        <v>0.33</v>
      </c>
      <c r="O5627" s="3">
        <v>0.67</v>
      </c>
      <c r="P5627">
        <v>12</v>
      </c>
      <c r="Q5627">
        <v>12</v>
      </c>
      <c r="R5627">
        <v>1</v>
      </c>
      <c r="S5627">
        <v>5</v>
      </c>
      <c r="T5627">
        <v>9</v>
      </c>
      <c r="U5627">
        <v>12</v>
      </c>
      <c r="V5627">
        <v>1</v>
      </c>
      <c r="W5627">
        <v>1</v>
      </c>
      <c r="X5627">
        <v>0</v>
      </c>
      <c r="Y5627">
        <v>0</v>
      </c>
      <c r="Z5627">
        <v>0</v>
      </c>
    </row>
    <row r="5628" spans="1:26" x14ac:dyDescent="0.2">
      <c r="A5628" t="s">
        <v>5746</v>
      </c>
      <c r="B5628" t="s">
        <v>76</v>
      </c>
      <c r="C5628">
        <v>2023</v>
      </c>
      <c r="D5628" t="s">
        <v>46</v>
      </c>
      <c r="E5628" t="s">
        <v>110</v>
      </c>
      <c r="F5628" t="s">
        <v>20</v>
      </c>
      <c r="G5628">
        <v>60704</v>
      </c>
      <c r="H5628">
        <v>48563.200000000004</v>
      </c>
      <c r="I5628" s="13">
        <v>1</v>
      </c>
      <c r="J5628" t="s">
        <v>6207</v>
      </c>
      <c r="K5628">
        <v>2</v>
      </c>
      <c r="L5628">
        <v>0</v>
      </c>
      <c r="M5628" t="s">
        <v>0</v>
      </c>
      <c r="N5628" s="3">
        <v>0.57999999999999996</v>
      </c>
      <c r="O5628" s="3">
        <v>0.42</v>
      </c>
      <c r="P5628">
        <v>9</v>
      </c>
      <c r="Q5628">
        <v>13</v>
      </c>
      <c r="R5628">
        <v>3</v>
      </c>
      <c r="S5628">
        <v>1</v>
      </c>
      <c r="T5628">
        <v>12</v>
      </c>
      <c r="U5628">
        <v>8</v>
      </c>
      <c r="V5628">
        <v>1</v>
      </c>
      <c r="W5628">
        <v>1</v>
      </c>
      <c r="X5628">
        <v>0</v>
      </c>
      <c r="Y5628">
        <v>0</v>
      </c>
      <c r="Z5628">
        <v>0</v>
      </c>
    </row>
    <row r="5629" spans="1:26" x14ac:dyDescent="0.2">
      <c r="A5629" t="s">
        <v>5747</v>
      </c>
      <c r="B5629" t="s">
        <v>100</v>
      </c>
      <c r="C5629">
        <v>2023</v>
      </c>
      <c r="D5629" t="s">
        <v>40</v>
      </c>
      <c r="E5629" t="s">
        <v>42</v>
      </c>
      <c r="F5629" t="s">
        <v>49</v>
      </c>
      <c r="G5629">
        <v>53400</v>
      </c>
      <c r="H5629">
        <v>42720</v>
      </c>
      <c r="I5629" s="13">
        <v>0.33333333333333331</v>
      </c>
      <c r="J5629" t="s">
        <v>6207</v>
      </c>
      <c r="K5629">
        <v>4</v>
      </c>
      <c r="L5629">
        <v>1</v>
      </c>
      <c r="M5629" t="s">
        <v>0</v>
      </c>
      <c r="N5629" s="3">
        <v>0.67</v>
      </c>
      <c r="O5629" s="3">
        <v>0.33</v>
      </c>
      <c r="P5629">
        <v>14</v>
      </c>
      <c r="Q5629">
        <v>7</v>
      </c>
      <c r="R5629">
        <v>2</v>
      </c>
      <c r="S5629">
        <v>3</v>
      </c>
      <c r="T5629">
        <v>6</v>
      </c>
      <c r="U5629">
        <v>13</v>
      </c>
      <c r="V5629">
        <v>1</v>
      </c>
      <c r="W5629">
        <v>2</v>
      </c>
      <c r="X5629">
        <v>0</v>
      </c>
      <c r="Y5629">
        <v>0</v>
      </c>
      <c r="Z5629">
        <v>0</v>
      </c>
    </row>
    <row r="5630" spans="1:26" x14ac:dyDescent="0.2">
      <c r="A5630" t="s">
        <v>5748</v>
      </c>
      <c r="B5630" t="s">
        <v>59</v>
      </c>
      <c r="C5630">
        <v>2023</v>
      </c>
      <c r="D5630" t="s">
        <v>26</v>
      </c>
      <c r="E5630" t="s">
        <v>95</v>
      </c>
      <c r="F5630" t="s">
        <v>26</v>
      </c>
      <c r="G5630">
        <v>61276</v>
      </c>
      <c r="H5630">
        <v>49020.800000000003</v>
      </c>
      <c r="I5630" s="13">
        <v>0</v>
      </c>
      <c r="J5630" t="s">
        <v>6206</v>
      </c>
      <c r="K5630">
        <v>3</v>
      </c>
      <c r="L5630">
        <v>1</v>
      </c>
      <c r="M5630" t="s">
        <v>0</v>
      </c>
      <c r="N5630" s="3">
        <v>0.83</v>
      </c>
      <c r="O5630" s="3">
        <v>0.17</v>
      </c>
      <c r="P5630">
        <v>9</v>
      </c>
      <c r="Q5630">
        <v>6</v>
      </c>
      <c r="R5630">
        <v>13</v>
      </c>
      <c r="S5630">
        <v>1</v>
      </c>
      <c r="T5630">
        <v>6</v>
      </c>
      <c r="U5630">
        <v>9</v>
      </c>
      <c r="V5630">
        <v>0</v>
      </c>
      <c r="W5630">
        <v>1</v>
      </c>
      <c r="X5630">
        <v>0</v>
      </c>
      <c r="Y5630">
        <v>0</v>
      </c>
      <c r="Z5630">
        <v>0</v>
      </c>
    </row>
    <row r="5631" spans="1:26" x14ac:dyDescent="0.2">
      <c r="A5631" t="s">
        <v>5749</v>
      </c>
      <c r="B5631" t="s">
        <v>102</v>
      </c>
      <c r="C5631">
        <v>2023</v>
      </c>
      <c r="D5631" t="s">
        <v>18</v>
      </c>
      <c r="E5631" t="s">
        <v>48</v>
      </c>
      <c r="F5631" t="s">
        <v>20</v>
      </c>
      <c r="G5631">
        <v>40341</v>
      </c>
      <c r="H5631">
        <v>32272.800000000003</v>
      </c>
      <c r="I5631" s="13">
        <v>0.75</v>
      </c>
      <c r="J5631" t="s">
        <v>6209</v>
      </c>
      <c r="K5631">
        <v>4</v>
      </c>
      <c r="L5631">
        <v>3</v>
      </c>
      <c r="M5631" t="s">
        <v>0</v>
      </c>
      <c r="N5631" s="3">
        <v>0.56999999999999995</v>
      </c>
      <c r="O5631" s="3">
        <v>0.43</v>
      </c>
      <c r="P5631">
        <v>13</v>
      </c>
      <c r="Q5631">
        <v>10</v>
      </c>
      <c r="R5631">
        <v>12</v>
      </c>
      <c r="S5631">
        <v>3</v>
      </c>
      <c r="T5631">
        <v>7</v>
      </c>
      <c r="U5631">
        <v>15</v>
      </c>
      <c r="V5631">
        <v>3</v>
      </c>
      <c r="W5631">
        <v>1</v>
      </c>
      <c r="X5631">
        <v>0</v>
      </c>
      <c r="Y5631">
        <v>0</v>
      </c>
      <c r="Z5631">
        <v>2</v>
      </c>
    </row>
    <row r="5632" spans="1:26" x14ac:dyDescent="0.2">
      <c r="A5632" t="s">
        <v>5750</v>
      </c>
      <c r="B5632" t="s">
        <v>81</v>
      </c>
      <c r="C5632">
        <v>2023</v>
      </c>
      <c r="D5632" t="s">
        <v>79</v>
      </c>
      <c r="E5632" t="s">
        <v>40</v>
      </c>
      <c r="F5632" t="s">
        <v>20</v>
      </c>
      <c r="G5632">
        <v>25486</v>
      </c>
      <c r="H5632">
        <v>20388.800000000003</v>
      </c>
      <c r="I5632" s="13">
        <v>1</v>
      </c>
      <c r="J5632" t="s">
        <v>6207</v>
      </c>
      <c r="K5632">
        <v>2</v>
      </c>
      <c r="L5632">
        <v>4</v>
      </c>
      <c r="M5632" t="s">
        <v>1</v>
      </c>
      <c r="N5632" s="3">
        <v>0.24</v>
      </c>
      <c r="O5632" s="3">
        <v>0.76</v>
      </c>
      <c r="P5632">
        <v>4</v>
      </c>
      <c r="Q5632">
        <v>15</v>
      </c>
      <c r="R5632">
        <v>2</v>
      </c>
      <c r="S5632">
        <v>9</v>
      </c>
      <c r="T5632">
        <v>13</v>
      </c>
      <c r="U5632">
        <v>3</v>
      </c>
      <c r="V5632">
        <v>1</v>
      </c>
      <c r="W5632">
        <v>1</v>
      </c>
      <c r="X5632">
        <v>0</v>
      </c>
      <c r="Y5632">
        <v>0</v>
      </c>
      <c r="Z5632">
        <v>0</v>
      </c>
    </row>
    <row r="5633" spans="1:26" x14ac:dyDescent="0.2">
      <c r="A5633" t="s">
        <v>5751</v>
      </c>
      <c r="B5633" t="s">
        <v>105</v>
      </c>
      <c r="C5633">
        <v>2023</v>
      </c>
      <c r="D5633" t="s">
        <v>22</v>
      </c>
      <c r="E5633" t="s">
        <v>23</v>
      </c>
      <c r="F5633" t="s">
        <v>24</v>
      </c>
      <c r="G5633">
        <v>31750</v>
      </c>
      <c r="H5633">
        <v>25400</v>
      </c>
      <c r="I5633" s="13">
        <v>1</v>
      </c>
      <c r="J5633" t="s">
        <v>6207</v>
      </c>
      <c r="K5633">
        <v>1</v>
      </c>
      <c r="L5633">
        <v>2</v>
      </c>
      <c r="M5633" t="s">
        <v>1</v>
      </c>
      <c r="N5633" s="3">
        <v>0.57999999999999996</v>
      </c>
      <c r="O5633" s="3">
        <v>0.42</v>
      </c>
      <c r="P5633">
        <v>9</v>
      </c>
      <c r="Q5633">
        <v>18</v>
      </c>
      <c r="R5633">
        <v>4</v>
      </c>
      <c r="S5633">
        <v>4</v>
      </c>
      <c r="T5633">
        <v>15</v>
      </c>
      <c r="U5633">
        <v>7</v>
      </c>
      <c r="V5633">
        <v>5</v>
      </c>
      <c r="W5633">
        <v>2</v>
      </c>
      <c r="X5633">
        <v>0</v>
      </c>
      <c r="Y5633">
        <v>0</v>
      </c>
      <c r="Z5633">
        <v>2</v>
      </c>
    </row>
    <row r="5634" spans="1:26" x14ac:dyDescent="0.2">
      <c r="A5634" t="s">
        <v>5752</v>
      </c>
      <c r="B5634" t="s">
        <v>92</v>
      </c>
      <c r="C5634">
        <v>2023</v>
      </c>
      <c r="D5634" t="s">
        <v>110</v>
      </c>
      <c r="E5634" t="s">
        <v>86</v>
      </c>
      <c r="F5634" t="s">
        <v>110</v>
      </c>
      <c r="G5634">
        <v>12000</v>
      </c>
      <c r="H5634">
        <v>9600</v>
      </c>
      <c r="I5634" s="13">
        <v>0</v>
      </c>
      <c r="J5634" t="s">
        <v>6207</v>
      </c>
      <c r="K5634">
        <v>2</v>
      </c>
      <c r="L5634">
        <v>1</v>
      </c>
      <c r="M5634" t="s">
        <v>0</v>
      </c>
      <c r="N5634" s="3">
        <v>0.56000000000000005</v>
      </c>
      <c r="O5634" s="3">
        <v>0.44</v>
      </c>
      <c r="P5634">
        <v>15</v>
      </c>
      <c r="Q5634">
        <v>7</v>
      </c>
      <c r="R5634">
        <v>7</v>
      </c>
      <c r="S5634">
        <v>2</v>
      </c>
      <c r="T5634">
        <v>7</v>
      </c>
      <c r="U5634">
        <v>14</v>
      </c>
      <c r="V5634">
        <v>0</v>
      </c>
      <c r="W5634">
        <v>0</v>
      </c>
      <c r="X5634">
        <v>0</v>
      </c>
      <c r="Y5634">
        <v>0</v>
      </c>
      <c r="Z5634">
        <v>0</v>
      </c>
    </row>
    <row r="5635" spans="1:26" x14ac:dyDescent="0.2">
      <c r="A5635" t="s">
        <v>5753</v>
      </c>
      <c r="B5635" t="s">
        <v>112</v>
      </c>
      <c r="C5635">
        <v>2023</v>
      </c>
      <c r="D5635" t="s">
        <v>31</v>
      </c>
      <c r="E5635" t="s">
        <v>64</v>
      </c>
      <c r="F5635" t="s">
        <v>20</v>
      </c>
      <c r="G5635">
        <v>28500</v>
      </c>
      <c r="H5635">
        <v>22800</v>
      </c>
      <c r="I5635" s="13">
        <v>0.66666666666666663</v>
      </c>
      <c r="J5635" t="s">
        <v>6209</v>
      </c>
      <c r="K5635">
        <v>0</v>
      </c>
      <c r="L5635">
        <v>1</v>
      </c>
      <c r="M5635" t="s">
        <v>1</v>
      </c>
      <c r="N5635" s="3">
        <v>0.67</v>
      </c>
      <c r="O5635" s="3">
        <v>0.33</v>
      </c>
      <c r="P5635">
        <v>15</v>
      </c>
      <c r="Q5635">
        <v>8</v>
      </c>
      <c r="R5635">
        <v>14</v>
      </c>
      <c r="S5635">
        <v>3</v>
      </c>
      <c r="T5635">
        <v>10</v>
      </c>
      <c r="U5635">
        <v>13</v>
      </c>
      <c r="V5635">
        <v>1</v>
      </c>
      <c r="W5635">
        <v>2</v>
      </c>
      <c r="X5635">
        <v>0</v>
      </c>
      <c r="Y5635">
        <v>0</v>
      </c>
      <c r="Z5635">
        <v>0</v>
      </c>
    </row>
    <row r="5636" spans="1:26" x14ac:dyDescent="0.2">
      <c r="A5636" t="s">
        <v>5754</v>
      </c>
      <c r="B5636" t="s">
        <v>66</v>
      </c>
      <c r="C5636">
        <v>2023</v>
      </c>
      <c r="D5636" t="s">
        <v>45</v>
      </c>
      <c r="E5636" t="s">
        <v>28</v>
      </c>
      <c r="F5636" t="s">
        <v>26</v>
      </c>
      <c r="G5636">
        <v>39572</v>
      </c>
      <c r="H5636">
        <v>31657.600000000002</v>
      </c>
      <c r="I5636" s="13">
        <v>0.75</v>
      </c>
      <c r="J5636" t="s">
        <v>6207</v>
      </c>
      <c r="K5636">
        <v>1</v>
      </c>
      <c r="L5636">
        <v>0</v>
      </c>
      <c r="M5636" t="s">
        <v>0</v>
      </c>
      <c r="N5636" s="3">
        <v>0.37</v>
      </c>
      <c r="O5636" s="3">
        <v>0.63</v>
      </c>
      <c r="P5636">
        <v>14</v>
      </c>
      <c r="Q5636">
        <v>21</v>
      </c>
      <c r="R5636">
        <v>3</v>
      </c>
      <c r="S5636">
        <v>5</v>
      </c>
      <c r="T5636">
        <v>11</v>
      </c>
      <c r="U5636">
        <v>13</v>
      </c>
      <c r="V5636">
        <v>2</v>
      </c>
      <c r="W5636">
        <v>1</v>
      </c>
      <c r="X5636">
        <v>0</v>
      </c>
      <c r="Y5636">
        <v>1</v>
      </c>
      <c r="Z5636">
        <v>0</v>
      </c>
    </row>
    <row r="5637" spans="1:26" x14ac:dyDescent="0.2">
      <c r="A5637" t="s">
        <v>5755</v>
      </c>
      <c r="B5637" t="s">
        <v>103</v>
      </c>
      <c r="C5637">
        <v>2023</v>
      </c>
      <c r="D5637" t="s">
        <v>42</v>
      </c>
      <c r="E5637" t="s">
        <v>101</v>
      </c>
      <c r="F5637" t="s">
        <v>38</v>
      </c>
      <c r="G5637">
        <v>42918</v>
      </c>
      <c r="H5637">
        <v>34334.400000000001</v>
      </c>
      <c r="I5637" s="13">
        <v>1</v>
      </c>
      <c r="J5637" t="s">
        <v>6207</v>
      </c>
      <c r="K5637">
        <v>3</v>
      </c>
      <c r="L5637">
        <v>3</v>
      </c>
      <c r="M5637" t="s">
        <v>58</v>
      </c>
      <c r="N5637" s="3">
        <v>0.7</v>
      </c>
      <c r="O5637" s="3">
        <v>0.3</v>
      </c>
      <c r="P5637">
        <v>15</v>
      </c>
      <c r="Q5637">
        <v>15</v>
      </c>
      <c r="R5637">
        <v>11</v>
      </c>
      <c r="S5637">
        <v>3</v>
      </c>
      <c r="T5637">
        <v>15</v>
      </c>
      <c r="U5637">
        <v>11</v>
      </c>
      <c r="V5637">
        <v>2</v>
      </c>
      <c r="W5637">
        <v>2</v>
      </c>
      <c r="X5637">
        <v>0</v>
      </c>
      <c r="Y5637">
        <v>0</v>
      </c>
      <c r="Z5637">
        <v>0</v>
      </c>
    </row>
    <row r="5638" spans="1:26" x14ac:dyDescent="0.2">
      <c r="A5638" t="s">
        <v>5756</v>
      </c>
      <c r="B5638" t="s">
        <v>104</v>
      </c>
      <c r="C5638">
        <v>2023</v>
      </c>
      <c r="D5638" t="s">
        <v>90</v>
      </c>
      <c r="E5638" t="s">
        <v>46</v>
      </c>
      <c r="F5638" t="s">
        <v>91</v>
      </c>
      <c r="G5638">
        <v>31876</v>
      </c>
      <c r="H5638">
        <v>25500.800000000003</v>
      </c>
      <c r="I5638" s="13">
        <v>0.66666666666666663</v>
      </c>
      <c r="J5638" t="s">
        <v>6206</v>
      </c>
      <c r="K5638">
        <v>0</v>
      </c>
      <c r="L5638">
        <v>3</v>
      </c>
      <c r="M5638" t="s">
        <v>1</v>
      </c>
      <c r="N5638" s="3">
        <v>0.55000000000000004</v>
      </c>
      <c r="O5638" s="3">
        <v>0.45</v>
      </c>
      <c r="P5638">
        <v>17</v>
      </c>
      <c r="Q5638">
        <v>14</v>
      </c>
      <c r="R5638">
        <v>8</v>
      </c>
      <c r="S5638">
        <v>7</v>
      </c>
      <c r="T5638">
        <v>14</v>
      </c>
      <c r="U5638">
        <v>13</v>
      </c>
      <c r="V5638">
        <v>1</v>
      </c>
      <c r="W5638">
        <v>2</v>
      </c>
      <c r="X5638">
        <v>0</v>
      </c>
      <c r="Y5638">
        <v>0</v>
      </c>
      <c r="Z5638">
        <v>1</v>
      </c>
    </row>
    <row r="5639" spans="1:26" x14ac:dyDescent="0.2">
      <c r="A5639" t="s">
        <v>5757</v>
      </c>
      <c r="B5639" t="s">
        <v>61</v>
      </c>
      <c r="C5639">
        <v>2023</v>
      </c>
      <c r="D5639" t="s">
        <v>48</v>
      </c>
      <c r="E5639" t="s">
        <v>26</v>
      </c>
      <c r="F5639" t="s">
        <v>49</v>
      </c>
      <c r="G5639">
        <v>74197</v>
      </c>
      <c r="H5639">
        <v>59357.600000000006</v>
      </c>
      <c r="I5639" s="13">
        <v>0.7142857142857143</v>
      </c>
      <c r="J5639" t="s">
        <v>6207</v>
      </c>
      <c r="K5639">
        <v>2</v>
      </c>
      <c r="L5639">
        <v>2</v>
      </c>
      <c r="M5639" t="s">
        <v>58</v>
      </c>
      <c r="N5639" s="3">
        <v>0.38</v>
      </c>
      <c r="O5639" s="3">
        <v>0.62</v>
      </c>
      <c r="P5639">
        <v>12</v>
      </c>
      <c r="Q5639">
        <v>12</v>
      </c>
      <c r="R5639">
        <v>6</v>
      </c>
      <c r="S5639">
        <v>11</v>
      </c>
      <c r="T5639">
        <v>9</v>
      </c>
      <c r="U5639">
        <v>10</v>
      </c>
      <c r="V5639">
        <v>5</v>
      </c>
      <c r="W5639">
        <v>2</v>
      </c>
      <c r="X5639">
        <v>0</v>
      </c>
      <c r="Y5639">
        <v>0</v>
      </c>
      <c r="Z5639">
        <v>1</v>
      </c>
    </row>
    <row r="5640" spans="1:26" x14ac:dyDescent="0.2">
      <c r="A5640" t="s">
        <v>5758</v>
      </c>
      <c r="B5640" t="s">
        <v>99</v>
      </c>
      <c r="C5640">
        <v>2023</v>
      </c>
      <c r="D5640" t="s">
        <v>95</v>
      </c>
      <c r="E5640" t="s">
        <v>18</v>
      </c>
      <c r="F5640" t="s">
        <v>57</v>
      </c>
      <c r="G5640">
        <v>32050</v>
      </c>
      <c r="H5640">
        <v>25640</v>
      </c>
      <c r="I5640" s="13">
        <v>0.42857142857142855</v>
      </c>
      <c r="J5640" t="s">
        <v>6207</v>
      </c>
      <c r="K5640">
        <v>2</v>
      </c>
      <c r="L5640">
        <v>2</v>
      </c>
      <c r="M5640" t="s">
        <v>58</v>
      </c>
      <c r="N5640" s="3">
        <v>0.32</v>
      </c>
      <c r="O5640" s="3">
        <v>0.68</v>
      </c>
      <c r="P5640">
        <v>10</v>
      </c>
      <c r="Q5640">
        <v>11</v>
      </c>
      <c r="R5640">
        <v>7</v>
      </c>
      <c r="S5640">
        <v>6</v>
      </c>
      <c r="T5640">
        <v>12</v>
      </c>
      <c r="U5640">
        <v>10</v>
      </c>
      <c r="V5640">
        <v>5</v>
      </c>
      <c r="W5640">
        <v>2</v>
      </c>
      <c r="X5640">
        <v>0</v>
      </c>
      <c r="Y5640">
        <v>0</v>
      </c>
      <c r="Z5640">
        <v>0</v>
      </c>
    </row>
    <row r="5641" spans="1:26" x14ac:dyDescent="0.2">
      <c r="A5641" t="s">
        <v>5759</v>
      </c>
      <c r="B5641" t="s">
        <v>84</v>
      </c>
      <c r="C5641">
        <v>2023</v>
      </c>
      <c r="D5641" t="s">
        <v>51</v>
      </c>
      <c r="E5641" t="s">
        <v>94</v>
      </c>
      <c r="F5641" t="s">
        <v>20</v>
      </c>
      <c r="G5641">
        <v>36284</v>
      </c>
      <c r="H5641">
        <v>29027.200000000001</v>
      </c>
      <c r="I5641" s="13">
        <v>0.5</v>
      </c>
      <c r="J5641" t="s">
        <v>6208</v>
      </c>
      <c r="K5641">
        <v>3</v>
      </c>
      <c r="L5641">
        <v>1</v>
      </c>
      <c r="M5641" t="s">
        <v>0</v>
      </c>
      <c r="N5641" s="3">
        <v>0.64</v>
      </c>
      <c r="O5641" s="3">
        <v>0.36</v>
      </c>
      <c r="P5641">
        <v>14</v>
      </c>
      <c r="Q5641">
        <v>13</v>
      </c>
      <c r="R5641">
        <v>12</v>
      </c>
      <c r="S5641">
        <v>2</v>
      </c>
      <c r="T5641">
        <v>11</v>
      </c>
      <c r="U5641">
        <v>12</v>
      </c>
      <c r="V5641">
        <v>2</v>
      </c>
      <c r="W5641">
        <v>4</v>
      </c>
      <c r="X5641">
        <v>0</v>
      </c>
      <c r="Y5641">
        <v>0</v>
      </c>
      <c r="Z5641">
        <v>0</v>
      </c>
    </row>
    <row r="5642" spans="1:26" x14ac:dyDescent="0.2">
      <c r="A5642" t="s">
        <v>5760</v>
      </c>
      <c r="B5642" t="s">
        <v>98</v>
      </c>
      <c r="C5642">
        <v>2023</v>
      </c>
      <c r="D5642" t="s">
        <v>64</v>
      </c>
      <c r="E5642" t="s">
        <v>51</v>
      </c>
      <c r="F5642" t="s">
        <v>64</v>
      </c>
      <c r="G5642">
        <v>52264</v>
      </c>
      <c r="H5642">
        <v>41811.200000000004</v>
      </c>
      <c r="I5642" s="13">
        <v>0.75</v>
      </c>
      <c r="J5642" t="s">
        <v>6208</v>
      </c>
      <c r="K5642">
        <v>4</v>
      </c>
      <c r="L5642">
        <v>0</v>
      </c>
      <c r="M5642" t="s">
        <v>0</v>
      </c>
      <c r="N5642" s="3">
        <v>0.27</v>
      </c>
      <c r="O5642" s="3">
        <v>0.73</v>
      </c>
      <c r="P5642">
        <v>16</v>
      </c>
      <c r="Q5642">
        <v>9</v>
      </c>
      <c r="R5642">
        <v>16</v>
      </c>
      <c r="S5642">
        <v>3</v>
      </c>
      <c r="T5642">
        <v>14</v>
      </c>
      <c r="U5642">
        <v>12</v>
      </c>
      <c r="V5642">
        <v>0</v>
      </c>
      <c r="W5642">
        <v>4</v>
      </c>
      <c r="X5642">
        <v>0</v>
      </c>
      <c r="Y5642">
        <v>0</v>
      </c>
      <c r="Z5642">
        <v>0</v>
      </c>
    </row>
    <row r="5643" spans="1:26" x14ac:dyDescent="0.2">
      <c r="A5643" t="s">
        <v>5761</v>
      </c>
      <c r="B5643" t="s">
        <v>76</v>
      </c>
      <c r="C5643">
        <v>2023</v>
      </c>
      <c r="D5643" t="s">
        <v>94</v>
      </c>
      <c r="E5643" t="s">
        <v>22</v>
      </c>
      <c r="F5643" t="s">
        <v>106</v>
      </c>
      <c r="G5643">
        <v>30445</v>
      </c>
      <c r="H5643">
        <v>24356</v>
      </c>
      <c r="I5643" s="13">
        <v>0.8</v>
      </c>
      <c r="J5643" t="s">
        <v>6207</v>
      </c>
      <c r="K5643">
        <v>2</v>
      </c>
      <c r="L5643">
        <v>2</v>
      </c>
      <c r="M5643" t="s">
        <v>58</v>
      </c>
      <c r="N5643" s="3">
        <v>0.46</v>
      </c>
      <c r="O5643" s="3">
        <v>0.54</v>
      </c>
      <c r="P5643">
        <v>11</v>
      </c>
      <c r="Q5643">
        <v>15</v>
      </c>
      <c r="R5643">
        <v>10</v>
      </c>
      <c r="S5643">
        <v>1</v>
      </c>
      <c r="T5643">
        <v>15</v>
      </c>
      <c r="U5643">
        <v>10</v>
      </c>
      <c r="V5643">
        <v>2</v>
      </c>
      <c r="W5643">
        <v>3</v>
      </c>
      <c r="X5643">
        <v>0</v>
      </c>
      <c r="Y5643">
        <v>0</v>
      </c>
      <c r="Z5643">
        <v>0</v>
      </c>
    </row>
    <row r="5644" spans="1:26" x14ac:dyDescent="0.2">
      <c r="A5644" t="s">
        <v>5762</v>
      </c>
      <c r="B5644" t="s">
        <v>104</v>
      </c>
      <c r="C5644">
        <v>2023</v>
      </c>
      <c r="D5644" t="s">
        <v>40</v>
      </c>
      <c r="E5644" t="s">
        <v>110</v>
      </c>
      <c r="F5644" t="s">
        <v>49</v>
      </c>
      <c r="G5644">
        <v>53400</v>
      </c>
      <c r="H5644">
        <v>42720</v>
      </c>
      <c r="I5644" s="13">
        <v>1</v>
      </c>
      <c r="J5644" t="s">
        <v>6206</v>
      </c>
      <c r="K5644">
        <v>5</v>
      </c>
      <c r="L5644">
        <v>1</v>
      </c>
      <c r="M5644" t="s">
        <v>0</v>
      </c>
      <c r="N5644" s="3">
        <v>0.74</v>
      </c>
      <c r="O5644" s="3">
        <v>0.26</v>
      </c>
      <c r="P5644">
        <v>6</v>
      </c>
      <c r="Q5644">
        <v>7</v>
      </c>
      <c r="R5644">
        <v>12</v>
      </c>
      <c r="S5644">
        <v>1</v>
      </c>
      <c r="T5644">
        <v>7</v>
      </c>
      <c r="U5644">
        <v>6</v>
      </c>
      <c r="V5644">
        <v>1</v>
      </c>
      <c r="W5644">
        <v>0</v>
      </c>
      <c r="X5644">
        <v>0</v>
      </c>
      <c r="Y5644">
        <v>0</v>
      </c>
      <c r="Z5644">
        <v>1</v>
      </c>
    </row>
    <row r="5645" spans="1:26" x14ac:dyDescent="0.2">
      <c r="A5645" t="s">
        <v>5763</v>
      </c>
      <c r="B5645" t="s">
        <v>84</v>
      </c>
      <c r="C5645">
        <v>2023</v>
      </c>
      <c r="D5645" t="s">
        <v>28</v>
      </c>
      <c r="E5645" t="s">
        <v>90</v>
      </c>
      <c r="F5645" t="s">
        <v>28</v>
      </c>
      <c r="G5645">
        <v>21944</v>
      </c>
      <c r="H5645">
        <v>17555.2</v>
      </c>
      <c r="I5645" s="13">
        <v>1</v>
      </c>
      <c r="J5645" t="s">
        <v>6208</v>
      </c>
      <c r="K5645">
        <v>1</v>
      </c>
      <c r="L5645">
        <v>1</v>
      </c>
      <c r="M5645" t="s">
        <v>58</v>
      </c>
      <c r="N5645" s="3">
        <v>0.44</v>
      </c>
      <c r="O5645" s="3">
        <v>0.56000000000000005</v>
      </c>
      <c r="P5645">
        <v>12</v>
      </c>
      <c r="Q5645">
        <v>17</v>
      </c>
      <c r="R5645">
        <v>4</v>
      </c>
      <c r="S5645">
        <v>5</v>
      </c>
      <c r="T5645">
        <v>18</v>
      </c>
      <c r="U5645">
        <v>8</v>
      </c>
      <c r="V5645">
        <v>1</v>
      </c>
      <c r="W5645">
        <v>2</v>
      </c>
      <c r="X5645">
        <v>0</v>
      </c>
      <c r="Y5645">
        <v>0</v>
      </c>
      <c r="Z5645">
        <v>0</v>
      </c>
    </row>
    <row r="5646" spans="1:26" x14ac:dyDescent="0.2">
      <c r="A5646" t="s">
        <v>5764</v>
      </c>
      <c r="B5646" t="s">
        <v>111</v>
      </c>
      <c r="C5646">
        <v>2023</v>
      </c>
      <c r="D5646" t="s">
        <v>101</v>
      </c>
      <c r="E5646" t="s">
        <v>95</v>
      </c>
      <c r="F5646" t="s">
        <v>101</v>
      </c>
      <c r="G5646">
        <v>17250</v>
      </c>
      <c r="H5646">
        <v>13800</v>
      </c>
      <c r="I5646" s="13">
        <v>1</v>
      </c>
      <c r="J5646" t="s">
        <v>6207</v>
      </c>
      <c r="K5646">
        <v>2</v>
      </c>
      <c r="L5646">
        <v>0</v>
      </c>
      <c r="M5646" t="s">
        <v>0</v>
      </c>
      <c r="N5646" s="3">
        <v>0.53</v>
      </c>
      <c r="O5646" s="3">
        <v>0.47</v>
      </c>
      <c r="P5646">
        <v>13</v>
      </c>
      <c r="Q5646">
        <v>10</v>
      </c>
      <c r="R5646">
        <v>3</v>
      </c>
      <c r="S5646">
        <v>6</v>
      </c>
      <c r="T5646">
        <v>8</v>
      </c>
      <c r="U5646">
        <v>11</v>
      </c>
      <c r="V5646">
        <v>3</v>
      </c>
      <c r="W5646">
        <v>1</v>
      </c>
      <c r="X5646">
        <v>0</v>
      </c>
      <c r="Y5646">
        <v>0</v>
      </c>
      <c r="Z5646">
        <v>0</v>
      </c>
    </row>
    <row r="5647" spans="1:26" x14ac:dyDescent="0.2">
      <c r="A5647" t="s">
        <v>5765</v>
      </c>
      <c r="B5647" t="s">
        <v>105</v>
      </c>
      <c r="C5647">
        <v>2023</v>
      </c>
      <c r="D5647" t="s">
        <v>86</v>
      </c>
      <c r="E5647" t="s">
        <v>48</v>
      </c>
      <c r="F5647" t="s">
        <v>86</v>
      </c>
      <c r="G5647">
        <v>11364</v>
      </c>
      <c r="H5647">
        <v>9091.2000000000007</v>
      </c>
      <c r="I5647" s="13">
        <v>0.5</v>
      </c>
      <c r="J5647" t="s">
        <v>6207</v>
      </c>
      <c r="K5647">
        <v>2</v>
      </c>
      <c r="L5647">
        <v>2</v>
      </c>
      <c r="M5647" t="s">
        <v>58</v>
      </c>
      <c r="N5647" s="3">
        <v>0.43</v>
      </c>
      <c r="O5647" s="3">
        <v>0.56999999999999995</v>
      </c>
      <c r="P5647">
        <v>16</v>
      </c>
      <c r="Q5647">
        <v>14</v>
      </c>
      <c r="R5647">
        <v>7</v>
      </c>
      <c r="S5647">
        <v>2</v>
      </c>
      <c r="T5647">
        <v>13</v>
      </c>
      <c r="U5647">
        <v>14</v>
      </c>
      <c r="V5647">
        <v>4</v>
      </c>
      <c r="W5647">
        <v>0</v>
      </c>
      <c r="X5647">
        <v>0</v>
      </c>
      <c r="Y5647">
        <v>0</v>
      </c>
      <c r="Z5647">
        <v>1</v>
      </c>
    </row>
    <row r="5648" spans="1:26" x14ac:dyDescent="0.2">
      <c r="A5648" t="s">
        <v>5766</v>
      </c>
      <c r="B5648" t="s">
        <v>59</v>
      </c>
      <c r="C5648">
        <v>2023</v>
      </c>
      <c r="D5648" t="s">
        <v>23</v>
      </c>
      <c r="E5648" t="s">
        <v>31</v>
      </c>
      <c r="F5648" t="s">
        <v>20</v>
      </c>
      <c r="G5648">
        <v>62500</v>
      </c>
      <c r="H5648">
        <v>50000</v>
      </c>
      <c r="I5648" s="13">
        <v>1</v>
      </c>
      <c r="J5648" t="s">
        <v>6206</v>
      </c>
      <c r="K5648">
        <v>0</v>
      </c>
      <c r="L5648">
        <v>2</v>
      </c>
      <c r="M5648" t="s">
        <v>1</v>
      </c>
      <c r="N5648" s="3">
        <v>0.57999999999999996</v>
      </c>
      <c r="O5648" s="3">
        <v>0.42</v>
      </c>
      <c r="P5648">
        <v>10</v>
      </c>
      <c r="Q5648">
        <v>11</v>
      </c>
      <c r="R5648">
        <v>8</v>
      </c>
      <c r="S5648">
        <v>3</v>
      </c>
      <c r="T5648">
        <v>6</v>
      </c>
      <c r="U5648">
        <v>13</v>
      </c>
      <c r="V5648">
        <v>1</v>
      </c>
      <c r="W5648">
        <v>2</v>
      </c>
      <c r="X5648">
        <v>0</v>
      </c>
      <c r="Y5648">
        <v>0</v>
      </c>
      <c r="Z5648">
        <v>0</v>
      </c>
    </row>
    <row r="5649" spans="1:26" x14ac:dyDescent="0.2">
      <c r="A5649" t="s">
        <v>5767</v>
      </c>
      <c r="B5649" t="s">
        <v>88</v>
      </c>
      <c r="C5649">
        <v>2023</v>
      </c>
      <c r="D5649" t="s">
        <v>26</v>
      </c>
      <c r="E5649" t="s">
        <v>79</v>
      </c>
      <c r="F5649" t="s">
        <v>26</v>
      </c>
      <c r="G5649">
        <v>61276</v>
      </c>
      <c r="H5649">
        <v>49020.800000000003</v>
      </c>
      <c r="I5649" s="13">
        <v>1</v>
      </c>
      <c r="J5649" t="s">
        <v>6207</v>
      </c>
      <c r="K5649">
        <v>0</v>
      </c>
      <c r="L5649">
        <v>1</v>
      </c>
      <c r="M5649" t="s">
        <v>1</v>
      </c>
      <c r="N5649" s="3">
        <v>0.7</v>
      </c>
      <c r="O5649" s="3">
        <v>0.3</v>
      </c>
      <c r="P5649">
        <v>13</v>
      </c>
      <c r="Q5649">
        <v>12</v>
      </c>
      <c r="R5649">
        <v>11</v>
      </c>
      <c r="S5649">
        <v>1</v>
      </c>
      <c r="T5649">
        <v>10</v>
      </c>
      <c r="U5649">
        <v>10</v>
      </c>
      <c r="V5649">
        <v>1</v>
      </c>
      <c r="W5649">
        <v>1</v>
      </c>
      <c r="X5649">
        <v>0</v>
      </c>
      <c r="Y5649">
        <v>0</v>
      </c>
      <c r="Z5649">
        <v>0</v>
      </c>
    </row>
    <row r="5650" spans="1:26" x14ac:dyDescent="0.2">
      <c r="A5650" t="s">
        <v>5768</v>
      </c>
      <c r="B5650" t="s">
        <v>93</v>
      </c>
      <c r="C5650">
        <v>2023</v>
      </c>
      <c r="D5650" t="s">
        <v>46</v>
      </c>
      <c r="E5650" t="s">
        <v>42</v>
      </c>
      <c r="F5650" t="s">
        <v>20</v>
      </c>
      <c r="G5650">
        <v>60704</v>
      </c>
      <c r="H5650">
        <v>48563.200000000004</v>
      </c>
      <c r="I5650" s="13">
        <v>0.5</v>
      </c>
      <c r="J5650" t="s">
        <v>6206</v>
      </c>
      <c r="K5650">
        <v>0</v>
      </c>
      <c r="L5650">
        <v>2</v>
      </c>
      <c r="M5650" t="s">
        <v>1</v>
      </c>
      <c r="N5650" s="3">
        <v>0.51</v>
      </c>
      <c r="O5650" s="3">
        <v>0.49</v>
      </c>
      <c r="P5650">
        <v>7</v>
      </c>
      <c r="Q5650">
        <v>17</v>
      </c>
      <c r="R5650">
        <v>4</v>
      </c>
      <c r="S5650">
        <v>6</v>
      </c>
      <c r="T5650">
        <v>12</v>
      </c>
      <c r="U5650">
        <v>7</v>
      </c>
      <c r="V5650">
        <v>3</v>
      </c>
      <c r="W5650">
        <v>1</v>
      </c>
      <c r="X5650">
        <v>0</v>
      </c>
      <c r="Y5650">
        <v>0</v>
      </c>
      <c r="Z5650">
        <v>0</v>
      </c>
    </row>
    <row r="5651" spans="1:26" x14ac:dyDescent="0.2">
      <c r="A5651" t="s">
        <v>5769</v>
      </c>
      <c r="B5651" t="s">
        <v>81</v>
      </c>
      <c r="C5651">
        <v>2023</v>
      </c>
      <c r="D5651" t="s">
        <v>18</v>
      </c>
      <c r="E5651" t="s">
        <v>45</v>
      </c>
      <c r="F5651" t="s">
        <v>20</v>
      </c>
      <c r="G5651">
        <v>40341</v>
      </c>
      <c r="H5651">
        <v>32272.800000000003</v>
      </c>
      <c r="I5651" s="13">
        <v>0.2</v>
      </c>
      <c r="J5651" t="s">
        <v>6207</v>
      </c>
      <c r="K5651">
        <v>6</v>
      </c>
      <c r="L5651">
        <v>0</v>
      </c>
      <c r="M5651" t="s">
        <v>0</v>
      </c>
      <c r="N5651" s="3">
        <v>0.59</v>
      </c>
      <c r="O5651" s="3">
        <v>0.41</v>
      </c>
      <c r="P5651">
        <v>19</v>
      </c>
      <c r="Q5651">
        <v>5</v>
      </c>
      <c r="R5651">
        <v>4</v>
      </c>
      <c r="S5651">
        <v>8</v>
      </c>
      <c r="T5651">
        <v>5</v>
      </c>
      <c r="U5651">
        <v>21</v>
      </c>
      <c r="V5651">
        <v>1</v>
      </c>
      <c r="W5651">
        <v>4</v>
      </c>
      <c r="X5651">
        <v>0</v>
      </c>
      <c r="Y5651">
        <v>0</v>
      </c>
      <c r="Z5651">
        <v>1</v>
      </c>
    </row>
    <row r="5652" spans="1:26" x14ac:dyDescent="0.2">
      <c r="A5652" t="s">
        <v>5770</v>
      </c>
      <c r="B5652" t="s">
        <v>92</v>
      </c>
      <c r="C5652">
        <v>2023</v>
      </c>
      <c r="D5652" t="s">
        <v>95</v>
      </c>
      <c r="E5652" t="s">
        <v>28</v>
      </c>
      <c r="F5652" t="s">
        <v>57</v>
      </c>
      <c r="G5652">
        <v>32050</v>
      </c>
      <c r="H5652">
        <v>25640</v>
      </c>
      <c r="I5652" s="13">
        <v>0</v>
      </c>
      <c r="J5652" t="s">
        <v>6207</v>
      </c>
      <c r="K5652">
        <v>1</v>
      </c>
      <c r="L5652">
        <v>4</v>
      </c>
      <c r="M5652" t="s">
        <v>1</v>
      </c>
      <c r="N5652" s="3">
        <v>0.49</v>
      </c>
      <c r="O5652" s="3">
        <v>0.51</v>
      </c>
      <c r="P5652">
        <v>10</v>
      </c>
      <c r="Q5652">
        <v>12</v>
      </c>
      <c r="R5652">
        <v>11</v>
      </c>
      <c r="S5652">
        <v>2</v>
      </c>
      <c r="T5652">
        <v>10</v>
      </c>
      <c r="U5652">
        <v>9</v>
      </c>
      <c r="V5652">
        <v>1</v>
      </c>
      <c r="W5652">
        <v>0</v>
      </c>
      <c r="X5652">
        <v>0</v>
      </c>
      <c r="Y5652">
        <v>0</v>
      </c>
      <c r="Z5652">
        <v>0</v>
      </c>
    </row>
    <row r="5653" spans="1:26" x14ac:dyDescent="0.2">
      <c r="A5653" t="s">
        <v>5771</v>
      </c>
      <c r="B5653" t="s">
        <v>102</v>
      </c>
      <c r="C5653">
        <v>2023</v>
      </c>
      <c r="D5653" t="s">
        <v>110</v>
      </c>
      <c r="E5653" t="s">
        <v>101</v>
      </c>
      <c r="F5653" t="s">
        <v>110</v>
      </c>
      <c r="G5653">
        <v>12000</v>
      </c>
      <c r="H5653">
        <v>9600</v>
      </c>
      <c r="I5653" s="13">
        <v>0.66666666666666663</v>
      </c>
      <c r="J5653" t="s">
        <v>6209</v>
      </c>
      <c r="K5653">
        <v>1</v>
      </c>
      <c r="L5653">
        <v>5</v>
      </c>
      <c r="M5653" t="s">
        <v>1</v>
      </c>
      <c r="N5653" s="3">
        <v>0.52</v>
      </c>
      <c r="O5653" s="3">
        <v>0.48</v>
      </c>
      <c r="P5653">
        <v>6</v>
      </c>
      <c r="Q5653">
        <v>13</v>
      </c>
      <c r="R5653">
        <v>4</v>
      </c>
      <c r="S5653">
        <v>9</v>
      </c>
      <c r="T5653">
        <v>13</v>
      </c>
      <c r="U5653">
        <v>9</v>
      </c>
      <c r="V5653">
        <v>1</v>
      </c>
      <c r="W5653">
        <v>2</v>
      </c>
      <c r="X5653">
        <v>0</v>
      </c>
      <c r="Y5653">
        <v>0</v>
      </c>
      <c r="Z5653">
        <v>0</v>
      </c>
    </row>
    <row r="5654" spans="1:26" x14ac:dyDescent="0.2">
      <c r="A5654" t="s">
        <v>5772</v>
      </c>
      <c r="B5654" t="s">
        <v>81</v>
      </c>
      <c r="C5654">
        <v>2023</v>
      </c>
      <c r="D5654" t="s">
        <v>22</v>
      </c>
      <c r="E5654" t="s">
        <v>46</v>
      </c>
      <c r="F5654" t="s">
        <v>24</v>
      </c>
      <c r="G5654">
        <v>31750</v>
      </c>
      <c r="H5654">
        <v>25400</v>
      </c>
      <c r="I5654" s="13">
        <v>0.4</v>
      </c>
      <c r="J5654" t="s">
        <v>6207</v>
      </c>
      <c r="K5654">
        <v>0</v>
      </c>
      <c r="L5654">
        <v>2</v>
      </c>
      <c r="M5654" t="s">
        <v>1</v>
      </c>
      <c r="N5654" s="3">
        <v>0.46</v>
      </c>
      <c r="O5654" s="3">
        <v>0.54</v>
      </c>
      <c r="P5654">
        <v>10</v>
      </c>
      <c r="Q5654">
        <v>15</v>
      </c>
      <c r="R5654">
        <v>1</v>
      </c>
      <c r="S5654">
        <v>2</v>
      </c>
      <c r="T5654">
        <v>14</v>
      </c>
      <c r="U5654">
        <v>9</v>
      </c>
      <c r="V5654">
        <v>3</v>
      </c>
      <c r="W5654">
        <v>2</v>
      </c>
      <c r="X5654">
        <v>0</v>
      </c>
      <c r="Y5654">
        <v>0</v>
      </c>
      <c r="Z5654">
        <v>0</v>
      </c>
    </row>
    <row r="5655" spans="1:26" x14ac:dyDescent="0.2">
      <c r="A5655" t="s">
        <v>5773</v>
      </c>
      <c r="B5655" t="s">
        <v>61</v>
      </c>
      <c r="C5655">
        <v>2023</v>
      </c>
      <c r="D5655" t="s">
        <v>45</v>
      </c>
      <c r="E5655" t="s">
        <v>94</v>
      </c>
      <c r="F5655" t="s">
        <v>26</v>
      </c>
      <c r="G5655">
        <v>39572</v>
      </c>
      <c r="H5655">
        <v>31657.600000000002</v>
      </c>
      <c r="I5655" s="13">
        <v>0.33333333333333331</v>
      </c>
      <c r="J5655" t="s">
        <v>6207</v>
      </c>
      <c r="K5655">
        <v>2</v>
      </c>
      <c r="L5655">
        <v>0</v>
      </c>
      <c r="M5655" t="s">
        <v>0</v>
      </c>
      <c r="N5655" s="3">
        <v>0.41</v>
      </c>
      <c r="O5655" s="3">
        <v>0.59</v>
      </c>
      <c r="P5655">
        <v>9</v>
      </c>
      <c r="Q5655">
        <v>14</v>
      </c>
      <c r="R5655">
        <v>6</v>
      </c>
      <c r="S5655">
        <v>4</v>
      </c>
      <c r="T5655">
        <v>15</v>
      </c>
      <c r="U5655">
        <v>9</v>
      </c>
      <c r="V5655">
        <v>4</v>
      </c>
      <c r="W5655">
        <v>2</v>
      </c>
      <c r="X5655">
        <v>0</v>
      </c>
      <c r="Y5655">
        <v>0</v>
      </c>
      <c r="Z5655">
        <v>0</v>
      </c>
    </row>
    <row r="5656" spans="1:26" x14ac:dyDescent="0.2">
      <c r="A5656" t="s">
        <v>5774</v>
      </c>
      <c r="B5656" t="s">
        <v>83</v>
      </c>
      <c r="C5656">
        <v>2023</v>
      </c>
      <c r="D5656" t="s">
        <v>79</v>
      </c>
      <c r="E5656" t="s">
        <v>23</v>
      </c>
      <c r="F5656" t="s">
        <v>20</v>
      </c>
      <c r="G5656">
        <v>25486</v>
      </c>
      <c r="H5656">
        <v>20388.800000000003</v>
      </c>
      <c r="I5656" s="13">
        <v>0.6</v>
      </c>
      <c r="J5656" t="s">
        <v>6208</v>
      </c>
      <c r="K5656">
        <v>5</v>
      </c>
      <c r="L5656">
        <v>2</v>
      </c>
      <c r="M5656" t="s">
        <v>0</v>
      </c>
      <c r="N5656" s="3">
        <v>0.61</v>
      </c>
      <c r="O5656" s="3">
        <v>0.39</v>
      </c>
      <c r="P5656">
        <v>14</v>
      </c>
      <c r="Q5656">
        <v>9</v>
      </c>
      <c r="R5656">
        <v>4</v>
      </c>
      <c r="S5656">
        <v>0</v>
      </c>
      <c r="T5656">
        <v>9</v>
      </c>
      <c r="U5656">
        <v>9</v>
      </c>
      <c r="V5656">
        <v>3</v>
      </c>
      <c r="W5656">
        <v>2</v>
      </c>
      <c r="X5656">
        <v>0</v>
      </c>
      <c r="Y5656">
        <v>0</v>
      </c>
      <c r="Z5656">
        <v>0</v>
      </c>
    </row>
    <row r="5657" spans="1:26" x14ac:dyDescent="0.2">
      <c r="A5657" t="s">
        <v>5775</v>
      </c>
      <c r="B5657" t="s">
        <v>98</v>
      </c>
      <c r="C5657">
        <v>2023</v>
      </c>
      <c r="D5657" t="s">
        <v>42</v>
      </c>
      <c r="E5657" t="s">
        <v>86</v>
      </c>
      <c r="F5657" t="s">
        <v>38</v>
      </c>
      <c r="G5657">
        <v>42918</v>
      </c>
      <c r="H5657">
        <v>34334.400000000001</v>
      </c>
      <c r="I5657" s="13">
        <v>0.75</v>
      </c>
      <c r="J5657" t="s">
        <v>6208</v>
      </c>
      <c r="K5657">
        <v>3</v>
      </c>
      <c r="L5657">
        <v>1</v>
      </c>
      <c r="M5657" t="s">
        <v>0</v>
      </c>
      <c r="N5657" s="3">
        <v>0.56000000000000005</v>
      </c>
      <c r="O5657" s="3">
        <v>0.44</v>
      </c>
      <c r="P5657">
        <v>17</v>
      </c>
      <c r="Q5657">
        <v>11</v>
      </c>
      <c r="R5657">
        <v>8</v>
      </c>
      <c r="S5657">
        <v>4</v>
      </c>
      <c r="T5657">
        <v>8</v>
      </c>
      <c r="U5657">
        <v>14</v>
      </c>
      <c r="V5657">
        <v>1</v>
      </c>
      <c r="W5657">
        <v>3</v>
      </c>
      <c r="X5657">
        <v>0</v>
      </c>
      <c r="Y5657">
        <v>0</v>
      </c>
      <c r="Z5657">
        <v>1</v>
      </c>
    </row>
    <row r="5658" spans="1:26" x14ac:dyDescent="0.2">
      <c r="A5658" t="s">
        <v>5776</v>
      </c>
      <c r="B5658" t="s">
        <v>76</v>
      </c>
      <c r="C5658">
        <v>2023</v>
      </c>
      <c r="D5658" t="s">
        <v>31</v>
      </c>
      <c r="E5658" t="s">
        <v>26</v>
      </c>
      <c r="F5658" t="s">
        <v>20</v>
      </c>
      <c r="G5658">
        <v>28500</v>
      </c>
      <c r="H5658">
        <v>22800</v>
      </c>
      <c r="I5658" s="13">
        <v>0.66666666666666663</v>
      </c>
      <c r="J5658" t="s">
        <v>6207</v>
      </c>
      <c r="K5658">
        <v>1</v>
      </c>
      <c r="L5658">
        <v>3</v>
      </c>
      <c r="M5658" t="s">
        <v>1</v>
      </c>
      <c r="N5658" s="3">
        <v>0.39</v>
      </c>
      <c r="O5658" s="3">
        <v>0.61</v>
      </c>
      <c r="P5658">
        <v>14</v>
      </c>
      <c r="Q5658">
        <v>6</v>
      </c>
      <c r="R5658">
        <v>1</v>
      </c>
      <c r="S5658">
        <v>4</v>
      </c>
      <c r="T5658">
        <v>5</v>
      </c>
      <c r="U5658">
        <v>11</v>
      </c>
      <c r="V5658">
        <v>3</v>
      </c>
      <c r="W5658">
        <v>0</v>
      </c>
      <c r="X5658">
        <v>0</v>
      </c>
      <c r="Y5658">
        <v>0</v>
      </c>
      <c r="Z5658">
        <v>0</v>
      </c>
    </row>
    <row r="5659" spans="1:26" x14ac:dyDescent="0.2">
      <c r="A5659" t="s">
        <v>5777</v>
      </c>
      <c r="B5659" t="s">
        <v>99</v>
      </c>
      <c r="C5659">
        <v>2023</v>
      </c>
      <c r="D5659" t="s">
        <v>48</v>
      </c>
      <c r="E5659" t="s">
        <v>64</v>
      </c>
      <c r="F5659" t="s">
        <v>49</v>
      </c>
      <c r="G5659">
        <v>74197</v>
      </c>
      <c r="H5659">
        <v>59357.600000000006</v>
      </c>
      <c r="I5659" s="13">
        <v>0.66666666666666663</v>
      </c>
      <c r="J5659" t="s">
        <v>6207</v>
      </c>
      <c r="K5659">
        <v>3</v>
      </c>
      <c r="L5659">
        <v>2</v>
      </c>
      <c r="M5659" t="s">
        <v>0</v>
      </c>
      <c r="N5659" s="3">
        <v>0.44</v>
      </c>
      <c r="O5659" s="3">
        <v>0.56000000000000005</v>
      </c>
      <c r="P5659">
        <v>10</v>
      </c>
      <c r="Q5659">
        <v>16</v>
      </c>
      <c r="R5659">
        <v>9</v>
      </c>
      <c r="S5659">
        <v>9</v>
      </c>
      <c r="T5659">
        <v>16</v>
      </c>
      <c r="U5659">
        <v>7</v>
      </c>
      <c r="V5659">
        <v>3</v>
      </c>
      <c r="W5659">
        <v>3</v>
      </c>
      <c r="X5659">
        <v>0</v>
      </c>
      <c r="Y5659">
        <v>0</v>
      </c>
      <c r="Z5659">
        <v>0</v>
      </c>
    </row>
    <row r="5660" spans="1:26" x14ac:dyDescent="0.2">
      <c r="A5660" t="s">
        <v>5778</v>
      </c>
      <c r="B5660" t="s">
        <v>103</v>
      </c>
      <c r="C5660">
        <v>2023</v>
      </c>
      <c r="D5660" t="s">
        <v>90</v>
      </c>
      <c r="E5660" t="s">
        <v>18</v>
      </c>
      <c r="F5660" t="s">
        <v>91</v>
      </c>
      <c r="G5660">
        <v>31876</v>
      </c>
      <c r="H5660">
        <v>25500.800000000003</v>
      </c>
      <c r="I5660" s="13">
        <v>0.4</v>
      </c>
      <c r="J5660" t="s">
        <v>6207</v>
      </c>
      <c r="K5660">
        <v>1</v>
      </c>
      <c r="L5660">
        <v>2</v>
      </c>
      <c r="M5660" t="s">
        <v>1</v>
      </c>
      <c r="N5660" s="3">
        <v>0.51</v>
      </c>
      <c r="O5660" s="3">
        <v>0.49</v>
      </c>
      <c r="P5660">
        <v>14</v>
      </c>
      <c r="Q5660">
        <v>13</v>
      </c>
      <c r="R5660">
        <v>4</v>
      </c>
      <c r="S5660">
        <v>6</v>
      </c>
      <c r="T5660">
        <v>13</v>
      </c>
      <c r="U5660">
        <v>14</v>
      </c>
      <c r="V5660">
        <v>2</v>
      </c>
      <c r="W5660">
        <v>2</v>
      </c>
      <c r="X5660">
        <v>0</v>
      </c>
      <c r="Y5660">
        <v>1</v>
      </c>
      <c r="Z5660">
        <v>0</v>
      </c>
    </row>
    <row r="5661" spans="1:26" x14ac:dyDescent="0.2">
      <c r="A5661" t="s">
        <v>5779</v>
      </c>
      <c r="B5661" t="s">
        <v>88</v>
      </c>
      <c r="C5661">
        <v>2023</v>
      </c>
      <c r="D5661" t="s">
        <v>51</v>
      </c>
      <c r="E5661" t="s">
        <v>40</v>
      </c>
      <c r="F5661" t="s">
        <v>20</v>
      </c>
      <c r="G5661">
        <v>36284</v>
      </c>
      <c r="H5661">
        <v>29027.200000000001</v>
      </c>
      <c r="I5661" s="13">
        <v>0.83333333333333337</v>
      </c>
      <c r="J5661" t="s">
        <v>6207</v>
      </c>
      <c r="K5661">
        <v>0</v>
      </c>
      <c r="L5661">
        <v>2</v>
      </c>
      <c r="M5661" t="s">
        <v>1</v>
      </c>
      <c r="N5661" s="3">
        <v>0.53</v>
      </c>
      <c r="O5661" s="3">
        <v>0.47</v>
      </c>
      <c r="P5661">
        <v>12</v>
      </c>
      <c r="Q5661">
        <v>17</v>
      </c>
      <c r="R5661">
        <v>7</v>
      </c>
      <c r="S5661">
        <v>4</v>
      </c>
      <c r="T5661">
        <v>14</v>
      </c>
      <c r="U5661">
        <v>11</v>
      </c>
      <c r="V5661">
        <v>3</v>
      </c>
      <c r="W5661">
        <v>3</v>
      </c>
      <c r="X5661">
        <v>0</v>
      </c>
      <c r="Y5661">
        <v>0</v>
      </c>
      <c r="Z5661">
        <v>1</v>
      </c>
    </row>
    <row r="5662" spans="1:26" x14ac:dyDescent="0.2">
      <c r="A5662" t="s">
        <v>5780</v>
      </c>
      <c r="B5662" t="s">
        <v>61</v>
      </c>
      <c r="C5662">
        <v>2023</v>
      </c>
      <c r="D5662" t="s">
        <v>23</v>
      </c>
      <c r="E5662" t="s">
        <v>26</v>
      </c>
      <c r="F5662" t="s">
        <v>20</v>
      </c>
      <c r="G5662">
        <v>62500</v>
      </c>
      <c r="H5662">
        <v>50000</v>
      </c>
      <c r="I5662" s="13">
        <v>1</v>
      </c>
      <c r="J5662" t="s">
        <v>6207</v>
      </c>
      <c r="K5662">
        <v>2</v>
      </c>
      <c r="L5662">
        <v>2</v>
      </c>
      <c r="M5662" t="s">
        <v>58</v>
      </c>
      <c r="N5662" s="3">
        <v>0.28999999999999998</v>
      </c>
      <c r="O5662" s="3">
        <v>0.71</v>
      </c>
      <c r="P5662">
        <v>14</v>
      </c>
      <c r="Q5662">
        <v>9</v>
      </c>
      <c r="R5662">
        <v>4</v>
      </c>
      <c r="S5662">
        <v>8</v>
      </c>
      <c r="T5662">
        <v>8</v>
      </c>
      <c r="U5662">
        <v>10</v>
      </c>
      <c r="V5662">
        <v>0</v>
      </c>
      <c r="W5662">
        <v>2</v>
      </c>
      <c r="X5662">
        <v>0</v>
      </c>
      <c r="Y5662">
        <v>0</v>
      </c>
      <c r="Z5662">
        <v>0</v>
      </c>
    </row>
    <row r="5663" spans="1:26" x14ac:dyDescent="0.2">
      <c r="A5663" t="s">
        <v>5781</v>
      </c>
      <c r="B5663" t="s">
        <v>93</v>
      </c>
      <c r="C5663">
        <v>2023</v>
      </c>
      <c r="D5663" t="s">
        <v>22</v>
      </c>
      <c r="E5663" t="s">
        <v>110</v>
      </c>
      <c r="F5663" t="s">
        <v>24</v>
      </c>
      <c r="G5663">
        <v>31750</v>
      </c>
      <c r="H5663">
        <v>25400</v>
      </c>
      <c r="I5663" s="13">
        <v>0.75</v>
      </c>
      <c r="J5663" t="s">
        <v>6206</v>
      </c>
      <c r="K5663">
        <v>2</v>
      </c>
      <c r="L5663">
        <v>1</v>
      </c>
      <c r="M5663" t="s">
        <v>0</v>
      </c>
      <c r="N5663" s="3">
        <v>0.57999999999999996</v>
      </c>
      <c r="O5663" s="3">
        <v>0.42</v>
      </c>
      <c r="P5663">
        <v>14</v>
      </c>
      <c r="Q5663">
        <v>16</v>
      </c>
      <c r="R5663">
        <v>4</v>
      </c>
      <c r="S5663">
        <v>4</v>
      </c>
      <c r="T5663">
        <v>14</v>
      </c>
      <c r="U5663">
        <v>14</v>
      </c>
      <c r="V5663">
        <v>3</v>
      </c>
      <c r="W5663">
        <v>1</v>
      </c>
      <c r="X5663">
        <v>0</v>
      </c>
      <c r="Y5663">
        <v>0</v>
      </c>
      <c r="Z5663">
        <v>0</v>
      </c>
    </row>
    <row r="5664" spans="1:26" x14ac:dyDescent="0.2">
      <c r="A5664" t="s">
        <v>5782</v>
      </c>
      <c r="B5664" t="s">
        <v>105</v>
      </c>
      <c r="C5664">
        <v>2023</v>
      </c>
      <c r="D5664" t="s">
        <v>64</v>
      </c>
      <c r="E5664" t="s">
        <v>95</v>
      </c>
      <c r="F5664" t="s">
        <v>64</v>
      </c>
      <c r="G5664">
        <v>52264</v>
      </c>
      <c r="H5664">
        <v>41811.200000000004</v>
      </c>
      <c r="I5664" s="13">
        <v>0</v>
      </c>
      <c r="J5664" t="s">
        <v>6207</v>
      </c>
      <c r="K5664">
        <v>5</v>
      </c>
      <c r="L5664">
        <v>1</v>
      </c>
      <c r="M5664" t="s">
        <v>0</v>
      </c>
      <c r="N5664" s="3">
        <v>0.59</v>
      </c>
      <c r="O5664" s="3">
        <v>0.41</v>
      </c>
      <c r="P5664">
        <v>9</v>
      </c>
      <c r="Q5664">
        <v>12</v>
      </c>
      <c r="R5664">
        <v>4</v>
      </c>
      <c r="S5664">
        <v>5</v>
      </c>
      <c r="T5664">
        <v>9</v>
      </c>
      <c r="U5664">
        <v>10</v>
      </c>
      <c r="V5664">
        <v>0</v>
      </c>
      <c r="W5664">
        <v>0</v>
      </c>
      <c r="X5664">
        <v>0</v>
      </c>
      <c r="Y5664">
        <v>0</v>
      </c>
      <c r="Z5664">
        <v>1</v>
      </c>
    </row>
    <row r="5665" spans="1:26" x14ac:dyDescent="0.2">
      <c r="A5665" t="s">
        <v>5783</v>
      </c>
      <c r="B5665" t="s">
        <v>104</v>
      </c>
      <c r="C5665">
        <v>2023</v>
      </c>
      <c r="D5665" t="s">
        <v>48</v>
      </c>
      <c r="E5665" t="s">
        <v>28</v>
      </c>
      <c r="F5665" t="s">
        <v>49</v>
      </c>
      <c r="G5665">
        <v>74197</v>
      </c>
      <c r="H5665">
        <v>59357.600000000006</v>
      </c>
      <c r="I5665" s="13">
        <v>1</v>
      </c>
      <c r="J5665" t="s">
        <v>6206</v>
      </c>
      <c r="K5665">
        <v>1</v>
      </c>
      <c r="L5665">
        <v>1</v>
      </c>
      <c r="M5665" t="s">
        <v>58</v>
      </c>
      <c r="N5665" s="3">
        <v>0.47</v>
      </c>
      <c r="O5665" s="3">
        <v>0.53</v>
      </c>
      <c r="P5665">
        <v>13</v>
      </c>
      <c r="Q5665">
        <v>7</v>
      </c>
      <c r="R5665">
        <v>6</v>
      </c>
      <c r="S5665">
        <v>5</v>
      </c>
      <c r="T5665">
        <v>7</v>
      </c>
      <c r="U5665">
        <v>11</v>
      </c>
      <c r="V5665">
        <v>1</v>
      </c>
      <c r="W5665">
        <v>3</v>
      </c>
      <c r="X5665">
        <v>0</v>
      </c>
      <c r="Y5665">
        <v>0</v>
      </c>
      <c r="Z5665">
        <v>1</v>
      </c>
    </row>
    <row r="5666" spans="1:26" x14ac:dyDescent="0.2">
      <c r="A5666" t="s">
        <v>5784</v>
      </c>
      <c r="B5666" t="s">
        <v>59</v>
      </c>
      <c r="C5666">
        <v>2023</v>
      </c>
      <c r="D5666" t="s">
        <v>31</v>
      </c>
      <c r="E5666" t="s">
        <v>79</v>
      </c>
      <c r="F5666" t="s">
        <v>20</v>
      </c>
      <c r="G5666">
        <v>28500</v>
      </c>
      <c r="H5666">
        <v>22800</v>
      </c>
      <c r="I5666" s="13">
        <v>0.5</v>
      </c>
      <c r="J5666" t="s">
        <v>6206</v>
      </c>
      <c r="K5666">
        <v>1</v>
      </c>
      <c r="L5666">
        <v>1</v>
      </c>
      <c r="M5666" t="s">
        <v>58</v>
      </c>
      <c r="N5666" s="3">
        <v>0.53</v>
      </c>
      <c r="O5666" s="3">
        <v>0.47</v>
      </c>
      <c r="P5666">
        <v>16</v>
      </c>
      <c r="Q5666">
        <v>12</v>
      </c>
      <c r="R5666">
        <v>5</v>
      </c>
      <c r="S5666">
        <v>9</v>
      </c>
      <c r="T5666">
        <v>11</v>
      </c>
      <c r="U5666">
        <v>15</v>
      </c>
      <c r="V5666">
        <v>0</v>
      </c>
      <c r="W5666">
        <v>2</v>
      </c>
      <c r="X5666">
        <v>0</v>
      </c>
      <c r="Y5666">
        <v>0</v>
      </c>
      <c r="Z5666">
        <v>0</v>
      </c>
    </row>
    <row r="5667" spans="1:26" x14ac:dyDescent="0.2">
      <c r="A5667" t="s">
        <v>5785</v>
      </c>
      <c r="B5667" t="s">
        <v>100</v>
      </c>
      <c r="C5667">
        <v>2023</v>
      </c>
      <c r="D5667" t="s">
        <v>45</v>
      </c>
      <c r="E5667" t="s">
        <v>101</v>
      </c>
      <c r="F5667" t="s">
        <v>26</v>
      </c>
      <c r="G5667">
        <v>39572</v>
      </c>
      <c r="H5667">
        <v>31657.600000000002</v>
      </c>
      <c r="I5667" s="13">
        <v>0.66666666666666663</v>
      </c>
      <c r="J5667" t="s">
        <v>6207</v>
      </c>
      <c r="K5667">
        <v>1</v>
      </c>
      <c r="L5667">
        <v>0</v>
      </c>
      <c r="M5667" t="s">
        <v>0</v>
      </c>
      <c r="N5667" s="3">
        <v>0.48</v>
      </c>
      <c r="O5667" s="3">
        <v>0.52</v>
      </c>
      <c r="P5667">
        <v>14</v>
      </c>
      <c r="Q5667">
        <v>14</v>
      </c>
      <c r="R5667">
        <v>6</v>
      </c>
      <c r="S5667">
        <v>6</v>
      </c>
      <c r="T5667">
        <v>10</v>
      </c>
      <c r="U5667">
        <v>12</v>
      </c>
      <c r="V5667">
        <v>1</v>
      </c>
      <c r="W5667">
        <v>2</v>
      </c>
      <c r="X5667">
        <v>0</v>
      </c>
      <c r="Y5667">
        <v>0</v>
      </c>
      <c r="Z5667">
        <v>0</v>
      </c>
    </row>
    <row r="5668" spans="1:26" x14ac:dyDescent="0.2">
      <c r="A5668" t="s">
        <v>5786</v>
      </c>
      <c r="B5668" t="s">
        <v>76</v>
      </c>
      <c r="C5668">
        <v>2023</v>
      </c>
      <c r="D5668" t="s">
        <v>42</v>
      </c>
      <c r="E5668" t="s">
        <v>18</v>
      </c>
      <c r="F5668" t="s">
        <v>38</v>
      </c>
      <c r="G5668">
        <v>42918</v>
      </c>
      <c r="H5668">
        <v>34334.400000000001</v>
      </c>
      <c r="I5668" s="13">
        <v>0.75</v>
      </c>
      <c r="J5668" t="s">
        <v>6207</v>
      </c>
      <c r="K5668">
        <v>2</v>
      </c>
      <c r="L5668">
        <v>2</v>
      </c>
      <c r="M5668" t="s">
        <v>58</v>
      </c>
      <c r="N5668" s="3">
        <v>0.28000000000000003</v>
      </c>
      <c r="O5668" s="3">
        <v>0.72</v>
      </c>
      <c r="P5668">
        <v>18</v>
      </c>
      <c r="Q5668">
        <v>15</v>
      </c>
      <c r="R5668">
        <v>2</v>
      </c>
      <c r="S5668">
        <v>4</v>
      </c>
      <c r="T5668">
        <v>13</v>
      </c>
      <c r="U5668">
        <v>14</v>
      </c>
      <c r="V5668">
        <v>3</v>
      </c>
      <c r="W5668">
        <v>5</v>
      </c>
      <c r="X5668">
        <v>0</v>
      </c>
      <c r="Y5668">
        <v>0</v>
      </c>
      <c r="Z5668">
        <v>0</v>
      </c>
    </row>
    <row r="5669" spans="1:26" x14ac:dyDescent="0.2">
      <c r="A5669" t="s">
        <v>5787</v>
      </c>
      <c r="B5669" t="s">
        <v>66</v>
      </c>
      <c r="C5669">
        <v>2023</v>
      </c>
      <c r="D5669" t="s">
        <v>51</v>
      </c>
      <c r="E5669" t="s">
        <v>46</v>
      </c>
      <c r="F5669" t="s">
        <v>20</v>
      </c>
      <c r="G5669">
        <v>36284</v>
      </c>
      <c r="H5669">
        <v>29027.200000000001</v>
      </c>
      <c r="I5669" s="13">
        <v>0.66666666666666663</v>
      </c>
      <c r="J5669" t="s">
        <v>6207</v>
      </c>
      <c r="K5669">
        <v>2</v>
      </c>
      <c r="L5669">
        <v>3</v>
      </c>
      <c r="M5669" t="s">
        <v>1</v>
      </c>
      <c r="N5669" s="3">
        <v>0.62</v>
      </c>
      <c r="O5669" s="3">
        <v>0.38</v>
      </c>
      <c r="P5669">
        <v>19</v>
      </c>
      <c r="Q5669">
        <v>15</v>
      </c>
      <c r="R5669">
        <v>8</v>
      </c>
      <c r="S5669">
        <v>6</v>
      </c>
      <c r="T5669">
        <v>12</v>
      </c>
      <c r="U5669">
        <v>16</v>
      </c>
      <c r="V5669">
        <v>2</v>
      </c>
      <c r="W5669">
        <v>1</v>
      </c>
      <c r="X5669">
        <v>0</v>
      </c>
      <c r="Y5669">
        <v>0</v>
      </c>
      <c r="Z5669">
        <v>1</v>
      </c>
    </row>
    <row r="5670" spans="1:26" x14ac:dyDescent="0.2">
      <c r="A5670" t="s">
        <v>5788</v>
      </c>
      <c r="B5670" t="s">
        <v>81</v>
      </c>
      <c r="C5670">
        <v>2023</v>
      </c>
      <c r="D5670" t="s">
        <v>86</v>
      </c>
      <c r="E5670" t="s">
        <v>90</v>
      </c>
      <c r="F5670" t="s">
        <v>86</v>
      </c>
      <c r="G5670">
        <v>11364</v>
      </c>
      <c r="H5670">
        <v>9091.2000000000007</v>
      </c>
      <c r="I5670" s="13">
        <v>0.75</v>
      </c>
      <c r="J5670" t="s">
        <v>6207</v>
      </c>
      <c r="K5670">
        <v>3</v>
      </c>
      <c r="L5670">
        <v>0</v>
      </c>
      <c r="M5670" t="s">
        <v>0</v>
      </c>
      <c r="N5670" s="3">
        <v>0.3</v>
      </c>
      <c r="O5670" s="3">
        <v>0.7</v>
      </c>
      <c r="P5670">
        <v>10</v>
      </c>
      <c r="Q5670">
        <v>15</v>
      </c>
      <c r="R5670">
        <v>8</v>
      </c>
      <c r="S5670">
        <v>2</v>
      </c>
      <c r="T5670">
        <v>14</v>
      </c>
      <c r="U5670">
        <v>10</v>
      </c>
      <c r="V5670">
        <v>2</v>
      </c>
      <c r="W5670">
        <v>2</v>
      </c>
      <c r="X5670">
        <v>0</v>
      </c>
      <c r="Y5670">
        <v>0</v>
      </c>
      <c r="Z5670">
        <v>0</v>
      </c>
    </row>
    <row r="5671" spans="1:26" x14ac:dyDescent="0.2">
      <c r="A5671" t="s">
        <v>5789</v>
      </c>
      <c r="B5671" t="s">
        <v>84</v>
      </c>
      <c r="C5671">
        <v>2023</v>
      </c>
      <c r="D5671" t="s">
        <v>94</v>
      </c>
      <c r="E5671" t="s">
        <v>40</v>
      </c>
      <c r="F5671" t="s">
        <v>106</v>
      </c>
      <c r="G5671">
        <v>30445</v>
      </c>
      <c r="H5671">
        <v>24356</v>
      </c>
      <c r="I5671" s="13">
        <v>0</v>
      </c>
      <c r="J5671" t="s">
        <v>6208</v>
      </c>
      <c r="K5671">
        <v>0</v>
      </c>
      <c r="L5671">
        <v>2</v>
      </c>
      <c r="M5671" t="s">
        <v>1</v>
      </c>
      <c r="N5671" s="3">
        <v>0.33</v>
      </c>
      <c r="O5671" s="3">
        <v>0.67</v>
      </c>
      <c r="P5671">
        <v>7</v>
      </c>
      <c r="Q5671">
        <v>10</v>
      </c>
      <c r="R5671">
        <v>4</v>
      </c>
      <c r="S5671">
        <v>5</v>
      </c>
      <c r="T5671">
        <v>8</v>
      </c>
      <c r="U5671">
        <v>6</v>
      </c>
      <c r="V5671">
        <v>0</v>
      </c>
      <c r="W5671">
        <v>0</v>
      </c>
      <c r="X5671">
        <v>0</v>
      </c>
      <c r="Y5671">
        <v>0</v>
      </c>
      <c r="Z5671">
        <v>0</v>
      </c>
    </row>
    <row r="5672" spans="1:26" x14ac:dyDescent="0.2">
      <c r="A5672" t="s">
        <v>5790</v>
      </c>
      <c r="B5672" t="s">
        <v>98</v>
      </c>
      <c r="C5672">
        <v>2023</v>
      </c>
      <c r="D5672" t="s">
        <v>110</v>
      </c>
      <c r="E5672" t="s">
        <v>45</v>
      </c>
      <c r="F5672" t="s">
        <v>110</v>
      </c>
      <c r="G5672">
        <v>12000</v>
      </c>
      <c r="H5672">
        <v>9600</v>
      </c>
      <c r="I5672" s="13">
        <v>0.75</v>
      </c>
      <c r="J5672" t="s">
        <v>6208</v>
      </c>
      <c r="K5672">
        <v>1</v>
      </c>
      <c r="L5672">
        <v>1</v>
      </c>
      <c r="M5672" t="s">
        <v>58</v>
      </c>
      <c r="N5672" s="3">
        <v>0.5</v>
      </c>
      <c r="O5672" s="3">
        <v>0.5</v>
      </c>
      <c r="P5672">
        <v>12</v>
      </c>
      <c r="Q5672">
        <v>13</v>
      </c>
      <c r="R5672">
        <v>7</v>
      </c>
      <c r="S5672">
        <v>7</v>
      </c>
      <c r="T5672">
        <v>14</v>
      </c>
      <c r="U5672">
        <v>12</v>
      </c>
      <c r="V5672">
        <v>1</v>
      </c>
      <c r="W5672">
        <v>3</v>
      </c>
      <c r="X5672">
        <v>0</v>
      </c>
      <c r="Y5672">
        <v>0</v>
      </c>
      <c r="Z5672">
        <v>1</v>
      </c>
    </row>
    <row r="5673" spans="1:26" x14ac:dyDescent="0.2">
      <c r="A5673" t="s">
        <v>5791</v>
      </c>
      <c r="B5673" t="s">
        <v>93</v>
      </c>
      <c r="C5673">
        <v>2023</v>
      </c>
      <c r="D5673" t="s">
        <v>46</v>
      </c>
      <c r="E5673" t="s">
        <v>86</v>
      </c>
      <c r="F5673" t="s">
        <v>20</v>
      </c>
      <c r="G5673">
        <v>60704</v>
      </c>
      <c r="H5673">
        <v>48563.200000000004</v>
      </c>
      <c r="I5673" s="13">
        <v>0.4</v>
      </c>
      <c r="J5673" t="s">
        <v>6206</v>
      </c>
      <c r="K5673">
        <v>3</v>
      </c>
      <c r="L5673">
        <v>0</v>
      </c>
      <c r="M5673" t="s">
        <v>0</v>
      </c>
      <c r="N5673" s="3">
        <v>0.56000000000000005</v>
      </c>
      <c r="O5673" s="3">
        <v>0.44</v>
      </c>
      <c r="P5673">
        <v>9</v>
      </c>
      <c r="Q5673">
        <v>20</v>
      </c>
      <c r="R5673">
        <v>6</v>
      </c>
      <c r="S5673">
        <v>1</v>
      </c>
      <c r="T5673">
        <v>16</v>
      </c>
      <c r="U5673">
        <v>12</v>
      </c>
      <c r="V5673">
        <v>2</v>
      </c>
      <c r="W5673">
        <v>3</v>
      </c>
      <c r="X5673">
        <v>0</v>
      </c>
      <c r="Y5673">
        <v>0</v>
      </c>
      <c r="Z5673">
        <v>1</v>
      </c>
    </row>
    <row r="5674" spans="1:26" x14ac:dyDescent="0.2">
      <c r="A5674" t="s">
        <v>5792</v>
      </c>
      <c r="B5674" t="s">
        <v>88</v>
      </c>
      <c r="C5674">
        <v>2023</v>
      </c>
      <c r="D5674" t="s">
        <v>95</v>
      </c>
      <c r="E5674" t="s">
        <v>94</v>
      </c>
      <c r="F5674" t="s">
        <v>57</v>
      </c>
      <c r="G5674">
        <v>32050</v>
      </c>
      <c r="H5674">
        <v>25640</v>
      </c>
      <c r="I5674" s="13">
        <v>0.66666666666666663</v>
      </c>
      <c r="J5674" t="s">
        <v>6207</v>
      </c>
      <c r="K5674">
        <v>1</v>
      </c>
      <c r="L5674">
        <v>3</v>
      </c>
      <c r="M5674" t="s">
        <v>1</v>
      </c>
      <c r="N5674" s="3">
        <v>0.54</v>
      </c>
      <c r="O5674" s="3">
        <v>0.46</v>
      </c>
      <c r="P5674">
        <v>7</v>
      </c>
      <c r="Q5674">
        <v>9</v>
      </c>
      <c r="R5674">
        <v>5</v>
      </c>
      <c r="S5674">
        <v>3</v>
      </c>
      <c r="T5674">
        <v>9</v>
      </c>
      <c r="U5674">
        <v>7</v>
      </c>
      <c r="V5674">
        <v>1</v>
      </c>
      <c r="W5674">
        <v>1</v>
      </c>
      <c r="X5674">
        <v>1</v>
      </c>
      <c r="Y5674">
        <v>0</v>
      </c>
      <c r="Z5674">
        <v>1</v>
      </c>
    </row>
    <row r="5675" spans="1:26" x14ac:dyDescent="0.2">
      <c r="A5675" t="s">
        <v>5793</v>
      </c>
      <c r="B5675" t="s">
        <v>61</v>
      </c>
      <c r="C5675">
        <v>2023</v>
      </c>
      <c r="D5675" t="s">
        <v>28</v>
      </c>
      <c r="E5675" t="s">
        <v>64</v>
      </c>
      <c r="F5675" t="s">
        <v>28</v>
      </c>
      <c r="G5675">
        <v>21944</v>
      </c>
      <c r="H5675">
        <v>17555.2</v>
      </c>
      <c r="I5675" s="13">
        <v>0.25</v>
      </c>
      <c r="J5675" t="s">
        <v>6207</v>
      </c>
      <c r="K5675">
        <v>1</v>
      </c>
      <c r="L5675">
        <v>4</v>
      </c>
      <c r="M5675" t="s">
        <v>1</v>
      </c>
      <c r="N5675" s="3">
        <v>0.47</v>
      </c>
      <c r="O5675" s="3">
        <v>0.53</v>
      </c>
      <c r="P5675">
        <v>8</v>
      </c>
      <c r="Q5675">
        <v>8</v>
      </c>
      <c r="R5675">
        <v>4</v>
      </c>
      <c r="S5675">
        <v>11</v>
      </c>
      <c r="T5675">
        <v>8</v>
      </c>
      <c r="U5675">
        <v>8</v>
      </c>
      <c r="V5675">
        <v>2</v>
      </c>
      <c r="W5675">
        <v>2</v>
      </c>
      <c r="X5675">
        <v>0</v>
      </c>
      <c r="Y5675">
        <v>0</v>
      </c>
      <c r="Z5675">
        <v>1</v>
      </c>
    </row>
    <row r="5676" spans="1:26" x14ac:dyDescent="0.2">
      <c r="A5676" t="s">
        <v>5794</v>
      </c>
      <c r="B5676" t="s">
        <v>83</v>
      </c>
      <c r="C5676">
        <v>2023</v>
      </c>
      <c r="D5676" t="s">
        <v>101</v>
      </c>
      <c r="E5676" t="s">
        <v>31</v>
      </c>
      <c r="F5676" t="s">
        <v>101</v>
      </c>
      <c r="G5676">
        <v>17250</v>
      </c>
      <c r="H5676">
        <v>13800</v>
      </c>
      <c r="I5676" s="13">
        <v>1</v>
      </c>
      <c r="J5676" t="s">
        <v>6208</v>
      </c>
      <c r="K5676">
        <v>0</v>
      </c>
      <c r="L5676">
        <v>0</v>
      </c>
      <c r="M5676" t="s">
        <v>58</v>
      </c>
      <c r="N5676" s="3">
        <v>0.55000000000000004</v>
      </c>
      <c r="O5676" s="3">
        <v>0.45</v>
      </c>
      <c r="P5676">
        <v>5</v>
      </c>
      <c r="Q5676">
        <v>5</v>
      </c>
      <c r="R5676">
        <v>7</v>
      </c>
      <c r="S5676">
        <v>6</v>
      </c>
      <c r="T5676">
        <v>3</v>
      </c>
      <c r="U5676">
        <v>6</v>
      </c>
      <c r="V5676">
        <v>1</v>
      </c>
      <c r="W5676">
        <v>1</v>
      </c>
      <c r="X5676">
        <v>0</v>
      </c>
      <c r="Y5676">
        <v>0</v>
      </c>
      <c r="Z5676">
        <v>0</v>
      </c>
    </row>
    <row r="5677" spans="1:26" x14ac:dyDescent="0.2">
      <c r="A5677" t="s">
        <v>5795</v>
      </c>
      <c r="B5677" t="s">
        <v>76</v>
      </c>
      <c r="C5677">
        <v>2023</v>
      </c>
      <c r="D5677" t="s">
        <v>40</v>
      </c>
      <c r="E5677" t="s">
        <v>22</v>
      </c>
      <c r="F5677" t="s">
        <v>49</v>
      </c>
      <c r="G5677">
        <v>53400</v>
      </c>
      <c r="H5677">
        <v>42720</v>
      </c>
      <c r="I5677" s="13">
        <v>1</v>
      </c>
      <c r="J5677" t="s">
        <v>6207</v>
      </c>
      <c r="K5677">
        <v>5</v>
      </c>
      <c r="L5677">
        <v>1</v>
      </c>
      <c r="M5677" t="s">
        <v>0</v>
      </c>
      <c r="N5677" s="3">
        <v>0.57999999999999996</v>
      </c>
      <c r="O5677" s="3">
        <v>0.42</v>
      </c>
      <c r="P5677">
        <v>17</v>
      </c>
      <c r="Q5677">
        <v>6</v>
      </c>
      <c r="R5677">
        <v>6</v>
      </c>
      <c r="S5677">
        <v>0</v>
      </c>
      <c r="T5677">
        <v>4</v>
      </c>
      <c r="U5677">
        <v>17</v>
      </c>
      <c r="V5677">
        <v>0</v>
      </c>
      <c r="W5677">
        <v>4</v>
      </c>
      <c r="X5677">
        <v>0</v>
      </c>
      <c r="Y5677">
        <v>0</v>
      </c>
      <c r="Z5677">
        <v>2</v>
      </c>
    </row>
    <row r="5678" spans="1:26" x14ac:dyDescent="0.2">
      <c r="A5678" t="s">
        <v>5796</v>
      </c>
      <c r="B5678" t="s">
        <v>92</v>
      </c>
      <c r="C5678">
        <v>2023</v>
      </c>
      <c r="D5678" t="s">
        <v>18</v>
      </c>
      <c r="E5678" t="s">
        <v>23</v>
      </c>
      <c r="F5678" t="s">
        <v>20</v>
      </c>
      <c r="G5678">
        <v>40341</v>
      </c>
      <c r="H5678">
        <v>32272.800000000003</v>
      </c>
      <c r="I5678" s="13">
        <v>1</v>
      </c>
      <c r="J5678" t="s">
        <v>6207</v>
      </c>
      <c r="K5678">
        <v>5</v>
      </c>
      <c r="L5678">
        <v>0</v>
      </c>
      <c r="M5678" t="s">
        <v>0</v>
      </c>
      <c r="N5678" s="3">
        <v>0.69</v>
      </c>
      <c r="O5678" s="3">
        <v>0.31</v>
      </c>
      <c r="P5678">
        <v>10</v>
      </c>
      <c r="Q5678">
        <v>13</v>
      </c>
      <c r="R5678">
        <v>8</v>
      </c>
      <c r="S5678">
        <v>6</v>
      </c>
      <c r="T5678">
        <v>12</v>
      </c>
      <c r="U5678">
        <v>10</v>
      </c>
      <c r="V5678">
        <v>1</v>
      </c>
      <c r="W5678">
        <v>3</v>
      </c>
      <c r="X5678">
        <v>0</v>
      </c>
      <c r="Y5678">
        <v>0</v>
      </c>
      <c r="Z5678">
        <v>0</v>
      </c>
    </row>
    <row r="5679" spans="1:26" x14ac:dyDescent="0.2">
      <c r="A5679" t="s">
        <v>5797</v>
      </c>
      <c r="B5679" t="s">
        <v>99</v>
      </c>
      <c r="C5679">
        <v>2023</v>
      </c>
      <c r="D5679" t="s">
        <v>90</v>
      </c>
      <c r="E5679" t="s">
        <v>42</v>
      </c>
      <c r="F5679" t="s">
        <v>91</v>
      </c>
      <c r="G5679">
        <v>31876</v>
      </c>
      <c r="H5679">
        <v>25500.800000000003</v>
      </c>
      <c r="I5679" s="13">
        <v>0.75</v>
      </c>
      <c r="J5679" t="s">
        <v>6207</v>
      </c>
      <c r="K5679">
        <v>1</v>
      </c>
      <c r="L5679">
        <v>0</v>
      </c>
      <c r="M5679" t="s">
        <v>0</v>
      </c>
      <c r="N5679" s="3">
        <v>0.52</v>
      </c>
      <c r="O5679" s="3">
        <v>0.48</v>
      </c>
      <c r="P5679">
        <v>10</v>
      </c>
      <c r="Q5679">
        <v>17</v>
      </c>
      <c r="R5679">
        <v>7</v>
      </c>
      <c r="S5679">
        <v>3</v>
      </c>
      <c r="T5679">
        <v>13</v>
      </c>
      <c r="U5679">
        <v>10</v>
      </c>
      <c r="V5679">
        <v>3</v>
      </c>
      <c r="W5679">
        <v>1</v>
      </c>
      <c r="X5679">
        <v>0</v>
      </c>
      <c r="Y5679">
        <v>0</v>
      </c>
      <c r="Z5679">
        <v>1</v>
      </c>
    </row>
    <row r="5680" spans="1:26" x14ac:dyDescent="0.2">
      <c r="A5680" t="s">
        <v>5798</v>
      </c>
      <c r="B5680" t="s">
        <v>81</v>
      </c>
      <c r="C5680">
        <v>2023</v>
      </c>
      <c r="D5680" t="s">
        <v>26</v>
      </c>
      <c r="E5680" t="s">
        <v>51</v>
      </c>
      <c r="F5680" t="s">
        <v>26</v>
      </c>
      <c r="G5680">
        <v>61276</v>
      </c>
      <c r="H5680">
        <v>49020.800000000003</v>
      </c>
      <c r="I5680" s="13">
        <v>0.6</v>
      </c>
      <c r="J5680" t="s">
        <v>6207</v>
      </c>
      <c r="K5680">
        <v>4</v>
      </c>
      <c r="L5680">
        <v>2</v>
      </c>
      <c r="M5680" t="s">
        <v>0</v>
      </c>
      <c r="N5680" s="3">
        <v>0.44</v>
      </c>
      <c r="O5680" s="3">
        <v>0.56000000000000005</v>
      </c>
      <c r="P5680">
        <v>14</v>
      </c>
      <c r="Q5680">
        <v>19</v>
      </c>
      <c r="R5680">
        <v>8</v>
      </c>
      <c r="S5680">
        <v>3</v>
      </c>
      <c r="T5680">
        <v>14</v>
      </c>
      <c r="U5680">
        <v>12</v>
      </c>
      <c r="V5680">
        <v>1</v>
      </c>
      <c r="W5680">
        <v>4</v>
      </c>
      <c r="X5680">
        <v>0</v>
      </c>
      <c r="Y5680">
        <v>0</v>
      </c>
      <c r="Z5680">
        <v>0</v>
      </c>
    </row>
    <row r="5681" spans="1:26" x14ac:dyDescent="0.2">
      <c r="A5681" t="s">
        <v>5799</v>
      </c>
      <c r="B5681" t="s">
        <v>102</v>
      </c>
      <c r="C5681">
        <v>2023</v>
      </c>
      <c r="D5681" t="s">
        <v>79</v>
      </c>
      <c r="E5681" t="s">
        <v>48</v>
      </c>
      <c r="F5681" t="s">
        <v>20</v>
      </c>
      <c r="G5681">
        <v>25486</v>
      </c>
      <c r="H5681">
        <v>20388.800000000003</v>
      </c>
      <c r="I5681" s="13">
        <v>0.66666666666666663</v>
      </c>
      <c r="J5681" t="s">
        <v>6209</v>
      </c>
      <c r="K5681">
        <v>4</v>
      </c>
      <c r="L5681">
        <v>0</v>
      </c>
      <c r="M5681" t="s">
        <v>0</v>
      </c>
      <c r="N5681" s="3">
        <v>0.43</v>
      </c>
      <c r="O5681" s="3">
        <v>0.56999999999999995</v>
      </c>
      <c r="P5681">
        <v>10</v>
      </c>
      <c r="Q5681">
        <v>13</v>
      </c>
      <c r="R5681">
        <v>6</v>
      </c>
      <c r="S5681">
        <v>2</v>
      </c>
      <c r="T5681">
        <v>12</v>
      </c>
      <c r="U5681">
        <v>8</v>
      </c>
      <c r="V5681">
        <v>2</v>
      </c>
      <c r="W5681">
        <v>1</v>
      </c>
      <c r="X5681">
        <v>0</v>
      </c>
      <c r="Y5681">
        <v>0</v>
      </c>
      <c r="Z5681">
        <v>0</v>
      </c>
    </row>
    <row r="5682" spans="1:26" x14ac:dyDescent="0.2">
      <c r="A5682" t="s">
        <v>5800</v>
      </c>
      <c r="B5682" t="s">
        <v>61</v>
      </c>
      <c r="C5682">
        <v>2023</v>
      </c>
      <c r="D5682" t="s">
        <v>31</v>
      </c>
      <c r="E5682" t="s">
        <v>40</v>
      </c>
      <c r="F5682" t="s">
        <v>20</v>
      </c>
      <c r="G5682">
        <v>28500</v>
      </c>
      <c r="H5682">
        <v>22800</v>
      </c>
      <c r="I5682" s="13">
        <v>0.66666666666666663</v>
      </c>
      <c r="J5682" t="s">
        <v>6207</v>
      </c>
      <c r="K5682">
        <v>0</v>
      </c>
      <c r="L5682">
        <v>4</v>
      </c>
      <c r="M5682" t="s">
        <v>1</v>
      </c>
      <c r="N5682" s="3">
        <v>0.35</v>
      </c>
      <c r="O5682" s="3">
        <v>0.65</v>
      </c>
      <c r="P5682">
        <v>5</v>
      </c>
      <c r="Q5682">
        <v>9</v>
      </c>
      <c r="R5682">
        <v>1</v>
      </c>
      <c r="S5682">
        <v>7</v>
      </c>
      <c r="T5682">
        <v>9</v>
      </c>
      <c r="U5682">
        <v>6</v>
      </c>
      <c r="V5682">
        <v>2</v>
      </c>
      <c r="W5682">
        <v>0</v>
      </c>
      <c r="X5682">
        <v>1</v>
      </c>
      <c r="Y5682">
        <v>0</v>
      </c>
      <c r="Z5682">
        <v>1</v>
      </c>
    </row>
    <row r="5683" spans="1:26" x14ac:dyDescent="0.2">
      <c r="A5683" t="s">
        <v>5801</v>
      </c>
      <c r="B5683" t="s">
        <v>107</v>
      </c>
      <c r="C5683">
        <v>2023</v>
      </c>
      <c r="D5683" t="s">
        <v>22</v>
      </c>
      <c r="E5683" t="s">
        <v>79</v>
      </c>
      <c r="F5683" t="s">
        <v>24</v>
      </c>
      <c r="G5683">
        <v>31750</v>
      </c>
      <c r="H5683">
        <v>25400</v>
      </c>
      <c r="I5683" s="13">
        <v>0.625</v>
      </c>
      <c r="J5683" t="s">
        <v>6207</v>
      </c>
      <c r="K5683">
        <v>1</v>
      </c>
      <c r="L5683">
        <v>3</v>
      </c>
      <c r="M5683" t="s">
        <v>1</v>
      </c>
      <c r="N5683" s="3">
        <v>0.62</v>
      </c>
      <c r="O5683" s="3">
        <v>0.38</v>
      </c>
      <c r="P5683">
        <v>19</v>
      </c>
      <c r="Q5683">
        <v>14</v>
      </c>
      <c r="R5683">
        <v>8</v>
      </c>
      <c r="S5683">
        <v>3</v>
      </c>
      <c r="T5683">
        <v>13</v>
      </c>
      <c r="U5683">
        <v>12</v>
      </c>
      <c r="V5683">
        <v>3</v>
      </c>
      <c r="W5683">
        <v>4</v>
      </c>
      <c r="X5683">
        <v>0</v>
      </c>
      <c r="Y5683">
        <v>1</v>
      </c>
      <c r="Z5683">
        <v>0</v>
      </c>
    </row>
    <row r="5684" spans="1:26" x14ac:dyDescent="0.2">
      <c r="A5684" t="s">
        <v>5802</v>
      </c>
      <c r="B5684" t="s">
        <v>66</v>
      </c>
      <c r="C5684">
        <v>2023</v>
      </c>
      <c r="D5684" t="s">
        <v>23</v>
      </c>
      <c r="E5684" t="s">
        <v>110</v>
      </c>
      <c r="F5684" t="s">
        <v>20</v>
      </c>
      <c r="G5684">
        <v>62500</v>
      </c>
      <c r="H5684">
        <v>50000</v>
      </c>
      <c r="I5684" s="13">
        <v>0.5</v>
      </c>
      <c r="J5684" t="s">
        <v>6207</v>
      </c>
      <c r="K5684">
        <v>3</v>
      </c>
      <c r="L5684">
        <v>1</v>
      </c>
      <c r="M5684" t="s">
        <v>0</v>
      </c>
      <c r="N5684" s="3">
        <v>0.57999999999999996</v>
      </c>
      <c r="O5684" s="3">
        <v>0.42</v>
      </c>
      <c r="P5684">
        <v>15</v>
      </c>
      <c r="Q5684">
        <v>11</v>
      </c>
      <c r="R5684">
        <v>7</v>
      </c>
      <c r="S5684">
        <v>6</v>
      </c>
      <c r="T5684">
        <v>9</v>
      </c>
      <c r="U5684">
        <v>15</v>
      </c>
      <c r="V5684">
        <v>1</v>
      </c>
      <c r="W5684">
        <v>3</v>
      </c>
      <c r="X5684">
        <v>0</v>
      </c>
      <c r="Y5684">
        <v>0</v>
      </c>
      <c r="Z5684">
        <v>0</v>
      </c>
    </row>
    <row r="5685" spans="1:26" x14ac:dyDescent="0.2">
      <c r="A5685" t="s">
        <v>5803</v>
      </c>
      <c r="B5685" t="s">
        <v>102</v>
      </c>
      <c r="C5685">
        <v>2023</v>
      </c>
      <c r="D5685" t="s">
        <v>51</v>
      </c>
      <c r="E5685" t="s">
        <v>28</v>
      </c>
      <c r="F5685" t="s">
        <v>20</v>
      </c>
      <c r="G5685">
        <v>36284</v>
      </c>
      <c r="H5685">
        <v>29027.200000000001</v>
      </c>
      <c r="I5685" s="13">
        <v>0.66666666666666663</v>
      </c>
      <c r="J5685" t="s">
        <v>6209</v>
      </c>
      <c r="K5685">
        <v>2</v>
      </c>
      <c r="L5685">
        <v>1</v>
      </c>
      <c r="M5685" t="s">
        <v>0</v>
      </c>
      <c r="N5685" s="3">
        <v>0.63</v>
      </c>
      <c r="O5685" s="3">
        <v>0.37</v>
      </c>
      <c r="P5685">
        <v>17</v>
      </c>
      <c r="Q5685">
        <v>11</v>
      </c>
      <c r="R5685">
        <v>9</v>
      </c>
      <c r="S5685">
        <v>3</v>
      </c>
      <c r="T5685">
        <v>10</v>
      </c>
      <c r="U5685">
        <v>14</v>
      </c>
      <c r="V5685">
        <v>3</v>
      </c>
      <c r="W5685">
        <v>6</v>
      </c>
      <c r="X5685">
        <v>0</v>
      </c>
      <c r="Y5685">
        <v>0</v>
      </c>
      <c r="Z5685">
        <v>0</v>
      </c>
    </row>
    <row r="5686" spans="1:26" x14ac:dyDescent="0.2">
      <c r="A5686" t="s">
        <v>5804</v>
      </c>
      <c r="B5686" t="s">
        <v>100</v>
      </c>
      <c r="C5686">
        <v>2023</v>
      </c>
      <c r="D5686" t="s">
        <v>64</v>
      </c>
      <c r="E5686" t="s">
        <v>90</v>
      </c>
      <c r="F5686" t="s">
        <v>64</v>
      </c>
      <c r="G5686">
        <v>52264</v>
      </c>
      <c r="H5686">
        <v>41811.200000000004</v>
      </c>
      <c r="I5686" s="13">
        <v>0.2857142857142857</v>
      </c>
      <c r="J5686" t="s">
        <v>6207</v>
      </c>
      <c r="K5686">
        <v>1</v>
      </c>
      <c r="L5686">
        <v>1</v>
      </c>
      <c r="M5686" t="s">
        <v>58</v>
      </c>
      <c r="N5686" s="3">
        <v>0.56000000000000005</v>
      </c>
      <c r="O5686" s="3">
        <v>0.44</v>
      </c>
      <c r="P5686">
        <v>17</v>
      </c>
      <c r="Q5686">
        <v>12</v>
      </c>
      <c r="R5686">
        <v>8</v>
      </c>
      <c r="S5686">
        <v>4</v>
      </c>
      <c r="T5686">
        <v>9</v>
      </c>
      <c r="U5686">
        <v>16</v>
      </c>
      <c r="V5686">
        <v>3</v>
      </c>
      <c r="W5686">
        <v>4</v>
      </c>
      <c r="X5686">
        <v>0</v>
      </c>
      <c r="Y5686">
        <v>0</v>
      </c>
      <c r="Z5686">
        <v>0</v>
      </c>
    </row>
    <row r="5687" spans="1:26" x14ac:dyDescent="0.2">
      <c r="A5687" t="s">
        <v>5805</v>
      </c>
      <c r="B5687" t="s">
        <v>59</v>
      </c>
      <c r="C5687">
        <v>2023</v>
      </c>
      <c r="D5687" t="s">
        <v>45</v>
      </c>
      <c r="E5687" t="s">
        <v>95</v>
      </c>
      <c r="F5687" t="s">
        <v>26</v>
      </c>
      <c r="G5687">
        <v>39572</v>
      </c>
      <c r="H5687">
        <v>31657.600000000002</v>
      </c>
      <c r="I5687" s="13">
        <v>0</v>
      </c>
      <c r="J5687" t="s">
        <v>6206</v>
      </c>
      <c r="K5687">
        <v>1</v>
      </c>
      <c r="L5687">
        <v>0</v>
      </c>
      <c r="M5687" t="s">
        <v>0</v>
      </c>
      <c r="N5687" s="3">
        <v>0.56999999999999995</v>
      </c>
      <c r="O5687" s="3">
        <v>0.43</v>
      </c>
      <c r="P5687">
        <v>11</v>
      </c>
      <c r="Q5687">
        <v>9</v>
      </c>
      <c r="R5687">
        <v>3</v>
      </c>
      <c r="S5687">
        <v>6</v>
      </c>
      <c r="T5687">
        <v>6</v>
      </c>
      <c r="U5687">
        <v>11</v>
      </c>
      <c r="V5687">
        <v>1</v>
      </c>
      <c r="W5687">
        <v>3</v>
      </c>
      <c r="X5687">
        <v>0</v>
      </c>
      <c r="Y5687">
        <v>0</v>
      </c>
      <c r="Z5687">
        <v>0</v>
      </c>
    </row>
    <row r="5688" spans="1:26" x14ac:dyDescent="0.2">
      <c r="A5688" t="s">
        <v>5806</v>
      </c>
      <c r="B5688" t="s">
        <v>116</v>
      </c>
      <c r="C5688">
        <v>2023</v>
      </c>
      <c r="D5688" t="s">
        <v>86</v>
      </c>
      <c r="E5688" t="s">
        <v>101</v>
      </c>
      <c r="F5688" t="s">
        <v>86</v>
      </c>
      <c r="G5688">
        <v>11364</v>
      </c>
      <c r="H5688">
        <v>9091.2000000000007</v>
      </c>
      <c r="I5688" s="13">
        <v>0.6</v>
      </c>
      <c r="J5688" t="s">
        <v>6209</v>
      </c>
      <c r="K5688">
        <v>1</v>
      </c>
      <c r="L5688">
        <v>2</v>
      </c>
      <c r="M5688" t="s">
        <v>1</v>
      </c>
      <c r="N5688" s="3">
        <v>0.48</v>
      </c>
      <c r="O5688" s="3">
        <v>0.52</v>
      </c>
      <c r="P5688">
        <v>12</v>
      </c>
      <c r="Q5688">
        <v>17</v>
      </c>
      <c r="R5688">
        <v>3</v>
      </c>
      <c r="S5688">
        <v>8</v>
      </c>
      <c r="T5688">
        <v>16</v>
      </c>
      <c r="U5688">
        <v>12</v>
      </c>
      <c r="V5688">
        <v>3</v>
      </c>
      <c r="W5688">
        <v>2</v>
      </c>
      <c r="X5688">
        <v>0</v>
      </c>
      <c r="Y5688">
        <v>0</v>
      </c>
      <c r="Z5688">
        <v>0</v>
      </c>
    </row>
    <row r="5689" spans="1:26" x14ac:dyDescent="0.2">
      <c r="A5689" t="s">
        <v>5807</v>
      </c>
      <c r="B5689" t="s">
        <v>105</v>
      </c>
      <c r="C5689">
        <v>2023</v>
      </c>
      <c r="D5689" t="s">
        <v>94</v>
      </c>
      <c r="E5689" t="s">
        <v>18</v>
      </c>
      <c r="F5689" t="s">
        <v>106</v>
      </c>
      <c r="G5689">
        <v>30445</v>
      </c>
      <c r="H5689">
        <v>24356</v>
      </c>
      <c r="I5689" s="13">
        <v>0.8</v>
      </c>
      <c r="J5689" t="s">
        <v>6207</v>
      </c>
      <c r="K5689">
        <v>2</v>
      </c>
      <c r="L5689">
        <v>3</v>
      </c>
      <c r="M5689" t="s">
        <v>1</v>
      </c>
      <c r="N5689" s="3">
        <v>0.32</v>
      </c>
      <c r="O5689" s="3">
        <v>0.68</v>
      </c>
      <c r="P5689">
        <v>11</v>
      </c>
      <c r="Q5689">
        <v>17</v>
      </c>
      <c r="R5689">
        <v>5</v>
      </c>
      <c r="S5689">
        <v>6</v>
      </c>
      <c r="T5689">
        <v>14</v>
      </c>
      <c r="U5689">
        <v>8</v>
      </c>
      <c r="V5689">
        <v>2</v>
      </c>
      <c r="W5689">
        <v>3</v>
      </c>
      <c r="X5689">
        <v>0</v>
      </c>
      <c r="Y5689">
        <v>0</v>
      </c>
      <c r="Z5689">
        <v>0</v>
      </c>
    </row>
    <row r="5690" spans="1:26" x14ac:dyDescent="0.2">
      <c r="A5690" t="s">
        <v>5808</v>
      </c>
      <c r="B5690" t="s">
        <v>81</v>
      </c>
      <c r="C5690">
        <v>2023</v>
      </c>
      <c r="D5690" t="s">
        <v>48</v>
      </c>
      <c r="E5690" t="s">
        <v>46</v>
      </c>
      <c r="F5690" t="s">
        <v>49</v>
      </c>
      <c r="G5690">
        <v>74197</v>
      </c>
      <c r="H5690">
        <v>59357.600000000006</v>
      </c>
      <c r="I5690" s="13">
        <v>0.5</v>
      </c>
      <c r="J5690" t="s">
        <v>6207</v>
      </c>
      <c r="K5690">
        <v>0</v>
      </c>
      <c r="L5690">
        <v>1</v>
      </c>
      <c r="M5690" t="s">
        <v>1</v>
      </c>
      <c r="N5690" s="3">
        <v>0.54</v>
      </c>
      <c r="O5690" s="3">
        <v>0.46</v>
      </c>
      <c r="P5690">
        <v>5</v>
      </c>
      <c r="Q5690">
        <v>7</v>
      </c>
      <c r="R5690">
        <v>4</v>
      </c>
      <c r="S5690">
        <v>7</v>
      </c>
      <c r="T5690">
        <v>5</v>
      </c>
      <c r="U5690">
        <v>6</v>
      </c>
      <c r="V5690">
        <v>0</v>
      </c>
      <c r="W5690">
        <v>2</v>
      </c>
      <c r="X5690">
        <v>0</v>
      </c>
      <c r="Y5690">
        <v>0</v>
      </c>
      <c r="Z5690">
        <v>0</v>
      </c>
    </row>
    <row r="5691" spans="1:26" x14ac:dyDescent="0.2">
      <c r="A5691" t="s">
        <v>5809</v>
      </c>
      <c r="B5691" t="s">
        <v>84</v>
      </c>
      <c r="C5691">
        <v>2023</v>
      </c>
      <c r="D5691" t="s">
        <v>42</v>
      </c>
      <c r="E5691" t="s">
        <v>26</v>
      </c>
      <c r="F5691" t="s">
        <v>38</v>
      </c>
      <c r="G5691">
        <v>42918</v>
      </c>
      <c r="H5691">
        <v>34334.400000000001</v>
      </c>
      <c r="I5691" s="13">
        <v>0</v>
      </c>
      <c r="J5691" t="s">
        <v>6208</v>
      </c>
      <c r="K5691">
        <v>3</v>
      </c>
      <c r="L5691">
        <v>3</v>
      </c>
      <c r="M5691" t="s">
        <v>58</v>
      </c>
      <c r="N5691" s="3">
        <v>0.41</v>
      </c>
      <c r="O5691" s="3">
        <v>0.59</v>
      </c>
      <c r="P5691">
        <v>21</v>
      </c>
      <c r="Q5691">
        <v>13</v>
      </c>
      <c r="R5691">
        <v>5</v>
      </c>
      <c r="S5691">
        <v>4</v>
      </c>
      <c r="T5691">
        <v>11</v>
      </c>
      <c r="U5691">
        <v>15</v>
      </c>
      <c r="V5691">
        <v>2</v>
      </c>
      <c r="W5691">
        <v>1</v>
      </c>
      <c r="X5691">
        <v>0</v>
      </c>
      <c r="Y5691">
        <v>0</v>
      </c>
      <c r="Z5691">
        <v>0</v>
      </c>
    </row>
    <row r="5692" spans="1:26" x14ac:dyDescent="0.2">
      <c r="A5692" t="s">
        <v>5810</v>
      </c>
      <c r="B5692" t="s">
        <v>92</v>
      </c>
      <c r="C5692">
        <v>2023</v>
      </c>
      <c r="D5692" t="s">
        <v>95</v>
      </c>
      <c r="E5692" t="s">
        <v>51</v>
      </c>
      <c r="F5692" t="s">
        <v>57</v>
      </c>
      <c r="G5692">
        <v>32050</v>
      </c>
      <c r="H5692">
        <v>25640</v>
      </c>
      <c r="I5692" s="13">
        <v>0</v>
      </c>
      <c r="J5692" t="s">
        <v>6207</v>
      </c>
      <c r="K5692">
        <v>0</v>
      </c>
      <c r="L5692">
        <v>3</v>
      </c>
      <c r="M5692" t="s">
        <v>1</v>
      </c>
      <c r="N5692" s="3">
        <v>0.23</v>
      </c>
      <c r="O5692" s="3">
        <v>0.77</v>
      </c>
      <c r="P5692">
        <v>9</v>
      </c>
      <c r="Q5692">
        <v>17</v>
      </c>
      <c r="R5692">
        <v>2</v>
      </c>
      <c r="S5692">
        <v>6</v>
      </c>
      <c r="T5692">
        <v>11</v>
      </c>
      <c r="U5692">
        <v>9</v>
      </c>
      <c r="V5692">
        <v>2</v>
      </c>
      <c r="W5692">
        <v>0</v>
      </c>
      <c r="X5692">
        <v>0</v>
      </c>
      <c r="Y5692">
        <v>0</v>
      </c>
      <c r="Z5692">
        <v>0</v>
      </c>
    </row>
    <row r="5693" spans="1:26" x14ac:dyDescent="0.2">
      <c r="A5693" t="s">
        <v>5811</v>
      </c>
      <c r="B5693" t="s">
        <v>104</v>
      </c>
      <c r="C5693">
        <v>2023</v>
      </c>
      <c r="D5693" t="s">
        <v>40</v>
      </c>
      <c r="E5693" t="s">
        <v>23</v>
      </c>
      <c r="F5693" t="s">
        <v>49</v>
      </c>
      <c r="G5693">
        <v>53400</v>
      </c>
      <c r="H5693">
        <v>42720</v>
      </c>
      <c r="I5693" s="13">
        <v>1</v>
      </c>
      <c r="J5693" t="s">
        <v>6206</v>
      </c>
      <c r="K5693">
        <v>3</v>
      </c>
      <c r="L5693">
        <v>1</v>
      </c>
      <c r="M5693" t="s">
        <v>0</v>
      </c>
      <c r="N5693" s="3">
        <v>0.7</v>
      </c>
      <c r="O5693" s="3">
        <v>0.3</v>
      </c>
      <c r="P5693">
        <v>11</v>
      </c>
      <c r="Q5693">
        <v>7</v>
      </c>
      <c r="R5693">
        <v>11</v>
      </c>
      <c r="S5693">
        <v>2</v>
      </c>
      <c r="T5693">
        <v>3</v>
      </c>
      <c r="U5693">
        <v>12</v>
      </c>
      <c r="V5693">
        <v>0</v>
      </c>
      <c r="W5693">
        <v>1</v>
      </c>
      <c r="X5693">
        <v>0</v>
      </c>
      <c r="Y5693">
        <v>0</v>
      </c>
      <c r="Z5693">
        <v>0</v>
      </c>
    </row>
    <row r="5694" spans="1:26" x14ac:dyDescent="0.2">
      <c r="A5694" t="s">
        <v>5812</v>
      </c>
      <c r="B5694" t="s">
        <v>116</v>
      </c>
      <c r="C5694">
        <v>2023</v>
      </c>
      <c r="D5694" t="s">
        <v>110</v>
      </c>
      <c r="E5694" t="s">
        <v>31</v>
      </c>
      <c r="F5694" t="s">
        <v>110</v>
      </c>
      <c r="G5694">
        <v>12000</v>
      </c>
      <c r="H5694">
        <v>9600</v>
      </c>
      <c r="I5694" s="13">
        <v>0.55555555555555558</v>
      </c>
      <c r="J5694" t="s">
        <v>6209</v>
      </c>
      <c r="K5694">
        <v>2</v>
      </c>
      <c r="L5694">
        <v>4</v>
      </c>
      <c r="M5694" t="s">
        <v>1</v>
      </c>
      <c r="N5694" s="3">
        <v>0.37</v>
      </c>
      <c r="O5694" s="3">
        <v>0.63</v>
      </c>
      <c r="P5694">
        <v>20</v>
      </c>
      <c r="Q5694">
        <v>22</v>
      </c>
      <c r="R5694">
        <v>4</v>
      </c>
      <c r="S5694">
        <v>4</v>
      </c>
      <c r="T5694">
        <v>15</v>
      </c>
      <c r="U5694">
        <v>20</v>
      </c>
      <c r="V5694">
        <v>5</v>
      </c>
      <c r="W5694">
        <v>4</v>
      </c>
      <c r="X5694">
        <v>0</v>
      </c>
      <c r="Y5694">
        <v>0</v>
      </c>
      <c r="Z5694">
        <v>1</v>
      </c>
    </row>
    <row r="5695" spans="1:26" x14ac:dyDescent="0.2">
      <c r="A5695" t="s">
        <v>5813</v>
      </c>
      <c r="B5695" t="s">
        <v>88</v>
      </c>
      <c r="C5695">
        <v>2023</v>
      </c>
      <c r="D5695" t="s">
        <v>26</v>
      </c>
      <c r="E5695" t="s">
        <v>22</v>
      </c>
      <c r="F5695" t="s">
        <v>26</v>
      </c>
      <c r="G5695">
        <v>61276</v>
      </c>
      <c r="H5695">
        <v>49020.800000000003</v>
      </c>
      <c r="I5695" s="13">
        <v>1</v>
      </c>
      <c r="J5695" t="s">
        <v>6207</v>
      </c>
      <c r="K5695">
        <v>2</v>
      </c>
      <c r="L5695">
        <v>0</v>
      </c>
      <c r="M5695" t="s">
        <v>0</v>
      </c>
      <c r="N5695" s="3">
        <v>0.66</v>
      </c>
      <c r="O5695" s="3">
        <v>0.34</v>
      </c>
      <c r="P5695">
        <v>12</v>
      </c>
      <c r="Q5695">
        <v>18</v>
      </c>
      <c r="R5695">
        <v>10</v>
      </c>
      <c r="S5695">
        <v>2</v>
      </c>
      <c r="T5695">
        <v>14</v>
      </c>
      <c r="U5695">
        <v>10</v>
      </c>
      <c r="V5695">
        <v>1</v>
      </c>
      <c r="W5695">
        <v>1</v>
      </c>
      <c r="X5695">
        <v>0</v>
      </c>
      <c r="Y5695">
        <v>1</v>
      </c>
      <c r="Z5695">
        <v>0</v>
      </c>
    </row>
    <row r="5696" spans="1:26" x14ac:dyDescent="0.2">
      <c r="A5696" t="s">
        <v>5814</v>
      </c>
      <c r="B5696" t="s">
        <v>108</v>
      </c>
      <c r="C5696">
        <v>2023</v>
      </c>
      <c r="D5696" t="s">
        <v>79</v>
      </c>
      <c r="E5696" t="s">
        <v>42</v>
      </c>
      <c r="F5696" t="s">
        <v>20</v>
      </c>
      <c r="G5696">
        <v>25486</v>
      </c>
      <c r="H5696">
        <v>20388.800000000003</v>
      </c>
      <c r="I5696" s="13">
        <v>0.8</v>
      </c>
      <c r="J5696" t="s">
        <v>6207</v>
      </c>
      <c r="K5696">
        <v>5</v>
      </c>
      <c r="L5696">
        <v>0</v>
      </c>
      <c r="M5696" t="s">
        <v>0</v>
      </c>
      <c r="N5696" s="3">
        <v>0.53</v>
      </c>
      <c r="O5696" s="3">
        <v>0.47</v>
      </c>
      <c r="P5696">
        <v>4</v>
      </c>
      <c r="Q5696">
        <v>7</v>
      </c>
      <c r="R5696">
        <v>2</v>
      </c>
      <c r="S5696">
        <v>4</v>
      </c>
      <c r="T5696">
        <v>10</v>
      </c>
      <c r="U5696">
        <v>8</v>
      </c>
      <c r="V5696">
        <v>1</v>
      </c>
      <c r="W5696">
        <v>4</v>
      </c>
      <c r="X5696">
        <v>0</v>
      </c>
      <c r="Y5696">
        <v>0</v>
      </c>
      <c r="Z5696">
        <v>0</v>
      </c>
    </row>
    <row r="5697" spans="1:26" x14ac:dyDescent="0.2">
      <c r="A5697" t="s">
        <v>5815</v>
      </c>
      <c r="B5697" t="s">
        <v>61</v>
      </c>
      <c r="C5697">
        <v>2023</v>
      </c>
      <c r="D5697" t="s">
        <v>18</v>
      </c>
      <c r="E5697" t="s">
        <v>86</v>
      </c>
      <c r="F5697" t="s">
        <v>20</v>
      </c>
      <c r="G5697">
        <v>40341</v>
      </c>
      <c r="H5697">
        <v>32272.800000000003</v>
      </c>
      <c r="I5697" s="13">
        <v>1</v>
      </c>
      <c r="J5697" t="s">
        <v>6207</v>
      </c>
      <c r="K5697">
        <v>2</v>
      </c>
      <c r="L5697">
        <v>1</v>
      </c>
      <c r="M5697" t="s">
        <v>0</v>
      </c>
      <c r="N5697" s="3">
        <v>0.63</v>
      </c>
      <c r="O5697" s="3">
        <v>0.37</v>
      </c>
      <c r="P5697">
        <v>9</v>
      </c>
      <c r="Q5697">
        <v>6</v>
      </c>
      <c r="R5697">
        <v>6</v>
      </c>
      <c r="S5697">
        <v>5</v>
      </c>
      <c r="T5697">
        <v>5</v>
      </c>
      <c r="U5697">
        <v>9</v>
      </c>
      <c r="V5697">
        <v>2</v>
      </c>
      <c r="W5697">
        <v>3</v>
      </c>
      <c r="X5697">
        <v>0</v>
      </c>
      <c r="Y5697">
        <v>0</v>
      </c>
      <c r="Z5697">
        <v>0</v>
      </c>
    </row>
    <row r="5698" spans="1:26" x14ac:dyDescent="0.2">
      <c r="A5698" t="s">
        <v>5816</v>
      </c>
      <c r="B5698" t="s">
        <v>83</v>
      </c>
      <c r="C5698">
        <v>2023</v>
      </c>
      <c r="D5698" t="s">
        <v>28</v>
      </c>
      <c r="E5698" t="s">
        <v>94</v>
      </c>
      <c r="F5698" t="s">
        <v>28</v>
      </c>
      <c r="G5698">
        <v>21944</v>
      </c>
      <c r="H5698">
        <v>17555.2</v>
      </c>
      <c r="I5698" s="13">
        <v>1</v>
      </c>
      <c r="J5698" t="s">
        <v>6208</v>
      </c>
      <c r="K5698">
        <v>1</v>
      </c>
      <c r="L5698">
        <v>2</v>
      </c>
      <c r="M5698" t="s">
        <v>1</v>
      </c>
      <c r="N5698" s="3">
        <v>0.69</v>
      </c>
      <c r="O5698" s="3">
        <v>0.31</v>
      </c>
      <c r="P5698">
        <v>7</v>
      </c>
      <c r="Q5698">
        <v>11</v>
      </c>
      <c r="R5698">
        <v>4</v>
      </c>
      <c r="S5698">
        <v>3</v>
      </c>
      <c r="T5698">
        <v>11</v>
      </c>
      <c r="U5698">
        <v>5</v>
      </c>
      <c r="V5698">
        <v>1</v>
      </c>
      <c r="W5698">
        <v>0</v>
      </c>
      <c r="X5698">
        <v>0</v>
      </c>
      <c r="Y5698">
        <v>0</v>
      </c>
      <c r="Z5698">
        <v>0</v>
      </c>
    </row>
    <row r="5699" spans="1:26" x14ac:dyDescent="0.2">
      <c r="A5699" t="s">
        <v>5817</v>
      </c>
      <c r="B5699" t="s">
        <v>76</v>
      </c>
      <c r="C5699">
        <v>2023</v>
      </c>
      <c r="D5699" t="s">
        <v>90</v>
      </c>
      <c r="E5699" t="s">
        <v>48</v>
      </c>
      <c r="F5699" t="s">
        <v>91</v>
      </c>
      <c r="G5699">
        <v>31876</v>
      </c>
      <c r="H5699">
        <v>25500.800000000003</v>
      </c>
      <c r="I5699" s="13">
        <v>0.75</v>
      </c>
      <c r="J5699" t="s">
        <v>6207</v>
      </c>
      <c r="K5699">
        <v>0</v>
      </c>
      <c r="L5699">
        <v>2</v>
      </c>
      <c r="M5699" t="s">
        <v>1</v>
      </c>
      <c r="N5699" s="3">
        <v>0.56000000000000005</v>
      </c>
      <c r="O5699" s="3">
        <v>0.44</v>
      </c>
      <c r="P5699">
        <v>10</v>
      </c>
      <c r="Q5699">
        <v>8</v>
      </c>
      <c r="R5699">
        <v>7</v>
      </c>
      <c r="S5699">
        <v>5</v>
      </c>
      <c r="T5699">
        <v>10</v>
      </c>
      <c r="U5699">
        <v>9</v>
      </c>
      <c r="V5699">
        <v>1</v>
      </c>
      <c r="W5699">
        <v>3</v>
      </c>
      <c r="X5699">
        <v>0</v>
      </c>
      <c r="Y5699">
        <v>0</v>
      </c>
      <c r="Z5699">
        <v>0</v>
      </c>
    </row>
    <row r="5700" spans="1:26" x14ac:dyDescent="0.2">
      <c r="A5700" t="s">
        <v>5818</v>
      </c>
      <c r="B5700" t="s">
        <v>84</v>
      </c>
      <c r="C5700">
        <v>2023</v>
      </c>
      <c r="D5700" t="s">
        <v>101</v>
      </c>
      <c r="E5700" t="s">
        <v>64</v>
      </c>
      <c r="F5700" t="s">
        <v>101</v>
      </c>
      <c r="G5700">
        <v>17250</v>
      </c>
      <c r="H5700">
        <v>13800</v>
      </c>
      <c r="I5700" s="13">
        <v>0.625</v>
      </c>
      <c r="J5700" t="s">
        <v>6208</v>
      </c>
      <c r="K5700">
        <v>2</v>
      </c>
      <c r="L5700">
        <v>4</v>
      </c>
      <c r="M5700" t="s">
        <v>1</v>
      </c>
      <c r="N5700" s="3">
        <v>0.54</v>
      </c>
      <c r="O5700" s="3">
        <v>0.46</v>
      </c>
      <c r="P5700">
        <v>12</v>
      </c>
      <c r="Q5700">
        <v>17</v>
      </c>
      <c r="R5700">
        <v>3</v>
      </c>
      <c r="S5700">
        <v>0</v>
      </c>
      <c r="T5700">
        <v>15</v>
      </c>
      <c r="U5700">
        <v>11</v>
      </c>
      <c r="V5700">
        <v>4</v>
      </c>
      <c r="W5700">
        <v>4</v>
      </c>
      <c r="X5700">
        <v>0</v>
      </c>
      <c r="Y5700">
        <v>0</v>
      </c>
      <c r="Z5700">
        <v>0</v>
      </c>
    </row>
    <row r="5701" spans="1:26" x14ac:dyDescent="0.2">
      <c r="A5701" t="s">
        <v>5819</v>
      </c>
      <c r="B5701" t="s">
        <v>66</v>
      </c>
      <c r="C5701">
        <v>2023</v>
      </c>
      <c r="D5701" t="s">
        <v>46</v>
      </c>
      <c r="E5701" t="s">
        <v>45</v>
      </c>
      <c r="F5701" t="s">
        <v>20</v>
      </c>
      <c r="G5701">
        <v>60704</v>
      </c>
      <c r="H5701">
        <v>48563.200000000004</v>
      </c>
      <c r="I5701" s="13">
        <v>0.5714285714285714</v>
      </c>
      <c r="J5701" t="s">
        <v>6207</v>
      </c>
      <c r="K5701">
        <v>2</v>
      </c>
      <c r="L5701">
        <v>1</v>
      </c>
      <c r="M5701" t="s">
        <v>0</v>
      </c>
      <c r="N5701" s="3">
        <v>0.69</v>
      </c>
      <c r="O5701" s="3">
        <v>0.31</v>
      </c>
      <c r="P5701">
        <v>15</v>
      </c>
      <c r="Q5701">
        <v>12</v>
      </c>
      <c r="R5701">
        <v>8</v>
      </c>
      <c r="S5701">
        <v>1</v>
      </c>
      <c r="T5701">
        <v>8</v>
      </c>
      <c r="U5701">
        <v>11</v>
      </c>
      <c r="V5701">
        <v>4</v>
      </c>
      <c r="W5701">
        <v>3</v>
      </c>
      <c r="X5701">
        <v>0</v>
      </c>
      <c r="Y5701">
        <v>0</v>
      </c>
      <c r="Z5701">
        <v>0</v>
      </c>
    </row>
    <row r="5702" spans="1:26" x14ac:dyDescent="0.2">
      <c r="A5702" t="s">
        <v>5820</v>
      </c>
      <c r="B5702" t="s">
        <v>99</v>
      </c>
      <c r="C5702">
        <v>2024</v>
      </c>
      <c r="D5702" t="s">
        <v>48</v>
      </c>
      <c r="E5702" t="s">
        <v>31</v>
      </c>
      <c r="F5702" t="s">
        <v>49</v>
      </c>
      <c r="G5702">
        <v>74197</v>
      </c>
      <c r="H5702">
        <v>59357.600000000006</v>
      </c>
      <c r="I5702" s="13">
        <v>0.4</v>
      </c>
      <c r="J5702" t="s">
        <v>6207</v>
      </c>
      <c r="K5702">
        <v>1</v>
      </c>
      <c r="L5702">
        <v>0</v>
      </c>
      <c r="M5702" t="s">
        <v>0</v>
      </c>
      <c r="N5702" s="3">
        <v>0.55000000000000004</v>
      </c>
      <c r="O5702" s="3">
        <v>0.45</v>
      </c>
      <c r="P5702">
        <v>10</v>
      </c>
      <c r="Q5702">
        <v>13</v>
      </c>
      <c r="R5702">
        <v>7</v>
      </c>
      <c r="S5702">
        <v>8</v>
      </c>
      <c r="T5702">
        <v>12</v>
      </c>
      <c r="U5702">
        <v>10</v>
      </c>
      <c r="V5702">
        <v>2</v>
      </c>
      <c r="W5702">
        <v>3</v>
      </c>
      <c r="X5702">
        <v>0</v>
      </c>
      <c r="Y5702">
        <v>0</v>
      </c>
      <c r="Z5702">
        <v>0</v>
      </c>
    </row>
    <row r="5703" spans="1:26" x14ac:dyDescent="0.2">
      <c r="A5703" t="s">
        <v>5821</v>
      </c>
      <c r="B5703" t="s">
        <v>98</v>
      </c>
      <c r="C5703">
        <v>2024</v>
      </c>
      <c r="D5703" t="s">
        <v>117</v>
      </c>
      <c r="E5703" t="s">
        <v>26</v>
      </c>
      <c r="F5703" t="s">
        <v>117</v>
      </c>
      <c r="G5703">
        <v>30056</v>
      </c>
      <c r="H5703">
        <v>24044.800000000003</v>
      </c>
      <c r="I5703" s="13">
        <v>0.25</v>
      </c>
      <c r="J5703" t="s">
        <v>6208</v>
      </c>
      <c r="K5703">
        <v>0</v>
      </c>
      <c r="L5703">
        <v>2</v>
      </c>
      <c r="M5703" t="s">
        <v>1</v>
      </c>
      <c r="N5703" s="3">
        <v>0.38</v>
      </c>
      <c r="O5703" s="3">
        <v>0.62</v>
      </c>
      <c r="P5703">
        <v>19</v>
      </c>
      <c r="Q5703">
        <v>10</v>
      </c>
      <c r="R5703">
        <v>2</v>
      </c>
      <c r="S5703">
        <v>10</v>
      </c>
      <c r="T5703">
        <v>9</v>
      </c>
      <c r="U5703">
        <v>18</v>
      </c>
      <c r="V5703">
        <v>3</v>
      </c>
      <c r="W5703">
        <v>1</v>
      </c>
      <c r="X5703">
        <v>0</v>
      </c>
      <c r="Y5703">
        <v>0</v>
      </c>
      <c r="Z5703">
        <v>0</v>
      </c>
    </row>
    <row r="5704" spans="1:26" x14ac:dyDescent="0.2">
      <c r="A5704" t="s">
        <v>5822</v>
      </c>
      <c r="B5704" t="s">
        <v>66</v>
      </c>
      <c r="C5704">
        <v>2024</v>
      </c>
      <c r="D5704" t="s">
        <v>94</v>
      </c>
      <c r="E5704" t="s">
        <v>86</v>
      </c>
      <c r="F5704" t="s">
        <v>106</v>
      </c>
      <c r="G5704">
        <v>30445</v>
      </c>
      <c r="H5704">
        <v>24356</v>
      </c>
      <c r="I5704" s="13">
        <v>0.5</v>
      </c>
      <c r="J5704" t="s">
        <v>6207</v>
      </c>
      <c r="K5704">
        <v>1</v>
      </c>
      <c r="L5704">
        <v>1</v>
      </c>
      <c r="M5704" t="s">
        <v>58</v>
      </c>
      <c r="N5704" s="3">
        <v>0.54</v>
      </c>
      <c r="O5704" s="3">
        <v>0.47</v>
      </c>
      <c r="P5704">
        <v>9</v>
      </c>
      <c r="Q5704">
        <v>19</v>
      </c>
      <c r="R5704">
        <v>2</v>
      </c>
      <c r="S5704">
        <v>6</v>
      </c>
      <c r="T5704">
        <v>18</v>
      </c>
      <c r="U5704">
        <v>9</v>
      </c>
      <c r="V5704">
        <v>1</v>
      </c>
      <c r="W5704">
        <v>3</v>
      </c>
      <c r="X5704">
        <v>0</v>
      </c>
      <c r="Y5704">
        <v>0</v>
      </c>
      <c r="Z5704">
        <v>0</v>
      </c>
    </row>
    <row r="5705" spans="1:26" x14ac:dyDescent="0.2">
      <c r="A5705" t="s">
        <v>5823</v>
      </c>
      <c r="B5705" t="s">
        <v>76</v>
      </c>
      <c r="C5705">
        <v>2024</v>
      </c>
      <c r="D5705" t="s">
        <v>64</v>
      </c>
      <c r="E5705" t="s">
        <v>73</v>
      </c>
      <c r="F5705" t="s">
        <v>64</v>
      </c>
      <c r="G5705">
        <v>52264</v>
      </c>
      <c r="H5705">
        <v>41811.200000000004</v>
      </c>
      <c r="I5705" s="13">
        <v>0.2857142857142857</v>
      </c>
      <c r="J5705" t="s">
        <v>6207</v>
      </c>
      <c r="K5705">
        <v>1</v>
      </c>
      <c r="L5705">
        <v>0</v>
      </c>
      <c r="M5705" t="s">
        <v>0</v>
      </c>
      <c r="N5705" s="3">
        <v>0.22</v>
      </c>
      <c r="O5705" s="3">
        <v>0.78</v>
      </c>
      <c r="P5705">
        <v>15</v>
      </c>
      <c r="Q5705">
        <v>15</v>
      </c>
      <c r="R5705">
        <v>3</v>
      </c>
      <c r="S5705">
        <v>12</v>
      </c>
      <c r="T5705">
        <v>15</v>
      </c>
      <c r="U5705">
        <v>16</v>
      </c>
      <c r="V5705">
        <v>2</v>
      </c>
      <c r="W5705">
        <v>4</v>
      </c>
      <c r="X5705">
        <v>1</v>
      </c>
      <c r="Y5705">
        <v>0</v>
      </c>
      <c r="Z5705">
        <v>0</v>
      </c>
    </row>
    <row r="5706" spans="1:26" x14ac:dyDescent="0.2">
      <c r="A5706" t="s">
        <v>5824</v>
      </c>
      <c r="B5706" t="s">
        <v>84</v>
      </c>
      <c r="C5706">
        <v>2024</v>
      </c>
      <c r="D5706" t="s">
        <v>45</v>
      </c>
      <c r="E5706" t="s">
        <v>90</v>
      </c>
      <c r="F5706" t="s">
        <v>26</v>
      </c>
      <c r="G5706">
        <v>39572</v>
      </c>
      <c r="H5706">
        <v>31657.600000000002</v>
      </c>
      <c r="I5706" s="13">
        <v>0</v>
      </c>
      <c r="J5706" t="s">
        <v>6208</v>
      </c>
      <c r="K5706">
        <v>0</v>
      </c>
      <c r="L5706">
        <v>3</v>
      </c>
      <c r="M5706" t="s">
        <v>1</v>
      </c>
      <c r="N5706" s="3">
        <v>0.37</v>
      </c>
      <c r="O5706" s="3">
        <v>0.63</v>
      </c>
      <c r="P5706">
        <v>9</v>
      </c>
      <c r="Q5706">
        <v>9</v>
      </c>
      <c r="R5706">
        <v>1</v>
      </c>
      <c r="S5706">
        <v>5</v>
      </c>
      <c r="T5706">
        <v>8</v>
      </c>
      <c r="U5706">
        <v>8</v>
      </c>
      <c r="V5706">
        <v>1</v>
      </c>
      <c r="W5706">
        <v>1</v>
      </c>
      <c r="X5706">
        <v>1</v>
      </c>
      <c r="Y5706">
        <v>0</v>
      </c>
      <c r="Z5706">
        <v>0</v>
      </c>
    </row>
    <row r="5707" spans="1:26" x14ac:dyDescent="0.2">
      <c r="A5707" t="s">
        <v>5825</v>
      </c>
      <c r="B5707" t="s">
        <v>102</v>
      </c>
      <c r="C5707">
        <v>2024</v>
      </c>
      <c r="D5707" t="s">
        <v>46</v>
      </c>
      <c r="E5707" t="s">
        <v>22</v>
      </c>
      <c r="F5707" t="s">
        <v>20</v>
      </c>
      <c r="G5707">
        <v>60704</v>
      </c>
      <c r="H5707">
        <v>48563.200000000004</v>
      </c>
      <c r="I5707" s="13">
        <v>0.75</v>
      </c>
      <c r="J5707" t="s">
        <v>6209</v>
      </c>
      <c r="K5707">
        <v>2</v>
      </c>
      <c r="L5707">
        <v>0</v>
      </c>
      <c r="M5707" t="s">
        <v>0</v>
      </c>
      <c r="N5707" s="3">
        <v>0.53</v>
      </c>
      <c r="O5707" s="3">
        <v>0.47</v>
      </c>
      <c r="P5707">
        <v>14</v>
      </c>
      <c r="Q5707">
        <v>18</v>
      </c>
      <c r="R5707">
        <v>8</v>
      </c>
      <c r="S5707">
        <v>2</v>
      </c>
      <c r="T5707">
        <v>17</v>
      </c>
      <c r="U5707">
        <v>14</v>
      </c>
      <c r="V5707">
        <v>2</v>
      </c>
      <c r="W5707">
        <v>2</v>
      </c>
      <c r="X5707">
        <v>0</v>
      </c>
      <c r="Y5707">
        <v>0</v>
      </c>
      <c r="Z5707">
        <v>0</v>
      </c>
    </row>
    <row r="5708" spans="1:26" x14ac:dyDescent="0.2">
      <c r="A5708" t="s">
        <v>5826</v>
      </c>
      <c r="B5708" t="s">
        <v>105</v>
      </c>
      <c r="C5708">
        <v>2024</v>
      </c>
      <c r="D5708" t="s">
        <v>23</v>
      </c>
      <c r="E5708" t="s">
        <v>42</v>
      </c>
      <c r="F5708" t="s">
        <v>20</v>
      </c>
      <c r="G5708">
        <v>62500</v>
      </c>
      <c r="H5708">
        <v>50000</v>
      </c>
      <c r="I5708" s="13">
        <v>0.66666666666666663</v>
      </c>
      <c r="J5708" t="s">
        <v>6207</v>
      </c>
      <c r="K5708">
        <v>1</v>
      </c>
      <c r="L5708">
        <v>2</v>
      </c>
      <c r="M5708" t="s">
        <v>1</v>
      </c>
      <c r="N5708" s="3">
        <v>0.51</v>
      </c>
      <c r="O5708" s="3">
        <v>0.49</v>
      </c>
      <c r="P5708">
        <v>10</v>
      </c>
      <c r="Q5708">
        <v>19</v>
      </c>
      <c r="R5708">
        <v>5</v>
      </c>
      <c r="S5708">
        <v>3</v>
      </c>
      <c r="T5708">
        <v>18</v>
      </c>
      <c r="U5708">
        <v>11</v>
      </c>
      <c r="V5708">
        <v>1</v>
      </c>
      <c r="W5708">
        <v>2</v>
      </c>
      <c r="X5708">
        <v>0</v>
      </c>
      <c r="Y5708">
        <v>0</v>
      </c>
      <c r="Z5708">
        <v>1</v>
      </c>
    </row>
    <row r="5709" spans="1:26" x14ac:dyDescent="0.2">
      <c r="A5709" t="s">
        <v>5827</v>
      </c>
      <c r="B5709" t="s">
        <v>111</v>
      </c>
      <c r="C5709">
        <v>2024</v>
      </c>
      <c r="D5709" t="s">
        <v>101</v>
      </c>
      <c r="E5709" t="s">
        <v>79</v>
      </c>
      <c r="F5709" t="s">
        <v>101</v>
      </c>
      <c r="G5709">
        <v>17250</v>
      </c>
      <c r="H5709">
        <v>13800</v>
      </c>
      <c r="I5709" s="13">
        <v>0.83333333333333337</v>
      </c>
      <c r="J5709" t="s">
        <v>6207</v>
      </c>
      <c r="K5709">
        <v>2</v>
      </c>
      <c r="L5709">
        <v>1</v>
      </c>
      <c r="M5709" t="s">
        <v>0</v>
      </c>
      <c r="N5709" s="3">
        <v>0.46</v>
      </c>
      <c r="O5709" s="3">
        <v>0.54</v>
      </c>
      <c r="P5709">
        <v>17</v>
      </c>
      <c r="Q5709">
        <v>6</v>
      </c>
      <c r="R5709">
        <v>4</v>
      </c>
      <c r="S5709">
        <v>7</v>
      </c>
      <c r="T5709">
        <v>6</v>
      </c>
      <c r="U5709">
        <v>15</v>
      </c>
      <c r="V5709">
        <v>1</v>
      </c>
      <c r="W5709">
        <v>5</v>
      </c>
      <c r="X5709">
        <v>0</v>
      </c>
      <c r="Y5709">
        <v>0</v>
      </c>
      <c r="Z5709">
        <v>0</v>
      </c>
    </row>
    <row r="5710" spans="1:26" x14ac:dyDescent="0.2">
      <c r="A5710" t="s">
        <v>5828</v>
      </c>
      <c r="B5710" t="s">
        <v>61</v>
      </c>
      <c r="C5710">
        <v>2024</v>
      </c>
      <c r="D5710" t="s">
        <v>18</v>
      </c>
      <c r="E5710" t="s">
        <v>40</v>
      </c>
      <c r="F5710" t="s">
        <v>20</v>
      </c>
      <c r="G5710">
        <v>40341</v>
      </c>
      <c r="H5710">
        <v>32272.800000000003</v>
      </c>
      <c r="I5710" s="13">
        <v>1</v>
      </c>
      <c r="J5710" t="s">
        <v>6207</v>
      </c>
      <c r="K5710">
        <v>0</v>
      </c>
      <c r="L5710">
        <v>2</v>
      </c>
      <c r="M5710" t="s">
        <v>1</v>
      </c>
      <c r="N5710" s="3">
        <v>0.48</v>
      </c>
      <c r="O5710" s="3">
        <v>0.52</v>
      </c>
      <c r="P5710">
        <v>10</v>
      </c>
      <c r="Q5710">
        <v>14</v>
      </c>
      <c r="R5710">
        <v>4</v>
      </c>
      <c r="S5710">
        <v>3</v>
      </c>
      <c r="T5710">
        <v>12</v>
      </c>
      <c r="U5710">
        <v>9</v>
      </c>
      <c r="V5710">
        <v>1</v>
      </c>
      <c r="W5710">
        <v>1</v>
      </c>
      <c r="X5710">
        <v>0</v>
      </c>
      <c r="Y5710">
        <v>0</v>
      </c>
      <c r="Z5710">
        <v>0</v>
      </c>
    </row>
    <row r="5711" spans="1:26" x14ac:dyDescent="0.2">
      <c r="A5711" t="s">
        <v>5829</v>
      </c>
      <c r="B5711" t="s">
        <v>88</v>
      </c>
      <c r="C5711">
        <v>2024</v>
      </c>
      <c r="D5711" t="s">
        <v>80</v>
      </c>
      <c r="E5711" t="s">
        <v>51</v>
      </c>
      <c r="F5711" t="s">
        <v>80</v>
      </c>
      <c r="G5711">
        <v>32261</v>
      </c>
      <c r="H5711">
        <v>25808.800000000003</v>
      </c>
      <c r="I5711" s="13">
        <v>1</v>
      </c>
      <c r="J5711" t="s">
        <v>6207</v>
      </c>
      <c r="K5711">
        <v>1</v>
      </c>
      <c r="L5711">
        <v>1</v>
      </c>
      <c r="M5711" t="s">
        <v>58</v>
      </c>
      <c r="N5711" s="3">
        <v>0.28999999999999998</v>
      </c>
      <c r="O5711" s="3">
        <v>0.71</v>
      </c>
      <c r="P5711">
        <v>13</v>
      </c>
      <c r="Q5711">
        <v>12</v>
      </c>
      <c r="R5711">
        <v>2</v>
      </c>
      <c r="S5711">
        <v>13</v>
      </c>
      <c r="T5711">
        <v>11</v>
      </c>
      <c r="U5711">
        <v>12</v>
      </c>
      <c r="V5711">
        <v>1</v>
      </c>
      <c r="W5711">
        <v>1</v>
      </c>
      <c r="X5711">
        <v>0</v>
      </c>
      <c r="Y5711">
        <v>0</v>
      </c>
      <c r="Z5711">
        <v>0</v>
      </c>
    </row>
    <row r="5712" spans="1:26" x14ac:dyDescent="0.2">
      <c r="A5712" t="s">
        <v>5830</v>
      </c>
      <c r="B5712" t="s">
        <v>76</v>
      </c>
      <c r="C5712">
        <v>2024</v>
      </c>
      <c r="D5712" t="s">
        <v>90</v>
      </c>
      <c r="E5712" t="s">
        <v>48</v>
      </c>
      <c r="F5712" t="s">
        <v>91</v>
      </c>
      <c r="G5712">
        <v>31876</v>
      </c>
      <c r="H5712">
        <v>25500.800000000003</v>
      </c>
      <c r="I5712" s="13">
        <v>0.66666666666666663</v>
      </c>
      <c r="J5712" t="s">
        <v>6207</v>
      </c>
      <c r="K5712">
        <v>2</v>
      </c>
      <c r="L5712">
        <v>1</v>
      </c>
      <c r="M5712" t="s">
        <v>0</v>
      </c>
      <c r="N5712" s="3">
        <v>0.48</v>
      </c>
      <c r="O5712" s="3">
        <v>0.52</v>
      </c>
      <c r="P5712">
        <v>14</v>
      </c>
      <c r="Q5712">
        <v>10</v>
      </c>
      <c r="R5712">
        <v>4</v>
      </c>
      <c r="S5712">
        <v>4</v>
      </c>
      <c r="T5712">
        <v>9</v>
      </c>
      <c r="U5712">
        <v>13</v>
      </c>
      <c r="V5712">
        <v>1</v>
      </c>
      <c r="W5712">
        <v>2</v>
      </c>
      <c r="X5712">
        <v>0</v>
      </c>
      <c r="Y5712">
        <v>0</v>
      </c>
      <c r="Z5712">
        <v>0</v>
      </c>
    </row>
    <row r="5713" spans="1:26" x14ac:dyDescent="0.2">
      <c r="A5713" t="s">
        <v>5831</v>
      </c>
      <c r="B5713" t="s">
        <v>61</v>
      </c>
      <c r="C5713">
        <v>2024</v>
      </c>
      <c r="D5713" t="s">
        <v>51</v>
      </c>
      <c r="E5713" t="s">
        <v>45</v>
      </c>
      <c r="F5713" t="s">
        <v>20</v>
      </c>
      <c r="G5713">
        <v>36284</v>
      </c>
      <c r="H5713">
        <v>29027.200000000001</v>
      </c>
      <c r="I5713" s="13">
        <v>0</v>
      </c>
      <c r="J5713" t="s">
        <v>6207</v>
      </c>
      <c r="K5713">
        <v>4</v>
      </c>
      <c r="L5713">
        <v>0</v>
      </c>
      <c r="M5713" t="s">
        <v>0</v>
      </c>
      <c r="N5713" s="3">
        <v>0.71</v>
      </c>
      <c r="O5713" s="3">
        <v>0.28999999999999998</v>
      </c>
      <c r="P5713">
        <v>17</v>
      </c>
      <c r="Q5713">
        <v>12</v>
      </c>
      <c r="R5713">
        <v>12</v>
      </c>
      <c r="S5713">
        <v>5</v>
      </c>
      <c r="T5713">
        <v>11</v>
      </c>
      <c r="U5713">
        <v>15</v>
      </c>
      <c r="V5713">
        <v>0</v>
      </c>
      <c r="W5713">
        <v>0</v>
      </c>
      <c r="X5713">
        <v>0</v>
      </c>
      <c r="Y5713">
        <v>0</v>
      </c>
      <c r="Z5713">
        <v>0</v>
      </c>
    </row>
    <row r="5714" spans="1:26" x14ac:dyDescent="0.2">
      <c r="A5714" t="s">
        <v>5832</v>
      </c>
      <c r="B5714" t="s">
        <v>111</v>
      </c>
      <c r="C5714">
        <v>2024</v>
      </c>
      <c r="D5714" t="s">
        <v>73</v>
      </c>
      <c r="E5714" t="s">
        <v>94</v>
      </c>
      <c r="F5714" t="s">
        <v>73</v>
      </c>
      <c r="G5714">
        <v>32384</v>
      </c>
      <c r="H5714">
        <v>25907.200000000001</v>
      </c>
      <c r="I5714" s="13">
        <v>0.5714285714285714</v>
      </c>
      <c r="J5714" t="s">
        <v>6207</v>
      </c>
      <c r="K5714">
        <v>0</v>
      </c>
      <c r="L5714">
        <v>1</v>
      </c>
      <c r="M5714" t="s">
        <v>1</v>
      </c>
      <c r="N5714" s="3">
        <v>0.65</v>
      </c>
      <c r="O5714" s="3">
        <v>0.35</v>
      </c>
      <c r="P5714">
        <v>15</v>
      </c>
      <c r="Q5714">
        <v>16</v>
      </c>
      <c r="R5714">
        <v>4</v>
      </c>
      <c r="S5714">
        <v>10</v>
      </c>
      <c r="T5714">
        <v>14</v>
      </c>
      <c r="U5714">
        <v>13</v>
      </c>
      <c r="V5714">
        <v>3</v>
      </c>
      <c r="W5714">
        <v>4</v>
      </c>
      <c r="X5714">
        <v>0</v>
      </c>
      <c r="Y5714">
        <v>0</v>
      </c>
      <c r="Z5714">
        <v>0</v>
      </c>
    </row>
    <row r="5715" spans="1:26" x14ac:dyDescent="0.2">
      <c r="A5715" t="s">
        <v>5833</v>
      </c>
      <c r="B5715" t="s">
        <v>112</v>
      </c>
      <c r="C5715">
        <v>2024</v>
      </c>
      <c r="D5715" t="s">
        <v>40</v>
      </c>
      <c r="E5715" t="s">
        <v>117</v>
      </c>
      <c r="F5715" t="s">
        <v>49</v>
      </c>
      <c r="G5715">
        <v>53400</v>
      </c>
      <c r="H5715">
        <v>42720</v>
      </c>
      <c r="I5715" s="13">
        <v>0.6</v>
      </c>
      <c r="J5715" t="s">
        <v>6209</v>
      </c>
      <c r="K5715">
        <v>4</v>
      </c>
      <c r="L5715">
        <v>1</v>
      </c>
      <c r="M5715" t="s">
        <v>0</v>
      </c>
      <c r="N5715" s="3">
        <v>0.76</v>
      </c>
      <c r="O5715" s="3">
        <v>0.24</v>
      </c>
      <c r="P5715">
        <v>16</v>
      </c>
      <c r="Q5715">
        <v>4</v>
      </c>
      <c r="R5715">
        <v>10</v>
      </c>
      <c r="S5715">
        <v>1</v>
      </c>
      <c r="T5715">
        <v>4</v>
      </c>
      <c r="U5715">
        <v>15</v>
      </c>
      <c r="V5715">
        <v>2</v>
      </c>
      <c r="W5715">
        <v>3</v>
      </c>
      <c r="X5715">
        <v>0</v>
      </c>
      <c r="Y5715">
        <v>0</v>
      </c>
      <c r="Z5715">
        <v>1</v>
      </c>
    </row>
    <row r="5716" spans="1:26" x14ac:dyDescent="0.2">
      <c r="A5716" t="s">
        <v>5834</v>
      </c>
      <c r="B5716" t="s">
        <v>108</v>
      </c>
      <c r="C5716">
        <v>2024</v>
      </c>
      <c r="D5716" t="s">
        <v>31</v>
      </c>
      <c r="E5716" t="s">
        <v>80</v>
      </c>
      <c r="F5716" t="s">
        <v>20</v>
      </c>
      <c r="G5716">
        <v>28500</v>
      </c>
      <c r="H5716">
        <v>22800</v>
      </c>
      <c r="I5716" s="13">
        <v>0.4</v>
      </c>
      <c r="J5716" t="s">
        <v>6207</v>
      </c>
      <c r="K5716">
        <v>2</v>
      </c>
      <c r="L5716">
        <v>1</v>
      </c>
      <c r="M5716" t="s">
        <v>0</v>
      </c>
      <c r="N5716" s="3">
        <v>0.55000000000000004</v>
      </c>
      <c r="O5716" s="3">
        <v>0.45</v>
      </c>
      <c r="P5716">
        <v>16</v>
      </c>
      <c r="Q5716">
        <v>16</v>
      </c>
      <c r="R5716">
        <v>7</v>
      </c>
      <c r="S5716">
        <v>5</v>
      </c>
      <c r="T5716">
        <v>14</v>
      </c>
      <c r="U5716">
        <v>13</v>
      </c>
      <c r="V5716">
        <v>3</v>
      </c>
      <c r="W5716">
        <v>2</v>
      </c>
      <c r="X5716">
        <v>0</v>
      </c>
      <c r="Y5716">
        <v>0</v>
      </c>
      <c r="Z5716">
        <v>0</v>
      </c>
    </row>
    <row r="5717" spans="1:26" x14ac:dyDescent="0.2">
      <c r="A5717" t="s">
        <v>5835</v>
      </c>
      <c r="B5717" t="s">
        <v>99</v>
      </c>
      <c r="C5717">
        <v>2024</v>
      </c>
      <c r="D5717" t="s">
        <v>79</v>
      </c>
      <c r="E5717" t="s">
        <v>23</v>
      </c>
      <c r="F5717" t="s">
        <v>20</v>
      </c>
      <c r="G5717">
        <v>25486</v>
      </c>
      <c r="H5717">
        <v>20388.800000000003</v>
      </c>
      <c r="I5717" s="13">
        <v>1</v>
      </c>
      <c r="J5717" t="s">
        <v>6207</v>
      </c>
      <c r="K5717">
        <v>0</v>
      </c>
      <c r="L5717">
        <v>2</v>
      </c>
      <c r="M5717" t="s">
        <v>1</v>
      </c>
      <c r="N5717" s="3">
        <v>0.59</v>
      </c>
      <c r="O5717" s="3">
        <v>0.41</v>
      </c>
      <c r="P5717">
        <v>19</v>
      </c>
      <c r="Q5717">
        <v>10</v>
      </c>
      <c r="R5717">
        <v>3</v>
      </c>
      <c r="S5717">
        <v>3</v>
      </c>
      <c r="T5717">
        <v>9</v>
      </c>
      <c r="U5717">
        <v>17</v>
      </c>
      <c r="V5717">
        <v>1</v>
      </c>
      <c r="W5717">
        <v>1</v>
      </c>
      <c r="X5717">
        <v>0</v>
      </c>
      <c r="Y5717">
        <v>0</v>
      </c>
      <c r="Z5717">
        <v>0</v>
      </c>
    </row>
    <row r="5718" spans="1:26" x14ac:dyDescent="0.2">
      <c r="A5718" t="s">
        <v>5836</v>
      </c>
      <c r="B5718" t="s">
        <v>66</v>
      </c>
      <c r="C5718">
        <v>2024</v>
      </c>
      <c r="D5718" t="s">
        <v>42</v>
      </c>
      <c r="E5718" t="s">
        <v>46</v>
      </c>
      <c r="F5718" t="s">
        <v>38</v>
      </c>
      <c r="G5718">
        <v>42918</v>
      </c>
      <c r="H5718">
        <v>34334.400000000001</v>
      </c>
      <c r="I5718" s="13">
        <v>0.75</v>
      </c>
      <c r="J5718" t="s">
        <v>6207</v>
      </c>
      <c r="K5718">
        <v>0</v>
      </c>
      <c r="L5718">
        <v>2</v>
      </c>
      <c r="M5718" t="s">
        <v>1</v>
      </c>
      <c r="N5718" s="3">
        <v>0.39</v>
      </c>
      <c r="O5718" s="3">
        <v>0.61</v>
      </c>
      <c r="P5718">
        <v>16</v>
      </c>
      <c r="Q5718">
        <v>9</v>
      </c>
      <c r="R5718">
        <v>4</v>
      </c>
      <c r="S5718">
        <v>1</v>
      </c>
      <c r="T5718">
        <v>8</v>
      </c>
      <c r="U5718">
        <v>15</v>
      </c>
      <c r="V5718">
        <v>1</v>
      </c>
      <c r="W5718">
        <v>3</v>
      </c>
      <c r="X5718">
        <v>0</v>
      </c>
      <c r="Y5718">
        <v>0</v>
      </c>
      <c r="Z5718">
        <v>0</v>
      </c>
    </row>
    <row r="5719" spans="1:26" x14ac:dyDescent="0.2">
      <c r="A5719" t="s">
        <v>5837</v>
      </c>
      <c r="B5719" t="s">
        <v>100</v>
      </c>
      <c r="C5719">
        <v>2024</v>
      </c>
      <c r="D5719" t="s">
        <v>22</v>
      </c>
      <c r="E5719" t="s">
        <v>18</v>
      </c>
      <c r="F5719" t="s">
        <v>24</v>
      </c>
      <c r="G5719">
        <v>31750</v>
      </c>
      <c r="H5719">
        <v>25400</v>
      </c>
      <c r="I5719" s="13">
        <v>0.8</v>
      </c>
      <c r="J5719" t="s">
        <v>6207</v>
      </c>
      <c r="K5719">
        <v>2</v>
      </c>
      <c r="L5719">
        <v>6</v>
      </c>
      <c r="M5719" t="s">
        <v>1</v>
      </c>
      <c r="N5719" s="3">
        <v>0.38</v>
      </c>
      <c r="O5719" s="3">
        <v>0.62</v>
      </c>
      <c r="P5719">
        <v>14</v>
      </c>
      <c r="Q5719">
        <v>14</v>
      </c>
      <c r="R5719">
        <v>5</v>
      </c>
      <c r="S5719">
        <v>5</v>
      </c>
      <c r="T5719">
        <v>13</v>
      </c>
      <c r="U5719">
        <v>13</v>
      </c>
      <c r="V5719">
        <v>2</v>
      </c>
      <c r="W5719">
        <v>3</v>
      </c>
      <c r="X5719">
        <v>0</v>
      </c>
      <c r="Y5719">
        <v>0</v>
      </c>
      <c r="Z5719">
        <v>0</v>
      </c>
    </row>
    <row r="5720" spans="1:26" x14ac:dyDescent="0.2">
      <c r="A5720" t="s">
        <v>5838</v>
      </c>
      <c r="B5720" t="s">
        <v>93</v>
      </c>
      <c r="C5720">
        <v>2024</v>
      </c>
      <c r="D5720" t="s">
        <v>86</v>
      </c>
      <c r="E5720" t="s">
        <v>64</v>
      </c>
      <c r="F5720" t="s">
        <v>86</v>
      </c>
      <c r="G5720">
        <v>11364</v>
      </c>
      <c r="H5720">
        <v>9091.2000000000007</v>
      </c>
      <c r="I5720" s="13">
        <v>0.4</v>
      </c>
      <c r="J5720" t="s">
        <v>6206</v>
      </c>
      <c r="K5720">
        <v>1</v>
      </c>
      <c r="L5720">
        <v>1</v>
      </c>
      <c r="M5720" t="s">
        <v>58</v>
      </c>
      <c r="N5720" s="3">
        <v>0.39</v>
      </c>
      <c r="O5720" s="3">
        <v>0.61</v>
      </c>
      <c r="P5720">
        <v>7</v>
      </c>
      <c r="Q5720">
        <v>21</v>
      </c>
      <c r="R5720">
        <v>8</v>
      </c>
      <c r="S5720">
        <v>9</v>
      </c>
      <c r="T5720">
        <v>19</v>
      </c>
      <c r="U5720">
        <v>8</v>
      </c>
      <c r="V5720">
        <v>3</v>
      </c>
      <c r="W5720">
        <v>2</v>
      </c>
      <c r="X5720">
        <v>0</v>
      </c>
      <c r="Y5720">
        <v>0</v>
      </c>
      <c r="Z5720">
        <v>0</v>
      </c>
    </row>
    <row r="5721" spans="1:26" x14ac:dyDescent="0.2">
      <c r="A5721" t="s">
        <v>5839</v>
      </c>
      <c r="B5721" t="s">
        <v>59</v>
      </c>
      <c r="C5721">
        <v>2024</v>
      </c>
      <c r="D5721" t="s">
        <v>26</v>
      </c>
      <c r="E5721" t="s">
        <v>101</v>
      </c>
      <c r="F5721" t="s">
        <v>26</v>
      </c>
      <c r="G5721">
        <v>61276</v>
      </c>
      <c r="H5721">
        <v>49020.800000000003</v>
      </c>
      <c r="I5721" s="13">
        <v>1</v>
      </c>
      <c r="J5721" t="s">
        <v>6206</v>
      </c>
      <c r="K5721">
        <v>2</v>
      </c>
      <c r="L5721">
        <v>0</v>
      </c>
      <c r="M5721" t="s">
        <v>0</v>
      </c>
      <c r="N5721" s="3">
        <v>0.62</v>
      </c>
      <c r="O5721" s="3">
        <v>0.38</v>
      </c>
      <c r="P5721">
        <v>7</v>
      </c>
      <c r="Q5721">
        <v>10</v>
      </c>
      <c r="R5721">
        <v>9</v>
      </c>
      <c r="S5721">
        <v>4</v>
      </c>
      <c r="T5721">
        <v>10</v>
      </c>
      <c r="U5721">
        <v>7</v>
      </c>
      <c r="V5721">
        <v>2</v>
      </c>
      <c r="W5721">
        <v>3</v>
      </c>
      <c r="X5721">
        <v>0</v>
      </c>
      <c r="Y5721">
        <v>0</v>
      </c>
      <c r="Z5721">
        <v>0</v>
      </c>
    </row>
    <row r="5722" spans="1:26" x14ac:dyDescent="0.2">
      <c r="A5722" t="s">
        <v>5840</v>
      </c>
      <c r="B5722" t="s">
        <v>88</v>
      </c>
      <c r="C5722">
        <v>2024</v>
      </c>
      <c r="D5722" t="s">
        <v>46</v>
      </c>
      <c r="E5722" t="s">
        <v>90</v>
      </c>
      <c r="F5722" t="s">
        <v>20</v>
      </c>
      <c r="G5722">
        <v>60704</v>
      </c>
      <c r="H5722">
        <v>48563.200000000004</v>
      </c>
      <c r="I5722" s="13">
        <v>0.7142857142857143</v>
      </c>
      <c r="J5722" t="s">
        <v>6207</v>
      </c>
      <c r="K5722">
        <v>1</v>
      </c>
      <c r="L5722">
        <v>1</v>
      </c>
      <c r="M5722" t="s">
        <v>58</v>
      </c>
      <c r="N5722" s="3">
        <v>0.36</v>
      </c>
      <c r="O5722" s="3">
        <v>0.64</v>
      </c>
      <c r="P5722">
        <v>8</v>
      </c>
      <c r="Q5722">
        <v>12</v>
      </c>
      <c r="R5722">
        <v>3</v>
      </c>
      <c r="S5722">
        <v>7</v>
      </c>
      <c r="T5722">
        <v>12</v>
      </c>
      <c r="U5722">
        <v>7</v>
      </c>
      <c r="V5722">
        <v>4</v>
      </c>
      <c r="W5722">
        <v>2</v>
      </c>
      <c r="X5722">
        <v>1</v>
      </c>
      <c r="Y5722">
        <v>0</v>
      </c>
      <c r="Z5722">
        <v>0</v>
      </c>
    </row>
    <row r="5723" spans="1:26" x14ac:dyDescent="0.2">
      <c r="A5723" t="s">
        <v>5841</v>
      </c>
      <c r="B5723" t="s">
        <v>84</v>
      </c>
      <c r="C5723">
        <v>2024</v>
      </c>
      <c r="D5723" t="s">
        <v>94</v>
      </c>
      <c r="E5723" t="s">
        <v>22</v>
      </c>
      <c r="F5723" t="s">
        <v>106</v>
      </c>
      <c r="G5723">
        <v>30445</v>
      </c>
      <c r="H5723">
        <v>24356</v>
      </c>
      <c r="I5723" s="13">
        <v>0.625</v>
      </c>
      <c r="J5723" t="s">
        <v>6208</v>
      </c>
      <c r="K5723">
        <v>1</v>
      </c>
      <c r="L5723">
        <v>1</v>
      </c>
      <c r="M5723" t="s">
        <v>58</v>
      </c>
      <c r="N5723" s="3">
        <v>0.52</v>
      </c>
      <c r="O5723" s="3">
        <v>0.48</v>
      </c>
      <c r="P5723">
        <v>5</v>
      </c>
      <c r="Q5723">
        <v>16</v>
      </c>
      <c r="R5723">
        <v>7</v>
      </c>
      <c r="S5723">
        <v>3</v>
      </c>
      <c r="T5723">
        <v>15</v>
      </c>
      <c r="U5723">
        <v>18</v>
      </c>
      <c r="V5723">
        <v>3</v>
      </c>
      <c r="W5723">
        <v>5</v>
      </c>
      <c r="X5723">
        <v>0</v>
      </c>
      <c r="Y5723">
        <v>0</v>
      </c>
      <c r="Z5723">
        <v>0</v>
      </c>
    </row>
    <row r="5724" spans="1:26" x14ac:dyDescent="0.2">
      <c r="A5724" t="s">
        <v>5842</v>
      </c>
      <c r="B5724" t="s">
        <v>93</v>
      </c>
      <c r="C5724">
        <v>2024</v>
      </c>
      <c r="D5724" t="s">
        <v>80</v>
      </c>
      <c r="E5724" t="s">
        <v>42</v>
      </c>
      <c r="F5724" t="s">
        <v>80</v>
      </c>
      <c r="G5724">
        <v>32261</v>
      </c>
      <c r="H5724">
        <v>25808.800000000003</v>
      </c>
      <c r="I5724" s="13">
        <v>0.5</v>
      </c>
      <c r="J5724" t="s">
        <v>6206</v>
      </c>
      <c r="K5724">
        <v>1</v>
      </c>
      <c r="L5724">
        <v>2</v>
      </c>
      <c r="M5724" t="s">
        <v>1</v>
      </c>
      <c r="N5724" s="3">
        <v>0.56999999999999995</v>
      </c>
      <c r="O5724" s="3">
        <v>0.43</v>
      </c>
      <c r="P5724">
        <v>28</v>
      </c>
      <c r="Q5724">
        <v>15</v>
      </c>
      <c r="R5724">
        <v>1</v>
      </c>
      <c r="S5724">
        <v>4</v>
      </c>
      <c r="T5724">
        <v>13</v>
      </c>
      <c r="U5724">
        <v>21</v>
      </c>
      <c r="V5724">
        <v>5</v>
      </c>
      <c r="W5724">
        <v>5</v>
      </c>
      <c r="X5724">
        <v>0</v>
      </c>
      <c r="Y5724">
        <v>0</v>
      </c>
      <c r="Z5724">
        <v>0</v>
      </c>
    </row>
    <row r="5725" spans="1:26" x14ac:dyDescent="0.2">
      <c r="A5725" t="s">
        <v>5843</v>
      </c>
      <c r="B5725" t="s">
        <v>114</v>
      </c>
      <c r="C5725">
        <v>2024</v>
      </c>
      <c r="D5725" t="s">
        <v>117</v>
      </c>
      <c r="E5725" t="s">
        <v>31</v>
      </c>
      <c r="F5725" t="s">
        <v>117</v>
      </c>
      <c r="G5725">
        <v>30056</v>
      </c>
      <c r="H5725">
        <v>24044.800000000003</v>
      </c>
      <c r="I5725" s="13">
        <v>0.8</v>
      </c>
      <c r="J5725" t="s">
        <v>6209</v>
      </c>
      <c r="K5725">
        <v>1</v>
      </c>
      <c r="L5725">
        <v>1</v>
      </c>
      <c r="M5725" t="s">
        <v>58</v>
      </c>
      <c r="N5725" s="3">
        <v>0.48</v>
      </c>
      <c r="O5725" s="3">
        <v>0.52</v>
      </c>
      <c r="P5725">
        <v>16</v>
      </c>
      <c r="Q5725">
        <v>18</v>
      </c>
      <c r="R5725">
        <v>8</v>
      </c>
      <c r="S5725">
        <v>6</v>
      </c>
      <c r="T5725">
        <v>15</v>
      </c>
      <c r="U5725">
        <v>15</v>
      </c>
      <c r="V5725">
        <v>2</v>
      </c>
      <c r="W5725">
        <v>3</v>
      </c>
      <c r="X5725">
        <v>0</v>
      </c>
      <c r="Y5725">
        <v>0</v>
      </c>
      <c r="Z5725">
        <v>0</v>
      </c>
    </row>
    <row r="5726" spans="1:26" x14ac:dyDescent="0.2">
      <c r="A5726" t="s">
        <v>5844</v>
      </c>
      <c r="B5726" t="s">
        <v>59</v>
      </c>
      <c r="C5726">
        <v>2024</v>
      </c>
      <c r="D5726" t="s">
        <v>45</v>
      </c>
      <c r="E5726" t="s">
        <v>86</v>
      </c>
      <c r="F5726" t="s">
        <v>26</v>
      </c>
      <c r="G5726">
        <v>39572</v>
      </c>
      <c r="H5726">
        <v>31657.600000000002</v>
      </c>
      <c r="I5726" s="13">
        <v>0.33333333333333331</v>
      </c>
      <c r="J5726" t="s">
        <v>6206</v>
      </c>
      <c r="K5726">
        <v>2</v>
      </c>
      <c r="L5726">
        <v>3</v>
      </c>
      <c r="M5726" t="s">
        <v>1</v>
      </c>
      <c r="N5726" s="3">
        <v>0.47</v>
      </c>
      <c r="O5726" s="3">
        <v>0.53</v>
      </c>
      <c r="P5726">
        <v>12</v>
      </c>
      <c r="Q5726">
        <v>7</v>
      </c>
      <c r="R5726">
        <v>8</v>
      </c>
      <c r="S5726">
        <v>4</v>
      </c>
      <c r="T5726">
        <v>6</v>
      </c>
      <c r="U5726">
        <v>11</v>
      </c>
      <c r="V5726">
        <v>2</v>
      </c>
      <c r="W5726">
        <v>1</v>
      </c>
      <c r="X5726">
        <v>0</v>
      </c>
      <c r="Y5726">
        <v>0</v>
      </c>
      <c r="Z5726">
        <v>0</v>
      </c>
    </row>
    <row r="5727" spans="1:26" x14ac:dyDescent="0.2">
      <c r="A5727" t="s">
        <v>5845</v>
      </c>
      <c r="B5727" t="s">
        <v>109</v>
      </c>
      <c r="C5727">
        <v>2024</v>
      </c>
      <c r="D5727" t="s">
        <v>101</v>
      </c>
      <c r="E5727" t="s">
        <v>73</v>
      </c>
      <c r="F5727" t="s">
        <v>101</v>
      </c>
      <c r="G5727">
        <v>17250</v>
      </c>
      <c r="H5727">
        <v>13800</v>
      </c>
      <c r="I5727" s="13">
        <v>0.66666666666666663</v>
      </c>
      <c r="J5727" t="s">
        <v>6209</v>
      </c>
      <c r="K5727">
        <v>3</v>
      </c>
      <c r="L5727">
        <v>1</v>
      </c>
      <c r="M5727" t="s">
        <v>0</v>
      </c>
      <c r="N5727" s="3">
        <v>0.37</v>
      </c>
      <c r="O5727" s="3">
        <v>0.63</v>
      </c>
      <c r="P5727">
        <v>7</v>
      </c>
      <c r="Q5727">
        <v>10</v>
      </c>
      <c r="R5727">
        <v>2</v>
      </c>
      <c r="S5727">
        <v>8</v>
      </c>
      <c r="T5727">
        <v>10</v>
      </c>
      <c r="U5727">
        <v>7</v>
      </c>
      <c r="V5727">
        <v>2</v>
      </c>
      <c r="W5727">
        <v>1</v>
      </c>
      <c r="X5727">
        <v>0</v>
      </c>
      <c r="Y5727">
        <v>0</v>
      </c>
      <c r="Z5727">
        <v>0</v>
      </c>
    </row>
    <row r="5728" spans="1:26" x14ac:dyDescent="0.2">
      <c r="A5728" t="s">
        <v>5846</v>
      </c>
      <c r="B5728" t="s">
        <v>66</v>
      </c>
      <c r="C5728">
        <v>2024</v>
      </c>
      <c r="D5728" t="s">
        <v>23</v>
      </c>
      <c r="E5728" t="s">
        <v>40</v>
      </c>
      <c r="F5728" t="s">
        <v>20</v>
      </c>
      <c r="G5728">
        <v>62500</v>
      </c>
      <c r="H5728">
        <v>50000</v>
      </c>
      <c r="I5728" s="13">
        <v>0.8</v>
      </c>
      <c r="J5728" t="s">
        <v>6207</v>
      </c>
      <c r="K5728">
        <v>1</v>
      </c>
      <c r="L5728">
        <v>3</v>
      </c>
      <c r="M5728" t="s">
        <v>1</v>
      </c>
      <c r="N5728" s="3">
        <v>0.32</v>
      </c>
      <c r="O5728" s="3">
        <v>0.68</v>
      </c>
      <c r="P5728">
        <v>3</v>
      </c>
      <c r="Q5728">
        <v>10</v>
      </c>
      <c r="R5728">
        <v>3</v>
      </c>
      <c r="S5728">
        <v>11</v>
      </c>
      <c r="T5728">
        <v>10</v>
      </c>
      <c r="U5728">
        <v>3</v>
      </c>
      <c r="V5728">
        <v>3</v>
      </c>
      <c r="W5728">
        <v>2</v>
      </c>
      <c r="X5728">
        <v>0</v>
      </c>
      <c r="Y5728">
        <v>0</v>
      </c>
      <c r="Z5728">
        <v>0</v>
      </c>
    </row>
    <row r="5729" spans="1:26" x14ac:dyDescent="0.2">
      <c r="A5729" t="s">
        <v>5847</v>
      </c>
      <c r="B5729" t="s">
        <v>99</v>
      </c>
      <c r="C5729">
        <v>2024</v>
      </c>
      <c r="D5729" t="s">
        <v>64</v>
      </c>
      <c r="E5729" t="s">
        <v>51</v>
      </c>
      <c r="F5729" t="s">
        <v>64</v>
      </c>
      <c r="G5729">
        <v>52264</v>
      </c>
      <c r="H5729">
        <v>41811.200000000004</v>
      </c>
      <c r="I5729" s="13">
        <v>0.625</v>
      </c>
      <c r="J5729" t="s">
        <v>6207</v>
      </c>
      <c r="K5729">
        <v>2</v>
      </c>
      <c r="L5729">
        <v>1</v>
      </c>
      <c r="M5729" t="s">
        <v>0</v>
      </c>
      <c r="N5729" s="3">
        <v>0.34</v>
      </c>
      <c r="O5729" s="3">
        <v>0.66</v>
      </c>
      <c r="P5729">
        <v>13</v>
      </c>
      <c r="Q5729">
        <v>17</v>
      </c>
      <c r="R5729">
        <v>7</v>
      </c>
      <c r="S5729">
        <v>12</v>
      </c>
      <c r="T5729">
        <v>16</v>
      </c>
      <c r="U5729">
        <v>13</v>
      </c>
      <c r="V5729">
        <v>4</v>
      </c>
      <c r="W5729">
        <v>4</v>
      </c>
      <c r="X5729">
        <v>0</v>
      </c>
      <c r="Y5729">
        <v>0</v>
      </c>
      <c r="Z5729">
        <v>0</v>
      </c>
    </row>
    <row r="5730" spans="1:26" x14ac:dyDescent="0.2">
      <c r="A5730" t="s">
        <v>5848</v>
      </c>
      <c r="B5730" t="s">
        <v>102</v>
      </c>
      <c r="C5730">
        <v>2024</v>
      </c>
      <c r="D5730" t="s">
        <v>18</v>
      </c>
      <c r="E5730" t="s">
        <v>79</v>
      </c>
      <c r="F5730" t="s">
        <v>20</v>
      </c>
      <c r="G5730">
        <v>40341</v>
      </c>
      <c r="H5730">
        <v>32272.800000000003</v>
      </c>
      <c r="I5730" s="13">
        <v>0.66666666666666663</v>
      </c>
      <c r="J5730" t="s">
        <v>6209</v>
      </c>
      <c r="K5730">
        <v>1</v>
      </c>
      <c r="L5730">
        <v>1</v>
      </c>
      <c r="M5730" t="s">
        <v>58</v>
      </c>
      <c r="N5730" s="3">
        <v>0.63</v>
      </c>
      <c r="O5730" s="3">
        <v>0.37</v>
      </c>
      <c r="P5730">
        <v>15</v>
      </c>
      <c r="Q5730">
        <v>10</v>
      </c>
      <c r="R5730">
        <v>4</v>
      </c>
      <c r="S5730">
        <v>4</v>
      </c>
      <c r="T5730">
        <v>9</v>
      </c>
      <c r="U5730">
        <v>13</v>
      </c>
      <c r="V5730">
        <v>4</v>
      </c>
      <c r="W5730">
        <v>2</v>
      </c>
      <c r="X5730">
        <v>0</v>
      </c>
      <c r="Y5730">
        <v>0</v>
      </c>
      <c r="Z5730">
        <v>0</v>
      </c>
    </row>
    <row r="5731" spans="1:26" x14ac:dyDescent="0.2">
      <c r="A5731" t="s">
        <v>5849</v>
      </c>
      <c r="B5731" t="s">
        <v>61</v>
      </c>
      <c r="C5731">
        <v>2024</v>
      </c>
      <c r="D5731" t="s">
        <v>48</v>
      </c>
      <c r="E5731" t="s">
        <v>26</v>
      </c>
      <c r="F5731" t="s">
        <v>49</v>
      </c>
      <c r="G5731">
        <v>74197</v>
      </c>
      <c r="H5731">
        <v>59357.600000000006</v>
      </c>
      <c r="I5731" s="13">
        <v>0.4</v>
      </c>
      <c r="J5731" t="s">
        <v>6207</v>
      </c>
      <c r="K5731">
        <v>0</v>
      </c>
      <c r="L5731">
        <v>3</v>
      </c>
      <c r="M5731" t="s">
        <v>1</v>
      </c>
      <c r="N5731" s="3">
        <v>0.53</v>
      </c>
      <c r="O5731" s="3">
        <v>0.47</v>
      </c>
      <c r="P5731">
        <v>8</v>
      </c>
      <c r="Q5731">
        <v>7</v>
      </c>
      <c r="R5731">
        <v>5</v>
      </c>
      <c r="S5731">
        <v>2</v>
      </c>
      <c r="T5731">
        <v>7</v>
      </c>
      <c r="U5731">
        <v>7</v>
      </c>
      <c r="V5731">
        <v>4</v>
      </c>
      <c r="W5731">
        <v>1</v>
      </c>
      <c r="X5731">
        <v>0</v>
      </c>
      <c r="Y5731">
        <v>0</v>
      </c>
      <c r="Z5731">
        <v>0</v>
      </c>
    </row>
    <row r="5732" spans="1:26" x14ac:dyDescent="0.2">
      <c r="A5732" t="s">
        <v>5850</v>
      </c>
      <c r="B5732" t="s">
        <v>59</v>
      </c>
      <c r="C5732">
        <v>2024</v>
      </c>
      <c r="D5732" t="s">
        <v>73</v>
      </c>
      <c r="E5732" t="s">
        <v>48</v>
      </c>
      <c r="F5732" t="s">
        <v>73</v>
      </c>
      <c r="G5732">
        <v>32384</v>
      </c>
      <c r="H5732">
        <v>25907.200000000001</v>
      </c>
      <c r="I5732" s="13">
        <v>0.42857142857142855</v>
      </c>
      <c r="J5732" t="s">
        <v>6206</v>
      </c>
      <c r="K5732">
        <v>0</v>
      </c>
      <c r="L5732">
        <v>3</v>
      </c>
      <c r="M5732" t="s">
        <v>1</v>
      </c>
      <c r="N5732" s="3">
        <v>0.44</v>
      </c>
      <c r="O5732" s="3">
        <v>0.56000000000000005</v>
      </c>
      <c r="P5732">
        <v>14</v>
      </c>
      <c r="Q5732">
        <v>12</v>
      </c>
      <c r="R5732">
        <v>0</v>
      </c>
      <c r="S5732">
        <v>7</v>
      </c>
      <c r="T5732">
        <v>11</v>
      </c>
      <c r="U5732">
        <v>14</v>
      </c>
      <c r="V5732">
        <v>2</v>
      </c>
      <c r="W5732">
        <v>4</v>
      </c>
      <c r="X5732">
        <v>1</v>
      </c>
      <c r="Y5732">
        <v>0</v>
      </c>
      <c r="Z5732">
        <v>1</v>
      </c>
    </row>
    <row r="5733" spans="1:26" x14ac:dyDescent="0.2">
      <c r="A5733" t="s">
        <v>5851</v>
      </c>
      <c r="B5733" t="s">
        <v>108</v>
      </c>
      <c r="C5733">
        <v>2024</v>
      </c>
      <c r="D5733" t="s">
        <v>40</v>
      </c>
      <c r="E5733" t="s">
        <v>101</v>
      </c>
      <c r="F5733" t="s">
        <v>49</v>
      </c>
      <c r="G5733">
        <v>53400</v>
      </c>
      <c r="H5733">
        <v>42720</v>
      </c>
      <c r="I5733" s="13">
        <v>0.75</v>
      </c>
      <c r="J5733" t="s">
        <v>6207</v>
      </c>
      <c r="K5733">
        <v>2</v>
      </c>
      <c r="L5733">
        <v>1</v>
      </c>
      <c r="M5733" t="s">
        <v>0</v>
      </c>
      <c r="N5733" s="3">
        <v>0.54</v>
      </c>
      <c r="O5733" s="3">
        <v>0.46</v>
      </c>
      <c r="P5733">
        <v>3</v>
      </c>
      <c r="Q5733">
        <v>9</v>
      </c>
      <c r="R5733">
        <v>12</v>
      </c>
      <c r="S5733">
        <v>3</v>
      </c>
      <c r="T5733">
        <v>9</v>
      </c>
      <c r="U5733">
        <v>3</v>
      </c>
      <c r="V5733">
        <v>3</v>
      </c>
      <c r="W5733">
        <v>1</v>
      </c>
      <c r="X5733">
        <v>0</v>
      </c>
      <c r="Y5733">
        <v>0</v>
      </c>
      <c r="Z5733">
        <v>0</v>
      </c>
    </row>
    <row r="5734" spans="1:26" x14ac:dyDescent="0.2">
      <c r="A5734" t="s">
        <v>5852</v>
      </c>
      <c r="B5734" t="s">
        <v>66</v>
      </c>
      <c r="C5734">
        <v>2024</v>
      </c>
      <c r="D5734" t="s">
        <v>26</v>
      </c>
      <c r="E5734" t="s">
        <v>94</v>
      </c>
      <c r="F5734" t="s">
        <v>26</v>
      </c>
      <c r="G5734">
        <v>61276</v>
      </c>
      <c r="H5734">
        <v>49020.800000000003</v>
      </c>
      <c r="I5734" s="13">
        <v>0.625</v>
      </c>
      <c r="J5734" t="s">
        <v>6207</v>
      </c>
      <c r="K5734">
        <v>0</v>
      </c>
      <c r="L5734">
        <v>1</v>
      </c>
      <c r="M5734" t="s">
        <v>1</v>
      </c>
      <c r="N5734" s="3">
        <v>0.7</v>
      </c>
      <c r="O5734" s="3">
        <v>0.3</v>
      </c>
      <c r="P5734">
        <v>5</v>
      </c>
      <c r="Q5734">
        <v>13</v>
      </c>
      <c r="R5734">
        <v>7</v>
      </c>
      <c r="S5734">
        <v>2</v>
      </c>
      <c r="T5734">
        <v>15</v>
      </c>
      <c r="U5734">
        <v>6</v>
      </c>
      <c r="V5734">
        <v>4</v>
      </c>
      <c r="W5734">
        <v>4</v>
      </c>
      <c r="X5734">
        <v>0</v>
      </c>
      <c r="Y5734">
        <v>0</v>
      </c>
      <c r="Z5734">
        <v>0</v>
      </c>
    </row>
    <row r="5735" spans="1:26" x14ac:dyDescent="0.2">
      <c r="A5735" t="s">
        <v>5853</v>
      </c>
      <c r="B5735" t="s">
        <v>98</v>
      </c>
      <c r="C5735">
        <v>2024</v>
      </c>
      <c r="D5735" t="s">
        <v>31</v>
      </c>
      <c r="E5735" t="s">
        <v>23</v>
      </c>
      <c r="F5735" t="s">
        <v>20</v>
      </c>
      <c r="G5735">
        <v>28500</v>
      </c>
      <c r="H5735">
        <v>22800</v>
      </c>
      <c r="I5735" s="13">
        <v>0.66666666666666663</v>
      </c>
      <c r="J5735" t="s">
        <v>6208</v>
      </c>
      <c r="K5735">
        <v>1</v>
      </c>
      <c r="L5735">
        <v>1</v>
      </c>
      <c r="M5735" t="s">
        <v>58</v>
      </c>
      <c r="N5735" s="3">
        <v>0.54</v>
      </c>
      <c r="O5735" s="3">
        <v>0.46</v>
      </c>
      <c r="P5735">
        <v>19</v>
      </c>
      <c r="Q5735">
        <v>16</v>
      </c>
      <c r="R5735">
        <v>3</v>
      </c>
      <c r="S5735">
        <v>2</v>
      </c>
      <c r="T5735">
        <v>15</v>
      </c>
      <c r="U5735">
        <v>18</v>
      </c>
      <c r="V5735">
        <v>3</v>
      </c>
      <c r="W5735">
        <v>3</v>
      </c>
      <c r="X5735">
        <v>0</v>
      </c>
      <c r="Y5735">
        <v>0</v>
      </c>
      <c r="Z5735">
        <v>0</v>
      </c>
    </row>
    <row r="5736" spans="1:26" x14ac:dyDescent="0.2">
      <c r="A5736" t="s">
        <v>5854</v>
      </c>
      <c r="B5736" t="s">
        <v>105</v>
      </c>
      <c r="C5736">
        <v>2024</v>
      </c>
      <c r="D5736" t="s">
        <v>79</v>
      </c>
      <c r="E5736" t="s">
        <v>80</v>
      </c>
      <c r="F5736" t="s">
        <v>20</v>
      </c>
      <c r="G5736">
        <v>25486</v>
      </c>
      <c r="H5736">
        <v>20388.800000000003</v>
      </c>
      <c r="I5736" s="13">
        <v>0.66666666666666663</v>
      </c>
      <c r="J5736" t="s">
        <v>6207</v>
      </c>
      <c r="K5736">
        <v>2</v>
      </c>
      <c r="L5736">
        <v>2</v>
      </c>
      <c r="M5736" t="s">
        <v>58</v>
      </c>
      <c r="N5736" s="3">
        <v>0.67</v>
      </c>
      <c r="O5736" s="3">
        <v>0.33</v>
      </c>
      <c r="P5736">
        <v>15</v>
      </c>
      <c r="Q5736">
        <v>12</v>
      </c>
      <c r="R5736">
        <v>5</v>
      </c>
      <c r="S5736">
        <v>2</v>
      </c>
      <c r="T5736">
        <v>11</v>
      </c>
      <c r="U5736">
        <v>15</v>
      </c>
      <c r="V5736">
        <v>0</v>
      </c>
      <c r="W5736">
        <v>3</v>
      </c>
      <c r="X5736">
        <v>0</v>
      </c>
      <c r="Y5736">
        <v>0</v>
      </c>
      <c r="Z5736">
        <v>1</v>
      </c>
    </row>
    <row r="5737" spans="1:26" x14ac:dyDescent="0.2">
      <c r="A5737" t="s">
        <v>5855</v>
      </c>
      <c r="B5737" t="s">
        <v>111</v>
      </c>
      <c r="C5737">
        <v>2024</v>
      </c>
      <c r="D5737" t="s">
        <v>90</v>
      </c>
      <c r="E5737" t="s">
        <v>117</v>
      </c>
      <c r="F5737" t="s">
        <v>91</v>
      </c>
      <c r="G5737">
        <v>31876</v>
      </c>
      <c r="H5737">
        <v>25500.800000000003</v>
      </c>
      <c r="I5737" s="13">
        <v>0.5714285714285714</v>
      </c>
      <c r="J5737" t="s">
        <v>6207</v>
      </c>
      <c r="K5737">
        <v>0</v>
      </c>
      <c r="L5737">
        <v>0</v>
      </c>
      <c r="M5737" t="s">
        <v>58</v>
      </c>
      <c r="N5737" s="3">
        <v>0.7</v>
      </c>
      <c r="O5737" s="3">
        <v>0.3</v>
      </c>
      <c r="P5737">
        <v>15</v>
      </c>
      <c r="Q5737">
        <v>15</v>
      </c>
      <c r="R5737">
        <v>9</v>
      </c>
      <c r="S5737">
        <v>2</v>
      </c>
      <c r="T5737">
        <v>14</v>
      </c>
      <c r="U5737">
        <v>16</v>
      </c>
      <c r="V5737">
        <v>4</v>
      </c>
      <c r="W5737">
        <v>3</v>
      </c>
      <c r="X5737">
        <v>0</v>
      </c>
      <c r="Y5737">
        <v>0</v>
      </c>
      <c r="Z5737">
        <v>0</v>
      </c>
    </row>
    <row r="5738" spans="1:26" x14ac:dyDescent="0.2">
      <c r="A5738" t="s">
        <v>5856</v>
      </c>
      <c r="B5738" t="s">
        <v>76</v>
      </c>
      <c r="C5738">
        <v>2024</v>
      </c>
      <c r="D5738" t="s">
        <v>42</v>
      </c>
      <c r="E5738" t="s">
        <v>45</v>
      </c>
      <c r="F5738" t="s">
        <v>38</v>
      </c>
      <c r="G5738">
        <v>42918</v>
      </c>
      <c r="H5738">
        <v>34334.400000000001</v>
      </c>
      <c r="I5738" s="13">
        <v>0.5</v>
      </c>
      <c r="J5738" t="s">
        <v>6207</v>
      </c>
      <c r="K5738">
        <v>3</v>
      </c>
      <c r="L5738">
        <v>2</v>
      </c>
      <c r="M5738" t="s">
        <v>0</v>
      </c>
      <c r="N5738" s="3">
        <v>0.73</v>
      </c>
      <c r="O5738" s="3">
        <v>0.27</v>
      </c>
      <c r="P5738">
        <v>13</v>
      </c>
      <c r="Q5738">
        <v>11</v>
      </c>
      <c r="R5738">
        <v>6</v>
      </c>
      <c r="S5738">
        <v>2</v>
      </c>
      <c r="T5738">
        <v>10</v>
      </c>
      <c r="U5738">
        <v>12</v>
      </c>
      <c r="V5738">
        <v>2</v>
      </c>
      <c r="W5738">
        <v>4</v>
      </c>
      <c r="X5738">
        <v>0</v>
      </c>
      <c r="Y5738">
        <v>0</v>
      </c>
      <c r="Z5738">
        <v>0</v>
      </c>
    </row>
    <row r="5739" spans="1:26" x14ac:dyDescent="0.2">
      <c r="A5739" t="s">
        <v>5857</v>
      </c>
      <c r="B5739" t="s">
        <v>61</v>
      </c>
      <c r="C5739">
        <v>2024</v>
      </c>
      <c r="D5739" t="s">
        <v>86</v>
      </c>
      <c r="E5739" t="s">
        <v>18</v>
      </c>
      <c r="F5739" t="s">
        <v>86</v>
      </c>
      <c r="G5739">
        <v>11364</v>
      </c>
      <c r="H5739">
        <v>9091.2000000000007</v>
      </c>
      <c r="I5739" s="13">
        <v>0.5625</v>
      </c>
      <c r="J5739" t="s">
        <v>6207</v>
      </c>
      <c r="K5739">
        <v>0</v>
      </c>
      <c r="L5739">
        <v>1</v>
      </c>
      <c r="M5739" t="s">
        <v>1</v>
      </c>
      <c r="N5739" s="3">
        <v>0.33</v>
      </c>
      <c r="O5739" s="3">
        <v>0.67</v>
      </c>
      <c r="P5739">
        <v>8</v>
      </c>
      <c r="Q5739">
        <v>17</v>
      </c>
      <c r="R5739">
        <v>6</v>
      </c>
      <c r="S5739">
        <v>3</v>
      </c>
      <c r="T5739">
        <v>16</v>
      </c>
      <c r="U5739">
        <v>9</v>
      </c>
      <c r="V5739">
        <v>7</v>
      </c>
      <c r="W5739">
        <v>9</v>
      </c>
      <c r="X5739">
        <v>0</v>
      </c>
      <c r="Y5739">
        <v>0</v>
      </c>
      <c r="Z5739">
        <v>1</v>
      </c>
    </row>
    <row r="5740" spans="1:26" x14ac:dyDescent="0.2">
      <c r="A5740" t="s">
        <v>5858</v>
      </c>
      <c r="B5740" t="s">
        <v>102</v>
      </c>
      <c r="C5740">
        <v>2024</v>
      </c>
      <c r="D5740" t="s">
        <v>51</v>
      </c>
      <c r="E5740" t="s">
        <v>46</v>
      </c>
      <c r="F5740" t="s">
        <v>20</v>
      </c>
      <c r="G5740">
        <v>36284</v>
      </c>
      <c r="H5740">
        <v>29027.200000000001</v>
      </c>
      <c r="I5740" s="13">
        <v>1</v>
      </c>
      <c r="J5740" t="s">
        <v>6209</v>
      </c>
      <c r="K5740">
        <v>0</v>
      </c>
      <c r="L5740">
        <v>1</v>
      </c>
      <c r="M5740" t="s">
        <v>1</v>
      </c>
      <c r="N5740" s="3">
        <v>0.64</v>
      </c>
      <c r="O5740" s="3">
        <v>0.36</v>
      </c>
      <c r="P5740">
        <v>11</v>
      </c>
      <c r="Q5740">
        <v>15</v>
      </c>
      <c r="R5740">
        <v>7</v>
      </c>
      <c r="S5740">
        <v>6</v>
      </c>
      <c r="T5740">
        <v>13</v>
      </c>
      <c r="U5740">
        <v>10</v>
      </c>
      <c r="V5740">
        <v>5</v>
      </c>
      <c r="W5740">
        <v>3</v>
      </c>
      <c r="X5740">
        <v>0</v>
      </c>
      <c r="Y5740">
        <v>0</v>
      </c>
      <c r="Z5740">
        <v>0</v>
      </c>
    </row>
    <row r="5741" spans="1:26" x14ac:dyDescent="0.2">
      <c r="A5741" t="s">
        <v>5859</v>
      </c>
      <c r="B5741" t="s">
        <v>88</v>
      </c>
      <c r="C5741">
        <v>2024</v>
      </c>
      <c r="D5741" t="s">
        <v>22</v>
      </c>
      <c r="E5741" t="s">
        <v>64</v>
      </c>
      <c r="F5741" t="s">
        <v>24</v>
      </c>
      <c r="G5741">
        <v>31750</v>
      </c>
      <c r="H5741">
        <v>25400</v>
      </c>
      <c r="I5741" s="13">
        <v>0.83333333333333337</v>
      </c>
      <c r="J5741" t="s">
        <v>6207</v>
      </c>
      <c r="K5741">
        <v>1</v>
      </c>
      <c r="L5741">
        <v>2</v>
      </c>
      <c r="M5741" t="s">
        <v>1</v>
      </c>
      <c r="N5741" s="3">
        <v>0.49</v>
      </c>
      <c r="O5741" s="3">
        <v>0.51</v>
      </c>
      <c r="P5741">
        <v>6</v>
      </c>
      <c r="Q5741">
        <v>18</v>
      </c>
      <c r="R5741">
        <v>4</v>
      </c>
      <c r="S5741">
        <v>7</v>
      </c>
      <c r="T5741">
        <v>17</v>
      </c>
      <c r="U5741">
        <v>6</v>
      </c>
      <c r="V5741">
        <v>3</v>
      </c>
      <c r="W5741">
        <v>3</v>
      </c>
      <c r="X5741">
        <v>0</v>
      </c>
      <c r="Y5741">
        <v>0</v>
      </c>
      <c r="Z5741">
        <v>0</v>
      </c>
    </row>
    <row r="5742" spans="1:26" x14ac:dyDescent="0.2">
      <c r="A5742" t="s">
        <v>5860</v>
      </c>
      <c r="B5742" t="s">
        <v>111</v>
      </c>
      <c r="C5742">
        <v>2024</v>
      </c>
      <c r="D5742" t="s">
        <v>23</v>
      </c>
      <c r="E5742" t="s">
        <v>18</v>
      </c>
      <c r="F5742" t="s">
        <v>20</v>
      </c>
      <c r="G5742">
        <v>62500</v>
      </c>
      <c r="H5742">
        <v>50000</v>
      </c>
      <c r="I5742" s="13">
        <v>0.8571428571428571</v>
      </c>
      <c r="J5742" t="s">
        <v>6207</v>
      </c>
      <c r="K5742">
        <v>0</v>
      </c>
      <c r="L5742">
        <v>3</v>
      </c>
      <c r="M5742" t="s">
        <v>1</v>
      </c>
      <c r="N5742" s="3">
        <v>0.52</v>
      </c>
      <c r="O5742" s="3">
        <v>0.48</v>
      </c>
      <c r="P5742">
        <v>10</v>
      </c>
      <c r="Q5742">
        <v>19</v>
      </c>
      <c r="R5742">
        <v>6</v>
      </c>
      <c r="S5742">
        <v>5</v>
      </c>
      <c r="T5742">
        <v>17</v>
      </c>
      <c r="U5742">
        <v>10</v>
      </c>
      <c r="V5742">
        <v>5</v>
      </c>
      <c r="W5742">
        <v>2</v>
      </c>
      <c r="X5742">
        <v>0</v>
      </c>
      <c r="Y5742">
        <v>0</v>
      </c>
      <c r="Z5742">
        <v>0</v>
      </c>
    </row>
    <row r="5743" spans="1:26" x14ac:dyDescent="0.2">
      <c r="A5743" t="s">
        <v>5861</v>
      </c>
      <c r="B5743" t="s">
        <v>104</v>
      </c>
      <c r="C5743">
        <v>2024</v>
      </c>
      <c r="D5743" t="s">
        <v>51</v>
      </c>
      <c r="E5743" t="s">
        <v>101</v>
      </c>
      <c r="F5743" t="s">
        <v>20</v>
      </c>
      <c r="G5743">
        <v>36284</v>
      </c>
      <c r="H5743">
        <v>29027.200000000001</v>
      </c>
      <c r="I5743" s="13">
        <v>0.6</v>
      </c>
      <c r="J5743" t="s">
        <v>6206</v>
      </c>
      <c r="K5743">
        <v>3</v>
      </c>
      <c r="L5743">
        <v>1</v>
      </c>
      <c r="M5743" t="s">
        <v>0</v>
      </c>
      <c r="N5743" s="3">
        <v>0.48</v>
      </c>
      <c r="O5743" s="3">
        <v>0.52</v>
      </c>
      <c r="P5743">
        <v>10</v>
      </c>
      <c r="Q5743">
        <v>14</v>
      </c>
      <c r="R5743">
        <v>9</v>
      </c>
      <c r="S5743">
        <v>4</v>
      </c>
      <c r="T5743">
        <v>11</v>
      </c>
      <c r="U5743">
        <v>9</v>
      </c>
      <c r="V5743">
        <v>3</v>
      </c>
      <c r="W5743">
        <v>2</v>
      </c>
      <c r="X5743">
        <v>0</v>
      </c>
      <c r="Y5743">
        <v>0</v>
      </c>
      <c r="Z5743">
        <v>0</v>
      </c>
    </row>
    <row r="5744" spans="1:26" x14ac:dyDescent="0.2">
      <c r="A5744" t="s">
        <v>5862</v>
      </c>
      <c r="B5744" t="s">
        <v>112</v>
      </c>
      <c r="C5744">
        <v>2024</v>
      </c>
      <c r="D5744" t="s">
        <v>73</v>
      </c>
      <c r="E5744" t="s">
        <v>117</v>
      </c>
      <c r="F5744" t="s">
        <v>73</v>
      </c>
      <c r="G5744">
        <v>32384</v>
      </c>
      <c r="H5744">
        <v>25907.200000000001</v>
      </c>
      <c r="I5744" s="13">
        <v>0.25</v>
      </c>
      <c r="J5744" t="s">
        <v>6209</v>
      </c>
      <c r="K5744">
        <v>1</v>
      </c>
      <c r="L5744">
        <v>1</v>
      </c>
      <c r="M5744" t="s">
        <v>58</v>
      </c>
      <c r="N5744" s="3">
        <v>0.54</v>
      </c>
      <c r="O5744" s="3">
        <v>0.46</v>
      </c>
      <c r="P5744">
        <v>17</v>
      </c>
      <c r="Q5744">
        <v>17</v>
      </c>
      <c r="R5744">
        <v>2</v>
      </c>
      <c r="S5744">
        <v>10</v>
      </c>
      <c r="T5744">
        <v>16</v>
      </c>
      <c r="U5744">
        <v>16</v>
      </c>
      <c r="V5744">
        <v>4</v>
      </c>
      <c r="W5744">
        <v>4</v>
      </c>
      <c r="X5744">
        <v>0</v>
      </c>
      <c r="Y5744">
        <v>0</v>
      </c>
      <c r="Z5744">
        <v>0</v>
      </c>
    </row>
    <row r="5745" spans="1:26" x14ac:dyDescent="0.2">
      <c r="A5745" t="s">
        <v>5863</v>
      </c>
      <c r="B5745" t="s">
        <v>105</v>
      </c>
      <c r="C5745">
        <v>2024</v>
      </c>
      <c r="D5745" t="s">
        <v>26</v>
      </c>
      <c r="E5745" t="s">
        <v>86</v>
      </c>
      <c r="F5745" t="s">
        <v>26</v>
      </c>
      <c r="G5745">
        <v>61276</v>
      </c>
      <c r="H5745">
        <v>49020.800000000003</v>
      </c>
      <c r="I5745" s="13">
        <v>0.5</v>
      </c>
      <c r="J5745" t="s">
        <v>6207</v>
      </c>
      <c r="K5745">
        <v>3</v>
      </c>
      <c r="L5745">
        <v>0</v>
      </c>
      <c r="M5745" t="s">
        <v>0</v>
      </c>
      <c r="N5745" s="3">
        <v>0.59</v>
      </c>
      <c r="O5745" s="3">
        <v>0.41</v>
      </c>
      <c r="P5745">
        <v>14</v>
      </c>
      <c r="Q5745">
        <v>10</v>
      </c>
      <c r="R5745">
        <v>3</v>
      </c>
      <c r="S5745">
        <v>9</v>
      </c>
      <c r="T5745">
        <v>10</v>
      </c>
      <c r="U5745">
        <v>12</v>
      </c>
      <c r="V5745">
        <v>1</v>
      </c>
      <c r="W5745">
        <v>5</v>
      </c>
      <c r="X5745">
        <v>0</v>
      </c>
      <c r="Y5745">
        <v>0</v>
      </c>
      <c r="Z5745">
        <v>0</v>
      </c>
    </row>
    <row r="5746" spans="1:26" x14ac:dyDescent="0.2">
      <c r="A5746" t="s">
        <v>5864</v>
      </c>
      <c r="B5746" t="s">
        <v>100</v>
      </c>
      <c r="C5746">
        <v>2024</v>
      </c>
      <c r="D5746" t="s">
        <v>80</v>
      </c>
      <c r="E5746" t="s">
        <v>45</v>
      </c>
      <c r="F5746" t="s">
        <v>80</v>
      </c>
      <c r="G5746">
        <v>32261</v>
      </c>
      <c r="H5746">
        <v>25808.800000000003</v>
      </c>
      <c r="I5746" s="13">
        <v>0.25</v>
      </c>
      <c r="J5746" t="s">
        <v>6207</v>
      </c>
      <c r="K5746">
        <v>1</v>
      </c>
      <c r="L5746">
        <v>1</v>
      </c>
      <c r="M5746" t="s">
        <v>58</v>
      </c>
      <c r="N5746" s="3">
        <v>0.57999999999999996</v>
      </c>
      <c r="O5746" s="3">
        <v>0.42</v>
      </c>
      <c r="P5746">
        <v>13</v>
      </c>
      <c r="Q5746">
        <v>11</v>
      </c>
      <c r="R5746">
        <v>6</v>
      </c>
      <c r="S5746">
        <v>1</v>
      </c>
      <c r="T5746">
        <v>11</v>
      </c>
      <c r="U5746">
        <v>12</v>
      </c>
      <c r="V5746">
        <v>1</v>
      </c>
      <c r="W5746">
        <v>3</v>
      </c>
      <c r="X5746">
        <v>0</v>
      </c>
      <c r="Y5746">
        <v>0</v>
      </c>
      <c r="Z5746">
        <v>0</v>
      </c>
    </row>
    <row r="5747" spans="1:26" x14ac:dyDescent="0.2">
      <c r="A5747" t="s">
        <v>5865</v>
      </c>
      <c r="B5747" t="s">
        <v>97</v>
      </c>
      <c r="C5747">
        <v>2024</v>
      </c>
      <c r="D5747" t="s">
        <v>31</v>
      </c>
      <c r="E5747" t="s">
        <v>64</v>
      </c>
      <c r="F5747" t="s">
        <v>20</v>
      </c>
      <c r="G5747">
        <v>28500</v>
      </c>
      <c r="H5747">
        <v>22800</v>
      </c>
      <c r="I5747" s="13">
        <v>0.83333333333333337</v>
      </c>
      <c r="J5747" t="s">
        <v>6207</v>
      </c>
      <c r="K5747">
        <v>3</v>
      </c>
      <c r="L5747">
        <v>1</v>
      </c>
      <c r="M5747" t="s">
        <v>0</v>
      </c>
      <c r="N5747" s="3">
        <v>0.39</v>
      </c>
      <c r="O5747" s="3">
        <v>0.61</v>
      </c>
      <c r="P5747">
        <v>8</v>
      </c>
      <c r="Q5747">
        <v>17</v>
      </c>
      <c r="R5747">
        <v>6</v>
      </c>
      <c r="S5747">
        <v>0</v>
      </c>
      <c r="T5747">
        <v>16</v>
      </c>
      <c r="U5747">
        <v>8</v>
      </c>
      <c r="V5747">
        <v>6</v>
      </c>
      <c r="W5747">
        <v>0</v>
      </c>
      <c r="X5747">
        <v>0</v>
      </c>
      <c r="Y5747">
        <v>0</v>
      </c>
      <c r="Z5747">
        <v>0</v>
      </c>
    </row>
    <row r="5748" spans="1:26" x14ac:dyDescent="0.2">
      <c r="A5748" t="s">
        <v>5866</v>
      </c>
      <c r="B5748" t="s">
        <v>98</v>
      </c>
      <c r="C5748">
        <v>2024</v>
      </c>
      <c r="D5748" t="s">
        <v>42</v>
      </c>
      <c r="E5748" t="s">
        <v>22</v>
      </c>
      <c r="F5748" t="s">
        <v>38</v>
      </c>
      <c r="G5748">
        <v>42918</v>
      </c>
      <c r="H5748">
        <v>34334.400000000001</v>
      </c>
      <c r="I5748" s="13">
        <v>0.7</v>
      </c>
      <c r="J5748" t="s">
        <v>6208</v>
      </c>
      <c r="K5748">
        <v>3</v>
      </c>
      <c r="L5748">
        <v>1</v>
      </c>
      <c r="M5748" t="s">
        <v>0</v>
      </c>
      <c r="N5748" s="3">
        <v>0.53</v>
      </c>
      <c r="O5748" s="3">
        <v>0.47</v>
      </c>
      <c r="P5748">
        <v>18</v>
      </c>
      <c r="Q5748">
        <v>13</v>
      </c>
      <c r="R5748">
        <v>6</v>
      </c>
      <c r="S5748">
        <v>5</v>
      </c>
      <c r="T5748">
        <v>11</v>
      </c>
      <c r="U5748">
        <v>16</v>
      </c>
      <c r="V5748">
        <v>4</v>
      </c>
      <c r="W5748">
        <v>6</v>
      </c>
      <c r="X5748">
        <v>0</v>
      </c>
      <c r="Y5748">
        <v>0</v>
      </c>
      <c r="Z5748">
        <v>0</v>
      </c>
    </row>
    <row r="5749" spans="1:26" x14ac:dyDescent="0.2">
      <c r="A5749" t="s">
        <v>5867</v>
      </c>
      <c r="B5749" t="s">
        <v>93</v>
      </c>
      <c r="C5749">
        <v>2024</v>
      </c>
      <c r="D5749" t="s">
        <v>79</v>
      </c>
      <c r="E5749" t="s">
        <v>48</v>
      </c>
      <c r="F5749" t="s">
        <v>20</v>
      </c>
      <c r="G5749">
        <v>25486</v>
      </c>
      <c r="H5749">
        <v>20388.800000000003</v>
      </c>
      <c r="I5749" s="13">
        <v>0.6</v>
      </c>
      <c r="J5749" t="s">
        <v>6206</v>
      </c>
      <c r="K5749">
        <v>0</v>
      </c>
      <c r="L5749">
        <v>0</v>
      </c>
      <c r="M5749" t="s">
        <v>58</v>
      </c>
      <c r="N5749" s="3">
        <v>0.33</v>
      </c>
      <c r="O5749" s="3">
        <v>0.67</v>
      </c>
      <c r="P5749">
        <v>13</v>
      </c>
      <c r="Q5749">
        <v>8</v>
      </c>
      <c r="R5749">
        <v>4</v>
      </c>
      <c r="S5749">
        <v>11</v>
      </c>
      <c r="T5749">
        <v>7</v>
      </c>
      <c r="U5749">
        <v>12</v>
      </c>
      <c r="V5749">
        <v>3</v>
      </c>
      <c r="W5749">
        <v>2</v>
      </c>
      <c r="X5749">
        <v>0</v>
      </c>
      <c r="Y5749">
        <v>0</v>
      </c>
      <c r="Z5749">
        <v>0</v>
      </c>
    </row>
    <row r="5750" spans="1:26" x14ac:dyDescent="0.2">
      <c r="A5750" t="s">
        <v>5868</v>
      </c>
      <c r="B5750" t="s">
        <v>99</v>
      </c>
      <c r="C5750">
        <v>2024</v>
      </c>
      <c r="D5750" t="s">
        <v>90</v>
      </c>
      <c r="E5750" t="s">
        <v>94</v>
      </c>
      <c r="F5750" t="s">
        <v>91</v>
      </c>
      <c r="G5750">
        <v>31876</v>
      </c>
      <c r="H5750">
        <v>25500.800000000003</v>
      </c>
      <c r="I5750" s="13">
        <v>0.18181818181818182</v>
      </c>
      <c r="J5750" t="s">
        <v>6207</v>
      </c>
      <c r="K5750">
        <v>2</v>
      </c>
      <c r="L5750">
        <v>2</v>
      </c>
      <c r="M5750" t="s">
        <v>58</v>
      </c>
      <c r="N5750" s="3">
        <v>0.71</v>
      </c>
      <c r="O5750" s="3">
        <v>0.28999999999999998</v>
      </c>
      <c r="P5750">
        <v>13</v>
      </c>
      <c r="Q5750">
        <v>12</v>
      </c>
      <c r="R5750">
        <v>9</v>
      </c>
      <c r="S5750">
        <v>1</v>
      </c>
      <c r="T5750">
        <v>12</v>
      </c>
      <c r="U5750">
        <v>11</v>
      </c>
      <c r="V5750">
        <v>3</v>
      </c>
      <c r="W5750">
        <v>5</v>
      </c>
      <c r="X5750">
        <v>1</v>
      </c>
      <c r="Y5750">
        <v>2</v>
      </c>
      <c r="Z5750">
        <v>1</v>
      </c>
    </row>
    <row r="5751" spans="1:26" x14ac:dyDescent="0.2">
      <c r="A5751" t="s">
        <v>5869</v>
      </c>
      <c r="B5751" t="s">
        <v>66</v>
      </c>
      <c r="C5751">
        <v>2024</v>
      </c>
      <c r="D5751" t="s">
        <v>40</v>
      </c>
      <c r="E5751" t="s">
        <v>46</v>
      </c>
      <c r="F5751" t="s">
        <v>49</v>
      </c>
      <c r="G5751">
        <v>53400</v>
      </c>
      <c r="H5751">
        <v>42720</v>
      </c>
      <c r="I5751" s="13">
        <v>0.66666666666666663</v>
      </c>
      <c r="J5751" t="s">
        <v>6207</v>
      </c>
      <c r="K5751">
        <v>2</v>
      </c>
      <c r="L5751">
        <v>2</v>
      </c>
      <c r="M5751" t="s">
        <v>58</v>
      </c>
      <c r="N5751" s="3">
        <v>0.78</v>
      </c>
      <c r="O5751" s="3">
        <v>0.22</v>
      </c>
      <c r="P5751">
        <v>9</v>
      </c>
      <c r="Q5751">
        <v>8</v>
      </c>
      <c r="R5751">
        <v>8</v>
      </c>
      <c r="S5751">
        <v>2</v>
      </c>
      <c r="T5751">
        <v>7</v>
      </c>
      <c r="U5751">
        <v>10</v>
      </c>
      <c r="V5751">
        <v>3</v>
      </c>
      <c r="W5751">
        <v>5</v>
      </c>
      <c r="X5751">
        <v>0</v>
      </c>
      <c r="Y5751">
        <v>1</v>
      </c>
      <c r="Z5751">
        <v>0</v>
      </c>
    </row>
    <row r="5752" spans="1:26" x14ac:dyDescent="0.2">
      <c r="A5752" t="s">
        <v>5870</v>
      </c>
      <c r="B5752" t="s">
        <v>102</v>
      </c>
      <c r="C5752">
        <v>2024</v>
      </c>
      <c r="D5752" t="s">
        <v>64</v>
      </c>
      <c r="E5752" t="s">
        <v>40</v>
      </c>
      <c r="F5752" t="s">
        <v>64</v>
      </c>
      <c r="G5752">
        <v>52264</v>
      </c>
      <c r="H5752">
        <v>41811.200000000004</v>
      </c>
      <c r="I5752" s="13">
        <v>0.875</v>
      </c>
      <c r="J5752" t="s">
        <v>6209</v>
      </c>
      <c r="K5752">
        <v>1</v>
      </c>
      <c r="L5752">
        <v>1</v>
      </c>
      <c r="M5752" t="s">
        <v>58</v>
      </c>
      <c r="N5752" s="3">
        <v>0.38</v>
      </c>
      <c r="O5752" s="3">
        <v>0.62</v>
      </c>
      <c r="P5752">
        <v>10</v>
      </c>
      <c r="Q5752">
        <v>18</v>
      </c>
      <c r="R5752">
        <v>5</v>
      </c>
      <c r="S5752">
        <v>6</v>
      </c>
      <c r="T5752">
        <v>14</v>
      </c>
      <c r="U5752">
        <v>10</v>
      </c>
      <c r="V5752">
        <v>4</v>
      </c>
      <c r="W5752">
        <v>4</v>
      </c>
      <c r="X5752">
        <v>0</v>
      </c>
      <c r="Y5752">
        <v>0</v>
      </c>
      <c r="Z5752">
        <v>1</v>
      </c>
    </row>
    <row r="5753" spans="1:26" x14ac:dyDescent="0.2">
      <c r="A5753" t="s">
        <v>5871</v>
      </c>
      <c r="B5753" t="s">
        <v>109</v>
      </c>
      <c r="C5753">
        <v>2024</v>
      </c>
      <c r="D5753" t="s">
        <v>94</v>
      </c>
      <c r="E5753" t="s">
        <v>31</v>
      </c>
      <c r="F5753" t="s">
        <v>106</v>
      </c>
      <c r="G5753">
        <v>30445</v>
      </c>
      <c r="H5753">
        <v>24356</v>
      </c>
      <c r="I5753" s="13">
        <v>0.66666666666666663</v>
      </c>
      <c r="J5753" t="s">
        <v>6209</v>
      </c>
      <c r="K5753">
        <v>0</v>
      </c>
      <c r="L5753">
        <v>1</v>
      </c>
      <c r="M5753" t="s">
        <v>1</v>
      </c>
      <c r="N5753" s="3">
        <v>0.41</v>
      </c>
      <c r="O5753" s="3">
        <v>0.59</v>
      </c>
      <c r="P5753">
        <v>18</v>
      </c>
      <c r="Q5753">
        <v>11</v>
      </c>
      <c r="R5753">
        <v>6</v>
      </c>
      <c r="S5753">
        <v>5</v>
      </c>
      <c r="T5753">
        <v>11</v>
      </c>
      <c r="U5753">
        <v>15</v>
      </c>
      <c r="V5753">
        <v>2</v>
      </c>
      <c r="W5753">
        <v>4</v>
      </c>
      <c r="X5753">
        <v>0</v>
      </c>
      <c r="Y5753">
        <v>0</v>
      </c>
      <c r="Z5753">
        <v>1</v>
      </c>
    </row>
    <row r="5754" spans="1:26" x14ac:dyDescent="0.2">
      <c r="A5754" t="s">
        <v>5872</v>
      </c>
      <c r="B5754" t="s">
        <v>92</v>
      </c>
      <c r="C5754">
        <v>2024</v>
      </c>
      <c r="D5754" t="s">
        <v>45</v>
      </c>
      <c r="E5754" t="s">
        <v>79</v>
      </c>
      <c r="F5754" t="s">
        <v>26</v>
      </c>
      <c r="G5754">
        <v>39572</v>
      </c>
      <c r="H5754">
        <v>31657.600000000002</v>
      </c>
      <c r="I5754" s="13">
        <v>0</v>
      </c>
      <c r="J5754" t="s">
        <v>6207</v>
      </c>
      <c r="K5754">
        <v>2</v>
      </c>
      <c r="L5754">
        <v>1</v>
      </c>
      <c r="M5754" t="s">
        <v>0</v>
      </c>
      <c r="N5754" s="3">
        <v>0.41</v>
      </c>
      <c r="O5754" s="3">
        <v>0.59</v>
      </c>
      <c r="P5754">
        <v>12</v>
      </c>
      <c r="Q5754">
        <v>15</v>
      </c>
      <c r="R5754">
        <v>5</v>
      </c>
      <c r="S5754">
        <v>8</v>
      </c>
      <c r="T5754">
        <v>13</v>
      </c>
      <c r="U5754">
        <v>11</v>
      </c>
      <c r="V5754">
        <v>2</v>
      </c>
      <c r="W5754">
        <v>0</v>
      </c>
      <c r="X5754">
        <v>0</v>
      </c>
      <c r="Y5754">
        <v>0</v>
      </c>
      <c r="Z5754">
        <v>0</v>
      </c>
    </row>
    <row r="5755" spans="1:26" x14ac:dyDescent="0.2">
      <c r="A5755" t="s">
        <v>5873</v>
      </c>
      <c r="B5755" t="s">
        <v>97</v>
      </c>
      <c r="C5755">
        <v>2024</v>
      </c>
      <c r="D5755" t="s">
        <v>18</v>
      </c>
      <c r="E5755" t="s">
        <v>90</v>
      </c>
      <c r="F5755" t="s">
        <v>20</v>
      </c>
      <c r="G5755">
        <v>40341</v>
      </c>
      <c r="H5755">
        <v>32272.800000000003</v>
      </c>
      <c r="I5755" s="13">
        <v>0.8</v>
      </c>
      <c r="J5755" t="s">
        <v>6207</v>
      </c>
      <c r="K5755">
        <v>4</v>
      </c>
      <c r="L5755">
        <v>2</v>
      </c>
      <c r="M5755" t="s">
        <v>0</v>
      </c>
      <c r="N5755" s="3">
        <v>0.41</v>
      </c>
      <c r="O5755" s="3">
        <v>0.59</v>
      </c>
      <c r="P5755">
        <v>8</v>
      </c>
      <c r="Q5755">
        <v>12</v>
      </c>
      <c r="R5755">
        <v>8</v>
      </c>
      <c r="S5755">
        <v>2</v>
      </c>
      <c r="T5755">
        <v>11</v>
      </c>
      <c r="U5755">
        <v>8</v>
      </c>
      <c r="V5755">
        <v>3</v>
      </c>
      <c r="W5755">
        <v>2</v>
      </c>
      <c r="X5755">
        <v>0</v>
      </c>
      <c r="Y5755">
        <v>0</v>
      </c>
      <c r="Z5755">
        <v>1</v>
      </c>
    </row>
    <row r="5756" spans="1:26" x14ac:dyDescent="0.2">
      <c r="A5756" t="s">
        <v>5874</v>
      </c>
      <c r="B5756" t="s">
        <v>84</v>
      </c>
      <c r="C5756">
        <v>2024</v>
      </c>
      <c r="D5756" t="s">
        <v>101</v>
      </c>
      <c r="E5756" t="s">
        <v>23</v>
      </c>
      <c r="F5756" t="s">
        <v>101</v>
      </c>
      <c r="G5756">
        <v>17250</v>
      </c>
      <c r="H5756">
        <v>13800</v>
      </c>
      <c r="I5756" s="13">
        <v>0.4</v>
      </c>
      <c r="J5756" t="s">
        <v>6208</v>
      </c>
      <c r="K5756">
        <v>1</v>
      </c>
      <c r="L5756">
        <v>1</v>
      </c>
      <c r="M5756" t="s">
        <v>58</v>
      </c>
      <c r="N5756" s="3">
        <v>0.56999999999999995</v>
      </c>
      <c r="O5756" s="3">
        <v>0.43</v>
      </c>
      <c r="P5756">
        <v>12</v>
      </c>
      <c r="Q5756">
        <v>2</v>
      </c>
      <c r="R5756">
        <v>7</v>
      </c>
      <c r="S5756">
        <v>6</v>
      </c>
      <c r="T5756">
        <v>2</v>
      </c>
      <c r="U5756">
        <v>11</v>
      </c>
      <c r="V5756">
        <v>2</v>
      </c>
      <c r="W5756">
        <v>3</v>
      </c>
      <c r="X5756">
        <v>0</v>
      </c>
      <c r="Y5756">
        <v>0</v>
      </c>
      <c r="Z5756">
        <v>0</v>
      </c>
    </row>
    <row r="5757" spans="1:26" x14ac:dyDescent="0.2">
      <c r="A5757" t="s">
        <v>5875</v>
      </c>
      <c r="B5757" t="s">
        <v>111</v>
      </c>
      <c r="C5757">
        <v>2024</v>
      </c>
      <c r="D5757" t="s">
        <v>46</v>
      </c>
      <c r="E5757" t="s">
        <v>80</v>
      </c>
      <c r="F5757" t="s">
        <v>20</v>
      </c>
      <c r="G5757">
        <v>60704</v>
      </c>
      <c r="H5757">
        <v>48563.200000000004</v>
      </c>
      <c r="I5757" s="13">
        <v>0.5714285714285714</v>
      </c>
      <c r="J5757" t="s">
        <v>6207</v>
      </c>
      <c r="K5757">
        <v>4</v>
      </c>
      <c r="L5757">
        <v>2</v>
      </c>
      <c r="M5757" t="s">
        <v>0</v>
      </c>
      <c r="N5757" s="3">
        <v>0.75</v>
      </c>
      <c r="O5757" s="3">
        <v>0.25</v>
      </c>
      <c r="P5757">
        <v>8</v>
      </c>
      <c r="Q5757">
        <v>13</v>
      </c>
      <c r="R5757">
        <v>17</v>
      </c>
      <c r="S5757">
        <v>0</v>
      </c>
      <c r="T5757">
        <v>11</v>
      </c>
      <c r="U5757">
        <v>6</v>
      </c>
      <c r="V5757">
        <v>2</v>
      </c>
      <c r="W5757">
        <v>5</v>
      </c>
      <c r="X5757">
        <v>0</v>
      </c>
      <c r="Y5757">
        <v>0</v>
      </c>
      <c r="Z5757">
        <v>0</v>
      </c>
    </row>
    <row r="5758" spans="1:26" x14ac:dyDescent="0.2">
      <c r="A5758" t="s">
        <v>5876</v>
      </c>
      <c r="B5758" t="s">
        <v>61</v>
      </c>
      <c r="C5758">
        <v>2024</v>
      </c>
      <c r="D5758" t="s">
        <v>22</v>
      </c>
      <c r="E5758" t="s">
        <v>26</v>
      </c>
      <c r="F5758" t="s">
        <v>24</v>
      </c>
      <c r="G5758">
        <v>31750</v>
      </c>
      <c r="H5758">
        <v>25400</v>
      </c>
      <c r="I5758" s="13">
        <v>0.8</v>
      </c>
      <c r="J5758" t="s">
        <v>6207</v>
      </c>
      <c r="K5758">
        <v>1</v>
      </c>
      <c r="L5758">
        <v>2</v>
      </c>
      <c r="M5758" t="s">
        <v>1</v>
      </c>
      <c r="N5758" s="3">
        <v>0.45</v>
      </c>
      <c r="O5758" s="3">
        <v>0.55000000000000004</v>
      </c>
      <c r="P5758">
        <v>8</v>
      </c>
      <c r="Q5758">
        <v>16</v>
      </c>
      <c r="R5758">
        <v>2</v>
      </c>
      <c r="S5758">
        <v>10</v>
      </c>
      <c r="T5758">
        <v>16</v>
      </c>
      <c r="U5758">
        <v>8</v>
      </c>
      <c r="V5758">
        <v>2</v>
      </c>
      <c r="W5758">
        <v>3</v>
      </c>
      <c r="X5758">
        <v>0</v>
      </c>
      <c r="Y5758">
        <v>0</v>
      </c>
      <c r="Z5758">
        <v>1</v>
      </c>
    </row>
    <row r="5759" spans="1:26" x14ac:dyDescent="0.2">
      <c r="A5759" t="s">
        <v>5877</v>
      </c>
      <c r="B5759" t="s">
        <v>59</v>
      </c>
      <c r="C5759">
        <v>2024</v>
      </c>
      <c r="D5759" t="s">
        <v>117</v>
      </c>
      <c r="E5759" t="s">
        <v>42</v>
      </c>
      <c r="F5759" t="s">
        <v>117</v>
      </c>
      <c r="G5759">
        <v>30056</v>
      </c>
      <c r="H5759">
        <v>24044.800000000003</v>
      </c>
      <c r="I5759" s="13">
        <v>0.6</v>
      </c>
      <c r="J5759" t="s">
        <v>6206</v>
      </c>
      <c r="K5759">
        <v>2</v>
      </c>
      <c r="L5759">
        <v>2</v>
      </c>
      <c r="M5759" t="s">
        <v>58</v>
      </c>
      <c r="N5759" s="3">
        <v>0.44</v>
      </c>
      <c r="O5759" s="3">
        <v>0.56000000000000005</v>
      </c>
      <c r="P5759">
        <v>16</v>
      </c>
      <c r="Q5759">
        <v>10</v>
      </c>
      <c r="R5759">
        <v>10</v>
      </c>
      <c r="S5759">
        <v>0</v>
      </c>
      <c r="T5759">
        <v>10</v>
      </c>
      <c r="U5759">
        <v>14</v>
      </c>
      <c r="V5759">
        <v>4</v>
      </c>
      <c r="W5759">
        <v>1</v>
      </c>
      <c r="X5759">
        <v>0</v>
      </c>
      <c r="Y5759">
        <v>0</v>
      </c>
      <c r="Z5759">
        <v>0</v>
      </c>
    </row>
    <row r="5760" spans="1:26" x14ac:dyDescent="0.2">
      <c r="A5760" t="s">
        <v>5878</v>
      </c>
      <c r="B5760" t="s">
        <v>88</v>
      </c>
      <c r="C5760">
        <v>2024</v>
      </c>
      <c r="D5760" t="s">
        <v>48</v>
      </c>
      <c r="E5760" t="s">
        <v>51</v>
      </c>
      <c r="F5760" t="s">
        <v>49</v>
      </c>
      <c r="G5760">
        <v>74197</v>
      </c>
      <c r="H5760">
        <v>59357.600000000006</v>
      </c>
      <c r="I5760" s="13">
        <v>0.66666666666666663</v>
      </c>
      <c r="J5760" t="s">
        <v>6207</v>
      </c>
      <c r="K5760">
        <v>0</v>
      </c>
      <c r="L5760">
        <v>3</v>
      </c>
      <c r="M5760" t="s">
        <v>1</v>
      </c>
      <c r="N5760" s="3">
        <v>0.39</v>
      </c>
      <c r="O5760" s="3">
        <v>0.61</v>
      </c>
      <c r="P5760">
        <v>15</v>
      </c>
      <c r="Q5760">
        <v>13</v>
      </c>
      <c r="R5760">
        <v>5</v>
      </c>
      <c r="S5760">
        <v>3</v>
      </c>
      <c r="T5760">
        <v>16</v>
      </c>
      <c r="U5760">
        <v>14</v>
      </c>
      <c r="V5760">
        <v>5</v>
      </c>
      <c r="W5760">
        <v>3</v>
      </c>
      <c r="X5760">
        <v>1</v>
      </c>
      <c r="Y5760">
        <v>0</v>
      </c>
      <c r="Z5760">
        <v>0</v>
      </c>
    </row>
    <row r="5761" spans="1:26" x14ac:dyDescent="0.2">
      <c r="A5761" t="s">
        <v>5879</v>
      </c>
      <c r="B5761" t="s">
        <v>66</v>
      </c>
      <c r="C5761">
        <v>2024</v>
      </c>
      <c r="D5761" t="s">
        <v>86</v>
      </c>
      <c r="E5761" t="s">
        <v>73</v>
      </c>
      <c r="F5761" t="s">
        <v>86</v>
      </c>
      <c r="G5761">
        <v>11364</v>
      </c>
      <c r="H5761">
        <v>9091.2000000000007</v>
      </c>
      <c r="I5761" s="13">
        <v>0.42857142857142855</v>
      </c>
      <c r="J5761" t="s">
        <v>6207</v>
      </c>
      <c r="K5761">
        <v>3</v>
      </c>
      <c r="L5761">
        <v>1</v>
      </c>
      <c r="M5761" t="s">
        <v>0</v>
      </c>
      <c r="N5761" s="3">
        <v>0.4</v>
      </c>
      <c r="O5761" s="3">
        <v>0.6</v>
      </c>
      <c r="P5761">
        <v>12</v>
      </c>
      <c r="Q5761">
        <v>23</v>
      </c>
      <c r="R5761">
        <v>6</v>
      </c>
      <c r="S5761">
        <v>4</v>
      </c>
      <c r="T5761">
        <v>19</v>
      </c>
      <c r="U5761">
        <v>12</v>
      </c>
      <c r="V5761">
        <v>2</v>
      </c>
      <c r="W5761">
        <v>5</v>
      </c>
      <c r="X5761">
        <v>0</v>
      </c>
      <c r="Y5761">
        <v>0</v>
      </c>
      <c r="Z5761">
        <v>0</v>
      </c>
    </row>
    <row r="5762" spans="1:26" x14ac:dyDescent="0.2">
      <c r="A5762" t="s">
        <v>5880</v>
      </c>
      <c r="B5762" t="s">
        <v>84</v>
      </c>
      <c r="C5762">
        <v>2024</v>
      </c>
      <c r="D5762" t="s">
        <v>79</v>
      </c>
      <c r="E5762" t="s">
        <v>26</v>
      </c>
      <c r="F5762" t="s">
        <v>20</v>
      </c>
      <c r="G5762">
        <v>25486</v>
      </c>
      <c r="H5762">
        <v>20388.800000000003</v>
      </c>
      <c r="I5762" s="13">
        <v>0.66666666666666663</v>
      </c>
      <c r="J5762" t="s">
        <v>6208</v>
      </c>
      <c r="K5762">
        <v>0</v>
      </c>
      <c r="L5762">
        <v>1</v>
      </c>
      <c r="M5762" t="s">
        <v>1</v>
      </c>
      <c r="N5762" s="3">
        <v>0.32</v>
      </c>
      <c r="O5762" s="3">
        <v>0.68</v>
      </c>
      <c r="P5762">
        <v>15</v>
      </c>
      <c r="Q5762">
        <v>7</v>
      </c>
      <c r="R5762">
        <v>3</v>
      </c>
      <c r="S5762">
        <v>8</v>
      </c>
      <c r="T5762">
        <v>7</v>
      </c>
      <c r="U5762">
        <v>15</v>
      </c>
      <c r="V5762">
        <v>4</v>
      </c>
      <c r="W5762">
        <v>2</v>
      </c>
      <c r="X5762">
        <v>0</v>
      </c>
      <c r="Y5762">
        <v>0</v>
      </c>
      <c r="Z5762">
        <v>0</v>
      </c>
    </row>
    <row r="5763" spans="1:26" x14ac:dyDescent="0.2">
      <c r="A5763" t="s">
        <v>5881</v>
      </c>
      <c r="B5763" t="s">
        <v>61</v>
      </c>
      <c r="C5763">
        <v>2024</v>
      </c>
      <c r="D5763" t="s">
        <v>23</v>
      </c>
      <c r="E5763" t="s">
        <v>117</v>
      </c>
      <c r="F5763" t="s">
        <v>20</v>
      </c>
      <c r="G5763">
        <v>62500</v>
      </c>
      <c r="H5763">
        <v>50000</v>
      </c>
      <c r="I5763" s="13">
        <v>0</v>
      </c>
      <c r="J5763" t="s">
        <v>6207</v>
      </c>
      <c r="K5763">
        <v>4</v>
      </c>
      <c r="L5763">
        <v>1</v>
      </c>
      <c r="M5763" t="s">
        <v>0</v>
      </c>
      <c r="N5763" s="3">
        <v>0.53</v>
      </c>
      <c r="O5763" s="3">
        <v>0.47</v>
      </c>
      <c r="P5763">
        <v>7</v>
      </c>
      <c r="Q5763">
        <v>15</v>
      </c>
      <c r="R5763">
        <v>5</v>
      </c>
      <c r="S5763">
        <v>5</v>
      </c>
      <c r="T5763">
        <v>12</v>
      </c>
      <c r="U5763">
        <v>6</v>
      </c>
      <c r="V5763">
        <v>0</v>
      </c>
      <c r="W5763">
        <v>1</v>
      </c>
      <c r="X5763">
        <v>0</v>
      </c>
      <c r="Y5763">
        <v>0</v>
      </c>
      <c r="Z5763">
        <v>0</v>
      </c>
    </row>
    <row r="5764" spans="1:26" x14ac:dyDescent="0.2">
      <c r="A5764" t="s">
        <v>5882</v>
      </c>
      <c r="B5764" t="s">
        <v>97</v>
      </c>
      <c r="C5764">
        <v>2024</v>
      </c>
      <c r="D5764" t="s">
        <v>40</v>
      </c>
      <c r="E5764" t="s">
        <v>31</v>
      </c>
      <c r="F5764" t="s">
        <v>49</v>
      </c>
      <c r="G5764">
        <v>53400</v>
      </c>
      <c r="H5764">
        <v>42720</v>
      </c>
      <c r="I5764" s="13">
        <v>1</v>
      </c>
      <c r="J5764" t="s">
        <v>6207</v>
      </c>
      <c r="K5764">
        <v>3</v>
      </c>
      <c r="L5764">
        <v>2</v>
      </c>
      <c r="M5764" t="s">
        <v>0</v>
      </c>
      <c r="N5764" s="3">
        <v>0.57999999999999996</v>
      </c>
      <c r="O5764" s="3">
        <v>0.42</v>
      </c>
      <c r="P5764">
        <v>11</v>
      </c>
      <c r="Q5764">
        <v>4</v>
      </c>
      <c r="R5764">
        <v>8</v>
      </c>
      <c r="S5764">
        <v>3</v>
      </c>
      <c r="T5764">
        <v>4</v>
      </c>
      <c r="U5764">
        <v>10</v>
      </c>
      <c r="V5764">
        <v>2</v>
      </c>
      <c r="W5764">
        <v>1</v>
      </c>
      <c r="X5764">
        <v>0</v>
      </c>
      <c r="Y5764">
        <v>0</v>
      </c>
      <c r="Z5764">
        <v>0</v>
      </c>
    </row>
    <row r="5765" spans="1:26" x14ac:dyDescent="0.2">
      <c r="A5765" t="s">
        <v>5883</v>
      </c>
      <c r="B5765" t="s">
        <v>108</v>
      </c>
      <c r="C5765">
        <v>2024</v>
      </c>
      <c r="D5765" t="s">
        <v>80</v>
      </c>
      <c r="E5765" t="s">
        <v>86</v>
      </c>
      <c r="F5765" t="s">
        <v>80</v>
      </c>
      <c r="G5765">
        <v>32261</v>
      </c>
      <c r="H5765">
        <v>25808.800000000003</v>
      </c>
      <c r="I5765" s="13">
        <v>0.8</v>
      </c>
      <c r="J5765" t="s">
        <v>6207</v>
      </c>
      <c r="K5765">
        <v>1</v>
      </c>
      <c r="L5765">
        <v>0</v>
      </c>
      <c r="M5765" t="s">
        <v>0</v>
      </c>
      <c r="N5765" s="3">
        <v>0.44</v>
      </c>
      <c r="O5765" s="3">
        <v>0.56000000000000005</v>
      </c>
      <c r="P5765">
        <v>16</v>
      </c>
      <c r="Q5765">
        <v>13</v>
      </c>
      <c r="R5765">
        <v>0</v>
      </c>
      <c r="S5765">
        <v>9</v>
      </c>
      <c r="T5765">
        <v>12</v>
      </c>
      <c r="U5765">
        <v>14</v>
      </c>
      <c r="V5765">
        <v>4</v>
      </c>
      <c r="W5765">
        <v>1</v>
      </c>
      <c r="X5765">
        <v>0</v>
      </c>
      <c r="Y5765">
        <v>0</v>
      </c>
      <c r="Z5765">
        <v>0</v>
      </c>
    </row>
    <row r="5766" spans="1:26" x14ac:dyDescent="0.2">
      <c r="A5766" t="s">
        <v>5884</v>
      </c>
      <c r="B5766" t="s">
        <v>92</v>
      </c>
      <c r="C5766">
        <v>2024</v>
      </c>
      <c r="D5766" t="s">
        <v>101</v>
      </c>
      <c r="E5766" t="s">
        <v>22</v>
      </c>
      <c r="F5766" t="s">
        <v>101</v>
      </c>
      <c r="G5766">
        <v>17250</v>
      </c>
      <c r="H5766">
        <v>13800</v>
      </c>
      <c r="I5766" s="13">
        <v>0.8</v>
      </c>
      <c r="J5766" t="s">
        <v>6207</v>
      </c>
      <c r="K5766">
        <v>5</v>
      </c>
      <c r="L5766">
        <v>3</v>
      </c>
      <c r="M5766" t="s">
        <v>0</v>
      </c>
      <c r="N5766" s="3">
        <v>0.44</v>
      </c>
      <c r="O5766" s="3">
        <v>0.56000000000000005</v>
      </c>
      <c r="P5766">
        <v>9</v>
      </c>
      <c r="Q5766">
        <v>10</v>
      </c>
      <c r="R5766">
        <v>10</v>
      </c>
      <c r="S5766">
        <v>3</v>
      </c>
      <c r="T5766">
        <v>9</v>
      </c>
      <c r="U5766">
        <v>10</v>
      </c>
      <c r="V5766">
        <v>2</v>
      </c>
      <c r="W5766">
        <v>3</v>
      </c>
      <c r="X5766">
        <v>0</v>
      </c>
      <c r="Y5766">
        <v>0</v>
      </c>
      <c r="Z5766">
        <v>1</v>
      </c>
    </row>
    <row r="5767" spans="1:26" x14ac:dyDescent="0.2">
      <c r="A5767" t="s">
        <v>5885</v>
      </c>
      <c r="B5767" t="s">
        <v>105</v>
      </c>
      <c r="C5767">
        <v>2024</v>
      </c>
      <c r="D5767" t="s">
        <v>46</v>
      </c>
      <c r="E5767" t="s">
        <v>73</v>
      </c>
      <c r="F5767" t="s">
        <v>20</v>
      </c>
      <c r="G5767">
        <v>60704</v>
      </c>
      <c r="H5767">
        <v>48563.200000000004</v>
      </c>
      <c r="I5767" s="13">
        <v>0.33333333333333331</v>
      </c>
      <c r="J5767" t="s">
        <v>6207</v>
      </c>
      <c r="K5767">
        <v>3</v>
      </c>
      <c r="L5767">
        <v>1</v>
      </c>
      <c r="M5767" t="s">
        <v>0</v>
      </c>
      <c r="N5767" s="3">
        <v>0.59</v>
      </c>
      <c r="O5767" s="3">
        <v>0.41</v>
      </c>
      <c r="P5767">
        <v>9</v>
      </c>
      <c r="Q5767">
        <v>12</v>
      </c>
      <c r="R5767">
        <v>13</v>
      </c>
      <c r="S5767">
        <v>1</v>
      </c>
      <c r="T5767">
        <v>10</v>
      </c>
      <c r="U5767">
        <v>9</v>
      </c>
      <c r="V5767">
        <v>0</v>
      </c>
      <c r="W5767">
        <v>3</v>
      </c>
      <c r="X5767">
        <v>0</v>
      </c>
      <c r="Y5767">
        <v>0</v>
      </c>
      <c r="Z5767">
        <v>0</v>
      </c>
    </row>
    <row r="5768" spans="1:26" x14ac:dyDescent="0.2">
      <c r="A5768" t="s">
        <v>5886</v>
      </c>
      <c r="B5768" t="s">
        <v>76</v>
      </c>
      <c r="C5768">
        <v>2024</v>
      </c>
      <c r="D5768" t="s">
        <v>45</v>
      </c>
      <c r="E5768" t="s">
        <v>64</v>
      </c>
      <c r="F5768" t="s">
        <v>26</v>
      </c>
      <c r="G5768">
        <v>39572</v>
      </c>
      <c r="H5768">
        <v>31657.600000000002</v>
      </c>
      <c r="I5768" s="13">
        <v>0.33333333333333331</v>
      </c>
      <c r="J5768" t="s">
        <v>6207</v>
      </c>
      <c r="K5768">
        <v>0</v>
      </c>
      <c r="L5768">
        <v>0</v>
      </c>
      <c r="M5768" t="s">
        <v>58</v>
      </c>
      <c r="N5768" s="3">
        <v>0.32</v>
      </c>
      <c r="O5768" s="3">
        <v>0.68</v>
      </c>
      <c r="P5768">
        <v>9</v>
      </c>
      <c r="Q5768">
        <v>12</v>
      </c>
      <c r="R5768">
        <v>0</v>
      </c>
      <c r="S5768">
        <v>10</v>
      </c>
      <c r="T5768">
        <v>12</v>
      </c>
      <c r="U5768">
        <v>8</v>
      </c>
      <c r="V5768">
        <v>1</v>
      </c>
      <c r="W5768">
        <v>2</v>
      </c>
      <c r="X5768">
        <v>0</v>
      </c>
      <c r="Y5768">
        <v>0</v>
      </c>
      <c r="Z5768">
        <v>1</v>
      </c>
    </row>
    <row r="5769" spans="1:26" x14ac:dyDescent="0.2">
      <c r="A5769" t="s">
        <v>5887</v>
      </c>
      <c r="B5769" t="s">
        <v>88</v>
      </c>
      <c r="C5769">
        <v>2024</v>
      </c>
      <c r="D5769" t="s">
        <v>18</v>
      </c>
      <c r="E5769" t="s">
        <v>94</v>
      </c>
      <c r="F5769" t="s">
        <v>20</v>
      </c>
      <c r="G5769">
        <v>40341</v>
      </c>
      <c r="H5769">
        <v>32272.800000000003</v>
      </c>
      <c r="I5769" s="13">
        <v>0.45454545454545453</v>
      </c>
      <c r="J5769" t="s">
        <v>6207</v>
      </c>
      <c r="K5769">
        <v>1</v>
      </c>
      <c r="L5769">
        <v>1</v>
      </c>
      <c r="M5769" t="s">
        <v>58</v>
      </c>
      <c r="N5769" s="3">
        <v>0.66</v>
      </c>
      <c r="O5769" s="3">
        <v>0.34</v>
      </c>
      <c r="P5769">
        <v>12</v>
      </c>
      <c r="Q5769">
        <v>6</v>
      </c>
      <c r="R5769">
        <v>11</v>
      </c>
      <c r="S5769">
        <v>3</v>
      </c>
      <c r="T5769">
        <v>12</v>
      </c>
      <c r="U5769">
        <v>11</v>
      </c>
      <c r="V5769">
        <v>6</v>
      </c>
      <c r="W5769">
        <v>4</v>
      </c>
      <c r="X5769">
        <v>0</v>
      </c>
      <c r="Y5769">
        <v>1</v>
      </c>
      <c r="Z5769">
        <v>0</v>
      </c>
    </row>
    <row r="5770" spans="1:26" x14ac:dyDescent="0.2">
      <c r="A5770" t="s">
        <v>5888</v>
      </c>
      <c r="B5770" t="s">
        <v>99</v>
      </c>
      <c r="C5770">
        <v>2024</v>
      </c>
      <c r="D5770" t="s">
        <v>42</v>
      </c>
      <c r="E5770" t="s">
        <v>48</v>
      </c>
      <c r="F5770" t="s">
        <v>38</v>
      </c>
      <c r="G5770">
        <v>42918</v>
      </c>
      <c r="H5770">
        <v>34334.400000000001</v>
      </c>
      <c r="I5770" s="13">
        <v>0.33333333333333331</v>
      </c>
      <c r="J5770" t="s">
        <v>6207</v>
      </c>
      <c r="K5770">
        <v>0</v>
      </c>
      <c r="L5770">
        <v>0</v>
      </c>
      <c r="M5770" t="s">
        <v>58</v>
      </c>
      <c r="N5770" s="3">
        <v>0.54</v>
      </c>
      <c r="O5770" s="3">
        <v>0.46</v>
      </c>
      <c r="P5770">
        <v>12</v>
      </c>
      <c r="Q5770">
        <v>13</v>
      </c>
      <c r="R5770">
        <v>6</v>
      </c>
      <c r="S5770">
        <v>3</v>
      </c>
      <c r="T5770">
        <v>12</v>
      </c>
      <c r="U5770">
        <v>11</v>
      </c>
      <c r="V5770">
        <v>1</v>
      </c>
      <c r="W5770">
        <v>5</v>
      </c>
      <c r="X5770">
        <v>0</v>
      </c>
      <c r="Y5770">
        <v>0</v>
      </c>
      <c r="Z5770">
        <v>0</v>
      </c>
    </row>
    <row r="5771" spans="1:26" x14ac:dyDescent="0.2">
      <c r="A5771" t="s">
        <v>5889</v>
      </c>
      <c r="B5771" t="s">
        <v>93</v>
      </c>
      <c r="C5771">
        <v>2024</v>
      </c>
      <c r="D5771" t="s">
        <v>90</v>
      </c>
      <c r="E5771" t="s">
        <v>51</v>
      </c>
      <c r="F5771" t="s">
        <v>91</v>
      </c>
      <c r="G5771">
        <v>31876</v>
      </c>
      <c r="H5771">
        <v>25500.800000000003</v>
      </c>
      <c r="I5771" s="13">
        <v>0.75</v>
      </c>
      <c r="J5771" t="s">
        <v>6206</v>
      </c>
      <c r="K5771">
        <v>3</v>
      </c>
      <c r="L5771">
        <v>2</v>
      </c>
      <c r="M5771" t="s">
        <v>0</v>
      </c>
      <c r="N5771" s="3">
        <v>0.41</v>
      </c>
      <c r="O5771" s="3">
        <v>0.59</v>
      </c>
      <c r="P5771">
        <v>11</v>
      </c>
      <c r="Q5771">
        <v>16</v>
      </c>
      <c r="R5771">
        <v>4</v>
      </c>
      <c r="S5771">
        <v>7</v>
      </c>
      <c r="T5771">
        <v>14</v>
      </c>
      <c r="U5771">
        <v>10</v>
      </c>
      <c r="V5771">
        <v>2</v>
      </c>
      <c r="W5771">
        <v>2</v>
      </c>
      <c r="X5771">
        <v>0</v>
      </c>
      <c r="Y5771">
        <v>0</v>
      </c>
      <c r="Z5771">
        <v>0</v>
      </c>
    </row>
    <row r="5772" spans="1:26" x14ac:dyDescent="0.2">
      <c r="A5772" t="s">
        <v>5890</v>
      </c>
      <c r="B5772" t="s">
        <v>92</v>
      </c>
      <c r="C5772">
        <v>2024</v>
      </c>
      <c r="D5772" t="s">
        <v>51</v>
      </c>
      <c r="E5772" t="s">
        <v>23</v>
      </c>
      <c r="F5772" t="s">
        <v>20</v>
      </c>
      <c r="G5772">
        <v>36284</v>
      </c>
      <c r="H5772">
        <v>29027.200000000001</v>
      </c>
      <c r="I5772" s="13">
        <v>1</v>
      </c>
      <c r="J5772" t="s">
        <v>6207</v>
      </c>
      <c r="K5772">
        <v>4</v>
      </c>
      <c r="L5772">
        <v>1</v>
      </c>
      <c r="M5772" t="s">
        <v>0</v>
      </c>
      <c r="N5772" s="3">
        <v>0.56999999999999995</v>
      </c>
      <c r="O5772" s="3">
        <v>0.43</v>
      </c>
      <c r="P5772">
        <v>15</v>
      </c>
      <c r="Q5772">
        <v>10</v>
      </c>
      <c r="R5772">
        <v>13</v>
      </c>
      <c r="S5772">
        <v>5</v>
      </c>
      <c r="T5772">
        <v>10</v>
      </c>
      <c r="U5772">
        <v>15</v>
      </c>
      <c r="V5772">
        <v>1</v>
      </c>
      <c r="W5772">
        <v>3</v>
      </c>
      <c r="X5772">
        <v>0</v>
      </c>
      <c r="Y5772">
        <v>1</v>
      </c>
      <c r="Z5772">
        <v>0</v>
      </c>
    </row>
    <row r="5773" spans="1:26" x14ac:dyDescent="0.2">
      <c r="A5773" t="s">
        <v>5891</v>
      </c>
      <c r="B5773" t="s">
        <v>61</v>
      </c>
      <c r="C5773">
        <v>2024</v>
      </c>
      <c r="D5773" t="s">
        <v>73</v>
      </c>
      <c r="E5773" t="s">
        <v>80</v>
      </c>
      <c r="F5773" t="s">
        <v>73</v>
      </c>
      <c r="G5773">
        <v>32384</v>
      </c>
      <c r="H5773">
        <v>25907.200000000001</v>
      </c>
      <c r="I5773" s="13">
        <v>0.4</v>
      </c>
      <c r="J5773" t="s">
        <v>6207</v>
      </c>
      <c r="K5773">
        <v>2</v>
      </c>
      <c r="L5773">
        <v>3</v>
      </c>
      <c r="M5773" t="s">
        <v>1</v>
      </c>
      <c r="N5773" s="3">
        <v>0.41</v>
      </c>
      <c r="O5773" s="3">
        <v>0.59</v>
      </c>
      <c r="P5773">
        <v>10</v>
      </c>
      <c r="Q5773">
        <v>10</v>
      </c>
      <c r="R5773">
        <v>10</v>
      </c>
      <c r="S5773">
        <v>6</v>
      </c>
      <c r="T5773">
        <v>10</v>
      </c>
      <c r="U5773">
        <v>10</v>
      </c>
      <c r="V5773">
        <v>6</v>
      </c>
      <c r="W5773">
        <v>3</v>
      </c>
      <c r="X5773">
        <v>1</v>
      </c>
      <c r="Y5773">
        <v>0</v>
      </c>
      <c r="Z5773">
        <v>1</v>
      </c>
    </row>
    <row r="5774" spans="1:26" x14ac:dyDescent="0.2">
      <c r="A5774" t="s">
        <v>5892</v>
      </c>
      <c r="B5774" t="s">
        <v>97</v>
      </c>
      <c r="C5774">
        <v>2024</v>
      </c>
      <c r="D5774" t="s">
        <v>64</v>
      </c>
      <c r="E5774" t="s">
        <v>90</v>
      </c>
      <c r="F5774" t="s">
        <v>64</v>
      </c>
      <c r="G5774">
        <v>52264</v>
      </c>
      <c r="H5774">
        <v>41811.200000000004</v>
      </c>
      <c r="I5774" s="13">
        <v>0.25</v>
      </c>
      <c r="J5774" t="s">
        <v>6207</v>
      </c>
      <c r="K5774">
        <v>0</v>
      </c>
      <c r="L5774">
        <v>1</v>
      </c>
      <c r="M5774" t="s">
        <v>1</v>
      </c>
      <c r="N5774" s="3">
        <v>0.6</v>
      </c>
      <c r="O5774" s="3">
        <v>0.4</v>
      </c>
      <c r="P5774">
        <v>9</v>
      </c>
      <c r="Q5774">
        <v>11</v>
      </c>
      <c r="R5774">
        <v>9</v>
      </c>
      <c r="S5774">
        <v>4</v>
      </c>
      <c r="T5774">
        <v>11</v>
      </c>
      <c r="U5774">
        <v>9</v>
      </c>
      <c r="V5774">
        <v>2</v>
      </c>
      <c r="W5774">
        <v>2</v>
      </c>
      <c r="X5774">
        <v>0</v>
      </c>
      <c r="Y5774">
        <v>0</v>
      </c>
      <c r="Z5774">
        <v>0</v>
      </c>
    </row>
    <row r="5775" spans="1:26" x14ac:dyDescent="0.2">
      <c r="A5775" t="s">
        <v>5893</v>
      </c>
      <c r="B5775" t="s">
        <v>111</v>
      </c>
      <c r="C5775">
        <v>2024</v>
      </c>
      <c r="D5775" t="s">
        <v>48</v>
      </c>
      <c r="E5775" t="s">
        <v>101</v>
      </c>
      <c r="F5775" t="s">
        <v>49</v>
      </c>
      <c r="G5775">
        <v>74197</v>
      </c>
      <c r="H5775">
        <v>59357.600000000006</v>
      </c>
      <c r="I5775" s="13">
        <v>0.6</v>
      </c>
      <c r="J5775" t="s">
        <v>6207</v>
      </c>
      <c r="K5775">
        <v>2</v>
      </c>
      <c r="L5775">
        <v>1</v>
      </c>
      <c r="M5775" t="s">
        <v>0</v>
      </c>
      <c r="N5775" s="3">
        <v>0.5</v>
      </c>
      <c r="O5775" s="3">
        <v>0.5</v>
      </c>
      <c r="P5775">
        <v>5</v>
      </c>
      <c r="Q5775">
        <v>4</v>
      </c>
      <c r="R5775">
        <v>9</v>
      </c>
      <c r="S5775">
        <v>2</v>
      </c>
      <c r="T5775">
        <v>4</v>
      </c>
      <c r="U5775">
        <v>5</v>
      </c>
      <c r="V5775">
        <v>3</v>
      </c>
      <c r="W5775">
        <v>2</v>
      </c>
      <c r="X5775">
        <v>0</v>
      </c>
      <c r="Y5775">
        <v>0</v>
      </c>
      <c r="Z5775">
        <v>0</v>
      </c>
    </row>
    <row r="5776" spans="1:26" x14ac:dyDescent="0.2">
      <c r="A5776" t="s">
        <v>5894</v>
      </c>
      <c r="B5776" t="s">
        <v>66</v>
      </c>
      <c r="C5776">
        <v>2024</v>
      </c>
      <c r="D5776" t="s">
        <v>117</v>
      </c>
      <c r="E5776" t="s">
        <v>45</v>
      </c>
      <c r="F5776" t="s">
        <v>117</v>
      </c>
      <c r="G5776">
        <v>30056</v>
      </c>
      <c r="H5776">
        <v>24044.800000000003</v>
      </c>
      <c r="I5776" s="13">
        <v>0.5</v>
      </c>
      <c r="J5776" t="s">
        <v>6207</v>
      </c>
      <c r="K5776">
        <v>0</v>
      </c>
      <c r="L5776">
        <v>2</v>
      </c>
      <c r="M5776" t="s">
        <v>1</v>
      </c>
      <c r="N5776" s="3">
        <v>0.55000000000000004</v>
      </c>
      <c r="O5776" s="3">
        <v>0.45</v>
      </c>
      <c r="P5776">
        <v>10</v>
      </c>
      <c r="Q5776">
        <v>12</v>
      </c>
      <c r="R5776">
        <v>5</v>
      </c>
      <c r="S5776">
        <v>7</v>
      </c>
      <c r="T5776">
        <v>12</v>
      </c>
      <c r="U5776">
        <v>10</v>
      </c>
      <c r="V5776">
        <v>1</v>
      </c>
      <c r="W5776">
        <v>1</v>
      </c>
      <c r="X5776">
        <v>0</v>
      </c>
      <c r="Y5776">
        <v>0</v>
      </c>
      <c r="Z5776">
        <v>0</v>
      </c>
    </row>
    <row r="5777" spans="1:26" x14ac:dyDescent="0.2">
      <c r="A5777" t="s">
        <v>5895</v>
      </c>
      <c r="B5777" t="s">
        <v>100</v>
      </c>
      <c r="C5777">
        <v>2024</v>
      </c>
      <c r="D5777" t="s">
        <v>31</v>
      </c>
      <c r="E5777" t="s">
        <v>42</v>
      </c>
      <c r="F5777" t="s">
        <v>20</v>
      </c>
      <c r="G5777">
        <v>28500</v>
      </c>
      <c r="H5777">
        <v>22800</v>
      </c>
      <c r="I5777" s="13">
        <v>0.55555555555555558</v>
      </c>
      <c r="J5777" t="s">
        <v>6207</v>
      </c>
      <c r="K5777">
        <v>1</v>
      </c>
      <c r="L5777">
        <v>3</v>
      </c>
      <c r="M5777" t="s">
        <v>1</v>
      </c>
      <c r="N5777" s="3">
        <v>0.52</v>
      </c>
      <c r="O5777" s="3">
        <v>0.48</v>
      </c>
      <c r="P5777">
        <v>11</v>
      </c>
      <c r="Q5777">
        <v>8</v>
      </c>
      <c r="R5777">
        <v>6</v>
      </c>
      <c r="S5777">
        <v>11</v>
      </c>
      <c r="T5777">
        <v>8</v>
      </c>
      <c r="U5777">
        <v>11</v>
      </c>
      <c r="V5777">
        <v>3</v>
      </c>
      <c r="W5777">
        <v>4</v>
      </c>
      <c r="X5777">
        <v>1</v>
      </c>
      <c r="Y5777">
        <v>1</v>
      </c>
      <c r="Z5777">
        <v>1</v>
      </c>
    </row>
    <row r="5778" spans="1:26" x14ac:dyDescent="0.2">
      <c r="A5778" t="s">
        <v>5896</v>
      </c>
      <c r="B5778" t="s">
        <v>99</v>
      </c>
      <c r="C5778">
        <v>2024</v>
      </c>
      <c r="D5778" t="s">
        <v>86</v>
      </c>
      <c r="E5778" t="s">
        <v>46</v>
      </c>
      <c r="F5778" t="s">
        <v>86</v>
      </c>
      <c r="G5778">
        <v>11364</v>
      </c>
      <c r="H5778">
        <v>9091.2000000000007</v>
      </c>
      <c r="I5778" s="13">
        <v>0.66666666666666663</v>
      </c>
      <c r="J5778" t="s">
        <v>6207</v>
      </c>
      <c r="K5778">
        <v>2</v>
      </c>
      <c r="L5778">
        <v>0</v>
      </c>
      <c r="M5778" t="s">
        <v>0</v>
      </c>
      <c r="N5778" s="3">
        <v>0.48</v>
      </c>
      <c r="O5778" s="3">
        <v>0.52</v>
      </c>
      <c r="P5778">
        <v>11</v>
      </c>
      <c r="Q5778">
        <v>12</v>
      </c>
      <c r="R5778">
        <v>7</v>
      </c>
      <c r="S5778">
        <v>4</v>
      </c>
      <c r="T5778">
        <v>12</v>
      </c>
      <c r="U5778">
        <v>11</v>
      </c>
      <c r="V5778">
        <v>1</v>
      </c>
      <c r="W5778">
        <v>1</v>
      </c>
      <c r="X5778">
        <v>0</v>
      </c>
      <c r="Y5778">
        <v>1</v>
      </c>
      <c r="Z5778">
        <v>1</v>
      </c>
    </row>
    <row r="5779" spans="1:26" x14ac:dyDescent="0.2">
      <c r="A5779" t="s">
        <v>5897</v>
      </c>
      <c r="B5779" t="s">
        <v>88</v>
      </c>
      <c r="C5779">
        <v>2024</v>
      </c>
      <c r="D5779" t="s">
        <v>22</v>
      </c>
      <c r="E5779" t="s">
        <v>40</v>
      </c>
      <c r="F5779" t="s">
        <v>24</v>
      </c>
      <c r="G5779">
        <v>31750</v>
      </c>
      <c r="H5779">
        <v>25400</v>
      </c>
      <c r="I5779" s="13">
        <v>1</v>
      </c>
      <c r="J5779" t="s">
        <v>6207</v>
      </c>
      <c r="K5779">
        <v>1</v>
      </c>
      <c r="L5779">
        <v>2</v>
      </c>
      <c r="M5779" t="s">
        <v>1</v>
      </c>
      <c r="N5779" s="3">
        <v>0.22</v>
      </c>
      <c r="O5779" s="3">
        <v>0.78</v>
      </c>
      <c r="P5779">
        <v>5</v>
      </c>
      <c r="Q5779">
        <v>8</v>
      </c>
      <c r="R5779">
        <v>1</v>
      </c>
      <c r="S5779">
        <v>18</v>
      </c>
      <c r="T5779">
        <v>8</v>
      </c>
      <c r="U5779">
        <v>5</v>
      </c>
      <c r="V5779">
        <v>4</v>
      </c>
      <c r="W5779">
        <v>1</v>
      </c>
      <c r="X5779">
        <v>0</v>
      </c>
      <c r="Y5779">
        <v>0</v>
      </c>
      <c r="Z5779">
        <v>0</v>
      </c>
    </row>
    <row r="5780" spans="1:26" x14ac:dyDescent="0.2">
      <c r="A5780" t="s">
        <v>5898</v>
      </c>
      <c r="B5780" t="s">
        <v>104</v>
      </c>
      <c r="C5780">
        <v>2024</v>
      </c>
      <c r="D5780" t="s">
        <v>26</v>
      </c>
      <c r="E5780" t="s">
        <v>18</v>
      </c>
      <c r="F5780" t="s">
        <v>26</v>
      </c>
      <c r="G5780">
        <v>61276</v>
      </c>
      <c r="H5780">
        <v>49020.800000000003</v>
      </c>
      <c r="I5780" s="13">
        <v>0.75</v>
      </c>
      <c r="J5780" t="s">
        <v>6206</v>
      </c>
      <c r="K5780">
        <v>2</v>
      </c>
      <c r="L5780">
        <v>1</v>
      </c>
      <c r="M5780" t="s">
        <v>0</v>
      </c>
      <c r="N5780" s="3">
        <v>0.43</v>
      </c>
      <c r="O5780" s="3">
        <v>0.56999999999999995</v>
      </c>
      <c r="P5780">
        <v>13</v>
      </c>
      <c r="Q5780">
        <v>12</v>
      </c>
      <c r="R5780">
        <v>1</v>
      </c>
      <c r="S5780">
        <v>5</v>
      </c>
      <c r="T5780">
        <v>12</v>
      </c>
      <c r="U5780">
        <v>13</v>
      </c>
      <c r="V5780">
        <v>5</v>
      </c>
      <c r="W5780">
        <v>3</v>
      </c>
      <c r="X5780">
        <v>0</v>
      </c>
      <c r="Y5780">
        <v>0</v>
      </c>
      <c r="Z5780">
        <v>1</v>
      </c>
    </row>
    <row r="5781" spans="1:26" x14ac:dyDescent="0.2">
      <c r="A5781" t="s">
        <v>5899</v>
      </c>
      <c r="B5781" t="s">
        <v>98</v>
      </c>
      <c r="C5781">
        <v>2024</v>
      </c>
      <c r="D5781" t="s">
        <v>94</v>
      </c>
      <c r="E5781" t="s">
        <v>79</v>
      </c>
      <c r="F5781" t="s">
        <v>106</v>
      </c>
      <c r="G5781">
        <v>30445</v>
      </c>
      <c r="H5781">
        <v>24356</v>
      </c>
      <c r="I5781" s="13">
        <v>0.8</v>
      </c>
      <c r="J5781" t="s">
        <v>6208</v>
      </c>
      <c r="K5781">
        <v>1</v>
      </c>
      <c r="L5781">
        <v>0</v>
      </c>
      <c r="M5781" t="s">
        <v>0</v>
      </c>
      <c r="N5781" s="3">
        <v>0.5</v>
      </c>
      <c r="O5781" s="3">
        <v>0.5</v>
      </c>
      <c r="P5781">
        <v>12</v>
      </c>
      <c r="Q5781">
        <v>9</v>
      </c>
      <c r="R5781">
        <v>6</v>
      </c>
      <c r="S5781">
        <v>6</v>
      </c>
      <c r="T5781">
        <v>9</v>
      </c>
      <c r="U5781">
        <v>12</v>
      </c>
      <c r="V5781">
        <v>2</v>
      </c>
      <c r="W5781">
        <v>3</v>
      </c>
      <c r="X5781">
        <v>0</v>
      </c>
      <c r="Y5781">
        <v>0</v>
      </c>
      <c r="Z5781">
        <v>0</v>
      </c>
    </row>
    <row r="5782" spans="1:26" x14ac:dyDescent="0.2">
      <c r="A5782" t="s">
        <v>5900</v>
      </c>
      <c r="B5782" t="s">
        <v>76</v>
      </c>
      <c r="C5782">
        <v>2024</v>
      </c>
      <c r="D5782" t="s">
        <v>80</v>
      </c>
      <c r="E5782" t="s">
        <v>94</v>
      </c>
      <c r="F5782" t="s">
        <v>80</v>
      </c>
      <c r="G5782">
        <v>32261</v>
      </c>
      <c r="H5782">
        <v>25808.800000000003</v>
      </c>
      <c r="I5782" s="13">
        <v>0.75</v>
      </c>
      <c r="J5782" t="s">
        <v>6207</v>
      </c>
      <c r="K5782">
        <v>1</v>
      </c>
      <c r="L5782">
        <v>3</v>
      </c>
      <c r="M5782" t="s">
        <v>1</v>
      </c>
      <c r="N5782" s="3">
        <v>0.64</v>
      </c>
      <c r="O5782" s="3">
        <v>0.36</v>
      </c>
      <c r="P5782">
        <v>9</v>
      </c>
      <c r="Q5782">
        <v>16</v>
      </c>
      <c r="R5782">
        <v>6</v>
      </c>
      <c r="S5782">
        <v>7</v>
      </c>
      <c r="T5782">
        <v>16</v>
      </c>
      <c r="U5782">
        <v>9</v>
      </c>
      <c r="V5782">
        <v>5</v>
      </c>
      <c r="W5782">
        <v>3</v>
      </c>
      <c r="X5782">
        <v>0</v>
      </c>
      <c r="Y5782">
        <v>0</v>
      </c>
      <c r="Z5782">
        <v>0</v>
      </c>
    </row>
    <row r="5783" spans="1:26" x14ac:dyDescent="0.2">
      <c r="A5783" t="s">
        <v>5901</v>
      </c>
      <c r="B5783" t="s">
        <v>105</v>
      </c>
      <c r="C5783">
        <v>2024</v>
      </c>
      <c r="D5783" t="s">
        <v>40</v>
      </c>
      <c r="E5783" t="s">
        <v>73</v>
      </c>
      <c r="F5783" t="s">
        <v>49</v>
      </c>
      <c r="G5783">
        <v>53400</v>
      </c>
      <c r="H5783">
        <v>42720</v>
      </c>
      <c r="I5783" s="13">
        <v>0.2</v>
      </c>
      <c r="J5783" t="s">
        <v>6207</v>
      </c>
      <c r="K5783">
        <v>1</v>
      </c>
      <c r="L5783">
        <v>0</v>
      </c>
      <c r="M5783" t="s">
        <v>0</v>
      </c>
      <c r="N5783" s="3">
        <v>0.57999999999999996</v>
      </c>
      <c r="O5783" s="3">
        <v>0.42</v>
      </c>
      <c r="P5783">
        <v>9</v>
      </c>
      <c r="Q5783">
        <v>9</v>
      </c>
      <c r="R5783">
        <v>12</v>
      </c>
      <c r="S5783">
        <v>1</v>
      </c>
      <c r="T5783">
        <v>9</v>
      </c>
      <c r="U5783">
        <v>9</v>
      </c>
      <c r="V5783">
        <v>1</v>
      </c>
      <c r="W5783">
        <v>4</v>
      </c>
      <c r="X5783">
        <v>0</v>
      </c>
      <c r="Y5783">
        <v>0</v>
      </c>
      <c r="Z5783">
        <v>0</v>
      </c>
    </row>
    <row r="5784" spans="1:26" x14ac:dyDescent="0.2">
      <c r="A5784" t="s">
        <v>5902</v>
      </c>
      <c r="B5784" t="s">
        <v>66</v>
      </c>
      <c r="C5784">
        <v>2024</v>
      </c>
      <c r="D5784" t="s">
        <v>90</v>
      </c>
      <c r="E5784" t="s">
        <v>22</v>
      </c>
      <c r="F5784" t="s">
        <v>91</v>
      </c>
      <c r="G5784">
        <v>31876</v>
      </c>
      <c r="H5784">
        <v>25500.800000000003</v>
      </c>
      <c r="I5784" s="13">
        <v>0.83333333333333337</v>
      </c>
      <c r="J5784" t="s">
        <v>6207</v>
      </c>
      <c r="K5784">
        <v>2</v>
      </c>
      <c r="L5784">
        <v>2</v>
      </c>
      <c r="M5784" t="s">
        <v>58</v>
      </c>
      <c r="N5784" s="3">
        <v>0.51</v>
      </c>
      <c r="O5784" s="3">
        <v>0.49</v>
      </c>
      <c r="P5784">
        <v>10</v>
      </c>
      <c r="Q5784">
        <v>11</v>
      </c>
      <c r="R5784">
        <v>9</v>
      </c>
      <c r="S5784">
        <v>6</v>
      </c>
      <c r="T5784">
        <v>11</v>
      </c>
      <c r="U5784">
        <v>10</v>
      </c>
      <c r="V5784">
        <v>3</v>
      </c>
      <c r="W5784">
        <v>3</v>
      </c>
      <c r="X5784">
        <v>0</v>
      </c>
      <c r="Y5784">
        <v>0</v>
      </c>
      <c r="Z5784">
        <v>0</v>
      </c>
    </row>
    <row r="5785" spans="1:26" x14ac:dyDescent="0.2">
      <c r="A5785" t="s">
        <v>5903</v>
      </c>
      <c r="B5785" t="s">
        <v>114</v>
      </c>
      <c r="C5785">
        <v>2024</v>
      </c>
      <c r="D5785" t="s">
        <v>101</v>
      </c>
      <c r="E5785" t="s">
        <v>117</v>
      </c>
      <c r="F5785" t="s">
        <v>101</v>
      </c>
      <c r="G5785">
        <v>17250</v>
      </c>
      <c r="H5785">
        <v>13800</v>
      </c>
      <c r="I5785" s="13">
        <v>0</v>
      </c>
      <c r="J5785" t="s">
        <v>6209</v>
      </c>
      <c r="K5785">
        <v>4</v>
      </c>
      <c r="L5785">
        <v>3</v>
      </c>
      <c r="M5785" t="s">
        <v>0</v>
      </c>
      <c r="N5785" s="3">
        <v>0.65</v>
      </c>
      <c r="O5785" s="3">
        <v>0.35</v>
      </c>
      <c r="P5785">
        <v>10</v>
      </c>
      <c r="Q5785">
        <v>7</v>
      </c>
      <c r="R5785">
        <v>4</v>
      </c>
      <c r="S5785">
        <v>5</v>
      </c>
      <c r="T5785">
        <v>7</v>
      </c>
      <c r="U5785">
        <v>10</v>
      </c>
      <c r="V5785">
        <v>0</v>
      </c>
      <c r="W5785">
        <v>2</v>
      </c>
      <c r="X5785">
        <v>0</v>
      </c>
      <c r="Y5785">
        <v>1</v>
      </c>
      <c r="Z5785">
        <v>1</v>
      </c>
    </row>
    <row r="5786" spans="1:26" x14ac:dyDescent="0.2">
      <c r="A5786" t="s">
        <v>5904</v>
      </c>
      <c r="B5786" t="s">
        <v>88</v>
      </c>
      <c r="C5786">
        <v>2024</v>
      </c>
      <c r="D5786" t="s">
        <v>42</v>
      </c>
      <c r="E5786" t="s">
        <v>86</v>
      </c>
      <c r="F5786" t="s">
        <v>38</v>
      </c>
      <c r="G5786">
        <v>42918</v>
      </c>
      <c r="H5786">
        <v>34334.400000000001</v>
      </c>
      <c r="I5786" s="13">
        <v>0.61538461538461542</v>
      </c>
      <c r="J5786" t="s">
        <v>6207</v>
      </c>
      <c r="K5786">
        <v>1</v>
      </c>
      <c r="L5786">
        <v>1</v>
      </c>
      <c r="M5786" t="s">
        <v>58</v>
      </c>
      <c r="N5786" s="3">
        <v>0.56999999999999995</v>
      </c>
      <c r="O5786" s="3">
        <v>0.43</v>
      </c>
      <c r="P5786">
        <v>14</v>
      </c>
      <c r="Q5786">
        <v>12</v>
      </c>
      <c r="R5786">
        <v>9</v>
      </c>
      <c r="S5786">
        <v>7</v>
      </c>
      <c r="T5786">
        <v>12</v>
      </c>
      <c r="U5786">
        <v>14</v>
      </c>
      <c r="V5786">
        <v>7</v>
      </c>
      <c r="W5786">
        <v>6</v>
      </c>
      <c r="X5786">
        <v>0</v>
      </c>
      <c r="Y5786">
        <v>0</v>
      </c>
      <c r="Z5786">
        <v>0</v>
      </c>
    </row>
    <row r="5787" spans="1:26" x14ac:dyDescent="0.2">
      <c r="A5787" t="s">
        <v>5905</v>
      </c>
      <c r="B5787" t="s">
        <v>104</v>
      </c>
      <c r="C5787">
        <v>2024</v>
      </c>
      <c r="D5787" t="s">
        <v>45</v>
      </c>
      <c r="E5787" t="s">
        <v>31</v>
      </c>
      <c r="F5787" t="s">
        <v>26</v>
      </c>
      <c r="G5787">
        <v>39572</v>
      </c>
      <c r="H5787">
        <v>31657.600000000002</v>
      </c>
      <c r="I5787" s="13">
        <v>0</v>
      </c>
      <c r="J5787" t="s">
        <v>6206</v>
      </c>
      <c r="K5787">
        <v>1</v>
      </c>
      <c r="L5787">
        <v>1</v>
      </c>
      <c r="M5787" t="s">
        <v>58</v>
      </c>
      <c r="N5787" s="3">
        <v>0.4</v>
      </c>
      <c r="O5787" s="3">
        <v>0.6</v>
      </c>
      <c r="P5787">
        <v>8</v>
      </c>
      <c r="Q5787">
        <v>8</v>
      </c>
      <c r="R5787">
        <v>4</v>
      </c>
      <c r="S5787">
        <v>2</v>
      </c>
      <c r="T5787">
        <v>8</v>
      </c>
      <c r="U5787">
        <v>8</v>
      </c>
      <c r="V5787">
        <v>1</v>
      </c>
      <c r="W5787">
        <v>0</v>
      </c>
      <c r="X5787">
        <v>0</v>
      </c>
      <c r="Y5787">
        <v>0</v>
      </c>
      <c r="Z5787">
        <v>0</v>
      </c>
    </row>
    <row r="5788" spans="1:26" x14ac:dyDescent="0.2">
      <c r="A5788" t="s">
        <v>5906</v>
      </c>
      <c r="B5788" t="s">
        <v>93</v>
      </c>
      <c r="C5788">
        <v>2024</v>
      </c>
      <c r="D5788" t="s">
        <v>23</v>
      </c>
      <c r="E5788" t="s">
        <v>48</v>
      </c>
      <c r="F5788" t="s">
        <v>20</v>
      </c>
      <c r="G5788">
        <v>62500</v>
      </c>
      <c r="H5788">
        <v>50000</v>
      </c>
      <c r="I5788" s="13">
        <v>0.66666666666666663</v>
      </c>
      <c r="J5788" t="s">
        <v>6206</v>
      </c>
      <c r="K5788">
        <v>2</v>
      </c>
      <c r="L5788">
        <v>1</v>
      </c>
      <c r="M5788" t="s">
        <v>0</v>
      </c>
      <c r="N5788" s="3">
        <v>0.43</v>
      </c>
      <c r="O5788" s="3">
        <v>0.56999999999999995</v>
      </c>
      <c r="P5788">
        <v>7</v>
      </c>
      <c r="Q5788">
        <v>6</v>
      </c>
      <c r="R5788">
        <v>6</v>
      </c>
      <c r="S5788">
        <v>5</v>
      </c>
      <c r="T5788">
        <v>6</v>
      </c>
      <c r="U5788">
        <v>7</v>
      </c>
      <c r="V5788">
        <v>5</v>
      </c>
      <c r="W5788">
        <v>1</v>
      </c>
      <c r="X5788">
        <v>0</v>
      </c>
      <c r="Y5788">
        <v>0</v>
      </c>
      <c r="Z5788">
        <v>1</v>
      </c>
    </row>
    <row r="5789" spans="1:26" x14ac:dyDescent="0.2">
      <c r="A5789" t="s">
        <v>5907</v>
      </c>
      <c r="B5789" t="s">
        <v>108</v>
      </c>
      <c r="C5789">
        <v>2024</v>
      </c>
      <c r="D5789" t="s">
        <v>79</v>
      </c>
      <c r="E5789" t="s">
        <v>51</v>
      </c>
      <c r="F5789" t="s">
        <v>20</v>
      </c>
      <c r="G5789">
        <v>25486</v>
      </c>
      <c r="H5789">
        <v>20388.800000000003</v>
      </c>
      <c r="I5789" s="13">
        <v>0.75</v>
      </c>
      <c r="J5789" t="s">
        <v>6207</v>
      </c>
      <c r="K5789">
        <v>1</v>
      </c>
      <c r="L5789">
        <v>0</v>
      </c>
      <c r="M5789" t="s">
        <v>0</v>
      </c>
      <c r="N5789" s="3">
        <v>0.34</v>
      </c>
      <c r="O5789" s="3">
        <v>0.66</v>
      </c>
      <c r="P5789">
        <v>12</v>
      </c>
      <c r="Q5789">
        <v>16</v>
      </c>
      <c r="R5789">
        <v>8</v>
      </c>
      <c r="S5789">
        <v>8</v>
      </c>
      <c r="T5789">
        <v>16</v>
      </c>
      <c r="U5789">
        <v>12</v>
      </c>
      <c r="V5789">
        <v>4</v>
      </c>
      <c r="W5789">
        <v>4</v>
      </c>
      <c r="X5789">
        <v>0</v>
      </c>
      <c r="Y5789">
        <v>0</v>
      </c>
      <c r="Z5789">
        <v>0</v>
      </c>
    </row>
    <row r="5790" spans="1:26" x14ac:dyDescent="0.2">
      <c r="A5790" t="s">
        <v>5908</v>
      </c>
      <c r="B5790" t="s">
        <v>84</v>
      </c>
      <c r="C5790">
        <v>2024</v>
      </c>
      <c r="D5790" t="s">
        <v>18</v>
      </c>
      <c r="E5790" t="s">
        <v>64</v>
      </c>
      <c r="F5790" t="s">
        <v>20</v>
      </c>
      <c r="G5790">
        <v>40341</v>
      </c>
      <c r="H5790">
        <v>32272.800000000003</v>
      </c>
      <c r="I5790" s="13">
        <v>0.7</v>
      </c>
      <c r="J5790" t="s">
        <v>6208</v>
      </c>
      <c r="K5790">
        <v>2</v>
      </c>
      <c r="L5790">
        <v>1</v>
      </c>
      <c r="M5790" t="s">
        <v>0</v>
      </c>
      <c r="N5790" s="3">
        <v>0.51</v>
      </c>
      <c r="O5790" s="3">
        <v>0.49</v>
      </c>
      <c r="P5790">
        <v>16</v>
      </c>
      <c r="Q5790">
        <v>13</v>
      </c>
      <c r="R5790">
        <v>7</v>
      </c>
      <c r="S5790">
        <v>4</v>
      </c>
      <c r="T5790">
        <v>13</v>
      </c>
      <c r="U5790">
        <v>16</v>
      </c>
      <c r="V5790">
        <v>7</v>
      </c>
      <c r="W5790">
        <v>3</v>
      </c>
      <c r="X5790">
        <v>0</v>
      </c>
      <c r="Y5790">
        <v>0</v>
      </c>
      <c r="Z5790">
        <v>0</v>
      </c>
    </row>
    <row r="5791" spans="1:26" x14ac:dyDescent="0.2">
      <c r="A5791" t="s">
        <v>5909</v>
      </c>
      <c r="B5791" t="s">
        <v>61</v>
      </c>
      <c r="C5791">
        <v>2024</v>
      </c>
      <c r="D5791" t="s">
        <v>46</v>
      </c>
      <c r="E5791" t="s">
        <v>26</v>
      </c>
      <c r="F5791" t="s">
        <v>20</v>
      </c>
      <c r="G5791">
        <v>60704</v>
      </c>
      <c r="H5791">
        <v>48563.200000000004</v>
      </c>
      <c r="I5791" s="13">
        <v>0.8</v>
      </c>
      <c r="J5791" t="s">
        <v>6207</v>
      </c>
      <c r="K5791">
        <v>2</v>
      </c>
      <c r="L5791">
        <v>2</v>
      </c>
      <c r="M5791" t="s">
        <v>58</v>
      </c>
      <c r="N5791" s="3">
        <v>0.45</v>
      </c>
      <c r="O5791" s="3">
        <v>0.55000000000000004</v>
      </c>
      <c r="P5791">
        <v>14</v>
      </c>
      <c r="Q5791">
        <v>14</v>
      </c>
      <c r="R5791">
        <v>1</v>
      </c>
      <c r="S5791">
        <v>3</v>
      </c>
      <c r="T5791">
        <v>14</v>
      </c>
      <c r="U5791">
        <v>14</v>
      </c>
      <c r="V5791">
        <v>2</v>
      </c>
      <c r="W5791">
        <v>3</v>
      </c>
      <c r="X5791">
        <v>0</v>
      </c>
      <c r="Y5791">
        <v>0</v>
      </c>
      <c r="Z5791">
        <v>0</v>
      </c>
    </row>
    <row r="5792" spans="1:26" x14ac:dyDescent="0.2">
      <c r="A5792" t="s">
        <v>5910</v>
      </c>
      <c r="B5792" t="s">
        <v>104</v>
      </c>
      <c r="C5792">
        <v>2024</v>
      </c>
      <c r="D5792" t="s">
        <v>64</v>
      </c>
      <c r="E5792" t="s">
        <v>46</v>
      </c>
      <c r="F5792" t="s">
        <v>64</v>
      </c>
      <c r="G5792">
        <v>52264</v>
      </c>
      <c r="H5792">
        <v>41811.200000000004</v>
      </c>
      <c r="I5792" s="13">
        <v>0.75</v>
      </c>
      <c r="J5792" t="s">
        <v>6206</v>
      </c>
      <c r="K5792">
        <v>1</v>
      </c>
      <c r="L5792">
        <v>0</v>
      </c>
      <c r="M5792" t="s">
        <v>0</v>
      </c>
      <c r="N5792" s="3">
        <v>0.36</v>
      </c>
      <c r="O5792" s="3">
        <v>0.64</v>
      </c>
      <c r="P5792">
        <v>18</v>
      </c>
      <c r="Q5792">
        <v>16</v>
      </c>
      <c r="R5792">
        <v>4</v>
      </c>
      <c r="S5792">
        <v>6</v>
      </c>
      <c r="T5792">
        <v>16</v>
      </c>
      <c r="U5792">
        <v>18</v>
      </c>
      <c r="V5792">
        <v>4</v>
      </c>
      <c r="W5792">
        <v>4</v>
      </c>
      <c r="X5792">
        <v>0</v>
      </c>
      <c r="Y5792">
        <v>0</v>
      </c>
      <c r="Z5792">
        <v>0</v>
      </c>
    </row>
    <row r="5793" spans="1:26" x14ac:dyDescent="0.2">
      <c r="A5793" t="s">
        <v>5911</v>
      </c>
      <c r="B5793" t="s">
        <v>92</v>
      </c>
      <c r="C5793">
        <v>2024</v>
      </c>
      <c r="D5793" t="s">
        <v>73</v>
      </c>
      <c r="E5793" t="s">
        <v>45</v>
      </c>
      <c r="F5793" t="s">
        <v>73</v>
      </c>
      <c r="G5793">
        <v>32384</v>
      </c>
      <c r="H5793">
        <v>25907.200000000001</v>
      </c>
      <c r="I5793" s="13">
        <v>0.5</v>
      </c>
      <c r="J5793" t="s">
        <v>6207</v>
      </c>
      <c r="K5793">
        <v>1</v>
      </c>
      <c r="L5793">
        <v>0</v>
      </c>
      <c r="M5793" t="s">
        <v>0</v>
      </c>
      <c r="N5793" s="3">
        <v>0.65</v>
      </c>
      <c r="O5793" s="3">
        <v>0.35</v>
      </c>
      <c r="P5793">
        <v>18</v>
      </c>
      <c r="Q5793">
        <v>14</v>
      </c>
      <c r="R5793">
        <v>3</v>
      </c>
      <c r="S5793">
        <v>6</v>
      </c>
      <c r="T5793">
        <v>14</v>
      </c>
      <c r="U5793">
        <v>18</v>
      </c>
      <c r="V5793">
        <v>4</v>
      </c>
      <c r="W5793">
        <v>2</v>
      </c>
      <c r="X5793">
        <v>0</v>
      </c>
      <c r="Y5793">
        <v>0</v>
      </c>
      <c r="Z5793">
        <v>0</v>
      </c>
    </row>
    <row r="5794" spans="1:26" x14ac:dyDescent="0.2">
      <c r="A5794" t="s">
        <v>5912</v>
      </c>
      <c r="B5794" t="s">
        <v>97</v>
      </c>
      <c r="C5794">
        <v>2024</v>
      </c>
      <c r="D5794" t="s">
        <v>94</v>
      </c>
      <c r="E5794" t="s">
        <v>23</v>
      </c>
      <c r="F5794" t="s">
        <v>106</v>
      </c>
      <c r="G5794">
        <v>30445</v>
      </c>
      <c r="H5794">
        <v>24356</v>
      </c>
      <c r="I5794" s="13">
        <v>0.6</v>
      </c>
      <c r="J5794" t="s">
        <v>6207</v>
      </c>
      <c r="K5794">
        <v>3</v>
      </c>
      <c r="L5794">
        <v>0</v>
      </c>
      <c r="M5794" t="s">
        <v>0</v>
      </c>
      <c r="N5794" s="3">
        <v>0.53</v>
      </c>
      <c r="O5794" s="3">
        <v>0.47</v>
      </c>
      <c r="P5794">
        <v>9</v>
      </c>
      <c r="Q5794">
        <v>7</v>
      </c>
      <c r="R5794">
        <v>10</v>
      </c>
      <c r="S5794">
        <v>5</v>
      </c>
      <c r="T5794">
        <v>7</v>
      </c>
      <c r="U5794">
        <v>9</v>
      </c>
      <c r="V5794">
        <v>1</v>
      </c>
      <c r="W5794">
        <v>3</v>
      </c>
      <c r="X5794">
        <v>0</v>
      </c>
      <c r="Y5794">
        <v>1</v>
      </c>
      <c r="Z5794">
        <v>0</v>
      </c>
    </row>
    <row r="5795" spans="1:26" x14ac:dyDescent="0.2">
      <c r="A5795" t="s">
        <v>5913</v>
      </c>
      <c r="B5795" t="s">
        <v>105</v>
      </c>
      <c r="C5795">
        <v>2024</v>
      </c>
      <c r="D5795" t="s">
        <v>26</v>
      </c>
      <c r="E5795" t="s">
        <v>90</v>
      </c>
      <c r="F5795" t="s">
        <v>26</v>
      </c>
      <c r="G5795">
        <v>61276</v>
      </c>
      <c r="H5795">
        <v>49020.800000000003</v>
      </c>
      <c r="I5795" s="13">
        <v>1</v>
      </c>
      <c r="J5795" t="s">
        <v>6207</v>
      </c>
      <c r="K5795">
        <v>2</v>
      </c>
      <c r="L5795">
        <v>1</v>
      </c>
      <c r="M5795" t="s">
        <v>0</v>
      </c>
      <c r="N5795" s="3">
        <v>0.49</v>
      </c>
      <c r="O5795" s="3">
        <v>0.51</v>
      </c>
      <c r="P5795">
        <v>18</v>
      </c>
      <c r="Q5795">
        <v>10</v>
      </c>
      <c r="R5795">
        <v>9</v>
      </c>
      <c r="S5795">
        <v>7</v>
      </c>
      <c r="T5795">
        <v>10</v>
      </c>
      <c r="U5795">
        <v>18</v>
      </c>
      <c r="V5795">
        <v>1</v>
      </c>
      <c r="W5795">
        <v>2</v>
      </c>
      <c r="X5795">
        <v>0</v>
      </c>
      <c r="Y5795">
        <v>0</v>
      </c>
      <c r="Z5795">
        <v>0</v>
      </c>
    </row>
    <row r="5796" spans="1:26" x14ac:dyDescent="0.2">
      <c r="A5796" t="s">
        <v>5914</v>
      </c>
      <c r="B5796" t="s">
        <v>98</v>
      </c>
      <c r="C5796">
        <v>2024</v>
      </c>
      <c r="D5796" t="s">
        <v>117</v>
      </c>
      <c r="E5796" t="s">
        <v>80</v>
      </c>
      <c r="F5796" t="s">
        <v>117</v>
      </c>
      <c r="G5796">
        <v>30056</v>
      </c>
      <c r="H5796">
        <v>24044.800000000003</v>
      </c>
      <c r="I5796" s="13">
        <v>0.375</v>
      </c>
      <c r="J5796" t="s">
        <v>6208</v>
      </c>
      <c r="K5796">
        <v>1</v>
      </c>
      <c r="L5796">
        <v>1</v>
      </c>
      <c r="M5796" t="s">
        <v>58</v>
      </c>
      <c r="N5796" s="3">
        <v>0.43</v>
      </c>
      <c r="O5796" s="3">
        <v>0.56999999999999995</v>
      </c>
      <c r="P5796">
        <v>10</v>
      </c>
      <c r="Q5796">
        <v>11</v>
      </c>
      <c r="R5796">
        <v>4</v>
      </c>
      <c r="S5796">
        <v>6</v>
      </c>
      <c r="T5796">
        <v>11</v>
      </c>
      <c r="U5796">
        <v>10</v>
      </c>
      <c r="V5796">
        <v>5</v>
      </c>
      <c r="W5796">
        <v>2</v>
      </c>
      <c r="X5796">
        <v>1</v>
      </c>
      <c r="Y5796">
        <v>0</v>
      </c>
      <c r="Z5796">
        <v>0</v>
      </c>
    </row>
    <row r="5797" spans="1:26" x14ac:dyDescent="0.2">
      <c r="A5797" t="s">
        <v>5915</v>
      </c>
      <c r="B5797" t="s">
        <v>66</v>
      </c>
      <c r="C5797">
        <v>2024</v>
      </c>
      <c r="D5797" t="s">
        <v>86</v>
      </c>
      <c r="E5797" t="s">
        <v>40</v>
      </c>
      <c r="F5797" t="s">
        <v>86</v>
      </c>
      <c r="G5797">
        <v>11364</v>
      </c>
      <c r="H5797">
        <v>9091.2000000000007</v>
      </c>
      <c r="I5797" s="13">
        <v>0.33333333333333331</v>
      </c>
      <c r="J5797" t="s">
        <v>6207</v>
      </c>
      <c r="K5797">
        <v>2</v>
      </c>
      <c r="L5797">
        <v>1</v>
      </c>
      <c r="M5797" t="s">
        <v>0</v>
      </c>
      <c r="N5797" s="3">
        <v>0.35</v>
      </c>
      <c r="O5797" s="3">
        <v>0.65</v>
      </c>
      <c r="P5797">
        <v>6</v>
      </c>
      <c r="Q5797">
        <v>10</v>
      </c>
      <c r="R5797">
        <v>3</v>
      </c>
      <c r="S5797">
        <v>10</v>
      </c>
      <c r="T5797">
        <v>10</v>
      </c>
      <c r="U5797">
        <v>6</v>
      </c>
      <c r="V5797">
        <v>2</v>
      </c>
      <c r="W5797">
        <v>1</v>
      </c>
      <c r="X5797">
        <v>0</v>
      </c>
      <c r="Y5797">
        <v>0</v>
      </c>
      <c r="Z5797">
        <v>0</v>
      </c>
    </row>
    <row r="5798" spans="1:26" x14ac:dyDescent="0.2">
      <c r="A5798" t="s">
        <v>5916</v>
      </c>
      <c r="B5798" t="s">
        <v>61</v>
      </c>
      <c r="C5798">
        <v>2024</v>
      </c>
      <c r="D5798" t="s">
        <v>22</v>
      </c>
      <c r="E5798" t="s">
        <v>79</v>
      </c>
      <c r="F5798" t="s">
        <v>24</v>
      </c>
      <c r="G5798">
        <v>31750</v>
      </c>
      <c r="H5798">
        <v>25400</v>
      </c>
      <c r="I5798" s="13">
        <v>0.66666666666666663</v>
      </c>
      <c r="J5798" t="s">
        <v>6207</v>
      </c>
      <c r="K5798">
        <v>2</v>
      </c>
      <c r="L5798">
        <v>2</v>
      </c>
      <c r="M5798" t="s">
        <v>58</v>
      </c>
      <c r="N5798" s="3">
        <v>0.56999999999999995</v>
      </c>
      <c r="O5798" s="3">
        <v>0.43</v>
      </c>
      <c r="P5798">
        <v>9</v>
      </c>
      <c r="Q5798">
        <v>7</v>
      </c>
      <c r="R5798">
        <v>3</v>
      </c>
      <c r="S5798">
        <v>6</v>
      </c>
      <c r="T5798">
        <v>7</v>
      </c>
      <c r="U5798">
        <v>9</v>
      </c>
      <c r="V5798">
        <v>1</v>
      </c>
      <c r="W5798">
        <v>2</v>
      </c>
      <c r="X5798">
        <v>0</v>
      </c>
      <c r="Y5798">
        <v>0</v>
      </c>
      <c r="Z5798">
        <v>0</v>
      </c>
    </row>
    <row r="5799" spans="1:26" x14ac:dyDescent="0.2">
      <c r="A5799" t="s">
        <v>5917</v>
      </c>
      <c r="B5799" t="s">
        <v>76</v>
      </c>
      <c r="C5799">
        <v>2024</v>
      </c>
      <c r="D5799" t="s">
        <v>51</v>
      </c>
      <c r="E5799" t="s">
        <v>42</v>
      </c>
      <c r="F5799" t="s">
        <v>20</v>
      </c>
      <c r="G5799">
        <v>36284</v>
      </c>
      <c r="H5799">
        <v>29027.200000000001</v>
      </c>
      <c r="I5799" s="13">
        <v>1</v>
      </c>
      <c r="J5799" t="s">
        <v>6207</v>
      </c>
      <c r="K5799">
        <v>4</v>
      </c>
      <c r="L5799">
        <v>1</v>
      </c>
      <c r="M5799" t="s">
        <v>0</v>
      </c>
      <c r="N5799" s="3">
        <v>0.51</v>
      </c>
      <c r="O5799" s="3">
        <v>0.49</v>
      </c>
      <c r="P5799">
        <v>14</v>
      </c>
      <c r="Q5799">
        <v>14</v>
      </c>
      <c r="R5799">
        <v>6</v>
      </c>
      <c r="S5799">
        <v>4</v>
      </c>
      <c r="T5799">
        <v>14</v>
      </c>
      <c r="U5799">
        <v>14</v>
      </c>
      <c r="V5799">
        <v>2</v>
      </c>
      <c r="W5799">
        <v>0</v>
      </c>
      <c r="X5799">
        <v>0</v>
      </c>
      <c r="Y5799">
        <v>0</v>
      </c>
      <c r="Z5799">
        <v>0</v>
      </c>
    </row>
    <row r="5800" spans="1:26" x14ac:dyDescent="0.2">
      <c r="A5800" t="s">
        <v>5918</v>
      </c>
      <c r="B5800" t="s">
        <v>99</v>
      </c>
      <c r="C5800">
        <v>2024</v>
      </c>
      <c r="D5800" t="s">
        <v>48</v>
      </c>
      <c r="E5800" t="s">
        <v>18</v>
      </c>
      <c r="F5800" t="s">
        <v>49</v>
      </c>
      <c r="G5800">
        <v>74197</v>
      </c>
      <c r="H5800">
        <v>59357.600000000006</v>
      </c>
      <c r="I5800" s="13">
        <v>0.875</v>
      </c>
      <c r="J5800" t="s">
        <v>6207</v>
      </c>
      <c r="K5800">
        <v>1</v>
      </c>
      <c r="L5800">
        <v>1</v>
      </c>
      <c r="M5800" t="s">
        <v>58</v>
      </c>
      <c r="N5800" s="3">
        <v>0.46</v>
      </c>
      <c r="O5800" s="3">
        <v>0.54</v>
      </c>
      <c r="P5800">
        <v>14</v>
      </c>
      <c r="Q5800">
        <v>19</v>
      </c>
      <c r="R5800">
        <v>4</v>
      </c>
      <c r="S5800">
        <v>8</v>
      </c>
      <c r="T5800">
        <v>19</v>
      </c>
      <c r="U5800">
        <v>14</v>
      </c>
      <c r="V5800">
        <v>6</v>
      </c>
      <c r="W5800">
        <v>2</v>
      </c>
      <c r="X5800">
        <v>0</v>
      </c>
      <c r="Y5800">
        <v>0</v>
      </c>
      <c r="Z5800">
        <v>1</v>
      </c>
    </row>
    <row r="5801" spans="1:26" x14ac:dyDescent="0.2">
      <c r="A5801" t="s">
        <v>5919</v>
      </c>
      <c r="B5801" t="s">
        <v>59</v>
      </c>
      <c r="C5801">
        <v>2024</v>
      </c>
      <c r="D5801" t="s">
        <v>31</v>
      </c>
      <c r="E5801" t="s">
        <v>101</v>
      </c>
      <c r="F5801" t="s">
        <v>20</v>
      </c>
      <c r="G5801">
        <v>28500</v>
      </c>
      <c r="H5801">
        <v>22800</v>
      </c>
      <c r="I5801" s="13">
        <v>0.66666666666666663</v>
      </c>
      <c r="J5801" t="s">
        <v>6206</v>
      </c>
      <c r="K5801">
        <v>2</v>
      </c>
      <c r="L5801">
        <v>1</v>
      </c>
      <c r="M5801" t="s">
        <v>0</v>
      </c>
      <c r="N5801" s="3">
        <v>0.68</v>
      </c>
      <c r="O5801" s="3">
        <v>0.32</v>
      </c>
      <c r="P5801">
        <v>10</v>
      </c>
      <c r="Q5801">
        <v>3</v>
      </c>
      <c r="R5801">
        <v>11</v>
      </c>
      <c r="S5801">
        <v>3</v>
      </c>
      <c r="T5801">
        <v>3</v>
      </c>
      <c r="U5801">
        <v>10</v>
      </c>
      <c r="V5801">
        <v>2</v>
      </c>
      <c r="W5801">
        <v>1</v>
      </c>
      <c r="X5801">
        <v>0</v>
      </c>
      <c r="Y5801">
        <v>0</v>
      </c>
      <c r="Z5801">
        <v>0</v>
      </c>
    </row>
    <row r="5802" spans="1:26" x14ac:dyDescent="0.2">
      <c r="A5802" t="s">
        <v>5920</v>
      </c>
      <c r="B5802" t="s">
        <v>107</v>
      </c>
      <c r="C5802">
        <v>2024</v>
      </c>
      <c r="D5802" t="s">
        <v>22</v>
      </c>
      <c r="E5802" t="s">
        <v>73</v>
      </c>
      <c r="F5802" t="s">
        <v>24</v>
      </c>
      <c r="G5802">
        <v>31750</v>
      </c>
      <c r="H5802">
        <v>25400</v>
      </c>
      <c r="I5802" s="13">
        <v>0.4</v>
      </c>
      <c r="J5802" t="s">
        <v>6207</v>
      </c>
      <c r="K5802">
        <v>2</v>
      </c>
      <c r="L5802">
        <v>0</v>
      </c>
      <c r="M5802" t="s">
        <v>0</v>
      </c>
      <c r="N5802" s="3">
        <v>0.28999999999999998</v>
      </c>
      <c r="O5802" s="3">
        <v>0.71</v>
      </c>
      <c r="P5802">
        <v>12</v>
      </c>
      <c r="Q5802">
        <v>14</v>
      </c>
      <c r="R5802">
        <v>1</v>
      </c>
      <c r="S5802">
        <v>9</v>
      </c>
      <c r="T5802">
        <v>14</v>
      </c>
      <c r="U5802">
        <v>12</v>
      </c>
      <c r="V5802">
        <v>1</v>
      </c>
      <c r="W5802">
        <v>4</v>
      </c>
      <c r="X5802">
        <v>0</v>
      </c>
      <c r="Y5802">
        <v>0</v>
      </c>
      <c r="Z5802">
        <v>0</v>
      </c>
    </row>
    <row r="5803" spans="1:26" x14ac:dyDescent="0.2">
      <c r="A5803" t="s">
        <v>5921</v>
      </c>
      <c r="B5803" t="s">
        <v>59</v>
      </c>
      <c r="C5803">
        <v>2024</v>
      </c>
      <c r="D5803" t="s">
        <v>23</v>
      </c>
      <c r="E5803" t="s">
        <v>45</v>
      </c>
      <c r="F5803" t="s">
        <v>20</v>
      </c>
      <c r="G5803">
        <v>62500</v>
      </c>
      <c r="H5803">
        <v>50000</v>
      </c>
      <c r="I5803" s="13">
        <v>0.5</v>
      </c>
      <c r="J5803" t="s">
        <v>6206</v>
      </c>
      <c r="K5803">
        <v>0</v>
      </c>
      <c r="L5803">
        <v>0</v>
      </c>
      <c r="M5803" t="s">
        <v>58</v>
      </c>
      <c r="N5803" s="3">
        <v>0.49</v>
      </c>
      <c r="O5803" s="3">
        <v>0.51</v>
      </c>
      <c r="P5803">
        <v>9</v>
      </c>
      <c r="Q5803">
        <v>10</v>
      </c>
      <c r="R5803">
        <v>7</v>
      </c>
      <c r="S5803">
        <v>6</v>
      </c>
      <c r="T5803">
        <v>10</v>
      </c>
      <c r="U5803">
        <v>9</v>
      </c>
      <c r="V5803">
        <v>2</v>
      </c>
      <c r="W5803">
        <v>2</v>
      </c>
      <c r="X5803">
        <v>0</v>
      </c>
      <c r="Y5803">
        <v>0</v>
      </c>
      <c r="Z5803">
        <v>0</v>
      </c>
    </row>
    <row r="5804" spans="1:26" x14ac:dyDescent="0.2">
      <c r="A5804" t="s">
        <v>5922</v>
      </c>
      <c r="B5804" t="s">
        <v>103</v>
      </c>
      <c r="C5804">
        <v>2024</v>
      </c>
      <c r="D5804" t="s">
        <v>79</v>
      </c>
      <c r="E5804" t="s">
        <v>31</v>
      </c>
      <c r="F5804" t="s">
        <v>20</v>
      </c>
      <c r="G5804">
        <v>25486</v>
      </c>
      <c r="H5804">
        <v>20388.800000000003</v>
      </c>
      <c r="I5804" s="13">
        <v>1</v>
      </c>
      <c r="J5804" t="s">
        <v>6207</v>
      </c>
      <c r="K5804">
        <v>0</v>
      </c>
      <c r="L5804">
        <v>2</v>
      </c>
      <c r="M5804" t="s">
        <v>1</v>
      </c>
      <c r="N5804" s="3">
        <v>0.35</v>
      </c>
      <c r="O5804" s="3">
        <v>0.65</v>
      </c>
      <c r="P5804">
        <v>11</v>
      </c>
      <c r="Q5804">
        <v>10</v>
      </c>
      <c r="R5804">
        <v>1</v>
      </c>
      <c r="S5804">
        <v>8</v>
      </c>
      <c r="T5804">
        <v>10</v>
      </c>
      <c r="U5804">
        <v>11</v>
      </c>
      <c r="V5804">
        <v>1</v>
      </c>
      <c r="W5804">
        <v>1</v>
      </c>
      <c r="X5804">
        <v>1</v>
      </c>
      <c r="Y5804">
        <v>0</v>
      </c>
      <c r="Z5804">
        <v>0</v>
      </c>
    </row>
    <row r="5805" spans="1:26" x14ac:dyDescent="0.2">
      <c r="A5805" t="s">
        <v>5923</v>
      </c>
      <c r="B5805" t="s">
        <v>108</v>
      </c>
      <c r="C5805">
        <v>2024</v>
      </c>
      <c r="D5805" t="s">
        <v>101</v>
      </c>
      <c r="E5805" t="s">
        <v>86</v>
      </c>
      <c r="F5805" t="s">
        <v>101</v>
      </c>
      <c r="G5805">
        <v>17250</v>
      </c>
      <c r="H5805">
        <v>13800</v>
      </c>
      <c r="I5805" s="13">
        <v>0.66666666666666663</v>
      </c>
      <c r="J5805" t="s">
        <v>6207</v>
      </c>
      <c r="K5805">
        <v>3</v>
      </c>
      <c r="L5805">
        <v>2</v>
      </c>
      <c r="M5805" t="s">
        <v>0</v>
      </c>
      <c r="N5805" s="3">
        <v>0.52</v>
      </c>
      <c r="O5805" s="3">
        <v>0.48</v>
      </c>
      <c r="P5805">
        <v>16</v>
      </c>
      <c r="Q5805">
        <v>8</v>
      </c>
      <c r="R5805">
        <v>6</v>
      </c>
      <c r="S5805">
        <v>4</v>
      </c>
      <c r="T5805">
        <v>8</v>
      </c>
      <c r="U5805">
        <v>16</v>
      </c>
      <c r="V5805">
        <v>2</v>
      </c>
      <c r="W5805">
        <v>4</v>
      </c>
      <c r="X5805">
        <v>0</v>
      </c>
      <c r="Y5805">
        <v>0</v>
      </c>
      <c r="Z5805">
        <v>0</v>
      </c>
    </row>
    <row r="5806" spans="1:26" x14ac:dyDescent="0.2">
      <c r="A5806" t="s">
        <v>5924</v>
      </c>
      <c r="B5806" t="s">
        <v>111</v>
      </c>
      <c r="C5806">
        <v>2024</v>
      </c>
      <c r="D5806" t="s">
        <v>90</v>
      </c>
      <c r="E5806" t="s">
        <v>40</v>
      </c>
      <c r="F5806" t="s">
        <v>91</v>
      </c>
      <c r="G5806">
        <v>31876</v>
      </c>
      <c r="H5806">
        <v>25500.800000000003</v>
      </c>
      <c r="I5806" s="13">
        <v>0.5</v>
      </c>
      <c r="J5806" t="s">
        <v>6207</v>
      </c>
      <c r="K5806">
        <v>2</v>
      </c>
      <c r="L5806">
        <v>1</v>
      </c>
      <c r="M5806" t="s">
        <v>0</v>
      </c>
      <c r="N5806" s="3">
        <v>0.39</v>
      </c>
      <c r="O5806" s="3">
        <v>0.61</v>
      </c>
      <c r="P5806">
        <v>10</v>
      </c>
      <c r="Q5806">
        <v>12</v>
      </c>
      <c r="R5806">
        <v>0</v>
      </c>
      <c r="S5806">
        <v>4</v>
      </c>
      <c r="T5806">
        <v>12</v>
      </c>
      <c r="U5806">
        <v>10</v>
      </c>
      <c r="V5806">
        <v>3</v>
      </c>
      <c r="W5806">
        <v>3</v>
      </c>
      <c r="X5806">
        <v>0</v>
      </c>
      <c r="Y5806">
        <v>0</v>
      </c>
      <c r="Z5806">
        <v>0</v>
      </c>
    </row>
    <row r="5807" spans="1:26" x14ac:dyDescent="0.2">
      <c r="A5807" t="s">
        <v>5925</v>
      </c>
      <c r="B5807" t="s">
        <v>93</v>
      </c>
      <c r="C5807">
        <v>2024</v>
      </c>
      <c r="D5807" t="s">
        <v>26</v>
      </c>
      <c r="E5807" t="s">
        <v>42</v>
      </c>
      <c r="F5807" t="s">
        <v>26</v>
      </c>
      <c r="G5807">
        <v>61276</v>
      </c>
      <c r="H5807">
        <v>49020.800000000003</v>
      </c>
      <c r="I5807" s="13">
        <v>0.66666666666666663</v>
      </c>
      <c r="J5807" t="s">
        <v>6206</v>
      </c>
      <c r="K5807">
        <v>2</v>
      </c>
      <c r="L5807">
        <v>0</v>
      </c>
      <c r="M5807" t="s">
        <v>0</v>
      </c>
      <c r="N5807" s="3">
        <v>0.63</v>
      </c>
      <c r="O5807" s="3">
        <v>0.37</v>
      </c>
      <c r="P5807">
        <v>15</v>
      </c>
      <c r="Q5807">
        <v>11</v>
      </c>
      <c r="R5807">
        <v>2</v>
      </c>
      <c r="S5807">
        <v>9</v>
      </c>
      <c r="T5807">
        <v>11</v>
      </c>
      <c r="U5807">
        <v>15</v>
      </c>
      <c r="V5807">
        <v>0</v>
      </c>
      <c r="W5807">
        <v>3</v>
      </c>
      <c r="X5807">
        <v>0</v>
      </c>
      <c r="Y5807">
        <v>0</v>
      </c>
      <c r="Z5807">
        <v>0</v>
      </c>
    </row>
    <row r="5808" spans="1:26" x14ac:dyDescent="0.2">
      <c r="A5808" t="s">
        <v>5926</v>
      </c>
      <c r="B5808" t="s">
        <v>100</v>
      </c>
      <c r="C5808">
        <v>2024</v>
      </c>
      <c r="D5808" t="s">
        <v>51</v>
      </c>
      <c r="E5808" t="s">
        <v>117</v>
      </c>
      <c r="F5808" t="s">
        <v>20</v>
      </c>
      <c r="G5808">
        <v>36284</v>
      </c>
      <c r="H5808">
        <v>29027.200000000001</v>
      </c>
      <c r="I5808" s="13">
        <v>0.33333333333333331</v>
      </c>
      <c r="J5808" t="s">
        <v>6207</v>
      </c>
      <c r="K5808">
        <v>1</v>
      </c>
      <c r="L5808">
        <v>2</v>
      </c>
      <c r="M5808" t="s">
        <v>1</v>
      </c>
      <c r="N5808" s="3">
        <v>0.66</v>
      </c>
      <c r="O5808" s="3">
        <v>0.34</v>
      </c>
      <c r="P5808">
        <v>19</v>
      </c>
      <c r="Q5808">
        <v>10</v>
      </c>
      <c r="R5808">
        <v>12</v>
      </c>
      <c r="S5808">
        <v>2</v>
      </c>
      <c r="T5808">
        <v>10</v>
      </c>
      <c r="U5808">
        <v>19</v>
      </c>
      <c r="V5808">
        <v>1</v>
      </c>
      <c r="W5808">
        <v>5</v>
      </c>
      <c r="X5808">
        <v>0</v>
      </c>
      <c r="Y5808">
        <v>0</v>
      </c>
      <c r="Z5808">
        <v>0</v>
      </c>
    </row>
    <row r="5809" spans="1:26" x14ac:dyDescent="0.2">
      <c r="A5809" t="s">
        <v>5927</v>
      </c>
      <c r="B5809" t="s">
        <v>61</v>
      </c>
      <c r="C5809">
        <v>2024</v>
      </c>
      <c r="D5809" t="s">
        <v>94</v>
      </c>
      <c r="E5809" t="s">
        <v>64</v>
      </c>
      <c r="F5809" t="s">
        <v>106</v>
      </c>
      <c r="G5809">
        <v>30445</v>
      </c>
      <c r="H5809">
        <v>24356</v>
      </c>
      <c r="I5809" s="13">
        <v>0</v>
      </c>
      <c r="J5809" t="s">
        <v>6207</v>
      </c>
      <c r="K5809">
        <v>1</v>
      </c>
      <c r="L5809">
        <v>3</v>
      </c>
      <c r="M5809" t="s">
        <v>1</v>
      </c>
      <c r="N5809" s="3">
        <v>0.43</v>
      </c>
      <c r="O5809" s="3">
        <v>0.56999999999999995</v>
      </c>
      <c r="P5809">
        <v>6</v>
      </c>
      <c r="Q5809">
        <v>13</v>
      </c>
      <c r="R5809">
        <v>4</v>
      </c>
      <c r="S5809">
        <v>5</v>
      </c>
      <c r="T5809">
        <v>13</v>
      </c>
      <c r="U5809">
        <v>6</v>
      </c>
      <c r="V5809">
        <v>1</v>
      </c>
      <c r="W5809">
        <v>1</v>
      </c>
      <c r="X5809">
        <v>0</v>
      </c>
      <c r="Y5809">
        <v>0</v>
      </c>
      <c r="Z5809">
        <v>0</v>
      </c>
    </row>
    <row r="5810" spans="1:26" x14ac:dyDescent="0.2">
      <c r="A5810" t="s">
        <v>5928</v>
      </c>
      <c r="B5810" t="s">
        <v>97</v>
      </c>
      <c r="C5810">
        <v>2024</v>
      </c>
      <c r="D5810" t="s">
        <v>48</v>
      </c>
      <c r="E5810" t="s">
        <v>80</v>
      </c>
      <c r="F5810" t="s">
        <v>49</v>
      </c>
      <c r="G5810">
        <v>74197</v>
      </c>
      <c r="H5810">
        <v>59357.600000000006</v>
      </c>
      <c r="I5810" s="13">
        <v>1</v>
      </c>
      <c r="J5810" t="s">
        <v>6207</v>
      </c>
      <c r="K5810">
        <v>3</v>
      </c>
      <c r="L5810">
        <v>0</v>
      </c>
      <c r="M5810" t="s">
        <v>0</v>
      </c>
      <c r="N5810" s="3">
        <v>0.51</v>
      </c>
      <c r="O5810" s="3">
        <v>0.49</v>
      </c>
      <c r="P5810">
        <v>5</v>
      </c>
      <c r="Q5810">
        <v>9</v>
      </c>
      <c r="R5810">
        <v>1</v>
      </c>
      <c r="S5810">
        <v>5</v>
      </c>
      <c r="T5810">
        <v>9</v>
      </c>
      <c r="U5810">
        <v>5</v>
      </c>
      <c r="V5810">
        <v>0</v>
      </c>
      <c r="W5810">
        <v>1</v>
      </c>
      <c r="X5810">
        <v>0</v>
      </c>
      <c r="Y5810">
        <v>0</v>
      </c>
      <c r="Z5810">
        <v>0</v>
      </c>
    </row>
    <row r="5811" spans="1:26" x14ac:dyDescent="0.2">
      <c r="A5811" t="s">
        <v>5929</v>
      </c>
      <c r="B5811" t="s">
        <v>66</v>
      </c>
      <c r="C5811">
        <v>2024</v>
      </c>
      <c r="D5811" t="s">
        <v>18</v>
      </c>
      <c r="E5811" t="s">
        <v>46</v>
      </c>
      <c r="F5811" t="s">
        <v>20</v>
      </c>
      <c r="G5811">
        <v>40341</v>
      </c>
      <c r="H5811">
        <v>32272.800000000003</v>
      </c>
      <c r="I5811" s="13">
        <v>0.5</v>
      </c>
      <c r="J5811" t="s">
        <v>6207</v>
      </c>
      <c r="K5811">
        <v>1</v>
      </c>
      <c r="L5811">
        <v>1</v>
      </c>
      <c r="M5811" t="s">
        <v>58</v>
      </c>
      <c r="N5811" s="3">
        <v>0.49</v>
      </c>
      <c r="O5811" s="3">
        <v>0.51</v>
      </c>
      <c r="P5811">
        <v>12</v>
      </c>
      <c r="Q5811">
        <v>12</v>
      </c>
      <c r="R5811">
        <v>4</v>
      </c>
      <c r="S5811">
        <v>3</v>
      </c>
      <c r="T5811">
        <v>12</v>
      </c>
      <c r="U5811">
        <v>12</v>
      </c>
      <c r="V5811">
        <v>4</v>
      </c>
      <c r="W5811">
        <v>2</v>
      </c>
      <c r="X5811">
        <v>0</v>
      </c>
      <c r="Y5811">
        <v>0</v>
      </c>
      <c r="Z5811">
        <v>0</v>
      </c>
    </row>
    <row r="5812" spans="1:26" x14ac:dyDescent="0.2">
      <c r="A5812" t="s">
        <v>5930</v>
      </c>
      <c r="B5812" t="s">
        <v>92</v>
      </c>
      <c r="C5812">
        <v>2024</v>
      </c>
      <c r="D5812" t="s">
        <v>80</v>
      </c>
      <c r="E5812" t="s">
        <v>18</v>
      </c>
      <c r="F5812" t="s">
        <v>80</v>
      </c>
      <c r="G5812">
        <v>32261</v>
      </c>
      <c r="H5812">
        <v>25808.800000000003</v>
      </c>
      <c r="I5812" s="13">
        <v>0.75</v>
      </c>
      <c r="J5812" t="s">
        <v>6207</v>
      </c>
      <c r="K5812">
        <v>1</v>
      </c>
      <c r="L5812">
        <v>2</v>
      </c>
      <c r="M5812" t="s">
        <v>1</v>
      </c>
      <c r="N5812" s="3">
        <v>0.36</v>
      </c>
      <c r="O5812" s="3">
        <v>0.64</v>
      </c>
      <c r="P5812">
        <v>12</v>
      </c>
      <c r="Q5812">
        <v>15</v>
      </c>
      <c r="R5812">
        <v>2</v>
      </c>
      <c r="S5812">
        <v>9</v>
      </c>
      <c r="T5812">
        <v>15</v>
      </c>
      <c r="U5812">
        <v>12</v>
      </c>
      <c r="V5812">
        <v>5</v>
      </c>
      <c r="W5812">
        <v>3</v>
      </c>
      <c r="X5812">
        <v>0</v>
      </c>
      <c r="Y5812">
        <v>0</v>
      </c>
      <c r="Z5812">
        <v>1</v>
      </c>
    </row>
    <row r="5813" spans="1:26" x14ac:dyDescent="0.2">
      <c r="A5813" t="s">
        <v>5931</v>
      </c>
      <c r="B5813" t="s">
        <v>99</v>
      </c>
      <c r="C5813">
        <v>2024</v>
      </c>
      <c r="D5813" t="s">
        <v>31</v>
      </c>
      <c r="E5813" t="s">
        <v>22</v>
      </c>
      <c r="F5813" t="s">
        <v>20</v>
      </c>
      <c r="G5813">
        <v>28500</v>
      </c>
      <c r="H5813">
        <v>22800</v>
      </c>
      <c r="I5813" s="13">
        <v>1</v>
      </c>
      <c r="J5813" t="s">
        <v>6207</v>
      </c>
      <c r="K5813">
        <v>1</v>
      </c>
      <c r="L5813">
        <v>4</v>
      </c>
      <c r="M5813" t="s">
        <v>1</v>
      </c>
      <c r="N5813" s="3">
        <v>0.59</v>
      </c>
      <c r="O5813" s="3">
        <v>0.41</v>
      </c>
      <c r="P5813">
        <v>14</v>
      </c>
      <c r="Q5813">
        <v>14</v>
      </c>
      <c r="R5813">
        <v>7</v>
      </c>
      <c r="S5813">
        <v>2</v>
      </c>
      <c r="T5813">
        <v>14</v>
      </c>
      <c r="U5813">
        <v>14</v>
      </c>
      <c r="V5813">
        <v>3</v>
      </c>
      <c r="W5813">
        <v>0</v>
      </c>
      <c r="X5813">
        <v>0</v>
      </c>
      <c r="Y5813">
        <v>0</v>
      </c>
      <c r="Z5813">
        <v>0</v>
      </c>
    </row>
    <row r="5814" spans="1:26" x14ac:dyDescent="0.2">
      <c r="A5814" t="s">
        <v>5932</v>
      </c>
      <c r="B5814" t="s">
        <v>88</v>
      </c>
      <c r="C5814">
        <v>2024</v>
      </c>
      <c r="D5814" t="s">
        <v>45</v>
      </c>
      <c r="E5814" t="s">
        <v>101</v>
      </c>
      <c r="F5814" t="s">
        <v>26</v>
      </c>
      <c r="G5814">
        <v>39572</v>
      </c>
      <c r="H5814">
        <v>31657.600000000002</v>
      </c>
      <c r="I5814" s="13">
        <v>0.5</v>
      </c>
      <c r="J5814" t="s">
        <v>6207</v>
      </c>
      <c r="K5814">
        <v>0</v>
      </c>
      <c r="L5814">
        <v>0</v>
      </c>
      <c r="M5814" t="s">
        <v>58</v>
      </c>
      <c r="N5814" s="3">
        <v>0.59</v>
      </c>
      <c r="O5814" s="3">
        <v>0.41</v>
      </c>
      <c r="P5814">
        <v>10</v>
      </c>
      <c r="Q5814">
        <v>8</v>
      </c>
      <c r="R5814">
        <v>10</v>
      </c>
      <c r="S5814">
        <v>4</v>
      </c>
      <c r="T5814">
        <v>8</v>
      </c>
      <c r="U5814">
        <v>10</v>
      </c>
      <c r="V5814">
        <v>0</v>
      </c>
      <c r="W5814">
        <v>1</v>
      </c>
      <c r="X5814">
        <v>0</v>
      </c>
      <c r="Y5814">
        <v>1</v>
      </c>
      <c r="Z5814">
        <v>0</v>
      </c>
    </row>
    <row r="5815" spans="1:26" x14ac:dyDescent="0.2">
      <c r="A5815" t="s">
        <v>5933</v>
      </c>
      <c r="B5815" t="s">
        <v>59</v>
      </c>
      <c r="C5815">
        <v>2024</v>
      </c>
      <c r="D5815" t="s">
        <v>86</v>
      </c>
      <c r="E5815" t="s">
        <v>90</v>
      </c>
      <c r="F5815" t="s">
        <v>86</v>
      </c>
      <c r="G5815">
        <v>11364</v>
      </c>
      <c r="H5815">
        <v>9091.2000000000007</v>
      </c>
      <c r="I5815" s="13">
        <v>0.66666666666666663</v>
      </c>
      <c r="J5815" t="s">
        <v>6206</v>
      </c>
      <c r="K5815">
        <v>1</v>
      </c>
      <c r="L5815">
        <v>2</v>
      </c>
      <c r="M5815" t="s">
        <v>1</v>
      </c>
      <c r="N5815" s="3">
        <v>0.55000000000000004</v>
      </c>
      <c r="O5815" s="3">
        <v>0.45</v>
      </c>
      <c r="P5815">
        <v>10</v>
      </c>
      <c r="Q5815">
        <v>12</v>
      </c>
      <c r="R5815">
        <v>7</v>
      </c>
      <c r="S5815">
        <v>0</v>
      </c>
      <c r="T5815">
        <v>12</v>
      </c>
      <c r="U5815">
        <v>10</v>
      </c>
      <c r="V5815">
        <v>2</v>
      </c>
      <c r="W5815">
        <v>3</v>
      </c>
      <c r="X5815">
        <v>0</v>
      </c>
      <c r="Y5815">
        <v>1</v>
      </c>
      <c r="Z5815">
        <v>0</v>
      </c>
    </row>
    <row r="5816" spans="1:26" x14ac:dyDescent="0.2">
      <c r="A5816" t="s">
        <v>5934</v>
      </c>
      <c r="B5816" t="s">
        <v>98</v>
      </c>
      <c r="C5816">
        <v>2024</v>
      </c>
      <c r="D5816" t="s">
        <v>42</v>
      </c>
      <c r="E5816" t="s">
        <v>79</v>
      </c>
      <c r="F5816" t="s">
        <v>38</v>
      </c>
      <c r="G5816">
        <v>42918</v>
      </c>
      <c r="H5816">
        <v>34334.400000000001</v>
      </c>
      <c r="I5816" s="13">
        <v>0.6</v>
      </c>
      <c r="J5816" t="s">
        <v>6208</v>
      </c>
      <c r="K5816">
        <v>2</v>
      </c>
      <c r="L5816">
        <v>2</v>
      </c>
      <c r="M5816" t="s">
        <v>58</v>
      </c>
      <c r="N5816" s="3">
        <v>0.7</v>
      </c>
      <c r="O5816" s="3">
        <v>0.3</v>
      </c>
      <c r="P5816">
        <v>11</v>
      </c>
      <c r="Q5816">
        <v>10</v>
      </c>
      <c r="R5816">
        <v>10</v>
      </c>
      <c r="S5816">
        <v>1</v>
      </c>
      <c r="T5816">
        <v>10</v>
      </c>
      <c r="U5816">
        <v>11</v>
      </c>
      <c r="V5816">
        <v>3</v>
      </c>
      <c r="W5816">
        <v>2</v>
      </c>
      <c r="X5816">
        <v>0</v>
      </c>
      <c r="Y5816">
        <v>0</v>
      </c>
      <c r="Z5816">
        <v>1</v>
      </c>
    </row>
    <row r="5817" spans="1:26" x14ac:dyDescent="0.2">
      <c r="A5817" t="s">
        <v>5935</v>
      </c>
      <c r="B5817" t="s">
        <v>84</v>
      </c>
      <c r="C5817">
        <v>2024</v>
      </c>
      <c r="D5817" t="s">
        <v>46</v>
      </c>
      <c r="E5817" t="s">
        <v>94</v>
      </c>
      <c r="F5817" t="s">
        <v>20</v>
      </c>
      <c r="G5817">
        <v>60704</v>
      </c>
      <c r="H5817">
        <v>48563.200000000004</v>
      </c>
      <c r="I5817" s="13">
        <v>0.6</v>
      </c>
      <c r="J5817" t="s">
        <v>6208</v>
      </c>
      <c r="K5817">
        <v>3</v>
      </c>
      <c r="L5817">
        <v>0</v>
      </c>
      <c r="M5817" t="s">
        <v>0</v>
      </c>
      <c r="N5817" s="3">
        <v>0.66</v>
      </c>
      <c r="O5817" s="3">
        <v>0.34</v>
      </c>
      <c r="P5817">
        <v>11</v>
      </c>
      <c r="Q5817">
        <v>10</v>
      </c>
      <c r="R5817">
        <v>8</v>
      </c>
      <c r="S5817">
        <v>1</v>
      </c>
      <c r="T5817">
        <v>10</v>
      </c>
      <c r="U5817">
        <v>11</v>
      </c>
      <c r="V5817">
        <v>3</v>
      </c>
      <c r="W5817">
        <v>2</v>
      </c>
      <c r="X5817">
        <v>0</v>
      </c>
      <c r="Y5817">
        <v>0</v>
      </c>
      <c r="Z5817">
        <v>0</v>
      </c>
    </row>
    <row r="5818" spans="1:26" x14ac:dyDescent="0.2">
      <c r="A5818" t="s">
        <v>5936</v>
      </c>
      <c r="B5818" t="s">
        <v>104</v>
      </c>
      <c r="C5818">
        <v>2024</v>
      </c>
      <c r="D5818" t="s">
        <v>40</v>
      </c>
      <c r="E5818" t="s">
        <v>51</v>
      </c>
      <c r="F5818" t="s">
        <v>49</v>
      </c>
      <c r="G5818">
        <v>53400</v>
      </c>
      <c r="H5818">
        <v>42720</v>
      </c>
      <c r="I5818" s="13">
        <v>0.83333333333333337</v>
      </c>
      <c r="J5818" t="s">
        <v>6206</v>
      </c>
      <c r="K5818">
        <v>0</v>
      </c>
      <c r="L5818">
        <v>4</v>
      </c>
      <c r="M5818" t="s">
        <v>1</v>
      </c>
      <c r="N5818" s="3">
        <v>0.57999999999999996</v>
      </c>
      <c r="O5818" s="3">
        <v>0.42</v>
      </c>
      <c r="P5818">
        <v>9</v>
      </c>
      <c r="Q5818">
        <v>19</v>
      </c>
      <c r="R5818">
        <v>9</v>
      </c>
      <c r="S5818">
        <v>3</v>
      </c>
      <c r="T5818">
        <v>19</v>
      </c>
      <c r="U5818">
        <v>9</v>
      </c>
      <c r="V5818">
        <v>4</v>
      </c>
      <c r="W5818">
        <v>2</v>
      </c>
      <c r="X5818">
        <v>0</v>
      </c>
      <c r="Y5818">
        <v>0</v>
      </c>
      <c r="Z5818">
        <v>0</v>
      </c>
    </row>
    <row r="5819" spans="1:26" x14ac:dyDescent="0.2">
      <c r="A5819" t="s">
        <v>5937</v>
      </c>
      <c r="B5819" t="s">
        <v>111</v>
      </c>
      <c r="C5819">
        <v>2024</v>
      </c>
      <c r="D5819" t="s">
        <v>73</v>
      </c>
      <c r="E5819" t="s">
        <v>26</v>
      </c>
      <c r="F5819" t="s">
        <v>73</v>
      </c>
      <c r="G5819">
        <v>32384</v>
      </c>
      <c r="H5819">
        <v>25907.200000000001</v>
      </c>
      <c r="I5819" s="13">
        <v>0.42857142857142855</v>
      </c>
      <c r="J5819" t="s">
        <v>6207</v>
      </c>
      <c r="K5819">
        <v>2</v>
      </c>
      <c r="L5819">
        <v>3</v>
      </c>
      <c r="M5819" t="s">
        <v>1</v>
      </c>
      <c r="N5819" s="3">
        <v>0.38</v>
      </c>
      <c r="O5819" s="3">
        <v>0.62</v>
      </c>
      <c r="P5819">
        <v>9</v>
      </c>
      <c r="Q5819">
        <v>11</v>
      </c>
      <c r="R5819">
        <v>3</v>
      </c>
      <c r="S5819">
        <v>10</v>
      </c>
      <c r="T5819">
        <v>11</v>
      </c>
      <c r="U5819">
        <v>9</v>
      </c>
      <c r="V5819">
        <v>3</v>
      </c>
      <c r="W5819">
        <v>4</v>
      </c>
      <c r="X5819">
        <v>0</v>
      </c>
      <c r="Y5819">
        <v>0</v>
      </c>
      <c r="Z5819">
        <v>2</v>
      </c>
    </row>
    <row r="5820" spans="1:26" x14ac:dyDescent="0.2">
      <c r="A5820" t="s">
        <v>5938</v>
      </c>
      <c r="B5820" t="s">
        <v>61</v>
      </c>
      <c r="C5820">
        <v>2024</v>
      </c>
      <c r="D5820" t="s">
        <v>117</v>
      </c>
      <c r="E5820" t="s">
        <v>48</v>
      </c>
      <c r="F5820" t="s">
        <v>117</v>
      </c>
      <c r="G5820">
        <v>30056</v>
      </c>
      <c r="H5820">
        <v>24044.800000000003</v>
      </c>
      <c r="I5820" s="13">
        <v>0</v>
      </c>
      <c r="J5820" t="s">
        <v>6207</v>
      </c>
      <c r="K5820">
        <v>1</v>
      </c>
      <c r="L5820">
        <v>1</v>
      </c>
      <c r="M5820" t="s">
        <v>58</v>
      </c>
      <c r="N5820" s="3">
        <v>0.4</v>
      </c>
      <c r="O5820" s="3">
        <v>0.6</v>
      </c>
      <c r="P5820">
        <v>10</v>
      </c>
      <c r="Q5820">
        <v>12</v>
      </c>
      <c r="R5820">
        <v>4</v>
      </c>
      <c r="S5820">
        <v>3</v>
      </c>
      <c r="T5820">
        <v>12</v>
      </c>
      <c r="U5820">
        <v>10</v>
      </c>
      <c r="V5820">
        <v>0</v>
      </c>
      <c r="W5820">
        <v>0</v>
      </c>
      <c r="X5820">
        <v>0</v>
      </c>
      <c r="Y5820">
        <v>0</v>
      </c>
      <c r="Z5820">
        <v>0</v>
      </c>
    </row>
    <row r="5821" spans="1:26" x14ac:dyDescent="0.2">
      <c r="A5821" t="s">
        <v>5939</v>
      </c>
      <c r="B5821" t="s">
        <v>76</v>
      </c>
      <c r="C5821">
        <v>2024</v>
      </c>
      <c r="D5821" t="s">
        <v>64</v>
      </c>
      <c r="E5821" t="s">
        <v>23</v>
      </c>
      <c r="F5821" t="s">
        <v>64</v>
      </c>
      <c r="G5821">
        <v>52264</v>
      </c>
      <c r="H5821">
        <v>41811.200000000004</v>
      </c>
      <c r="I5821" s="13">
        <v>0</v>
      </c>
      <c r="J5821" t="s">
        <v>6207</v>
      </c>
      <c r="K5821">
        <v>0</v>
      </c>
      <c r="L5821">
        <v>2</v>
      </c>
      <c r="M5821" t="s">
        <v>1</v>
      </c>
      <c r="N5821" s="3">
        <v>0.52</v>
      </c>
      <c r="O5821" s="3">
        <v>0.48</v>
      </c>
      <c r="P5821">
        <v>8</v>
      </c>
      <c r="Q5821">
        <v>11</v>
      </c>
      <c r="R5821">
        <v>8</v>
      </c>
      <c r="S5821">
        <v>3</v>
      </c>
      <c r="T5821">
        <v>11</v>
      </c>
      <c r="U5821">
        <v>8</v>
      </c>
      <c r="V5821">
        <v>1</v>
      </c>
      <c r="W5821">
        <v>1</v>
      </c>
      <c r="X5821">
        <v>0</v>
      </c>
      <c r="Y5821">
        <v>0</v>
      </c>
      <c r="Z5821">
        <v>0</v>
      </c>
    </row>
    <row r="5822" spans="1:26" x14ac:dyDescent="0.2">
      <c r="A5822" t="s">
        <v>5940</v>
      </c>
      <c r="B5822" t="s">
        <v>99</v>
      </c>
      <c r="C5822">
        <v>2024</v>
      </c>
      <c r="D5822" t="s">
        <v>90</v>
      </c>
      <c r="E5822" t="s">
        <v>73</v>
      </c>
      <c r="F5822" t="s">
        <v>91</v>
      </c>
      <c r="G5822">
        <v>31876</v>
      </c>
      <c r="H5822">
        <v>25500.800000000003</v>
      </c>
      <c r="I5822" s="13">
        <v>0.25</v>
      </c>
      <c r="J5822" t="s">
        <v>6207</v>
      </c>
      <c r="K5822">
        <v>1</v>
      </c>
      <c r="L5822">
        <v>1</v>
      </c>
      <c r="M5822" t="s">
        <v>58</v>
      </c>
      <c r="N5822" s="3">
        <v>0.52</v>
      </c>
      <c r="O5822" s="3">
        <v>0.48</v>
      </c>
      <c r="P5822">
        <v>16</v>
      </c>
      <c r="Q5822">
        <v>20</v>
      </c>
      <c r="R5822">
        <v>7</v>
      </c>
      <c r="S5822">
        <v>6</v>
      </c>
      <c r="T5822">
        <v>20</v>
      </c>
      <c r="U5822">
        <v>16</v>
      </c>
      <c r="V5822">
        <v>3</v>
      </c>
      <c r="W5822">
        <v>5</v>
      </c>
      <c r="X5822">
        <v>0</v>
      </c>
      <c r="Y5822">
        <v>0</v>
      </c>
      <c r="Z5822">
        <v>0</v>
      </c>
    </row>
    <row r="5823" spans="1:26" x14ac:dyDescent="0.2">
      <c r="A5823" t="s">
        <v>5941</v>
      </c>
      <c r="B5823" t="s">
        <v>97</v>
      </c>
      <c r="C5823">
        <v>2024</v>
      </c>
      <c r="D5823" t="s">
        <v>22</v>
      </c>
      <c r="E5823" t="s">
        <v>86</v>
      </c>
      <c r="F5823" t="s">
        <v>24</v>
      </c>
      <c r="G5823">
        <v>31750</v>
      </c>
      <c r="H5823">
        <v>25400</v>
      </c>
      <c r="I5823" s="13">
        <v>0.83333333333333337</v>
      </c>
      <c r="J5823" t="s">
        <v>6207</v>
      </c>
      <c r="K5823">
        <v>2</v>
      </c>
      <c r="L5823">
        <v>4</v>
      </c>
      <c r="M5823" t="s">
        <v>1</v>
      </c>
      <c r="N5823" s="3">
        <v>0.6</v>
      </c>
      <c r="O5823" s="3">
        <v>0.4</v>
      </c>
      <c r="P5823">
        <v>11</v>
      </c>
      <c r="Q5823">
        <v>13</v>
      </c>
      <c r="R5823">
        <v>3</v>
      </c>
      <c r="S5823">
        <v>4</v>
      </c>
      <c r="T5823">
        <v>13</v>
      </c>
      <c r="U5823">
        <v>11</v>
      </c>
      <c r="V5823">
        <v>5</v>
      </c>
      <c r="W5823">
        <v>1</v>
      </c>
      <c r="X5823">
        <v>0</v>
      </c>
      <c r="Y5823">
        <v>0</v>
      </c>
      <c r="Z5823">
        <v>3</v>
      </c>
    </row>
    <row r="5824" spans="1:26" x14ac:dyDescent="0.2">
      <c r="A5824" t="s">
        <v>5942</v>
      </c>
      <c r="B5824" t="s">
        <v>105</v>
      </c>
      <c r="C5824">
        <v>2024</v>
      </c>
      <c r="D5824" t="s">
        <v>94</v>
      </c>
      <c r="E5824" t="s">
        <v>117</v>
      </c>
      <c r="F5824" t="s">
        <v>106</v>
      </c>
      <c r="G5824">
        <v>30445</v>
      </c>
      <c r="H5824">
        <v>24356</v>
      </c>
      <c r="I5824" s="13">
        <v>0.75</v>
      </c>
      <c r="J5824" t="s">
        <v>6207</v>
      </c>
      <c r="K5824">
        <v>1</v>
      </c>
      <c r="L5824">
        <v>0</v>
      </c>
      <c r="M5824" t="s">
        <v>0</v>
      </c>
      <c r="N5824" s="3">
        <v>0.45</v>
      </c>
      <c r="O5824" s="3">
        <v>0.55000000000000004</v>
      </c>
      <c r="P5824">
        <v>16</v>
      </c>
      <c r="Q5824">
        <v>5</v>
      </c>
      <c r="R5824">
        <v>8</v>
      </c>
      <c r="S5824">
        <v>7</v>
      </c>
      <c r="T5824">
        <v>5</v>
      </c>
      <c r="U5824">
        <v>16</v>
      </c>
      <c r="V5824">
        <v>1</v>
      </c>
      <c r="W5824">
        <v>3</v>
      </c>
      <c r="X5824">
        <v>0</v>
      </c>
      <c r="Y5824">
        <v>0</v>
      </c>
      <c r="Z5824">
        <v>1</v>
      </c>
    </row>
    <row r="5825" spans="1:26" x14ac:dyDescent="0.2">
      <c r="A5825" t="s">
        <v>5943</v>
      </c>
      <c r="B5825" t="s">
        <v>100</v>
      </c>
      <c r="C5825">
        <v>2024</v>
      </c>
      <c r="D5825" t="s">
        <v>79</v>
      </c>
      <c r="E5825" t="s">
        <v>64</v>
      </c>
      <c r="F5825" t="s">
        <v>20</v>
      </c>
      <c r="G5825">
        <v>25486</v>
      </c>
      <c r="H5825">
        <v>20388.800000000003</v>
      </c>
      <c r="I5825" s="13">
        <v>0.14285714285714285</v>
      </c>
      <c r="J5825" t="s">
        <v>6207</v>
      </c>
      <c r="K5825">
        <v>1</v>
      </c>
      <c r="L5825">
        <v>1</v>
      </c>
      <c r="M5825" t="s">
        <v>58</v>
      </c>
      <c r="N5825" s="3">
        <v>0.49</v>
      </c>
      <c r="O5825" s="3">
        <v>0.51</v>
      </c>
      <c r="P5825">
        <v>11</v>
      </c>
      <c r="Q5825">
        <v>12</v>
      </c>
      <c r="R5825">
        <v>8</v>
      </c>
      <c r="S5825">
        <v>9</v>
      </c>
      <c r="T5825">
        <v>12</v>
      </c>
      <c r="U5825">
        <v>11</v>
      </c>
      <c r="V5825">
        <v>4</v>
      </c>
      <c r="W5825">
        <v>3</v>
      </c>
      <c r="X5825">
        <v>0</v>
      </c>
      <c r="Y5825">
        <v>0</v>
      </c>
      <c r="Z5825">
        <v>0</v>
      </c>
    </row>
    <row r="5826" spans="1:26" x14ac:dyDescent="0.2">
      <c r="A5826" t="s">
        <v>5944</v>
      </c>
      <c r="B5826" t="s">
        <v>66</v>
      </c>
      <c r="C5826">
        <v>2024</v>
      </c>
      <c r="D5826" t="s">
        <v>101</v>
      </c>
      <c r="E5826" t="s">
        <v>80</v>
      </c>
      <c r="F5826" t="s">
        <v>101</v>
      </c>
      <c r="G5826">
        <v>17250</v>
      </c>
      <c r="H5826">
        <v>13800</v>
      </c>
      <c r="I5826" s="13">
        <v>0</v>
      </c>
      <c r="J5826" t="s">
        <v>6207</v>
      </c>
      <c r="K5826">
        <v>4</v>
      </c>
      <c r="L5826">
        <v>1</v>
      </c>
      <c r="M5826" t="s">
        <v>0</v>
      </c>
      <c r="N5826" s="3">
        <v>0.6</v>
      </c>
      <c r="O5826" s="3">
        <v>0.4</v>
      </c>
      <c r="P5826">
        <v>10</v>
      </c>
      <c r="Q5826">
        <v>9</v>
      </c>
      <c r="R5826">
        <v>5</v>
      </c>
      <c r="S5826">
        <v>4</v>
      </c>
      <c r="T5826">
        <v>9</v>
      </c>
      <c r="U5826">
        <v>10</v>
      </c>
      <c r="V5826">
        <v>1</v>
      </c>
      <c r="W5826">
        <v>1</v>
      </c>
      <c r="X5826">
        <v>0</v>
      </c>
      <c r="Y5826">
        <v>0</v>
      </c>
      <c r="Z5826">
        <v>0</v>
      </c>
    </row>
    <row r="5827" spans="1:26" x14ac:dyDescent="0.2">
      <c r="A5827" t="s">
        <v>5945</v>
      </c>
      <c r="B5827" t="s">
        <v>61</v>
      </c>
      <c r="C5827">
        <v>2024</v>
      </c>
      <c r="D5827" t="s">
        <v>23</v>
      </c>
      <c r="E5827" t="s">
        <v>46</v>
      </c>
      <c r="F5827" t="s">
        <v>20</v>
      </c>
      <c r="G5827">
        <v>62500</v>
      </c>
      <c r="H5827">
        <v>50000</v>
      </c>
      <c r="I5827" s="13">
        <v>0.8</v>
      </c>
      <c r="J5827" t="s">
        <v>6207</v>
      </c>
      <c r="K5827">
        <v>2</v>
      </c>
      <c r="L5827">
        <v>5</v>
      </c>
      <c r="M5827" t="s">
        <v>1</v>
      </c>
      <c r="N5827" s="3">
        <v>0.39</v>
      </c>
      <c r="O5827" s="3">
        <v>0.61</v>
      </c>
      <c r="P5827">
        <v>13</v>
      </c>
      <c r="Q5827">
        <v>10</v>
      </c>
      <c r="R5827">
        <v>2</v>
      </c>
      <c r="S5827">
        <v>10</v>
      </c>
      <c r="T5827">
        <v>10</v>
      </c>
      <c r="U5827">
        <v>13</v>
      </c>
      <c r="V5827">
        <v>4</v>
      </c>
      <c r="W5827">
        <v>1</v>
      </c>
      <c r="X5827">
        <v>0</v>
      </c>
      <c r="Y5827">
        <v>0</v>
      </c>
      <c r="Z5827">
        <v>2</v>
      </c>
    </row>
    <row r="5828" spans="1:26" x14ac:dyDescent="0.2">
      <c r="A5828" t="s">
        <v>5946</v>
      </c>
      <c r="B5828" t="s">
        <v>108</v>
      </c>
      <c r="C5828">
        <v>2024</v>
      </c>
      <c r="D5828" t="s">
        <v>51</v>
      </c>
      <c r="E5828" t="s">
        <v>31</v>
      </c>
      <c r="F5828" t="s">
        <v>20</v>
      </c>
      <c r="G5828">
        <v>36284</v>
      </c>
      <c r="H5828">
        <v>29027.200000000001</v>
      </c>
      <c r="I5828" s="13">
        <v>0.5</v>
      </c>
      <c r="J5828" t="s">
        <v>6207</v>
      </c>
      <c r="K5828">
        <v>1</v>
      </c>
      <c r="L5828">
        <v>1</v>
      </c>
      <c r="M5828" t="s">
        <v>58</v>
      </c>
      <c r="N5828" s="3">
        <v>0.5</v>
      </c>
      <c r="O5828" s="3">
        <v>0.5</v>
      </c>
      <c r="P5828">
        <v>14</v>
      </c>
      <c r="Q5828">
        <v>4</v>
      </c>
      <c r="R5828">
        <v>7</v>
      </c>
      <c r="S5828">
        <v>11</v>
      </c>
      <c r="T5828">
        <v>4</v>
      </c>
      <c r="U5828">
        <v>14</v>
      </c>
      <c r="V5828">
        <v>0</v>
      </c>
      <c r="W5828">
        <v>1</v>
      </c>
      <c r="X5828">
        <v>0</v>
      </c>
      <c r="Y5828">
        <v>1</v>
      </c>
      <c r="Z5828">
        <v>0</v>
      </c>
    </row>
    <row r="5829" spans="1:26" x14ac:dyDescent="0.2">
      <c r="A5829" t="s">
        <v>5947</v>
      </c>
      <c r="B5829" t="s">
        <v>104</v>
      </c>
      <c r="C5829">
        <v>2024</v>
      </c>
      <c r="D5829" t="s">
        <v>48</v>
      </c>
      <c r="E5829" t="s">
        <v>45</v>
      </c>
      <c r="F5829" t="s">
        <v>49</v>
      </c>
      <c r="G5829">
        <v>74197</v>
      </c>
      <c r="H5829">
        <v>59357.600000000006</v>
      </c>
      <c r="I5829" s="13">
        <v>0.6</v>
      </c>
      <c r="J5829" t="s">
        <v>6206</v>
      </c>
      <c r="K5829">
        <v>4</v>
      </c>
      <c r="L5829">
        <v>0</v>
      </c>
      <c r="M5829" t="s">
        <v>0</v>
      </c>
      <c r="N5829" s="3">
        <v>0.6</v>
      </c>
      <c r="O5829" s="3">
        <v>0.4</v>
      </c>
      <c r="P5829">
        <v>12</v>
      </c>
      <c r="Q5829">
        <v>12</v>
      </c>
      <c r="R5829">
        <v>2</v>
      </c>
      <c r="S5829">
        <v>2</v>
      </c>
      <c r="T5829">
        <v>12</v>
      </c>
      <c r="U5829">
        <v>12</v>
      </c>
      <c r="V5829">
        <v>2</v>
      </c>
      <c r="W5829">
        <v>3</v>
      </c>
      <c r="X5829">
        <v>0</v>
      </c>
      <c r="Y5829">
        <v>0</v>
      </c>
      <c r="Z5829">
        <v>0</v>
      </c>
    </row>
    <row r="5830" spans="1:26" x14ac:dyDescent="0.2">
      <c r="A5830" t="s">
        <v>5948</v>
      </c>
      <c r="B5830" t="s">
        <v>59</v>
      </c>
      <c r="C5830">
        <v>2024</v>
      </c>
      <c r="D5830" t="s">
        <v>18</v>
      </c>
      <c r="E5830" t="s">
        <v>42</v>
      </c>
      <c r="F5830" t="s">
        <v>20</v>
      </c>
      <c r="G5830">
        <v>40341</v>
      </c>
      <c r="H5830">
        <v>32272.800000000003</v>
      </c>
      <c r="I5830" s="13">
        <v>0.5</v>
      </c>
      <c r="J5830" t="s">
        <v>6206</v>
      </c>
      <c r="K5830">
        <v>3</v>
      </c>
      <c r="L5830">
        <v>0</v>
      </c>
      <c r="M5830" t="s">
        <v>0</v>
      </c>
      <c r="N5830" s="3">
        <v>0.64</v>
      </c>
      <c r="O5830" s="3">
        <v>0.36</v>
      </c>
      <c r="P5830">
        <v>6</v>
      </c>
      <c r="Q5830">
        <v>21</v>
      </c>
      <c r="R5830">
        <v>3</v>
      </c>
      <c r="S5830">
        <v>4</v>
      </c>
      <c r="T5830">
        <v>21</v>
      </c>
      <c r="U5830">
        <v>6</v>
      </c>
      <c r="V5830">
        <v>2</v>
      </c>
      <c r="W5830">
        <v>2</v>
      </c>
      <c r="X5830">
        <v>0</v>
      </c>
      <c r="Y5830">
        <v>0</v>
      </c>
      <c r="Z5830">
        <v>0</v>
      </c>
    </row>
    <row r="5831" spans="1:26" x14ac:dyDescent="0.2">
      <c r="A5831" t="s">
        <v>5949</v>
      </c>
      <c r="B5831" t="s">
        <v>88</v>
      </c>
      <c r="C5831">
        <v>2024</v>
      </c>
      <c r="D5831" t="s">
        <v>26</v>
      </c>
      <c r="E5831" t="s">
        <v>40</v>
      </c>
      <c r="F5831" t="s">
        <v>26</v>
      </c>
      <c r="G5831">
        <v>61276</v>
      </c>
      <c r="H5831">
        <v>49020.800000000003</v>
      </c>
      <c r="I5831" s="13">
        <v>0.75</v>
      </c>
      <c r="J5831" t="s">
        <v>6207</v>
      </c>
      <c r="K5831">
        <v>2</v>
      </c>
      <c r="L5831">
        <v>0</v>
      </c>
      <c r="M5831" t="s">
        <v>0</v>
      </c>
      <c r="N5831" s="3">
        <v>0.44</v>
      </c>
      <c r="O5831" s="3">
        <v>0.56000000000000005</v>
      </c>
      <c r="P5831">
        <v>8</v>
      </c>
      <c r="Q5831">
        <v>9</v>
      </c>
      <c r="R5831">
        <v>7</v>
      </c>
      <c r="S5831">
        <v>4</v>
      </c>
      <c r="T5831">
        <v>9</v>
      </c>
      <c r="U5831">
        <v>8</v>
      </c>
      <c r="V5831">
        <v>1</v>
      </c>
      <c r="W5831">
        <v>3</v>
      </c>
      <c r="X5831">
        <v>0</v>
      </c>
      <c r="Y5831">
        <v>0</v>
      </c>
      <c r="Z5831">
        <v>1</v>
      </c>
    </row>
    <row r="5832" spans="1:26" x14ac:dyDescent="0.2">
      <c r="A5832" t="s">
        <v>5950</v>
      </c>
      <c r="B5832" t="s">
        <v>76</v>
      </c>
      <c r="C5832">
        <v>2024</v>
      </c>
      <c r="D5832" t="s">
        <v>117</v>
      </c>
      <c r="E5832" t="s">
        <v>79</v>
      </c>
      <c r="F5832" t="s">
        <v>117</v>
      </c>
      <c r="G5832">
        <v>30056</v>
      </c>
      <c r="H5832">
        <v>24044.800000000003</v>
      </c>
      <c r="I5832" s="13">
        <v>0.66666666666666663</v>
      </c>
      <c r="J5832" t="s">
        <v>6207</v>
      </c>
      <c r="K5832">
        <v>0</v>
      </c>
      <c r="L5832">
        <v>1</v>
      </c>
      <c r="M5832" t="s">
        <v>1</v>
      </c>
      <c r="N5832" s="3">
        <v>0.54</v>
      </c>
      <c r="O5832" s="3">
        <v>0.46</v>
      </c>
      <c r="P5832">
        <v>13</v>
      </c>
      <c r="Q5832">
        <v>14</v>
      </c>
      <c r="R5832">
        <v>4</v>
      </c>
      <c r="S5832">
        <v>7</v>
      </c>
      <c r="T5832">
        <v>14</v>
      </c>
      <c r="U5832">
        <v>13</v>
      </c>
      <c r="V5832">
        <v>2</v>
      </c>
      <c r="W5832">
        <v>4</v>
      </c>
      <c r="X5832">
        <v>0</v>
      </c>
      <c r="Y5832">
        <v>0</v>
      </c>
      <c r="Z5832">
        <v>0</v>
      </c>
    </row>
    <row r="5833" spans="1:26" x14ac:dyDescent="0.2">
      <c r="A5833" t="s">
        <v>5951</v>
      </c>
      <c r="B5833" t="s">
        <v>109</v>
      </c>
      <c r="C5833">
        <v>2024</v>
      </c>
      <c r="D5833" t="s">
        <v>80</v>
      </c>
      <c r="E5833" t="s">
        <v>23</v>
      </c>
      <c r="F5833" t="s">
        <v>80</v>
      </c>
      <c r="G5833">
        <v>32261</v>
      </c>
      <c r="H5833">
        <v>25808.800000000003</v>
      </c>
      <c r="I5833" s="13">
        <v>0.75</v>
      </c>
      <c r="J5833" t="s">
        <v>6209</v>
      </c>
      <c r="K5833">
        <v>3</v>
      </c>
      <c r="L5833">
        <v>1</v>
      </c>
      <c r="M5833" t="s">
        <v>0</v>
      </c>
      <c r="N5833" s="3">
        <v>0.39</v>
      </c>
      <c r="O5833" s="3">
        <v>0.61</v>
      </c>
      <c r="P5833">
        <v>7</v>
      </c>
      <c r="Q5833">
        <v>9</v>
      </c>
      <c r="R5833">
        <v>3</v>
      </c>
      <c r="S5833">
        <v>9</v>
      </c>
      <c r="T5833">
        <v>9</v>
      </c>
      <c r="U5833">
        <v>7</v>
      </c>
      <c r="V5833">
        <v>2</v>
      </c>
      <c r="W5833">
        <v>2</v>
      </c>
      <c r="X5833">
        <v>0</v>
      </c>
      <c r="Y5833">
        <v>0</v>
      </c>
      <c r="Z5833">
        <v>0</v>
      </c>
    </row>
    <row r="5834" spans="1:26" x14ac:dyDescent="0.2">
      <c r="A5834" t="s">
        <v>5952</v>
      </c>
      <c r="B5834" t="s">
        <v>105</v>
      </c>
      <c r="C5834">
        <v>2024</v>
      </c>
      <c r="D5834" t="s">
        <v>73</v>
      </c>
      <c r="E5834" t="s">
        <v>18</v>
      </c>
      <c r="F5834" t="s">
        <v>73</v>
      </c>
      <c r="G5834">
        <v>32384</v>
      </c>
      <c r="H5834">
        <v>25907.200000000001</v>
      </c>
      <c r="I5834" s="13">
        <v>0</v>
      </c>
      <c r="J5834" t="s">
        <v>6207</v>
      </c>
      <c r="K5834">
        <v>1</v>
      </c>
      <c r="L5834">
        <v>5</v>
      </c>
      <c r="M5834" t="s">
        <v>1</v>
      </c>
      <c r="N5834" s="3">
        <v>0.45</v>
      </c>
      <c r="O5834" s="3">
        <v>0.55000000000000004</v>
      </c>
      <c r="P5834">
        <v>14</v>
      </c>
      <c r="Q5834">
        <v>7</v>
      </c>
      <c r="R5834">
        <v>5</v>
      </c>
      <c r="S5834">
        <v>7</v>
      </c>
      <c r="T5834">
        <v>7</v>
      </c>
      <c r="U5834">
        <v>14</v>
      </c>
      <c r="V5834">
        <v>1</v>
      </c>
      <c r="W5834">
        <v>0</v>
      </c>
      <c r="X5834">
        <v>1</v>
      </c>
      <c r="Y5834">
        <v>0</v>
      </c>
      <c r="Z5834">
        <v>0</v>
      </c>
    </row>
    <row r="5835" spans="1:26" x14ac:dyDescent="0.2">
      <c r="A5835" t="s">
        <v>5953</v>
      </c>
      <c r="B5835" t="s">
        <v>92</v>
      </c>
      <c r="C5835">
        <v>2024</v>
      </c>
      <c r="D5835" t="s">
        <v>64</v>
      </c>
      <c r="E5835" t="s">
        <v>26</v>
      </c>
      <c r="F5835" t="s">
        <v>64</v>
      </c>
      <c r="G5835">
        <v>52264</v>
      </c>
      <c r="H5835">
        <v>41811.200000000004</v>
      </c>
      <c r="I5835" s="13">
        <v>0.5714285714285714</v>
      </c>
      <c r="J5835" t="s">
        <v>6207</v>
      </c>
      <c r="K5835">
        <v>3</v>
      </c>
      <c r="L5835">
        <v>3</v>
      </c>
      <c r="M5835" t="s">
        <v>58</v>
      </c>
      <c r="N5835" s="3">
        <v>0.41</v>
      </c>
      <c r="O5835" s="3">
        <v>0.59</v>
      </c>
      <c r="P5835">
        <v>17</v>
      </c>
      <c r="Q5835">
        <v>9</v>
      </c>
      <c r="R5835">
        <v>5</v>
      </c>
      <c r="S5835">
        <v>6</v>
      </c>
      <c r="T5835">
        <v>9</v>
      </c>
      <c r="U5835">
        <v>17</v>
      </c>
      <c r="V5835">
        <v>2</v>
      </c>
      <c r="W5835">
        <v>5</v>
      </c>
      <c r="X5835">
        <v>0</v>
      </c>
      <c r="Y5835">
        <v>0</v>
      </c>
      <c r="Z5835">
        <v>0</v>
      </c>
    </row>
    <row r="5836" spans="1:26" x14ac:dyDescent="0.2">
      <c r="A5836" t="s">
        <v>5954</v>
      </c>
      <c r="B5836" t="s">
        <v>66</v>
      </c>
      <c r="C5836">
        <v>2024</v>
      </c>
      <c r="D5836" t="s">
        <v>40</v>
      </c>
      <c r="E5836" t="s">
        <v>94</v>
      </c>
      <c r="F5836" t="s">
        <v>49</v>
      </c>
      <c r="G5836">
        <v>53400</v>
      </c>
      <c r="H5836">
        <v>42720</v>
      </c>
      <c r="I5836" s="13">
        <v>0.83333333333333337</v>
      </c>
      <c r="J5836" t="s">
        <v>6207</v>
      </c>
      <c r="K5836">
        <v>3</v>
      </c>
      <c r="L5836">
        <v>0</v>
      </c>
      <c r="M5836" t="s">
        <v>0</v>
      </c>
      <c r="N5836" s="3">
        <v>0.66</v>
      </c>
      <c r="O5836" s="3">
        <v>0.34</v>
      </c>
      <c r="P5836">
        <v>15</v>
      </c>
      <c r="Q5836">
        <v>7</v>
      </c>
      <c r="R5836">
        <v>8</v>
      </c>
      <c r="S5836">
        <v>2</v>
      </c>
      <c r="T5836">
        <v>7</v>
      </c>
      <c r="U5836">
        <v>15</v>
      </c>
      <c r="V5836">
        <v>2</v>
      </c>
      <c r="W5836">
        <v>4</v>
      </c>
      <c r="X5836">
        <v>0</v>
      </c>
      <c r="Y5836">
        <v>0</v>
      </c>
      <c r="Z5836">
        <v>0</v>
      </c>
    </row>
    <row r="5837" spans="1:26" x14ac:dyDescent="0.2">
      <c r="A5837" t="s">
        <v>5955</v>
      </c>
      <c r="B5837" t="s">
        <v>103</v>
      </c>
      <c r="C5837">
        <v>2024</v>
      </c>
      <c r="D5837" t="s">
        <v>45</v>
      </c>
      <c r="E5837" t="s">
        <v>22</v>
      </c>
      <c r="F5837" t="s">
        <v>26</v>
      </c>
      <c r="G5837">
        <v>39572</v>
      </c>
      <c r="H5837">
        <v>31657.600000000002</v>
      </c>
      <c r="I5837" s="13">
        <v>0.5</v>
      </c>
      <c r="J5837" t="s">
        <v>6207</v>
      </c>
      <c r="K5837">
        <v>4</v>
      </c>
      <c r="L5837">
        <v>0</v>
      </c>
      <c r="M5837" t="s">
        <v>0</v>
      </c>
      <c r="N5837" s="3">
        <v>0.45</v>
      </c>
      <c r="O5837" s="3">
        <v>0.55000000000000004</v>
      </c>
      <c r="P5837">
        <v>8</v>
      </c>
      <c r="Q5837">
        <v>10</v>
      </c>
      <c r="R5837">
        <v>3</v>
      </c>
      <c r="S5837">
        <v>4</v>
      </c>
      <c r="T5837">
        <v>10</v>
      </c>
      <c r="U5837">
        <v>8</v>
      </c>
      <c r="V5837">
        <v>2</v>
      </c>
      <c r="W5837">
        <v>0</v>
      </c>
      <c r="X5837">
        <v>0</v>
      </c>
      <c r="Y5837">
        <v>0</v>
      </c>
      <c r="Z5837">
        <v>0</v>
      </c>
    </row>
    <row r="5838" spans="1:26" x14ac:dyDescent="0.2">
      <c r="A5838" t="s">
        <v>5956</v>
      </c>
      <c r="B5838" t="s">
        <v>114</v>
      </c>
      <c r="C5838">
        <v>2024</v>
      </c>
      <c r="D5838" t="s">
        <v>42</v>
      </c>
      <c r="E5838" t="s">
        <v>101</v>
      </c>
      <c r="F5838" t="s">
        <v>38</v>
      </c>
      <c r="G5838">
        <v>42918</v>
      </c>
      <c r="H5838">
        <v>34334.400000000001</v>
      </c>
      <c r="I5838" s="13">
        <v>1</v>
      </c>
      <c r="J5838" t="s">
        <v>6209</v>
      </c>
      <c r="K5838">
        <v>3</v>
      </c>
      <c r="L5838">
        <v>1</v>
      </c>
      <c r="M5838" t="s">
        <v>0</v>
      </c>
      <c r="N5838" s="3">
        <v>0.49</v>
      </c>
      <c r="O5838" s="3">
        <v>0.51</v>
      </c>
      <c r="P5838">
        <v>15</v>
      </c>
      <c r="Q5838">
        <v>11</v>
      </c>
      <c r="R5838">
        <v>10</v>
      </c>
      <c r="S5838">
        <v>5</v>
      </c>
      <c r="T5838">
        <v>11</v>
      </c>
      <c r="U5838">
        <v>15</v>
      </c>
      <c r="V5838">
        <v>2</v>
      </c>
      <c r="W5838">
        <v>2</v>
      </c>
      <c r="X5838">
        <v>0</v>
      </c>
      <c r="Y5838">
        <v>0</v>
      </c>
      <c r="Z5838">
        <v>1</v>
      </c>
    </row>
    <row r="5839" spans="1:26" x14ac:dyDescent="0.2">
      <c r="A5839" t="s">
        <v>5957</v>
      </c>
      <c r="B5839" t="s">
        <v>111</v>
      </c>
      <c r="C5839">
        <v>2024</v>
      </c>
      <c r="D5839" t="s">
        <v>46</v>
      </c>
      <c r="E5839" t="s">
        <v>48</v>
      </c>
      <c r="F5839" t="s">
        <v>20</v>
      </c>
      <c r="G5839">
        <v>60704</v>
      </c>
      <c r="H5839">
        <v>48563.200000000004</v>
      </c>
      <c r="I5839" s="13">
        <v>0.75</v>
      </c>
      <c r="J5839" t="s">
        <v>6207</v>
      </c>
      <c r="K5839">
        <v>2</v>
      </c>
      <c r="L5839">
        <v>0</v>
      </c>
      <c r="M5839" t="s">
        <v>0</v>
      </c>
      <c r="N5839" s="3">
        <v>0.5</v>
      </c>
      <c r="O5839" s="3">
        <v>0.5</v>
      </c>
      <c r="P5839">
        <v>8</v>
      </c>
      <c r="Q5839">
        <v>12</v>
      </c>
      <c r="R5839">
        <v>13</v>
      </c>
      <c r="S5839">
        <v>0</v>
      </c>
      <c r="T5839">
        <v>12</v>
      </c>
      <c r="U5839">
        <v>8</v>
      </c>
      <c r="V5839">
        <v>1</v>
      </c>
      <c r="W5839">
        <v>3</v>
      </c>
      <c r="X5839">
        <v>0</v>
      </c>
      <c r="Y5839">
        <v>0</v>
      </c>
      <c r="Z5839">
        <v>0</v>
      </c>
    </row>
    <row r="5840" spans="1:26" x14ac:dyDescent="0.2">
      <c r="A5840" t="s">
        <v>5958</v>
      </c>
      <c r="B5840" t="s">
        <v>97</v>
      </c>
      <c r="C5840">
        <v>2024</v>
      </c>
      <c r="D5840" t="s">
        <v>31</v>
      </c>
      <c r="E5840" t="s">
        <v>90</v>
      </c>
      <c r="F5840" t="s">
        <v>20</v>
      </c>
      <c r="G5840">
        <v>28500</v>
      </c>
      <c r="H5840">
        <v>22800</v>
      </c>
      <c r="I5840" s="13">
        <v>0.75</v>
      </c>
      <c r="J5840" t="s">
        <v>6207</v>
      </c>
      <c r="K5840">
        <v>3</v>
      </c>
      <c r="L5840">
        <v>1</v>
      </c>
      <c r="M5840" t="s">
        <v>0</v>
      </c>
      <c r="N5840" s="3">
        <v>0.44</v>
      </c>
      <c r="O5840" s="3">
        <v>0.56000000000000005</v>
      </c>
      <c r="P5840">
        <v>8</v>
      </c>
      <c r="Q5840">
        <v>7</v>
      </c>
      <c r="R5840">
        <v>5</v>
      </c>
      <c r="S5840">
        <v>6</v>
      </c>
      <c r="T5840">
        <v>7</v>
      </c>
      <c r="U5840">
        <v>8</v>
      </c>
      <c r="V5840">
        <v>2</v>
      </c>
      <c r="W5840">
        <v>2</v>
      </c>
      <c r="X5840">
        <v>0</v>
      </c>
      <c r="Y5840">
        <v>0</v>
      </c>
      <c r="Z5840">
        <v>0</v>
      </c>
    </row>
    <row r="5841" spans="1:26" x14ac:dyDescent="0.2">
      <c r="A5841" t="s">
        <v>5959</v>
      </c>
      <c r="B5841" t="s">
        <v>84</v>
      </c>
      <c r="C5841">
        <v>2024</v>
      </c>
      <c r="D5841" t="s">
        <v>86</v>
      </c>
      <c r="E5841" t="s">
        <v>51</v>
      </c>
      <c r="F5841" t="s">
        <v>86</v>
      </c>
      <c r="G5841">
        <v>11364</v>
      </c>
      <c r="H5841">
        <v>9091.2000000000007</v>
      </c>
      <c r="I5841" s="13">
        <v>0.75</v>
      </c>
      <c r="J5841" t="s">
        <v>6208</v>
      </c>
      <c r="K5841">
        <v>1</v>
      </c>
      <c r="L5841">
        <v>0</v>
      </c>
      <c r="M5841" t="s">
        <v>0</v>
      </c>
      <c r="N5841" s="3">
        <v>0.34</v>
      </c>
      <c r="O5841" s="3">
        <v>0.66</v>
      </c>
      <c r="P5841">
        <v>8</v>
      </c>
      <c r="Q5841">
        <v>15</v>
      </c>
      <c r="R5841">
        <v>5</v>
      </c>
      <c r="S5841">
        <v>9</v>
      </c>
      <c r="T5841">
        <v>15</v>
      </c>
      <c r="U5841">
        <v>8</v>
      </c>
      <c r="V5841">
        <v>2</v>
      </c>
      <c r="W5841">
        <v>2</v>
      </c>
      <c r="X5841">
        <v>0</v>
      </c>
      <c r="Y5841">
        <v>0</v>
      </c>
      <c r="Z5841">
        <v>0</v>
      </c>
    </row>
    <row r="5842" spans="1:26" x14ac:dyDescent="0.2">
      <c r="A5842" t="s">
        <v>5960</v>
      </c>
      <c r="B5842" t="s">
        <v>99</v>
      </c>
      <c r="C5842">
        <v>2024</v>
      </c>
      <c r="D5842" t="s">
        <v>79</v>
      </c>
      <c r="E5842" t="s">
        <v>40</v>
      </c>
      <c r="F5842" t="s">
        <v>20</v>
      </c>
      <c r="G5842">
        <v>25486</v>
      </c>
      <c r="H5842">
        <v>20388.800000000003</v>
      </c>
      <c r="I5842" s="13">
        <v>0</v>
      </c>
      <c r="J5842" t="s">
        <v>6207</v>
      </c>
      <c r="K5842">
        <v>2</v>
      </c>
      <c r="L5842">
        <v>2</v>
      </c>
      <c r="M5842" t="s">
        <v>58</v>
      </c>
      <c r="N5842" s="3">
        <v>0.31</v>
      </c>
      <c r="O5842" s="3">
        <v>0.69</v>
      </c>
      <c r="P5842">
        <v>10</v>
      </c>
      <c r="Q5842">
        <v>4</v>
      </c>
      <c r="R5842">
        <v>6</v>
      </c>
      <c r="S5842">
        <v>8</v>
      </c>
      <c r="T5842">
        <v>4</v>
      </c>
      <c r="U5842">
        <v>10</v>
      </c>
      <c r="V5842">
        <v>1</v>
      </c>
      <c r="W5842">
        <v>1</v>
      </c>
      <c r="X5842">
        <v>0</v>
      </c>
      <c r="Y5842">
        <v>1</v>
      </c>
      <c r="Z5842">
        <v>0</v>
      </c>
    </row>
    <row r="5843" spans="1:26" x14ac:dyDescent="0.2">
      <c r="A5843" t="s">
        <v>5961</v>
      </c>
      <c r="B5843" t="s">
        <v>84</v>
      </c>
      <c r="C5843">
        <v>2024</v>
      </c>
      <c r="D5843" t="s">
        <v>101</v>
      </c>
      <c r="E5843" t="s">
        <v>64</v>
      </c>
      <c r="F5843" t="s">
        <v>101</v>
      </c>
      <c r="G5843">
        <v>17250</v>
      </c>
      <c r="H5843">
        <v>13800</v>
      </c>
      <c r="I5843" s="13">
        <v>0.66666666666666663</v>
      </c>
      <c r="J5843" t="s">
        <v>6208</v>
      </c>
      <c r="K5843">
        <v>4</v>
      </c>
      <c r="L5843">
        <v>2</v>
      </c>
      <c r="M5843" t="s">
        <v>0</v>
      </c>
      <c r="N5843" s="3">
        <v>0.44</v>
      </c>
      <c r="O5843" s="3">
        <v>0.56000000000000005</v>
      </c>
      <c r="P5843">
        <v>7</v>
      </c>
      <c r="Q5843">
        <v>10</v>
      </c>
      <c r="R5843">
        <v>3</v>
      </c>
      <c r="S5843">
        <v>4</v>
      </c>
      <c r="T5843">
        <v>10</v>
      </c>
      <c r="U5843">
        <v>7</v>
      </c>
      <c r="V5843">
        <v>3</v>
      </c>
      <c r="W5843">
        <v>0</v>
      </c>
      <c r="X5843">
        <v>0</v>
      </c>
      <c r="Y5843">
        <v>0</v>
      </c>
      <c r="Z5843">
        <v>0</v>
      </c>
    </row>
    <row r="5844" spans="1:26" x14ac:dyDescent="0.2">
      <c r="A5844" t="s">
        <v>5962</v>
      </c>
      <c r="B5844" t="s">
        <v>108</v>
      </c>
      <c r="C5844">
        <v>2024</v>
      </c>
      <c r="D5844" t="s">
        <v>42</v>
      </c>
      <c r="E5844" t="s">
        <v>73</v>
      </c>
      <c r="F5844" t="s">
        <v>38</v>
      </c>
      <c r="G5844">
        <v>42918</v>
      </c>
      <c r="H5844">
        <v>34334.400000000001</v>
      </c>
      <c r="I5844" s="13">
        <v>0</v>
      </c>
      <c r="J5844" t="s">
        <v>6207</v>
      </c>
      <c r="K5844">
        <v>1</v>
      </c>
      <c r="L5844">
        <v>0</v>
      </c>
      <c r="M5844" t="s">
        <v>0</v>
      </c>
      <c r="N5844" s="3">
        <v>0.47</v>
      </c>
      <c r="O5844" s="3">
        <v>0.53</v>
      </c>
      <c r="P5844">
        <v>15</v>
      </c>
      <c r="Q5844">
        <v>18</v>
      </c>
      <c r="R5844">
        <v>14</v>
      </c>
      <c r="S5844">
        <v>1</v>
      </c>
      <c r="T5844">
        <v>18</v>
      </c>
      <c r="U5844">
        <v>15</v>
      </c>
      <c r="V5844">
        <v>1</v>
      </c>
      <c r="W5844">
        <v>3</v>
      </c>
      <c r="X5844">
        <v>0</v>
      </c>
      <c r="Y5844">
        <v>0</v>
      </c>
      <c r="Z5844">
        <v>0</v>
      </c>
    </row>
    <row r="5845" spans="1:26" x14ac:dyDescent="0.2">
      <c r="A5845" t="s">
        <v>5963</v>
      </c>
      <c r="B5845" t="s">
        <v>100</v>
      </c>
      <c r="C5845">
        <v>2024</v>
      </c>
      <c r="D5845" t="s">
        <v>48</v>
      </c>
      <c r="E5845" t="s">
        <v>94</v>
      </c>
      <c r="F5845" t="s">
        <v>49</v>
      </c>
      <c r="G5845">
        <v>74197</v>
      </c>
      <c r="H5845">
        <v>59357.600000000006</v>
      </c>
      <c r="I5845" s="13">
        <v>0</v>
      </c>
      <c r="J5845" t="s">
        <v>6207</v>
      </c>
      <c r="K5845">
        <v>2</v>
      </c>
      <c r="L5845">
        <v>3</v>
      </c>
      <c r="M5845" t="s">
        <v>1</v>
      </c>
      <c r="N5845" s="3">
        <v>0.71</v>
      </c>
      <c r="O5845" s="3">
        <v>0.28999999999999998</v>
      </c>
      <c r="P5845">
        <v>13</v>
      </c>
      <c r="Q5845">
        <v>10</v>
      </c>
      <c r="R5845">
        <v>5</v>
      </c>
      <c r="S5845">
        <v>3</v>
      </c>
      <c r="T5845">
        <v>10</v>
      </c>
      <c r="U5845">
        <v>13</v>
      </c>
      <c r="V5845">
        <v>0</v>
      </c>
      <c r="W5845">
        <v>2</v>
      </c>
      <c r="X5845">
        <v>0</v>
      </c>
      <c r="Y5845">
        <v>0</v>
      </c>
      <c r="Z5845">
        <v>0</v>
      </c>
    </row>
    <row r="5846" spans="1:26" x14ac:dyDescent="0.2">
      <c r="A5846" t="s">
        <v>5964</v>
      </c>
      <c r="B5846" t="s">
        <v>59</v>
      </c>
      <c r="C5846">
        <v>2024</v>
      </c>
      <c r="D5846" t="s">
        <v>80</v>
      </c>
      <c r="E5846" t="s">
        <v>90</v>
      </c>
      <c r="F5846" t="s">
        <v>80</v>
      </c>
      <c r="G5846">
        <v>32261</v>
      </c>
      <c r="H5846">
        <v>25808.800000000003</v>
      </c>
      <c r="I5846" s="13">
        <v>1</v>
      </c>
      <c r="J5846" t="s">
        <v>6206</v>
      </c>
      <c r="K5846">
        <v>2</v>
      </c>
      <c r="L5846">
        <v>2</v>
      </c>
      <c r="M5846" t="s">
        <v>58</v>
      </c>
      <c r="N5846" s="3">
        <v>0.54</v>
      </c>
      <c r="O5846" s="3">
        <v>0.46</v>
      </c>
      <c r="P5846">
        <v>10</v>
      </c>
      <c r="Q5846">
        <v>9</v>
      </c>
      <c r="R5846">
        <v>4</v>
      </c>
      <c r="S5846">
        <v>5</v>
      </c>
      <c r="T5846">
        <v>9</v>
      </c>
      <c r="U5846">
        <v>10</v>
      </c>
      <c r="V5846">
        <v>1</v>
      </c>
      <c r="W5846">
        <v>2</v>
      </c>
      <c r="X5846">
        <v>0</v>
      </c>
      <c r="Y5846">
        <v>0</v>
      </c>
      <c r="Z5846">
        <v>0</v>
      </c>
    </row>
    <row r="5847" spans="1:26" x14ac:dyDescent="0.2">
      <c r="A5847" t="s">
        <v>5965</v>
      </c>
      <c r="B5847" t="s">
        <v>103</v>
      </c>
      <c r="C5847">
        <v>2024</v>
      </c>
      <c r="D5847" t="s">
        <v>117</v>
      </c>
      <c r="E5847" t="s">
        <v>86</v>
      </c>
      <c r="F5847" t="s">
        <v>117</v>
      </c>
      <c r="G5847">
        <v>30056</v>
      </c>
      <c r="H5847">
        <v>24044.800000000003</v>
      </c>
      <c r="I5847" s="13">
        <v>0.25</v>
      </c>
      <c r="J5847" t="s">
        <v>6207</v>
      </c>
      <c r="K5847">
        <v>1</v>
      </c>
      <c r="L5847">
        <v>2</v>
      </c>
      <c r="M5847" t="s">
        <v>1</v>
      </c>
      <c r="N5847" s="3">
        <v>0.43</v>
      </c>
      <c r="O5847" s="3">
        <v>0.56999999999999995</v>
      </c>
      <c r="P5847">
        <v>13</v>
      </c>
      <c r="Q5847">
        <v>9</v>
      </c>
      <c r="R5847">
        <v>6</v>
      </c>
      <c r="S5847">
        <v>13</v>
      </c>
      <c r="T5847">
        <v>9</v>
      </c>
      <c r="U5847">
        <v>13</v>
      </c>
      <c r="V5847">
        <v>2</v>
      </c>
      <c r="W5847">
        <v>2</v>
      </c>
      <c r="X5847">
        <v>0</v>
      </c>
      <c r="Y5847">
        <v>0</v>
      </c>
      <c r="Z5847">
        <v>0</v>
      </c>
    </row>
    <row r="5848" spans="1:26" x14ac:dyDescent="0.2">
      <c r="A5848" t="s">
        <v>5966</v>
      </c>
      <c r="B5848" t="s">
        <v>88</v>
      </c>
      <c r="C5848">
        <v>2024</v>
      </c>
      <c r="D5848" t="s">
        <v>31</v>
      </c>
      <c r="E5848" t="s">
        <v>46</v>
      </c>
      <c r="F5848" t="s">
        <v>20</v>
      </c>
      <c r="G5848">
        <v>28500</v>
      </c>
      <c r="H5848">
        <v>22800</v>
      </c>
      <c r="I5848" s="13">
        <v>0.83333333333333337</v>
      </c>
      <c r="J5848" t="s">
        <v>6207</v>
      </c>
      <c r="K5848">
        <v>1</v>
      </c>
      <c r="L5848">
        <v>1</v>
      </c>
      <c r="M5848" t="s">
        <v>58</v>
      </c>
      <c r="N5848" s="3">
        <v>0.33</v>
      </c>
      <c r="O5848" s="3">
        <v>0.67</v>
      </c>
      <c r="P5848">
        <v>9</v>
      </c>
      <c r="Q5848">
        <v>10</v>
      </c>
      <c r="R5848">
        <v>0</v>
      </c>
      <c r="S5848">
        <v>6</v>
      </c>
      <c r="T5848">
        <v>10</v>
      </c>
      <c r="U5848">
        <v>9</v>
      </c>
      <c r="V5848">
        <v>4</v>
      </c>
      <c r="W5848">
        <v>2</v>
      </c>
      <c r="X5848">
        <v>0</v>
      </c>
      <c r="Y5848">
        <v>0</v>
      </c>
      <c r="Z5848">
        <v>0</v>
      </c>
    </row>
    <row r="5849" spans="1:26" x14ac:dyDescent="0.2">
      <c r="A5849" t="s">
        <v>5967</v>
      </c>
      <c r="B5849" t="s">
        <v>61</v>
      </c>
      <c r="C5849">
        <v>2024</v>
      </c>
      <c r="D5849" t="s">
        <v>51</v>
      </c>
      <c r="E5849" t="s">
        <v>18</v>
      </c>
      <c r="F5849" t="s">
        <v>20</v>
      </c>
      <c r="G5849">
        <v>36284</v>
      </c>
      <c r="H5849">
        <v>29027.200000000001</v>
      </c>
      <c r="I5849" s="13">
        <v>1</v>
      </c>
      <c r="J5849" t="s">
        <v>6207</v>
      </c>
      <c r="K5849">
        <v>3</v>
      </c>
      <c r="L5849">
        <v>4</v>
      </c>
      <c r="M5849" t="s">
        <v>1</v>
      </c>
      <c r="N5849" s="3">
        <v>0.38</v>
      </c>
      <c r="O5849" s="3">
        <v>0.62</v>
      </c>
      <c r="P5849">
        <v>11</v>
      </c>
      <c r="Q5849">
        <v>17</v>
      </c>
      <c r="R5849">
        <v>5</v>
      </c>
      <c r="S5849">
        <v>10</v>
      </c>
      <c r="T5849">
        <v>17</v>
      </c>
      <c r="U5849">
        <v>11</v>
      </c>
      <c r="V5849">
        <v>2</v>
      </c>
      <c r="W5849">
        <v>3</v>
      </c>
      <c r="X5849">
        <v>0</v>
      </c>
      <c r="Y5849">
        <v>0</v>
      </c>
      <c r="Z5849">
        <v>2</v>
      </c>
    </row>
    <row r="5850" spans="1:26" x14ac:dyDescent="0.2">
      <c r="A5850" t="s">
        <v>5968</v>
      </c>
      <c r="B5850" t="s">
        <v>104</v>
      </c>
      <c r="C5850">
        <v>2024</v>
      </c>
      <c r="D5850" t="s">
        <v>23</v>
      </c>
      <c r="E5850" t="s">
        <v>22</v>
      </c>
      <c r="F5850" t="s">
        <v>20</v>
      </c>
      <c r="G5850">
        <v>62500</v>
      </c>
      <c r="H5850">
        <v>50000</v>
      </c>
      <c r="I5850" s="13">
        <v>0.88888888888888884</v>
      </c>
      <c r="J5850" t="s">
        <v>6206</v>
      </c>
      <c r="K5850">
        <v>2</v>
      </c>
      <c r="L5850">
        <v>1</v>
      </c>
      <c r="M5850" t="s">
        <v>0</v>
      </c>
      <c r="N5850" s="3">
        <v>0.54</v>
      </c>
      <c r="O5850" s="3">
        <v>0.46</v>
      </c>
      <c r="P5850">
        <v>17</v>
      </c>
      <c r="Q5850">
        <v>12</v>
      </c>
      <c r="R5850">
        <v>11</v>
      </c>
      <c r="S5850">
        <v>0</v>
      </c>
      <c r="T5850">
        <v>12</v>
      </c>
      <c r="U5850">
        <v>17</v>
      </c>
      <c r="V5850">
        <v>5</v>
      </c>
      <c r="W5850">
        <v>4</v>
      </c>
      <c r="X5850">
        <v>0</v>
      </c>
      <c r="Y5850">
        <v>0</v>
      </c>
      <c r="Z5850">
        <v>0</v>
      </c>
    </row>
    <row r="5851" spans="1:26" x14ac:dyDescent="0.2">
      <c r="A5851" t="s">
        <v>5969</v>
      </c>
      <c r="B5851" t="s">
        <v>66</v>
      </c>
      <c r="C5851">
        <v>2024</v>
      </c>
      <c r="D5851" t="s">
        <v>45</v>
      </c>
      <c r="E5851" t="s">
        <v>26</v>
      </c>
      <c r="F5851" t="s">
        <v>26</v>
      </c>
      <c r="G5851">
        <v>39572</v>
      </c>
      <c r="H5851">
        <v>31657.600000000002</v>
      </c>
      <c r="I5851" s="13">
        <v>0.44444444444444442</v>
      </c>
      <c r="J5851" t="s">
        <v>6207</v>
      </c>
      <c r="K5851">
        <v>2</v>
      </c>
      <c r="L5851">
        <v>2</v>
      </c>
      <c r="M5851" t="s">
        <v>58</v>
      </c>
      <c r="N5851" s="3">
        <v>0.37</v>
      </c>
      <c r="O5851" s="3">
        <v>0.63</v>
      </c>
      <c r="P5851">
        <v>20</v>
      </c>
      <c r="Q5851">
        <v>9</v>
      </c>
      <c r="R5851">
        <v>2</v>
      </c>
      <c r="S5851">
        <v>3</v>
      </c>
      <c r="T5851">
        <v>9</v>
      </c>
      <c r="U5851">
        <v>20</v>
      </c>
      <c r="V5851">
        <v>3</v>
      </c>
      <c r="W5851">
        <v>3</v>
      </c>
      <c r="X5851">
        <v>1</v>
      </c>
      <c r="Y5851">
        <v>2</v>
      </c>
      <c r="Z5851">
        <v>0</v>
      </c>
    </row>
    <row r="5852" spans="1:26" x14ac:dyDescent="0.2">
      <c r="A5852" t="s">
        <v>5970</v>
      </c>
      <c r="B5852" t="s">
        <v>84</v>
      </c>
      <c r="C5852">
        <v>2024</v>
      </c>
      <c r="D5852" t="s">
        <v>22</v>
      </c>
      <c r="E5852" t="s">
        <v>117</v>
      </c>
      <c r="F5852" t="s">
        <v>24</v>
      </c>
      <c r="G5852">
        <v>31750</v>
      </c>
      <c r="H5852">
        <v>25400</v>
      </c>
      <c r="I5852" s="13">
        <v>0.4</v>
      </c>
      <c r="J5852" t="s">
        <v>6208</v>
      </c>
      <c r="K5852">
        <v>1</v>
      </c>
      <c r="L5852">
        <v>2</v>
      </c>
      <c r="M5852" t="s">
        <v>1</v>
      </c>
      <c r="N5852" s="3">
        <v>0.54</v>
      </c>
      <c r="O5852" s="3">
        <v>0.46</v>
      </c>
      <c r="P5852">
        <v>9</v>
      </c>
      <c r="Q5852">
        <v>13</v>
      </c>
      <c r="R5852">
        <v>7</v>
      </c>
      <c r="S5852">
        <v>3</v>
      </c>
      <c r="T5852">
        <v>13</v>
      </c>
      <c r="U5852">
        <v>9</v>
      </c>
      <c r="V5852">
        <v>1</v>
      </c>
      <c r="W5852">
        <v>3</v>
      </c>
      <c r="X5852">
        <v>1</v>
      </c>
      <c r="Y5852">
        <v>0</v>
      </c>
      <c r="Z5852">
        <v>0</v>
      </c>
    </row>
    <row r="5853" spans="1:26" x14ac:dyDescent="0.2">
      <c r="A5853" t="s">
        <v>5971</v>
      </c>
      <c r="B5853" t="s">
        <v>107</v>
      </c>
      <c r="C5853">
        <v>2024</v>
      </c>
      <c r="D5853" t="s">
        <v>64</v>
      </c>
      <c r="E5853" t="s">
        <v>80</v>
      </c>
      <c r="F5853" t="s">
        <v>64</v>
      </c>
      <c r="G5853">
        <v>52264</v>
      </c>
      <c r="H5853">
        <v>41811.200000000004</v>
      </c>
      <c r="I5853" s="13">
        <v>0.83333333333333337</v>
      </c>
      <c r="J5853" t="s">
        <v>6207</v>
      </c>
      <c r="K5853">
        <v>4</v>
      </c>
      <c r="L5853">
        <v>0</v>
      </c>
      <c r="M5853" t="s">
        <v>0</v>
      </c>
      <c r="N5853" s="3">
        <v>0.59</v>
      </c>
      <c r="O5853" s="3">
        <v>0.41</v>
      </c>
      <c r="P5853">
        <v>16</v>
      </c>
      <c r="Q5853">
        <v>7</v>
      </c>
      <c r="R5853">
        <v>5</v>
      </c>
      <c r="S5853">
        <v>2</v>
      </c>
      <c r="T5853">
        <v>7</v>
      </c>
      <c r="U5853">
        <v>16</v>
      </c>
      <c r="V5853">
        <v>3</v>
      </c>
      <c r="W5853">
        <v>3</v>
      </c>
      <c r="X5853">
        <v>0</v>
      </c>
      <c r="Y5853">
        <v>0</v>
      </c>
      <c r="Z5853">
        <v>0</v>
      </c>
    </row>
    <row r="5854" spans="1:26" x14ac:dyDescent="0.2">
      <c r="A5854" t="s">
        <v>5972</v>
      </c>
      <c r="B5854" t="s">
        <v>105</v>
      </c>
      <c r="C5854">
        <v>2024</v>
      </c>
      <c r="D5854" t="s">
        <v>26</v>
      </c>
      <c r="E5854" t="s">
        <v>31</v>
      </c>
      <c r="F5854" t="s">
        <v>26</v>
      </c>
      <c r="G5854">
        <v>61276</v>
      </c>
      <c r="H5854">
        <v>49020.800000000003</v>
      </c>
      <c r="I5854" s="13">
        <v>0.77777777777777779</v>
      </c>
      <c r="J5854" t="s">
        <v>6207</v>
      </c>
      <c r="K5854">
        <v>2</v>
      </c>
      <c r="L5854">
        <v>2</v>
      </c>
      <c r="M5854" t="s">
        <v>58</v>
      </c>
      <c r="N5854" s="3">
        <v>0.6</v>
      </c>
      <c r="O5854" s="3">
        <v>0.4</v>
      </c>
      <c r="P5854">
        <v>7</v>
      </c>
      <c r="Q5854">
        <v>10</v>
      </c>
      <c r="R5854">
        <v>5</v>
      </c>
      <c r="S5854">
        <v>4</v>
      </c>
      <c r="T5854">
        <v>10</v>
      </c>
      <c r="U5854">
        <v>7</v>
      </c>
      <c r="V5854">
        <v>4</v>
      </c>
      <c r="W5854">
        <v>4</v>
      </c>
      <c r="X5854">
        <v>1</v>
      </c>
      <c r="Y5854">
        <v>0</v>
      </c>
      <c r="Z5854">
        <v>0</v>
      </c>
    </row>
    <row r="5855" spans="1:26" x14ac:dyDescent="0.2">
      <c r="A5855" t="s">
        <v>5973</v>
      </c>
      <c r="B5855" t="s">
        <v>76</v>
      </c>
      <c r="C5855">
        <v>2024</v>
      </c>
      <c r="D5855" t="s">
        <v>46</v>
      </c>
      <c r="E5855" t="s">
        <v>45</v>
      </c>
      <c r="F5855" t="s">
        <v>20</v>
      </c>
      <c r="G5855">
        <v>60704</v>
      </c>
      <c r="H5855">
        <v>48563.200000000004</v>
      </c>
      <c r="I5855" s="13">
        <v>0.33333333333333331</v>
      </c>
      <c r="J5855" t="s">
        <v>6207</v>
      </c>
      <c r="K5855">
        <v>0</v>
      </c>
      <c r="L5855">
        <v>0</v>
      </c>
      <c r="M5855" t="s">
        <v>58</v>
      </c>
      <c r="N5855" s="3">
        <v>0.76</v>
      </c>
      <c r="O5855" s="3">
        <v>0.24</v>
      </c>
      <c r="P5855">
        <v>9</v>
      </c>
      <c r="Q5855">
        <v>6</v>
      </c>
      <c r="R5855">
        <v>8</v>
      </c>
      <c r="S5855">
        <v>2</v>
      </c>
      <c r="T5855">
        <v>6</v>
      </c>
      <c r="U5855">
        <v>9</v>
      </c>
      <c r="V5855">
        <v>0</v>
      </c>
      <c r="W5855">
        <v>3</v>
      </c>
      <c r="X5855">
        <v>0</v>
      </c>
      <c r="Y5855">
        <v>0</v>
      </c>
      <c r="Z5855">
        <v>0</v>
      </c>
    </row>
    <row r="5856" spans="1:26" x14ac:dyDescent="0.2">
      <c r="A5856" t="s">
        <v>5974</v>
      </c>
      <c r="B5856" t="s">
        <v>111</v>
      </c>
      <c r="C5856">
        <v>2024</v>
      </c>
      <c r="D5856" t="s">
        <v>94</v>
      </c>
      <c r="E5856" t="s">
        <v>42</v>
      </c>
      <c r="F5856" t="s">
        <v>106</v>
      </c>
      <c r="G5856">
        <v>30445</v>
      </c>
      <c r="H5856">
        <v>24356</v>
      </c>
      <c r="I5856" s="13">
        <v>1</v>
      </c>
      <c r="J5856" t="s">
        <v>6207</v>
      </c>
      <c r="K5856">
        <v>2</v>
      </c>
      <c r="L5856">
        <v>1</v>
      </c>
      <c r="M5856" t="s">
        <v>0</v>
      </c>
      <c r="N5856" s="3">
        <v>0.5</v>
      </c>
      <c r="O5856" s="3">
        <v>0.5</v>
      </c>
      <c r="P5856">
        <v>5</v>
      </c>
      <c r="Q5856">
        <v>12</v>
      </c>
      <c r="R5856">
        <v>4</v>
      </c>
      <c r="S5856">
        <v>3</v>
      </c>
      <c r="T5856">
        <v>12</v>
      </c>
      <c r="U5856">
        <v>5</v>
      </c>
      <c r="V5856">
        <v>0</v>
      </c>
      <c r="W5856">
        <v>1</v>
      </c>
      <c r="X5856">
        <v>0</v>
      </c>
      <c r="Y5856">
        <v>0</v>
      </c>
      <c r="Z5856">
        <v>0</v>
      </c>
    </row>
    <row r="5857" spans="1:26" x14ac:dyDescent="0.2">
      <c r="A5857" t="s">
        <v>5975</v>
      </c>
      <c r="B5857" t="s">
        <v>66</v>
      </c>
      <c r="C5857">
        <v>2024</v>
      </c>
      <c r="D5857" t="s">
        <v>90</v>
      </c>
      <c r="E5857" t="s">
        <v>79</v>
      </c>
      <c r="F5857" t="s">
        <v>91</v>
      </c>
      <c r="G5857">
        <v>31876</v>
      </c>
      <c r="H5857">
        <v>25500.800000000003</v>
      </c>
      <c r="I5857" s="13">
        <v>0.4</v>
      </c>
      <c r="J5857" t="s">
        <v>6207</v>
      </c>
      <c r="K5857">
        <v>1</v>
      </c>
      <c r="L5857">
        <v>3</v>
      </c>
      <c r="M5857" t="s">
        <v>1</v>
      </c>
      <c r="N5857" s="3">
        <v>0.64</v>
      </c>
      <c r="O5857" s="3">
        <v>0.36</v>
      </c>
      <c r="P5857">
        <v>15</v>
      </c>
      <c r="Q5857">
        <v>11</v>
      </c>
      <c r="R5857">
        <v>8</v>
      </c>
      <c r="S5857">
        <v>5</v>
      </c>
      <c r="T5857">
        <v>11</v>
      </c>
      <c r="U5857">
        <v>15</v>
      </c>
      <c r="V5857">
        <v>1</v>
      </c>
      <c r="W5857">
        <v>4</v>
      </c>
      <c r="X5857">
        <v>0</v>
      </c>
      <c r="Y5857">
        <v>0</v>
      </c>
      <c r="Z5857">
        <v>0</v>
      </c>
    </row>
    <row r="5858" spans="1:26" x14ac:dyDescent="0.2">
      <c r="A5858" t="s">
        <v>5976</v>
      </c>
      <c r="B5858" t="s">
        <v>61</v>
      </c>
      <c r="C5858">
        <v>2024</v>
      </c>
      <c r="D5858" t="s">
        <v>40</v>
      </c>
      <c r="E5858" t="s">
        <v>48</v>
      </c>
      <c r="F5858" t="s">
        <v>49</v>
      </c>
      <c r="G5858">
        <v>53400</v>
      </c>
      <c r="H5858">
        <v>42720</v>
      </c>
      <c r="I5858" s="13">
        <v>0.5</v>
      </c>
      <c r="J5858" t="s">
        <v>6207</v>
      </c>
      <c r="K5858">
        <v>1</v>
      </c>
      <c r="L5858">
        <v>2</v>
      </c>
      <c r="M5858" t="s">
        <v>1</v>
      </c>
      <c r="N5858" s="3">
        <v>0.51</v>
      </c>
      <c r="O5858" s="3">
        <v>0.49</v>
      </c>
      <c r="P5858">
        <v>14</v>
      </c>
      <c r="Q5858">
        <v>5</v>
      </c>
      <c r="R5858">
        <v>8</v>
      </c>
      <c r="S5858">
        <v>2</v>
      </c>
      <c r="T5858">
        <v>5</v>
      </c>
      <c r="U5858">
        <v>14</v>
      </c>
      <c r="V5858">
        <v>1</v>
      </c>
      <c r="W5858">
        <v>1</v>
      </c>
      <c r="X5858">
        <v>0</v>
      </c>
      <c r="Y5858">
        <v>0</v>
      </c>
      <c r="Z5858">
        <v>1</v>
      </c>
    </row>
    <row r="5859" spans="1:26" x14ac:dyDescent="0.2">
      <c r="A5859" t="s">
        <v>5977</v>
      </c>
      <c r="B5859" t="s">
        <v>100</v>
      </c>
      <c r="C5859">
        <v>2024</v>
      </c>
      <c r="D5859" t="s">
        <v>73</v>
      </c>
      <c r="E5859" t="s">
        <v>51</v>
      </c>
      <c r="F5859" t="s">
        <v>73</v>
      </c>
      <c r="G5859">
        <v>32384</v>
      </c>
      <c r="H5859">
        <v>25907.200000000001</v>
      </c>
      <c r="I5859" s="13">
        <v>0.5</v>
      </c>
      <c r="J5859" t="s">
        <v>6207</v>
      </c>
      <c r="K5859">
        <v>0</v>
      </c>
      <c r="L5859">
        <v>5</v>
      </c>
      <c r="M5859" t="s">
        <v>1</v>
      </c>
      <c r="N5859" s="3">
        <v>0.41</v>
      </c>
      <c r="O5859" s="3">
        <v>0.59</v>
      </c>
      <c r="P5859">
        <v>15</v>
      </c>
      <c r="Q5859">
        <v>8</v>
      </c>
      <c r="R5859">
        <v>2</v>
      </c>
      <c r="S5859">
        <v>5</v>
      </c>
      <c r="T5859">
        <v>8</v>
      </c>
      <c r="U5859">
        <v>15</v>
      </c>
      <c r="V5859">
        <v>1</v>
      </c>
      <c r="W5859">
        <v>3</v>
      </c>
      <c r="X5859">
        <v>0</v>
      </c>
      <c r="Y5859">
        <v>0</v>
      </c>
      <c r="Z5859">
        <v>0</v>
      </c>
    </row>
    <row r="5860" spans="1:26" x14ac:dyDescent="0.2">
      <c r="A5860" t="s">
        <v>5978</v>
      </c>
      <c r="B5860" t="s">
        <v>97</v>
      </c>
      <c r="C5860">
        <v>2024</v>
      </c>
      <c r="D5860" t="s">
        <v>18</v>
      </c>
      <c r="E5860" t="s">
        <v>101</v>
      </c>
      <c r="F5860" t="s">
        <v>20</v>
      </c>
      <c r="G5860">
        <v>40341</v>
      </c>
      <c r="H5860">
        <v>32272.800000000003</v>
      </c>
      <c r="I5860" s="13">
        <v>0.75</v>
      </c>
      <c r="J5860" t="s">
        <v>6207</v>
      </c>
      <c r="K5860">
        <v>2</v>
      </c>
      <c r="L5860">
        <v>1</v>
      </c>
      <c r="M5860" t="s">
        <v>0</v>
      </c>
      <c r="N5860" s="3">
        <v>0.62</v>
      </c>
      <c r="O5860" s="3">
        <v>0.38</v>
      </c>
      <c r="P5860">
        <v>7</v>
      </c>
      <c r="Q5860">
        <v>11</v>
      </c>
      <c r="R5860">
        <v>8</v>
      </c>
      <c r="S5860">
        <v>5</v>
      </c>
      <c r="T5860">
        <v>11</v>
      </c>
      <c r="U5860">
        <v>7</v>
      </c>
      <c r="V5860">
        <v>1</v>
      </c>
      <c r="W5860">
        <v>2</v>
      </c>
      <c r="X5860">
        <v>1</v>
      </c>
      <c r="Y5860">
        <v>0</v>
      </c>
      <c r="Z5860">
        <v>0</v>
      </c>
    </row>
    <row r="5861" spans="1:26" x14ac:dyDescent="0.2">
      <c r="A5861" t="s">
        <v>5979</v>
      </c>
      <c r="B5861" t="s">
        <v>88</v>
      </c>
      <c r="C5861">
        <v>2024</v>
      </c>
      <c r="D5861" t="s">
        <v>86</v>
      </c>
      <c r="E5861" t="s">
        <v>23</v>
      </c>
      <c r="F5861" t="s">
        <v>86</v>
      </c>
      <c r="G5861">
        <v>11364</v>
      </c>
      <c r="H5861">
        <v>9091.2000000000007</v>
      </c>
      <c r="I5861" s="13">
        <v>0.66666666666666663</v>
      </c>
      <c r="J5861" t="s">
        <v>6207</v>
      </c>
      <c r="K5861">
        <v>1</v>
      </c>
      <c r="L5861">
        <v>1</v>
      </c>
      <c r="M5861" t="s">
        <v>58</v>
      </c>
      <c r="N5861" s="3">
        <v>0.51</v>
      </c>
      <c r="O5861" s="3">
        <v>0.49</v>
      </c>
      <c r="P5861">
        <v>11</v>
      </c>
      <c r="Q5861">
        <v>6</v>
      </c>
      <c r="R5861">
        <v>12</v>
      </c>
      <c r="S5861">
        <v>6</v>
      </c>
      <c r="T5861">
        <v>6</v>
      </c>
      <c r="U5861">
        <v>11</v>
      </c>
      <c r="V5861">
        <v>0</v>
      </c>
      <c r="W5861">
        <v>3</v>
      </c>
      <c r="X5861">
        <v>0</v>
      </c>
      <c r="Y5861">
        <v>0</v>
      </c>
      <c r="Z5861">
        <v>1</v>
      </c>
    </row>
    <row r="5862" spans="1:26" x14ac:dyDescent="0.2">
      <c r="A5862" t="s">
        <v>5980</v>
      </c>
      <c r="B5862" t="s">
        <v>97</v>
      </c>
      <c r="C5862">
        <v>2024</v>
      </c>
      <c r="D5862" t="s">
        <v>42</v>
      </c>
      <c r="E5862" t="s">
        <v>40</v>
      </c>
      <c r="F5862" t="s">
        <v>38</v>
      </c>
      <c r="G5862">
        <v>42918</v>
      </c>
      <c r="H5862">
        <v>34334.400000000001</v>
      </c>
      <c r="I5862" s="13">
        <v>0.5</v>
      </c>
      <c r="J5862" t="s">
        <v>6207</v>
      </c>
      <c r="K5862">
        <v>2</v>
      </c>
      <c r="L5862">
        <v>1</v>
      </c>
      <c r="M5862" t="s">
        <v>0</v>
      </c>
      <c r="N5862" s="3">
        <v>0.45</v>
      </c>
      <c r="O5862" s="3">
        <v>0.55000000000000004</v>
      </c>
      <c r="P5862">
        <v>7</v>
      </c>
      <c r="Q5862">
        <v>14</v>
      </c>
      <c r="R5862">
        <v>5</v>
      </c>
      <c r="S5862">
        <v>4</v>
      </c>
      <c r="T5862">
        <v>14</v>
      </c>
      <c r="U5862">
        <v>7</v>
      </c>
      <c r="V5862">
        <v>3</v>
      </c>
      <c r="W5862">
        <v>3</v>
      </c>
      <c r="X5862">
        <v>0</v>
      </c>
      <c r="Y5862">
        <v>0</v>
      </c>
      <c r="Z5862">
        <v>0</v>
      </c>
    </row>
    <row r="5863" spans="1:26" x14ac:dyDescent="0.2">
      <c r="A5863" t="s">
        <v>5981</v>
      </c>
      <c r="B5863" t="s">
        <v>99</v>
      </c>
      <c r="C5863">
        <v>2024</v>
      </c>
      <c r="D5863" t="s">
        <v>23</v>
      </c>
      <c r="E5863" t="s">
        <v>90</v>
      </c>
      <c r="F5863" t="s">
        <v>20</v>
      </c>
      <c r="G5863">
        <v>62500</v>
      </c>
      <c r="H5863">
        <v>50000</v>
      </c>
      <c r="I5863" s="13">
        <v>1</v>
      </c>
      <c r="J5863" t="s">
        <v>6207</v>
      </c>
      <c r="K5863">
        <v>1</v>
      </c>
      <c r="L5863">
        <v>1</v>
      </c>
      <c r="M5863" t="s">
        <v>58</v>
      </c>
      <c r="N5863" s="3">
        <v>0.46</v>
      </c>
      <c r="O5863" s="3">
        <v>0.54</v>
      </c>
      <c r="P5863">
        <v>20</v>
      </c>
      <c r="Q5863">
        <v>14</v>
      </c>
      <c r="R5863">
        <v>8</v>
      </c>
      <c r="S5863">
        <v>4</v>
      </c>
      <c r="T5863">
        <v>14</v>
      </c>
      <c r="U5863">
        <v>20</v>
      </c>
      <c r="V5863">
        <v>2</v>
      </c>
      <c r="W5863">
        <v>2</v>
      </c>
      <c r="X5863">
        <v>0</v>
      </c>
      <c r="Y5863">
        <v>0</v>
      </c>
      <c r="Z5863">
        <v>0</v>
      </c>
    </row>
    <row r="5864" spans="1:26" x14ac:dyDescent="0.2">
      <c r="A5864" t="s">
        <v>5982</v>
      </c>
      <c r="B5864" t="s">
        <v>59</v>
      </c>
      <c r="C5864">
        <v>2024</v>
      </c>
      <c r="D5864" t="s">
        <v>117</v>
      </c>
      <c r="E5864" t="s">
        <v>64</v>
      </c>
      <c r="F5864" t="s">
        <v>117</v>
      </c>
      <c r="G5864">
        <v>30056</v>
      </c>
      <c r="H5864">
        <v>24044.800000000003</v>
      </c>
      <c r="I5864" s="13">
        <v>0.5</v>
      </c>
      <c r="J5864" t="s">
        <v>6206</v>
      </c>
      <c r="K5864">
        <v>0</v>
      </c>
      <c r="L5864">
        <v>4</v>
      </c>
      <c r="M5864" t="s">
        <v>1</v>
      </c>
      <c r="N5864" s="3">
        <v>0.41</v>
      </c>
      <c r="O5864" s="3">
        <v>0.59</v>
      </c>
      <c r="P5864">
        <v>7</v>
      </c>
      <c r="Q5864">
        <v>9</v>
      </c>
      <c r="R5864">
        <v>2</v>
      </c>
      <c r="S5864">
        <v>1</v>
      </c>
      <c r="T5864">
        <v>9</v>
      </c>
      <c r="U5864">
        <v>7</v>
      </c>
      <c r="V5864">
        <v>2</v>
      </c>
      <c r="W5864">
        <v>0</v>
      </c>
      <c r="X5864">
        <v>0</v>
      </c>
      <c r="Y5864">
        <v>0</v>
      </c>
      <c r="Z5864">
        <v>0</v>
      </c>
    </row>
    <row r="5865" spans="1:26" x14ac:dyDescent="0.2">
      <c r="A5865" t="s">
        <v>5983</v>
      </c>
      <c r="B5865" t="s">
        <v>66</v>
      </c>
      <c r="C5865">
        <v>2024</v>
      </c>
      <c r="D5865" t="s">
        <v>101</v>
      </c>
      <c r="E5865" t="s">
        <v>94</v>
      </c>
      <c r="F5865" t="s">
        <v>101</v>
      </c>
      <c r="G5865">
        <v>17250</v>
      </c>
      <c r="H5865">
        <v>13800</v>
      </c>
      <c r="I5865" s="13">
        <v>0.5714285714285714</v>
      </c>
      <c r="J5865" t="s">
        <v>6207</v>
      </c>
      <c r="K5865">
        <v>0</v>
      </c>
      <c r="L5865">
        <v>2</v>
      </c>
      <c r="M5865" t="s">
        <v>1</v>
      </c>
      <c r="N5865" s="3">
        <v>0.64</v>
      </c>
      <c r="O5865" s="3">
        <v>0.36</v>
      </c>
      <c r="P5865">
        <v>14</v>
      </c>
      <c r="Q5865">
        <v>9</v>
      </c>
      <c r="R5865">
        <v>9</v>
      </c>
      <c r="S5865">
        <v>5</v>
      </c>
      <c r="T5865">
        <v>9</v>
      </c>
      <c r="U5865">
        <v>14</v>
      </c>
      <c r="V5865">
        <v>3</v>
      </c>
      <c r="W5865">
        <v>4</v>
      </c>
      <c r="X5865">
        <v>0</v>
      </c>
      <c r="Y5865">
        <v>0</v>
      </c>
      <c r="Z5865">
        <v>0</v>
      </c>
    </row>
    <row r="5866" spans="1:26" x14ac:dyDescent="0.2">
      <c r="A5866" t="s">
        <v>5984</v>
      </c>
      <c r="B5866" t="s">
        <v>84</v>
      </c>
      <c r="C5866">
        <v>2024</v>
      </c>
      <c r="D5866" t="s">
        <v>79</v>
      </c>
      <c r="E5866" t="s">
        <v>46</v>
      </c>
      <c r="F5866" t="s">
        <v>20</v>
      </c>
      <c r="G5866">
        <v>25486</v>
      </c>
      <c r="H5866">
        <v>20388.800000000003</v>
      </c>
      <c r="I5866" s="13">
        <v>0.5</v>
      </c>
      <c r="J5866" t="s">
        <v>6208</v>
      </c>
      <c r="K5866">
        <v>1</v>
      </c>
      <c r="L5866">
        <v>5</v>
      </c>
      <c r="M5866" t="s">
        <v>1</v>
      </c>
      <c r="N5866" s="3">
        <v>0.41</v>
      </c>
      <c r="O5866" s="3">
        <v>0.59</v>
      </c>
      <c r="P5866">
        <v>8</v>
      </c>
      <c r="Q5866">
        <v>9</v>
      </c>
      <c r="R5866">
        <v>3</v>
      </c>
      <c r="S5866">
        <v>3</v>
      </c>
      <c r="T5866">
        <v>9</v>
      </c>
      <c r="U5866">
        <v>8</v>
      </c>
      <c r="V5866">
        <v>2</v>
      </c>
      <c r="W5866">
        <v>2</v>
      </c>
      <c r="X5866">
        <v>0</v>
      </c>
      <c r="Y5866">
        <v>0</v>
      </c>
      <c r="Z5866">
        <v>0</v>
      </c>
    </row>
    <row r="5867" spans="1:26" x14ac:dyDescent="0.2">
      <c r="A5867" t="s">
        <v>5985</v>
      </c>
      <c r="B5867" t="s">
        <v>76</v>
      </c>
      <c r="C5867">
        <v>2024</v>
      </c>
      <c r="D5867" t="s">
        <v>48</v>
      </c>
      <c r="E5867" t="s">
        <v>86</v>
      </c>
      <c r="F5867" t="s">
        <v>49</v>
      </c>
      <c r="G5867">
        <v>74197</v>
      </c>
      <c r="H5867">
        <v>59357.600000000006</v>
      </c>
      <c r="I5867" s="13">
        <v>0.75</v>
      </c>
      <c r="J5867" t="s">
        <v>6207</v>
      </c>
      <c r="K5867">
        <v>0</v>
      </c>
      <c r="L5867">
        <v>3</v>
      </c>
      <c r="M5867" t="s">
        <v>1</v>
      </c>
      <c r="N5867" s="3">
        <v>0.6</v>
      </c>
      <c r="O5867" s="3">
        <v>0.4</v>
      </c>
      <c r="P5867">
        <v>11</v>
      </c>
      <c r="Q5867">
        <v>11</v>
      </c>
      <c r="R5867">
        <v>13</v>
      </c>
      <c r="S5867">
        <v>1</v>
      </c>
      <c r="T5867">
        <v>11</v>
      </c>
      <c r="U5867">
        <v>11</v>
      </c>
      <c r="V5867">
        <v>1</v>
      </c>
      <c r="W5867">
        <v>3</v>
      </c>
      <c r="X5867">
        <v>0</v>
      </c>
      <c r="Y5867">
        <v>0</v>
      </c>
      <c r="Z5867">
        <v>1</v>
      </c>
    </row>
    <row r="5868" spans="1:26" x14ac:dyDescent="0.2">
      <c r="A5868" t="s">
        <v>5986</v>
      </c>
      <c r="B5868" t="s">
        <v>61</v>
      </c>
      <c r="C5868">
        <v>2024</v>
      </c>
      <c r="D5868" t="s">
        <v>80</v>
      </c>
      <c r="E5868" t="s">
        <v>22</v>
      </c>
      <c r="F5868" t="s">
        <v>80</v>
      </c>
      <c r="G5868">
        <v>32261</v>
      </c>
      <c r="H5868">
        <v>25808.800000000003</v>
      </c>
      <c r="I5868" s="13">
        <v>1</v>
      </c>
      <c r="J5868" t="s">
        <v>6207</v>
      </c>
      <c r="K5868">
        <v>0</v>
      </c>
      <c r="L5868">
        <v>3</v>
      </c>
      <c r="M5868" t="s">
        <v>1</v>
      </c>
      <c r="N5868" s="3">
        <v>0.53</v>
      </c>
      <c r="O5868" s="3">
        <v>0.47</v>
      </c>
      <c r="P5868">
        <v>16</v>
      </c>
      <c r="Q5868">
        <v>15</v>
      </c>
      <c r="R5868">
        <v>6</v>
      </c>
      <c r="S5868">
        <v>1</v>
      </c>
      <c r="T5868">
        <v>15</v>
      </c>
      <c r="U5868">
        <v>16</v>
      </c>
      <c r="V5868">
        <v>2</v>
      </c>
      <c r="W5868">
        <v>0</v>
      </c>
      <c r="X5868">
        <v>0</v>
      </c>
      <c r="Y5868">
        <v>0</v>
      </c>
      <c r="Z5868">
        <v>0</v>
      </c>
    </row>
    <row r="5869" spans="1:26" x14ac:dyDescent="0.2">
      <c r="A5869" t="s">
        <v>5987</v>
      </c>
      <c r="B5869" t="s">
        <v>98</v>
      </c>
      <c r="C5869">
        <v>2024</v>
      </c>
      <c r="D5869" t="s">
        <v>31</v>
      </c>
      <c r="E5869" t="s">
        <v>73</v>
      </c>
      <c r="F5869" t="s">
        <v>20</v>
      </c>
      <c r="G5869">
        <v>28500</v>
      </c>
      <c r="H5869">
        <v>22800</v>
      </c>
      <c r="I5869" s="13">
        <v>0.75</v>
      </c>
      <c r="J5869" t="s">
        <v>6208</v>
      </c>
      <c r="K5869">
        <v>0</v>
      </c>
      <c r="L5869">
        <v>0</v>
      </c>
      <c r="M5869" t="s">
        <v>58</v>
      </c>
      <c r="N5869" s="3">
        <v>0.56999999999999995</v>
      </c>
      <c r="O5869" s="3">
        <v>0.43</v>
      </c>
      <c r="P5869">
        <v>15</v>
      </c>
      <c r="Q5869">
        <v>8</v>
      </c>
      <c r="R5869">
        <v>6</v>
      </c>
      <c r="S5869">
        <v>5</v>
      </c>
      <c r="T5869">
        <v>8</v>
      </c>
      <c r="U5869">
        <v>15</v>
      </c>
      <c r="V5869">
        <v>1</v>
      </c>
      <c r="W5869">
        <v>3</v>
      </c>
      <c r="X5869">
        <v>0</v>
      </c>
      <c r="Y5869">
        <v>0</v>
      </c>
      <c r="Z5869">
        <v>0</v>
      </c>
    </row>
    <row r="5870" spans="1:26" x14ac:dyDescent="0.2">
      <c r="A5870" t="s">
        <v>5988</v>
      </c>
      <c r="B5870" t="s">
        <v>88</v>
      </c>
      <c r="C5870">
        <v>2024</v>
      </c>
      <c r="D5870" t="s">
        <v>45</v>
      </c>
      <c r="E5870" t="s">
        <v>18</v>
      </c>
      <c r="F5870" t="s">
        <v>26</v>
      </c>
      <c r="G5870">
        <v>39572</v>
      </c>
      <c r="H5870">
        <v>31657.600000000002</v>
      </c>
      <c r="I5870" s="13">
        <v>0.6</v>
      </c>
      <c r="J5870" t="s">
        <v>6207</v>
      </c>
      <c r="K5870">
        <v>0</v>
      </c>
      <c r="L5870">
        <v>0</v>
      </c>
      <c r="M5870" t="s">
        <v>58</v>
      </c>
      <c r="N5870" s="3">
        <v>0.25</v>
      </c>
      <c r="O5870" s="3">
        <v>0.75</v>
      </c>
      <c r="P5870">
        <v>12</v>
      </c>
      <c r="Q5870">
        <v>20</v>
      </c>
      <c r="R5870">
        <v>2</v>
      </c>
      <c r="S5870">
        <v>5</v>
      </c>
      <c r="T5870">
        <v>20</v>
      </c>
      <c r="U5870">
        <v>12</v>
      </c>
      <c r="V5870">
        <v>4</v>
      </c>
      <c r="W5870">
        <v>1</v>
      </c>
      <c r="X5870">
        <v>0</v>
      </c>
      <c r="Y5870">
        <v>0</v>
      </c>
      <c r="Z5870">
        <v>0</v>
      </c>
    </row>
    <row r="5871" spans="1:26" x14ac:dyDescent="0.2">
      <c r="A5871" t="s">
        <v>5989</v>
      </c>
      <c r="B5871" t="s">
        <v>111</v>
      </c>
      <c r="C5871">
        <v>2024</v>
      </c>
      <c r="D5871" t="s">
        <v>51</v>
      </c>
      <c r="E5871" t="s">
        <v>26</v>
      </c>
      <c r="F5871" t="s">
        <v>20</v>
      </c>
      <c r="G5871">
        <v>36284</v>
      </c>
      <c r="H5871">
        <v>29027.200000000001</v>
      </c>
      <c r="I5871" s="13">
        <v>1</v>
      </c>
      <c r="J5871" t="s">
        <v>6207</v>
      </c>
      <c r="K5871">
        <v>3</v>
      </c>
      <c r="L5871">
        <v>6</v>
      </c>
      <c r="M5871" t="s">
        <v>1</v>
      </c>
      <c r="N5871" s="3">
        <v>0.52</v>
      </c>
      <c r="O5871" s="3">
        <v>0.48</v>
      </c>
      <c r="P5871">
        <v>9</v>
      </c>
      <c r="Q5871">
        <v>7</v>
      </c>
      <c r="R5871">
        <v>7</v>
      </c>
      <c r="S5871">
        <v>5</v>
      </c>
      <c r="T5871">
        <v>7</v>
      </c>
      <c r="U5871">
        <v>9</v>
      </c>
      <c r="V5871">
        <v>1</v>
      </c>
      <c r="W5871">
        <v>2</v>
      </c>
      <c r="X5871">
        <v>0</v>
      </c>
      <c r="Y5871">
        <v>0</v>
      </c>
      <c r="Z5871">
        <v>0</v>
      </c>
    </row>
    <row r="5872" spans="1:26" x14ac:dyDescent="0.2">
      <c r="A5872" t="s">
        <v>5990</v>
      </c>
      <c r="B5872" t="s">
        <v>84</v>
      </c>
      <c r="C5872">
        <v>2024</v>
      </c>
      <c r="D5872" t="s">
        <v>40</v>
      </c>
      <c r="E5872" t="s">
        <v>45</v>
      </c>
      <c r="F5872" t="s">
        <v>49</v>
      </c>
      <c r="G5872">
        <v>53400</v>
      </c>
      <c r="H5872">
        <v>42720</v>
      </c>
      <c r="I5872" s="13">
        <v>0.6</v>
      </c>
      <c r="J5872" t="s">
        <v>6208</v>
      </c>
      <c r="K5872">
        <v>1</v>
      </c>
      <c r="L5872">
        <v>1</v>
      </c>
      <c r="M5872" t="s">
        <v>58</v>
      </c>
      <c r="N5872" s="3">
        <v>0.66</v>
      </c>
      <c r="O5872" s="3">
        <v>0.34</v>
      </c>
      <c r="P5872">
        <v>10</v>
      </c>
      <c r="Q5872">
        <v>5</v>
      </c>
      <c r="R5872">
        <v>8</v>
      </c>
      <c r="S5872">
        <v>5</v>
      </c>
      <c r="T5872">
        <v>5</v>
      </c>
      <c r="U5872">
        <v>10</v>
      </c>
      <c r="V5872">
        <v>1</v>
      </c>
      <c r="W5872">
        <v>4</v>
      </c>
      <c r="X5872">
        <v>0</v>
      </c>
      <c r="Y5872">
        <v>0</v>
      </c>
      <c r="Z5872">
        <v>1</v>
      </c>
    </row>
    <row r="5873" spans="1:26" x14ac:dyDescent="0.2">
      <c r="A5873" t="s">
        <v>5991</v>
      </c>
      <c r="B5873" t="s">
        <v>114</v>
      </c>
      <c r="C5873">
        <v>2024</v>
      </c>
      <c r="D5873" t="s">
        <v>73</v>
      </c>
      <c r="E5873" t="s">
        <v>23</v>
      </c>
      <c r="F5873" t="s">
        <v>73</v>
      </c>
      <c r="G5873">
        <v>32384</v>
      </c>
      <c r="H5873">
        <v>25907.200000000001</v>
      </c>
      <c r="I5873" s="13">
        <v>0.66666666666666663</v>
      </c>
      <c r="J5873" t="s">
        <v>6209</v>
      </c>
      <c r="K5873">
        <v>0</v>
      </c>
      <c r="L5873">
        <v>1</v>
      </c>
      <c r="M5873" t="s">
        <v>1</v>
      </c>
      <c r="N5873" s="3">
        <v>0.55000000000000004</v>
      </c>
      <c r="O5873" s="3">
        <v>0.45</v>
      </c>
      <c r="P5873">
        <v>8</v>
      </c>
      <c r="Q5873">
        <v>15</v>
      </c>
      <c r="R5873">
        <v>2</v>
      </c>
      <c r="S5873">
        <v>2</v>
      </c>
      <c r="T5873">
        <v>15</v>
      </c>
      <c r="U5873">
        <v>8</v>
      </c>
      <c r="V5873">
        <v>1</v>
      </c>
      <c r="W5873">
        <v>2</v>
      </c>
      <c r="X5873">
        <v>0</v>
      </c>
      <c r="Y5873">
        <v>0</v>
      </c>
      <c r="Z5873">
        <v>0</v>
      </c>
    </row>
    <row r="5874" spans="1:26" x14ac:dyDescent="0.2">
      <c r="A5874" t="s">
        <v>5992</v>
      </c>
      <c r="B5874" t="s">
        <v>76</v>
      </c>
      <c r="C5874">
        <v>2024</v>
      </c>
      <c r="D5874" t="s">
        <v>94</v>
      </c>
      <c r="E5874" t="s">
        <v>51</v>
      </c>
      <c r="F5874" t="s">
        <v>106</v>
      </c>
      <c r="G5874">
        <v>30445</v>
      </c>
      <c r="H5874">
        <v>24356</v>
      </c>
      <c r="I5874" s="13">
        <v>0.2857142857142857</v>
      </c>
      <c r="J5874" t="s">
        <v>6207</v>
      </c>
      <c r="K5874">
        <v>1</v>
      </c>
      <c r="L5874">
        <v>0</v>
      </c>
      <c r="M5874" t="s">
        <v>0</v>
      </c>
      <c r="N5874" s="3">
        <v>0.28999999999999998</v>
      </c>
      <c r="O5874" s="3">
        <v>0.71</v>
      </c>
      <c r="P5874">
        <v>13</v>
      </c>
      <c r="Q5874">
        <v>12</v>
      </c>
      <c r="R5874">
        <v>2</v>
      </c>
      <c r="S5874">
        <v>7</v>
      </c>
      <c r="T5874">
        <v>12</v>
      </c>
      <c r="U5874">
        <v>13</v>
      </c>
      <c r="V5874">
        <v>3</v>
      </c>
      <c r="W5874">
        <v>3</v>
      </c>
      <c r="X5874">
        <v>0</v>
      </c>
      <c r="Y5874">
        <v>1</v>
      </c>
      <c r="Z5874">
        <v>0</v>
      </c>
    </row>
    <row r="5875" spans="1:26" x14ac:dyDescent="0.2">
      <c r="A5875" t="s">
        <v>5993</v>
      </c>
      <c r="B5875" t="s">
        <v>61</v>
      </c>
      <c r="C5875">
        <v>2024</v>
      </c>
      <c r="D5875" t="s">
        <v>64</v>
      </c>
      <c r="E5875" t="s">
        <v>42</v>
      </c>
      <c r="F5875" t="s">
        <v>64</v>
      </c>
      <c r="G5875">
        <v>52264</v>
      </c>
      <c r="H5875">
        <v>41811.200000000004</v>
      </c>
      <c r="I5875" s="13">
        <v>0.75</v>
      </c>
      <c r="J5875" t="s">
        <v>6207</v>
      </c>
      <c r="K5875">
        <v>3</v>
      </c>
      <c r="L5875">
        <v>0</v>
      </c>
      <c r="M5875" t="s">
        <v>0</v>
      </c>
      <c r="N5875" s="3">
        <v>0.63</v>
      </c>
      <c r="O5875" s="3">
        <v>0.37</v>
      </c>
      <c r="P5875">
        <v>10</v>
      </c>
      <c r="Q5875">
        <v>15</v>
      </c>
      <c r="R5875">
        <v>9</v>
      </c>
      <c r="S5875">
        <v>6</v>
      </c>
      <c r="T5875">
        <v>15</v>
      </c>
      <c r="U5875">
        <v>10</v>
      </c>
      <c r="V5875">
        <v>2</v>
      </c>
      <c r="W5875">
        <v>1</v>
      </c>
      <c r="X5875">
        <v>0</v>
      </c>
      <c r="Y5875">
        <v>1</v>
      </c>
      <c r="Z5875">
        <v>0</v>
      </c>
    </row>
    <row r="5876" spans="1:26" x14ac:dyDescent="0.2">
      <c r="A5876" t="s">
        <v>5994</v>
      </c>
      <c r="B5876" t="s">
        <v>111</v>
      </c>
      <c r="C5876">
        <v>2024</v>
      </c>
      <c r="D5876" t="s">
        <v>18</v>
      </c>
      <c r="E5876" t="s">
        <v>31</v>
      </c>
      <c r="F5876" t="s">
        <v>20</v>
      </c>
      <c r="G5876">
        <v>40341</v>
      </c>
      <c r="H5876">
        <v>32272.800000000003</v>
      </c>
      <c r="I5876" s="13">
        <v>1</v>
      </c>
      <c r="J5876" t="s">
        <v>6207</v>
      </c>
      <c r="K5876">
        <v>1</v>
      </c>
      <c r="L5876">
        <v>2</v>
      </c>
      <c r="M5876" t="s">
        <v>1</v>
      </c>
      <c r="N5876" s="3">
        <v>0.47</v>
      </c>
      <c r="O5876" s="3">
        <v>0.53</v>
      </c>
      <c r="P5876">
        <v>13</v>
      </c>
      <c r="Q5876">
        <v>13</v>
      </c>
      <c r="R5876">
        <v>3</v>
      </c>
      <c r="S5876">
        <v>1</v>
      </c>
      <c r="T5876">
        <v>13</v>
      </c>
      <c r="U5876">
        <v>13</v>
      </c>
      <c r="V5876">
        <v>1</v>
      </c>
      <c r="W5876">
        <v>3</v>
      </c>
      <c r="X5876">
        <v>0</v>
      </c>
      <c r="Y5876">
        <v>0</v>
      </c>
      <c r="Z5876">
        <v>0</v>
      </c>
    </row>
    <row r="5877" spans="1:26" x14ac:dyDescent="0.2">
      <c r="A5877" t="s">
        <v>5995</v>
      </c>
      <c r="B5877" t="s">
        <v>107</v>
      </c>
      <c r="C5877">
        <v>2024</v>
      </c>
      <c r="D5877" t="s">
        <v>86</v>
      </c>
      <c r="E5877" t="s">
        <v>79</v>
      </c>
      <c r="F5877" t="s">
        <v>86</v>
      </c>
      <c r="G5877">
        <v>11364</v>
      </c>
      <c r="H5877">
        <v>9091.2000000000007</v>
      </c>
      <c r="I5877" s="13">
        <v>0.5</v>
      </c>
      <c r="J5877" t="s">
        <v>6207</v>
      </c>
      <c r="K5877">
        <v>0</v>
      </c>
      <c r="L5877">
        <v>0</v>
      </c>
      <c r="M5877" t="s">
        <v>58</v>
      </c>
      <c r="N5877" s="3">
        <v>0.52</v>
      </c>
      <c r="O5877" s="3">
        <v>0.48</v>
      </c>
      <c r="P5877">
        <v>12</v>
      </c>
      <c r="Q5877">
        <v>13</v>
      </c>
      <c r="R5877">
        <v>5</v>
      </c>
      <c r="S5877">
        <v>2</v>
      </c>
      <c r="T5877">
        <v>13</v>
      </c>
      <c r="U5877">
        <v>12</v>
      </c>
      <c r="V5877">
        <v>2</v>
      </c>
      <c r="W5877">
        <v>2</v>
      </c>
      <c r="X5877">
        <v>0</v>
      </c>
      <c r="Y5877">
        <v>0</v>
      </c>
      <c r="Z5877">
        <v>0</v>
      </c>
    </row>
    <row r="5878" spans="1:26" x14ac:dyDescent="0.2">
      <c r="A5878" t="s">
        <v>5996</v>
      </c>
      <c r="B5878" t="s">
        <v>105</v>
      </c>
      <c r="C5878">
        <v>2024</v>
      </c>
      <c r="D5878" t="s">
        <v>22</v>
      </c>
      <c r="E5878" t="s">
        <v>48</v>
      </c>
      <c r="F5878" t="s">
        <v>24</v>
      </c>
      <c r="G5878">
        <v>31750</v>
      </c>
      <c r="H5878">
        <v>25400</v>
      </c>
      <c r="I5878" s="13">
        <v>0.83333333333333337</v>
      </c>
      <c r="J5878" t="s">
        <v>6207</v>
      </c>
      <c r="K5878">
        <v>2</v>
      </c>
      <c r="L5878">
        <v>0</v>
      </c>
      <c r="M5878" t="s">
        <v>0</v>
      </c>
      <c r="N5878" s="3">
        <v>0.51</v>
      </c>
      <c r="O5878" s="3">
        <v>0.49</v>
      </c>
      <c r="P5878">
        <v>12</v>
      </c>
      <c r="Q5878">
        <v>12</v>
      </c>
      <c r="R5878">
        <v>4</v>
      </c>
      <c r="S5878">
        <v>4</v>
      </c>
      <c r="T5878">
        <v>12</v>
      </c>
      <c r="U5878">
        <v>12</v>
      </c>
      <c r="V5878">
        <v>2</v>
      </c>
      <c r="W5878">
        <v>3</v>
      </c>
      <c r="X5878">
        <v>0</v>
      </c>
      <c r="Y5878">
        <v>1</v>
      </c>
      <c r="Z5878">
        <v>0</v>
      </c>
    </row>
    <row r="5879" spans="1:26" x14ac:dyDescent="0.2">
      <c r="A5879" t="s">
        <v>5997</v>
      </c>
      <c r="B5879" t="s">
        <v>108</v>
      </c>
      <c r="C5879">
        <v>2024</v>
      </c>
      <c r="D5879" t="s">
        <v>26</v>
      </c>
      <c r="E5879" t="s">
        <v>80</v>
      </c>
      <c r="F5879" t="s">
        <v>26</v>
      </c>
      <c r="G5879">
        <v>61276</v>
      </c>
      <c r="H5879">
        <v>49020.800000000003</v>
      </c>
      <c r="I5879" s="13">
        <v>0.8</v>
      </c>
      <c r="J5879" t="s">
        <v>6207</v>
      </c>
      <c r="K5879">
        <v>3</v>
      </c>
      <c r="L5879">
        <v>1</v>
      </c>
      <c r="M5879" t="s">
        <v>0</v>
      </c>
      <c r="N5879" s="3">
        <v>0.68</v>
      </c>
      <c r="O5879" s="3">
        <v>0.32</v>
      </c>
      <c r="P5879">
        <v>5</v>
      </c>
      <c r="Q5879">
        <v>17</v>
      </c>
      <c r="R5879">
        <v>14</v>
      </c>
      <c r="S5879">
        <v>1</v>
      </c>
      <c r="T5879">
        <v>17</v>
      </c>
      <c r="U5879">
        <v>5</v>
      </c>
      <c r="V5879">
        <v>3</v>
      </c>
      <c r="W5879">
        <v>2</v>
      </c>
      <c r="X5879">
        <v>0</v>
      </c>
      <c r="Y5879">
        <v>0</v>
      </c>
      <c r="Z5879">
        <v>0</v>
      </c>
    </row>
    <row r="5880" spans="1:26" x14ac:dyDescent="0.2">
      <c r="A5880" t="s">
        <v>5998</v>
      </c>
      <c r="B5880" t="s">
        <v>92</v>
      </c>
      <c r="C5880">
        <v>2024</v>
      </c>
      <c r="D5880" t="s">
        <v>90</v>
      </c>
      <c r="E5880" t="s">
        <v>101</v>
      </c>
      <c r="F5880" t="s">
        <v>91</v>
      </c>
      <c r="G5880">
        <v>31876</v>
      </c>
      <c r="H5880">
        <v>25500.800000000003</v>
      </c>
      <c r="I5880" s="13">
        <v>0.5</v>
      </c>
      <c r="J5880" t="s">
        <v>6207</v>
      </c>
      <c r="K5880">
        <v>0</v>
      </c>
      <c r="L5880">
        <v>0</v>
      </c>
      <c r="M5880" t="s">
        <v>58</v>
      </c>
      <c r="N5880" s="3">
        <v>0.57999999999999996</v>
      </c>
      <c r="O5880" s="3">
        <v>0.42</v>
      </c>
      <c r="P5880">
        <v>12</v>
      </c>
      <c r="Q5880">
        <v>6</v>
      </c>
      <c r="R5880">
        <v>5</v>
      </c>
      <c r="S5880">
        <v>3</v>
      </c>
      <c r="T5880">
        <v>6</v>
      </c>
      <c r="U5880">
        <v>12</v>
      </c>
      <c r="V5880">
        <v>0</v>
      </c>
      <c r="W5880">
        <v>2</v>
      </c>
      <c r="X5880">
        <v>0</v>
      </c>
      <c r="Y5880">
        <v>0</v>
      </c>
      <c r="Z5880">
        <v>0</v>
      </c>
    </row>
    <row r="5881" spans="1:26" x14ac:dyDescent="0.2">
      <c r="A5881" t="s">
        <v>5999</v>
      </c>
      <c r="B5881" t="s">
        <v>100</v>
      </c>
      <c r="C5881">
        <v>2024</v>
      </c>
      <c r="D5881" t="s">
        <v>46</v>
      </c>
      <c r="E5881" t="s">
        <v>117</v>
      </c>
      <c r="F5881" t="s">
        <v>20</v>
      </c>
      <c r="G5881">
        <v>60704</v>
      </c>
      <c r="H5881">
        <v>48563.200000000004</v>
      </c>
      <c r="I5881" s="13">
        <v>0.5</v>
      </c>
      <c r="J5881" t="s">
        <v>6207</v>
      </c>
      <c r="K5881">
        <v>1</v>
      </c>
      <c r="L5881">
        <v>0</v>
      </c>
      <c r="M5881" t="s">
        <v>0</v>
      </c>
      <c r="N5881" s="3">
        <v>0.68</v>
      </c>
      <c r="O5881" s="3">
        <v>0.32</v>
      </c>
      <c r="P5881">
        <v>12</v>
      </c>
      <c r="Q5881">
        <v>7</v>
      </c>
      <c r="R5881">
        <v>5</v>
      </c>
      <c r="S5881">
        <v>1</v>
      </c>
      <c r="T5881">
        <v>7</v>
      </c>
      <c r="U5881">
        <v>12</v>
      </c>
      <c r="V5881">
        <v>1</v>
      </c>
      <c r="W5881">
        <v>1</v>
      </c>
      <c r="X5881">
        <v>0</v>
      </c>
      <c r="Y5881">
        <v>0</v>
      </c>
      <c r="Z5881">
        <v>0</v>
      </c>
    </row>
    <row r="5882" spans="1:26" x14ac:dyDescent="0.2">
      <c r="A5882" t="s">
        <v>6000</v>
      </c>
      <c r="B5882" t="s">
        <v>66</v>
      </c>
      <c r="C5882">
        <v>2024</v>
      </c>
      <c r="D5882" t="s">
        <v>80</v>
      </c>
      <c r="E5882" t="s">
        <v>40</v>
      </c>
      <c r="F5882" t="s">
        <v>80</v>
      </c>
      <c r="G5882">
        <v>32261</v>
      </c>
      <c r="H5882">
        <v>25808.800000000003</v>
      </c>
      <c r="I5882" s="13">
        <v>1</v>
      </c>
      <c r="J5882" t="s">
        <v>6207</v>
      </c>
      <c r="K5882">
        <v>0</v>
      </c>
      <c r="L5882">
        <v>2</v>
      </c>
      <c r="M5882" t="s">
        <v>1</v>
      </c>
      <c r="N5882" s="3">
        <v>0.53</v>
      </c>
      <c r="O5882" s="3">
        <v>0.47</v>
      </c>
      <c r="P5882">
        <v>6</v>
      </c>
      <c r="Q5882">
        <v>11</v>
      </c>
      <c r="R5882">
        <v>4</v>
      </c>
      <c r="S5882">
        <v>4</v>
      </c>
      <c r="T5882">
        <v>11</v>
      </c>
      <c r="U5882">
        <v>6</v>
      </c>
      <c r="V5882">
        <v>2</v>
      </c>
      <c r="W5882">
        <v>1</v>
      </c>
      <c r="X5882">
        <v>0</v>
      </c>
      <c r="Y5882">
        <v>0</v>
      </c>
      <c r="Z5882">
        <v>0</v>
      </c>
    </row>
    <row r="5883" spans="1:26" x14ac:dyDescent="0.2">
      <c r="A5883" t="s">
        <v>6001</v>
      </c>
      <c r="B5883" t="s">
        <v>88</v>
      </c>
      <c r="C5883">
        <v>2024</v>
      </c>
      <c r="D5883" t="s">
        <v>51</v>
      </c>
      <c r="E5883" t="s">
        <v>22</v>
      </c>
      <c r="F5883" t="s">
        <v>20</v>
      </c>
      <c r="G5883">
        <v>36284</v>
      </c>
      <c r="H5883">
        <v>29027.200000000001</v>
      </c>
      <c r="I5883" s="13">
        <v>1</v>
      </c>
      <c r="J5883" t="s">
        <v>6207</v>
      </c>
      <c r="K5883">
        <v>2</v>
      </c>
      <c r="L5883">
        <v>2</v>
      </c>
      <c r="M5883" t="s">
        <v>58</v>
      </c>
      <c r="N5883" s="3">
        <v>0.48</v>
      </c>
      <c r="O5883" s="3">
        <v>0.52</v>
      </c>
      <c r="P5883">
        <v>10</v>
      </c>
      <c r="Q5883">
        <v>9</v>
      </c>
      <c r="R5883">
        <v>5</v>
      </c>
      <c r="S5883">
        <v>5</v>
      </c>
      <c r="T5883">
        <v>9</v>
      </c>
      <c r="U5883">
        <v>10</v>
      </c>
      <c r="V5883">
        <v>1</v>
      </c>
      <c r="W5883">
        <v>2</v>
      </c>
      <c r="X5883">
        <v>0</v>
      </c>
      <c r="Y5883">
        <v>0</v>
      </c>
      <c r="Z5883">
        <v>1</v>
      </c>
    </row>
    <row r="5884" spans="1:26" x14ac:dyDescent="0.2">
      <c r="A5884" t="s">
        <v>6002</v>
      </c>
      <c r="B5884" t="s">
        <v>99</v>
      </c>
      <c r="C5884">
        <v>2024</v>
      </c>
      <c r="D5884" t="s">
        <v>31</v>
      </c>
      <c r="E5884" t="s">
        <v>86</v>
      </c>
      <c r="F5884" t="s">
        <v>20</v>
      </c>
      <c r="G5884">
        <v>28500</v>
      </c>
      <c r="H5884">
        <v>22800</v>
      </c>
      <c r="I5884" s="13">
        <v>0.75</v>
      </c>
      <c r="J5884" t="s">
        <v>6207</v>
      </c>
      <c r="K5884">
        <v>2</v>
      </c>
      <c r="L5884">
        <v>2</v>
      </c>
      <c r="M5884" t="s">
        <v>58</v>
      </c>
      <c r="N5884" s="3">
        <v>0.52</v>
      </c>
      <c r="O5884" s="3">
        <v>0.48</v>
      </c>
      <c r="P5884">
        <v>16</v>
      </c>
      <c r="Q5884">
        <v>7</v>
      </c>
      <c r="R5884">
        <v>1</v>
      </c>
      <c r="S5884">
        <v>7</v>
      </c>
      <c r="T5884">
        <v>7</v>
      </c>
      <c r="U5884">
        <v>16</v>
      </c>
      <c r="V5884">
        <v>1</v>
      </c>
      <c r="W5884">
        <v>3</v>
      </c>
      <c r="X5884">
        <v>0</v>
      </c>
      <c r="Y5884">
        <v>0</v>
      </c>
      <c r="Z5884">
        <v>0</v>
      </c>
    </row>
    <row r="5885" spans="1:26" x14ac:dyDescent="0.2">
      <c r="A5885" t="s">
        <v>6003</v>
      </c>
      <c r="B5885" t="s">
        <v>105</v>
      </c>
      <c r="C5885">
        <v>2024</v>
      </c>
      <c r="D5885" t="s">
        <v>45</v>
      </c>
      <c r="E5885" t="s">
        <v>94</v>
      </c>
      <c r="F5885" t="s">
        <v>26</v>
      </c>
      <c r="G5885">
        <v>39572</v>
      </c>
      <c r="H5885">
        <v>31657.600000000002</v>
      </c>
      <c r="I5885" s="13">
        <v>0.4</v>
      </c>
      <c r="J5885" t="s">
        <v>6207</v>
      </c>
      <c r="K5885">
        <v>0</v>
      </c>
      <c r="L5885">
        <v>2</v>
      </c>
      <c r="M5885" t="s">
        <v>1</v>
      </c>
      <c r="N5885" s="3">
        <v>0.63</v>
      </c>
      <c r="O5885" s="3">
        <v>0.37</v>
      </c>
      <c r="P5885">
        <v>10</v>
      </c>
      <c r="Q5885">
        <v>13</v>
      </c>
      <c r="R5885">
        <v>5</v>
      </c>
      <c r="S5885">
        <v>4</v>
      </c>
      <c r="T5885">
        <v>13</v>
      </c>
      <c r="U5885">
        <v>10</v>
      </c>
      <c r="V5885">
        <v>4</v>
      </c>
      <c r="W5885">
        <v>1</v>
      </c>
      <c r="X5885">
        <v>0</v>
      </c>
      <c r="Y5885">
        <v>0</v>
      </c>
      <c r="Z5885">
        <v>0</v>
      </c>
    </row>
    <row r="5886" spans="1:26" x14ac:dyDescent="0.2">
      <c r="A5886" t="s">
        <v>6004</v>
      </c>
      <c r="B5886" t="s">
        <v>103</v>
      </c>
      <c r="C5886">
        <v>2024</v>
      </c>
      <c r="D5886" t="s">
        <v>79</v>
      </c>
      <c r="E5886" t="s">
        <v>73</v>
      </c>
      <c r="F5886" t="s">
        <v>20</v>
      </c>
      <c r="G5886">
        <v>25486</v>
      </c>
      <c r="H5886">
        <v>20388.800000000003</v>
      </c>
      <c r="I5886" s="13">
        <v>0.4</v>
      </c>
      <c r="J5886" t="s">
        <v>6207</v>
      </c>
      <c r="K5886">
        <v>2</v>
      </c>
      <c r="L5886">
        <v>1</v>
      </c>
      <c r="M5886" t="s">
        <v>0</v>
      </c>
      <c r="N5886" s="3">
        <v>0.47</v>
      </c>
      <c r="O5886" s="3">
        <v>0.53</v>
      </c>
      <c r="P5886">
        <v>19</v>
      </c>
      <c r="Q5886">
        <v>18</v>
      </c>
      <c r="R5886">
        <v>8</v>
      </c>
      <c r="S5886">
        <v>7</v>
      </c>
      <c r="T5886">
        <v>18</v>
      </c>
      <c r="U5886">
        <v>19</v>
      </c>
      <c r="V5886">
        <v>2</v>
      </c>
      <c r="W5886">
        <v>3</v>
      </c>
      <c r="X5886">
        <v>0</v>
      </c>
      <c r="Y5886">
        <v>0</v>
      </c>
      <c r="Z5886">
        <v>0</v>
      </c>
    </row>
    <row r="5887" spans="1:26" x14ac:dyDescent="0.2">
      <c r="A5887" t="s">
        <v>6005</v>
      </c>
      <c r="B5887" t="s">
        <v>61</v>
      </c>
      <c r="C5887">
        <v>2024</v>
      </c>
      <c r="D5887" t="s">
        <v>23</v>
      </c>
      <c r="E5887" t="s">
        <v>26</v>
      </c>
      <c r="F5887" t="s">
        <v>20</v>
      </c>
      <c r="G5887">
        <v>62500</v>
      </c>
      <c r="H5887">
        <v>50000</v>
      </c>
      <c r="I5887" s="13">
        <v>0</v>
      </c>
      <c r="J5887" t="s">
        <v>6207</v>
      </c>
      <c r="K5887">
        <v>0</v>
      </c>
      <c r="L5887">
        <v>5</v>
      </c>
      <c r="M5887" t="s">
        <v>1</v>
      </c>
      <c r="N5887" s="3">
        <v>0.45</v>
      </c>
      <c r="O5887" s="3">
        <v>0.55000000000000004</v>
      </c>
      <c r="P5887">
        <v>10</v>
      </c>
      <c r="Q5887">
        <v>7</v>
      </c>
      <c r="R5887">
        <v>2</v>
      </c>
      <c r="S5887">
        <v>6</v>
      </c>
      <c r="T5887">
        <v>7</v>
      </c>
      <c r="U5887">
        <v>10</v>
      </c>
      <c r="V5887">
        <v>0</v>
      </c>
      <c r="W5887">
        <v>0</v>
      </c>
      <c r="X5887">
        <v>0</v>
      </c>
      <c r="Y5887">
        <v>0</v>
      </c>
      <c r="Z5887">
        <v>0</v>
      </c>
    </row>
    <row r="5888" spans="1:26" x14ac:dyDescent="0.2">
      <c r="A5888" t="s">
        <v>6006</v>
      </c>
      <c r="B5888" t="s">
        <v>104</v>
      </c>
      <c r="C5888">
        <v>2024</v>
      </c>
      <c r="D5888" t="s">
        <v>117</v>
      </c>
      <c r="E5888" t="s">
        <v>18</v>
      </c>
      <c r="F5888" t="s">
        <v>117</v>
      </c>
      <c r="G5888">
        <v>30056</v>
      </c>
      <c r="H5888">
        <v>24044.800000000003</v>
      </c>
      <c r="I5888" s="13">
        <v>0.625</v>
      </c>
      <c r="J5888" t="s">
        <v>6206</v>
      </c>
      <c r="K5888">
        <v>2</v>
      </c>
      <c r="L5888">
        <v>0</v>
      </c>
      <c r="M5888" t="s">
        <v>0</v>
      </c>
      <c r="N5888" s="3">
        <v>0.24</v>
      </c>
      <c r="O5888" s="3">
        <v>0.76</v>
      </c>
      <c r="P5888">
        <v>5</v>
      </c>
      <c r="Q5888">
        <v>9</v>
      </c>
      <c r="R5888">
        <v>4</v>
      </c>
      <c r="S5888">
        <v>7</v>
      </c>
      <c r="T5888">
        <v>9</v>
      </c>
      <c r="U5888">
        <v>5</v>
      </c>
      <c r="V5888">
        <v>4</v>
      </c>
      <c r="W5888">
        <v>4</v>
      </c>
      <c r="X5888">
        <v>0</v>
      </c>
      <c r="Y5888">
        <v>0</v>
      </c>
      <c r="Z5888">
        <v>1</v>
      </c>
    </row>
    <row r="5889" spans="1:26" x14ac:dyDescent="0.2">
      <c r="A5889" t="s">
        <v>6007</v>
      </c>
      <c r="B5889" t="s">
        <v>76</v>
      </c>
      <c r="C5889">
        <v>2024</v>
      </c>
      <c r="D5889" t="s">
        <v>42</v>
      </c>
      <c r="E5889" t="s">
        <v>90</v>
      </c>
      <c r="F5889" t="s">
        <v>38</v>
      </c>
      <c r="G5889">
        <v>42918</v>
      </c>
      <c r="H5889">
        <v>34334.400000000001</v>
      </c>
      <c r="I5889" s="13">
        <v>0.4</v>
      </c>
      <c r="J5889" t="s">
        <v>6207</v>
      </c>
      <c r="K5889">
        <v>2</v>
      </c>
      <c r="L5889">
        <v>2</v>
      </c>
      <c r="M5889" t="s">
        <v>58</v>
      </c>
      <c r="N5889" s="3">
        <v>0.6</v>
      </c>
      <c r="O5889" s="3">
        <v>0.4</v>
      </c>
      <c r="P5889">
        <v>14</v>
      </c>
      <c r="Q5889">
        <v>9</v>
      </c>
      <c r="R5889">
        <v>12</v>
      </c>
      <c r="S5889">
        <v>3</v>
      </c>
      <c r="T5889">
        <v>9</v>
      </c>
      <c r="U5889">
        <v>14</v>
      </c>
      <c r="V5889">
        <v>2</v>
      </c>
      <c r="W5889">
        <v>3</v>
      </c>
      <c r="X5889">
        <v>0</v>
      </c>
      <c r="Y5889">
        <v>0</v>
      </c>
      <c r="Z5889">
        <v>1</v>
      </c>
    </row>
    <row r="5890" spans="1:26" x14ac:dyDescent="0.2">
      <c r="A5890" t="s">
        <v>6008</v>
      </c>
      <c r="B5890" t="s">
        <v>84</v>
      </c>
      <c r="C5890">
        <v>2024</v>
      </c>
      <c r="D5890" t="s">
        <v>48</v>
      </c>
      <c r="E5890" t="s">
        <v>64</v>
      </c>
      <c r="F5890" t="s">
        <v>49</v>
      </c>
      <c r="G5890">
        <v>74197</v>
      </c>
      <c r="H5890">
        <v>59357.600000000006</v>
      </c>
      <c r="I5890" s="13">
        <v>1</v>
      </c>
      <c r="J5890" t="s">
        <v>6208</v>
      </c>
      <c r="K5890">
        <v>0</v>
      </c>
      <c r="L5890">
        <v>2</v>
      </c>
      <c r="M5890" t="s">
        <v>1</v>
      </c>
      <c r="N5890" s="3">
        <v>0.53</v>
      </c>
      <c r="O5890" s="3">
        <v>0.47</v>
      </c>
      <c r="P5890">
        <v>8</v>
      </c>
      <c r="Q5890">
        <v>13</v>
      </c>
      <c r="R5890">
        <v>2</v>
      </c>
      <c r="S5890">
        <v>3</v>
      </c>
      <c r="T5890">
        <v>13</v>
      </c>
      <c r="U5890">
        <v>8</v>
      </c>
      <c r="V5890">
        <v>1</v>
      </c>
      <c r="W5890">
        <v>1</v>
      </c>
      <c r="X5890">
        <v>0</v>
      </c>
      <c r="Y5890">
        <v>0</v>
      </c>
      <c r="Z5890">
        <v>0</v>
      </c>
    </row>
    <row r="5891" spans="1:26" x14ac:dyDescent="0.2">
      <c r="A5891" t="s">
        <v>6009</v>
      </c>
      <c r="B5891" t="s">
        <v>97</v>
      </c>
      <c r="C5891">
        <v>2024</v>
      </c>
      <c r="D5891" t="s">
        <v>101</v>
      </c>
      <c r="E5891" t="s">
        <v>46</v>
      </c>
      <c r="F5891" t="s">
        <v>101</v>
      </c>
      <c r="G5891">
        <v>17250</v>
      </c>
      <c r="H5891">
        <v>13800</v>
      </c>
      <c r="I5891" s="13">
        <v>1</v>
      </c>
      <c r="J5891" t="s">
        <v>6207</v>
      </c>
      <c r="K5891">
        <v>1</v>
      </c>
      <c r="L5891">
        <v>3</v>
      </c>
      <c r="M5891" t="s">
        <v>1</v>
      </c>
      <c r="N5891" s="3">
        <v>0.5</v>
      </c>
      <c r="O5891" s="3">
        <v>0.5</v>
      </c>
      <c r="P5891">
        <v>8</v>
      </c>
      <c r="Q5891">
        <v>6</v>
      </c>
      <c r="R5891">
        <v>4</v>
      </c>
      <c r="S5891">
        <v>3</v>
      </c>
      <c r="T5891">
        <v>6</v>
      </c>
      <c r="U5891">
        <v>8</v>
      </c>
      <c r="V5891">
        <v>1</v>
      </c>
      <c r="W5891">
        <v>2</v>
      </c>
      <c r="X5891">
        <v>0</v>
      </c>
      <c r="Y5891">
        <v>0</v>
      </c>
      <c r="Z5891">
        <v>0</v>
      </c>
    </row>
    <row r="5892" spans="1:26" x14ac:dyDescent="0.2">
      <c r="A5892" t="s">
        <v>6010</v>
      </c>
      <c r="B5892" t="s">
        <v>92</v>
      </c>
      <c r="C5892">
        <v>2024</v>
      </c>
      <c r="D5892" t="s">
        <v>51</v>
      </c>
      <c r="E5892" t="s">
        <v>64</v>
      </c>
      <c r="F5892" t="s">
        <v>20</v>
      </c>
      <c r="G5892">
        <v>36284</v>
      </c>
      <c r="H5892">
        <v>29027.200000000001</v>
      </c>
      <c r="I5892" s="13">
        <v>0.8</v>
      </c>
      <c r="J5892" t="s">
        <v>6207</v>
      </c>
      <c r="K5892">
        <v>1</v>
      </c>
      <c r="L5892">
        <v>2</v>
      </c>
      <c r="M5892" t="s">
        <v>1</v>
      </c>
      <c r="N5892" s="3">
        <v>0.56999999999999995</v>
      </c>
      <c r="O5892" s="3">
        <v>0.43</v>
      </c>
      <c r="P5892">
        <v>15</v>
      </c>
      <c r="Q5892">
        <v>11</v>
      </c>
      <c r="R5892">
        <v>9</v>
      </c>
      <c r="S5892">
        <v>10</v>
      </c>
      <c r="T5892">
        <v>11</v>
      </c>
      <c r="U5892">
        <v>15</v>
      </c>
      <c r="V5892">
        <v>1</v>
      </c>
      <c r="W5892">
        <v>4</v>
      </c>
      <c r="X5892">
        <v>0</v>
      </c>
      <c r="Y5892">
        <v>0</v>
      </c>
      <c r="Z5892">
        <v>0</v>
      </c>
    </row>
    <row r="5893" spans="1:26" x14ac:dyDescent="0.2">
      <c r="A5893" t="s">
        <v>6011</v>
      </c>
      <c r="B5893" t="s">
        <v>59</v>
      </c>
      <c r="C5893">
        <v>2024</v>
      </c>
      <c r="D5893" t="s">
        <v>73</v>
      </c>
      <c r="E5893" t="s">
        <v>101</v>
      </c>
      <c r="F5893" t="s">
        <v>73</v>
      </c>
      <c r="G5893">
        <v>32384</v>
      </c>
      <c r="H5893">
        <v>25907.200000000001</v>
      </c>
      <c r="I5893" s="13">
        <v>0</v>
      </c>
      <c r="J5893" t="s">
        <v>6206</v>
      </c>
      <c r="K5893">
        <v>0</v>
      </c>
      <c r="L5893">
        <v>5</v>
      </c>
      <c r="M5893" t="s">
        <v>1</v>
      </c>
      <c r="N5893" s="3">
        <v>0.5</v>
      </c>
      <c r="O5893" s="3">
        <v>0.5</v>
      </c>
      <c r="P5893">
        <v>4</v>
      </c>
      <c r="Q5893">
        <v>10</v>
      </c>
      <c r="R5893">
        <v>2</v>
      </c>
      <c r="S5893">
        <v>2</v>
      </c>
      <c r="T5893">
        <v>10</v>
      </c>
      <c r="U5893">
        <v>4</v>
      </c>
      <c r="V5893">
        <v>2</v>
      </c>
      <c r="W5893">
        <v>0</v>
      </c>
      <c r="X5893">
        <v>0</v>
      </c>
      <c r="Y5893">
        <v>0</v>
      </c>
      <c r="Z5893">
        <v>1</v>
      </c>
    </row>
    <row r="5894" spans="1:26" x14ac:dyDescent="0.2">
      <c r="A5894" t="s">
        <v>6012</v>
      </c>
      <c r="B5894" t="s">
        <v>103</v>
      </c>
      <c r="C5894">
        <v>2024</v>
      </c>
      <c r="D5894" t="s">
        <v>40</v>
      </c>
      <c r="E5894" t="s">
        <v>23</v>
      </c>
      <c r="F5894" t="s">
        <v>49</v>
      </c>
      <c r="G5894">
        <v>53400</v>
      </c>
      <c r="H5894">
        <v>42720</v>
      </c>
      <c r="I5894" s="13">
        <v>0.5</v>
      </c>
      <c r="J5894" t="s">
        <v>6207</v>
      </c>
      <c r="K5894">
        <v>4</v>
      </c>
      <c r="L5894">
        <v>1</v>
      </c>
      <c r="M5894" t="s">
        <v>0</v>
      </c>
      <c r="N5894" s="3">
        <v>0.56000000000000005</v>
      </c>
      <c r="O5894" s="3">
        <v>0.44</v>
      </c>
      <c r="P5894">
        <v>13</v>
      </c>
      <c r="Q5894">
        <v>8</v>
      </c>
      <c r="R5894">
        <v>7</v>
      </c>
      <c r="S5894">
        <v>1</v>
      </c>
      <c r="T5894">
        <v>8</v>
      </c>
      <c r="U5894">
        <v>13</v>
      </c>
      <c r="V5894">
        <v>2</v>
      </c>
      <c r="W5894">
        <v>2</v>
      </c>
      <c r="X5894">
        <v>0</v>
      </c>
      <c r="Y5894">
        <v>0</v>
      </c>
      <c r="Z5894">
        <v>0</v>
      </c>
    </row>
    <row r="5895" spans="1:26" x14ac:dyDescent="0.2">
      <c r="A5895" t="s">
        <v>6013</v>
      </c>
      <c r="B5895" t="s">
        <v>98</v>
      </c>
      <c r="C5895">
        <v>2024</v>
      </c>
      <c r="D5895" t="s">
        <v>79</v>
      </c>
      <c r="E5895" t="s">
        <v>18</v>
      </c>
      <c r="F5895" t="s">
        <v>20</v>
      </c>
      <c r="G5895">
        <v>25486</v>
      </c>
      <c r="H5895">
        <v>20388.800000000003</v>
      </c>
      <c r="I5895" s="13">
        <v>0.5</v>
      </c>
      <c r="J5895" t="s">
        <v>6208</v>
      </c>
      <c r="K5895">
        <v>1</v>
      </c>
      <c r="L5895">
        <v>1</v>
      </c>
      <c r="M5895" t="s">
        <v>58</v>
      </c>
      <c r="N5895" s="3">
        <v>0.38</v>
      </c>
      <c r="O5895" s="3">
        <v>0.62</v>
      </c>
      <c r="P5895">
        <v>12</v>
      </c>
      <c r="Q5895">
        <v>9</v>
      </c>
      <c r="R5895">
        <v>6</v>
      </c>
      <c r="S5895">
        <v>6</v>
      </c>
      <c r="T5895">
        <v>9</v>
      </c>
      <c r="U5895">
        <v>12</v>
      </c>
      <c r="V5895">
        <v>0</v>
      </c>
      <c r="W5895">
        <v>2</v>
      </c>
      <c r="X5895">
        <v>0</v>
      </c>
      <c r="Y5895">
        <v>0</v>
      </c>
      <c r="Z5895">
        <v>0</v>
      </c>
    </row>
    <row r="5896" spans="1:26" x14ac:dyDescent="0.2">
      <c r="A5896" t="s">
        <v>6014</v>
      </c>
      <c r="B5896" t="s">
        <v>104</v>
      </c>
      <c r="C5896">
        <v>2024</v>
      </c>
      <c r="D5896" t="s">
        <v>86</v>
      </c>
      <c r="E5896" t="s">
        <v>45</v>
      </c>
      <c r="F5896" t="s">
        <v>86</v>
      </c>
      <c r="G5896">
        <v>11364</v>
      </c>
      <c r="H5896">
        <v>9091.2000000000007</v>
      </c>
      <c r="I5896" s="13">
        <v>0.5</v>
      </c>
      <c r="J5896" t="s">
        <v>6206</v>
      </c>
      <c r="K5896">
        <v>1</v>
      </c>
      <c r="L5896">
        <v>0</v>
      </c>
      <c r="M5896" t="s">
        <v>0</v>
      </c>
      <c r="N5896" s="3">
        <v>0.59</v>
      </c>
      <c r="O5896" s="3">
        <v>0.41</v>
      </c>
      <c r="P5896">
        <v>14</v>
      </c>
      <c r="Q5896">
        <v>15</v>
      </c>
      <c r="R5896">
        <v>9</v>
      </c>
      <c r="S5896">
        <v>3</v>
      </c>
      <c r="T5896">
        <v>15</v>
      </c>
      <c r="U5896">
        <v>14</v>
      </c>
      <c r="V5896">
        <v>2</v>
      </c>
      <c r="W5896">
        <v>2</v>
      </c>
      <c r="X5896">
        <v>0</v>
      </c>
      <c r="Y5896">
        <v>0</v>
      </c>
      <c r="Z5896">
        <v>0</v>
      </c>
    </row>
    <row r="5897" spans="1:26" x14ac:dyDescent="0.2">
      <c r="A5897" t="s">
        <v>6015</v>
      </c>
      <c r="B5897" t="s">
        <v>102</v>
      </c>
      <c r="C5897">
        <v>2024</v>
      </c>
      <c r="D5897" t="s">
        <v>42</v>
      </c>
      <c r="E5897" t="s">
        <v>80</v>
      </c>
      <c r="F5897" t="s">
        <v>38</v>
      </c>
      <c r="G5897">
        <v>42918</v>
      </c>
      <c r="H5897">
        <v>34334.400000000001</v>
      </c>
      <c r="I5897" s="13">
        <v>1</v>
      </c>
      <c r="J5897" t="s">
        <v>6209</v>
      </c>
      <c r="K5897">
        <v>2</v>
      </c>
      <c r="L5897">
        <v>1</v>
      </c>
      <c r="M5897" t="s">
        <v>0</v>
      </c>
      <c r="N5897" s="3">
        <v>0.61</v>
      </c>
      <c r="O5897" s="3">
        <v>0.39</v>
      </c>
      <c r="P5897">
        <v>11</v>
      </c>
      <c r="Q5897">
        <v>10</v>
      </c>
      <c r="R5897">
        <v>6</v>
      </c>
      <c r="S5897">
        <v>2</v>
      </c>
      <c r="T5897">
        <v>10</v>
      </c>
      <c r="U5897">
        <v>11</v>
      </c>
      <c r="V5897">
        <v>0</v>
      </c>
      <c r="W5897">
        <v>1</v>
      </c>
      <c r="X5897">
        <v>0</v>
      </c>
      <c r="Y5897">
        <v>0</v>
      </c>
      <c r="Z5897">
        <v>0</v>
      </c>
    </row>
    <row r="5898" spans="1:26" x14ac:dyDescent="0.2">
      <c r="A5898" t="s">
        <v>6016</v>
      </c>
      <c r="B5898" t="s">
        <v>61</v>
      </c>
      <c r="C5898">
        <v>2024</v>
      </c>
      <c r="D5898" t="s">
        <v>90</v>
      </c>
      <c r="E5898" t="s">
        <v>46</v>
      </c>
      <c r="F5898" t="s">
        <v>91</v>
      </c>
      <c r="G5898">
        <v>31876</v>
      </c>
      <c r="H5898">
        <v>25500.800000000003</v>
      </c>
      <c r="I5898" s="13">
        <v>0.8</v>
      </c>
      <c r="J5898" t="s">
        <v>6207</v>
      </c>
      <c r="K5898">
        <v>1</v>
      </c>
      <c r="L5898">
        <v>1</v>
      </c>
      <c r="M5898" t="s">
        <v>58</v>
      </c>
      <c r="N5898" s="3">
        <v>0.45</v>
      </c>
      <c r="O5898" s="3">
        <v>0.55000000000000004</v>
      </c>
      <c r="P5898">
        <v>14</v>
      </c>
      <c r="Q5898">
        <v>17</v>
      </c>
      <c r="R5898">
        <v>2</v>
      </c>
      <c r="S5898">
        <v>5</v>
      </c>
      <c r="T5898">
        <v>17</v>
      </c>
      <c r="U5898">
        <v>14</v>
      </c>
      <c r="V5898">
        <v>2</v>
      </c>
      <c r="W5898">
        <v>3</v>
      </c>
      <c r="X5898">
        <v>0</v>
      </c>
      <c r="Y5898">
        <v>0</v>
      </c>
      <c r="Z5898">
        <v>1</v>
      </c>
    </row>
    <row r="5899" spans="1:26" x14ac:dyDescent="0.2">
      <c r="A5899" t="s">
        <v>6017</v>
      </c>
      <c r="B5899" t="s">
        <v>108</v>
      </c>
      <c r="C5899">
        <v>2024</v>
      </c>
      <c r="D5899" t="s">
        <v>31</v>
      </c>
      <c r="E5899" t="s">
        <v>117</v>
      </c>
      <c r="F5899" t="s">
        <v>20</v>
      </c>
      <c r="G5899">
        <v>28500</v>
      </c>
      <c r="H5899">
        <v>22800</v>
      </c>
      <c r="I5899" s="13">
        <v>0.5</v>
      </c>
      <c r="J5899" t="s">
        <v>6207</v>
      </c>
      <c r="K5899">
        <v>2</v>
      </c>
      <c r="L5899">
        <v>2</v>
      </c>
      <c r="M5899" t="s">
        <v>58</v>
      </c>
      <c r="N5899" s="3">
        <v>0.73</v>
      </c>
      <c r="O5899" s="3">
        <v>0.27</v>
      </c>
      <c r="P5899">
        <v>14</v>
      </c>
      <c r="Q5899">
        <v>10</v>
      </c>
      <c r="R5899">
        <v>9</v>
      </c>
      <c r="S5899">
        <v>2</v>
      </c>
      <c r="T5899">
        <v>10</v>
      </c>
      <c r="U5899">
        <v>14</v>
      </c>
      <c r="V5899">
        <v>1</v>
      </c>
      <c r="W5899">
        <v>5</v>
      </c>
      <c r="X5899">
        <v>0</v>
      </c>
      <c r="Y5899">
        <v>0</v>
      </c>
      <c r="Z5899">
        <v>3</v>
      </c>
    </row>
    <row r="5900" spans="1:26" x14ac:dyDescent="0.2">
      <c r="A5900" t="s">
        <v>6018</v>
      </c>
      <c r="B5900" t="s">
        <v>66</v>
      </c>
      <c r="C5900">
        <v>2024</v>
      </c>
      <c r="D5900" t="s">
        <v>26</v>
      </c>
      <c r="E5900" t="s">
        <v>48</v>
      </c>
      <c r="F5900" t="s">
        <v>26</v>
      </c>
      <c r="G5900">
        <v>61276</v>
      </c>
      <c r="H5900">
        <v>49020.800000000003</v>
      </c>
      <c r="I5900" s="13">
        <v>0.5</v>
      </c>
      <c r="J5900" t="s">
        <v>6207</v>
      </c>
      <c r="K5900">
        <v>2</v>
      </c>
      <c r="L5900">
        <v>2</v>
      </c>
      <c r="M5900" t="s">
        <v>58</v>
      </c>
      <c r="N5900" s="3">
        <v>0.52</v>
      </c>
      <c r="O5900" s="3">
        <v>0.48</v>
      </c>
      <c r="P5900">
        <v>13</v>
      </c>
      <c r="Q5900">
        <v>10</v>
      </c>
      <c r="R5900">
        <v>5</v>
      </c>
      <c r="S5900">
        <v>9</v>
      </c>
      <c r="T5900">
        <v>10</v>
      </c>
      <c r="U5900">
        <v>13</v>
      </c>
      <c r="V5900">
        <v>2</v>
      </c>
      <c r="W5900">
        <v>4</v>
      </c>
      <c r="X5900">
        <v>0</v>
      </c>
      <c r="Y5900">
        <v>0</v>
      </c>
      <c r="Z5900">
        <v>1</v>
      </c>
    </row>
    <row r="5901" spans="1:26" x14ac:dyDescent="0.2">
      <c r="A5901" t="s">
        <v>6019</v>
      </c>
      <c r="B5901" t="s">
        <v>97</v>
      </c>
      <c r="C5901">
        <v>2024</v>
      </c>
      <c r="D5901" t="s">
        <v>22</v>
      </c>
      <c r="E5901" t="s">
        <v>94</v>
      </c>
      <c r="F5901" t="s">
        <v>24</v>
      </c>
      <c r="G5901">
        <v>31750</v>
      </c>
      <c r="H5901">
        <v>25400</v>
      </c>
      <c r="I5901" s="13">
        <v>0.33333333333333331</v>
      </c>
      <c r="J5901" t="s">
        <v>6207</v>
      </c>
      <c r="K5901">
        <v>0</v>
      </c>
      <c r="L5901">
        <v>3</v>
      </c>
      <c r="M5901" t="s">
        <v>1</v>
      </c>
      <c r="N5901" s="3">
        <v>0.6</v>
      </c>
      <c r="O5901" s="3">
        <v>0.4</v>
      </c>
      <c r="P5901">
        <v>8</v>
      </c>
      <c r="Q5901">
        <v>10</v>
      </c>
      <c r="R5901">
        <v>5</v>
      </c>
      <c r="S5901">
        <v>3</v>
      </c>
      <c r="T5901">
        <v>10</v>
      </c>
      <c r="U5901">
        <v>8</v>
      </c>
      <c r="V5901">
        <v>1</v>
      </c>
      <c r="W5901">
        <v>2</v>
      </c>
      <c r="X5901">
        <v>0</v>
      </c>
      <c r="Y5901">
        <v>0</v>
      </c>
      <c r="Z5901">
        <v>0</v>
      </c>
    </row>
    <row r="5902" spans="1:26" x14ac:dyDescent="0.2">
      <c r="A5902" t="s">
        <v>6020</v>
      </c>
      <c r="B5902" t="s">
        <v>76</v>
      </c>
      <c r="C5902">
        <v>2024</v>
      </c>
      <c r="D5902" t="s">
        <v>23</v>
      </c>
      <c r="E5902" t="s">
        <v>31</v>
      </c>
      <c r="F5902" t="s">
        <v>20</v>
      </c>
      <c r="G5902">
        <v>62500</v>
      </c>
      <c r="H5902">
        <v>50000</v>
      </c>
      <c r="I5902" s="13">
        <v>1</v>
      </c>
      <c r="J5902" t="s">
        <v>6207</v>
      </c>
      <c r="K5902">
        <v>3</v>
      </c>
      <c r="L5902">
        <v>2</v>
      </c>
      <c r="M5902" t="s">
        <v>0</v>
      </c>
      <c r="N5902" s="3">
        <v>0.44</v>
      </c>
      <c r="O5902" s="3">
        <v>0.56000000000000005</v>
      </c>
      <c r="P5902">
        <v>18</v>
      </c>
      <c r="Q5902">
        <v>9</v>
      </c>
      <c r="R5902">
        <v>0</v>
      </c>
      <c r="S5902">
        <v>3</v>
      </c>
      <c r="T5902">
        <v>9</v>
      </c>
      <c r="U5902">
        <v>18</v>
      </c>
      <c r="V5902">
        <v>3</v>
      </c>
      <c r="W5902">
        <v>3</v>
      </c>
      <c r="X5902">
        <v>0</v>
      </c>
      <c r="Y5902">
        <v>0</v>
      </c>
      <c r="Z5902">
        <v>0</v>
      </c>
    </row>
    <row r="5903" spans="1:26" x14ac:dyDescent="0.2">
      <c r="A5903" t="s">
        <v>6021</v>
      </c>
      <c r="B5903" t="s">
        <v>99</v>
      </c>
      <c r="C5903">
        <v>2024</v>
      </c>
      <c r="D5903" t="s">
        <v>18</v>
      </c>
      <c r="E5903" t="s">
        <v>86</v>
      </c>
      <c r="F5903" t="s">
        <v>20</v>
      </c>
      <c r="G5903">
        <v>40341</v>
      </c>
      <c r="H5903">
        <v>32272.800000000003</v>
      </c>
      <c r="I5903" s="13">
        <v>0.6</v>
      </c>
      <c r="J5903" t="s">
        <v>6207</v>
      </c>
      <c r="K5903">
        <v>2</v>
      </c>
      <c r="L5903">
        <v>2</v>
      </c>
      <c r="M5903" t="s">
        <v>58</v>
      </c>
      <c r="N5903" s="3">
        <v>0.56999999999999995</v>
      </c>
      <c r="O5903" s="3">
        <v>0.43</v>
      </c>
      <c r="P5903">
        <v>16</v>
      </c>
      <c r="Q5903">
        <v>15</v>
      </c>
      <c r="R5903">
        <v>9</v>
      </c>
      <c r="S5903">
        <v>3</v>
      </c>
      <c r="T5903">
        <v>15</v>
      </c>
      <c r="U5903">
        <v>16</v>
      </c>
      <c r="V5903">
        <v>2</v>
      </c>
      <c r="W5903">
        <v>3</v>
      </c>
      <c r="X5903">
        <v>0</v>
      </c>
      <c r="Y5903">
        <v>0</v>
      </c>
      <c r="Z5903">
        <v>1</v>
      </c>
    </row>
    <row r="5904" spans="1:26" x14ac:dyDescent="0.2">
      <c r="A5904" t="s">
        <v>6022</v>
      </c>
      <c r="B5904" t="s">
        <v>61</v>
      </c>
      <c r="C5904">
        <v>2024</v>
      </c>
      <c r="D5904" t="s">
        <v>101</v>
      </c>
      <c r="E5904" t="s">
        <v>40</v>
      </c>
      <c r="F5904" t="s">
        <v>101</v>
      </c>
      <c r="G5904">
        <v>17250</v>
      </c>
      <c r="H5904">
        <v>13800</v>
      </c>
      <c r="I5904" s="13">
        <v>0</v>
      </c>
      <c r="J5904" t="s">
        <v>6207</v>
      </c>
      <c r="K5904">
        <v>2</v>
      </c>
      <c r="L5904">
        <v>2</v>
      </c>
      <c r="M5904" t="s">
        <v>58</v>
      </c>
      <c r="N5904" s="3">
        <v>0.44</v>
      </c>
      <c r="O5904" s="3">
        <v>0.56000000000000005</v>
      </c>
      <c r="P5904">
        <v>4</v>
      </c>
      <c r="Q5904">
        <v>4</v>
      </c>
      <c r="R5904">
        <v>4</v>
      </c>
      <c r="S5904">
        <v>5</v>
      </c>
      <c r="T5904">
        <v>4</v>
      </c>
      <c r="U5904">
        <v>4</v>
      </c>
      <c r="V5904">
        <v>0</v>
      </c>
      <c r="W5904">
        <v>0</v>
      </c>
      <c r="X5904">
        <v>0</v>
      </c>
      <c r="Y5904">
        <v>0</v>
      </c>
      <c r="Z5904">
        <v>0</v>
      </c>
    </row>
    <row r="5905" spans="1:26" x14ac:dyDescent="0.2">
      <c r="A5905" t="s">
        <v>6023</v>
      </c>
      <c r="B5905" t="s">
        <v>88</v>
      </c>
      <c r="C5905">
        <v>2024</v>
      </c>
      <c r="D5905" t="s">
        <v>94</v>
      </c>
      <c r="E5905" t="s">
        <v>26</v>
      </c>
      <c r="F5905" t="s">
        <v>106</v>
      </c>
      <c r="G5905">
        <v>30445</v>
      </c>
      <c r="H5905">
        <v>24356</v>
      </c>
      <c r="I5905" s="13">
        <v>0.33333333333333331</v>
      </c>
      <c r="J5905" t="s">
        <v>6207</v>
      </c>
      <c r="K5905">
        <v>1</v>
      </c>
      <c r="L5905">
        <v>1</v>
      </c>
      <c r="M5905" t="s">
        <v>58</v>
      </c>
      <c r="N5905" s="3">
        <v>0.28999999999999998</v>
      </c>
      <c r="O5905" s="3">
        <v>0.71</v>
      </c>
      <c r="P5905">
        <v>10</v>
      </c>
      <c r="Q5905">
        <v>7</v>
      </c>
      <c r="R5905">
        <v>0</v>
      </c>
      <c r="S5905">
        <v>9</v>
      </c>
      <c r="T5905">
        <v>7</v>
      </c>
      <c r="U5905">
        <v>10</v>
      </c>
      <c r="V5905">
        <v>2</v>
      </c>
      <c r="W5905">
        <v>1</v>
      </c>
      <c r="X5905">
        <v>0</v>
      </c>
      <c r="Y5905">
        <v>0</v>
      </c>
      <c r="Z5905">
        <v>0</v>
      </c>
    </row>
    <row r="5906" spans="1:26" x14ac:dyDescent="0.2">
      <c r="A5906" t="s">
        <v>6024</v>
      </c>
      <c r="B5906" t="s">
        <v>100</v>
      </c>
      <c r="C5906">
        <v>2024</v>
      </c>
      <c r="D5906" t="s">
        <v>64</v>
      </c>
      <c r="E5906" t="s">
        <v>22</v>
      </c>
      <c r="F5906" t="s">
        <v>64</v>
      </c>
      <c r="G5906">
        <v>52264</v>
      </c>
      <c r="H5906">
        <v>41811.200000000004</v>
      </c>
      <c r="I5906" s="13">
        <v>1</v>
      </c>
      <c r="J5906" t="s">
        <v>6207</v>
      </c>
      <c r="K5906">
        <v>3</v>
      </c>
      <c r="L5906">
        <v>0</v>
      </c>
      <c r="M5906" t="s">
        <v>0</v>
      </c>
      <c r="N5906" s="3">
        <v>0.6</v>
      </c>
      <c r="O5906" s="3">
        <v>0.4</v>
      </c>
      <c r="P5906">
        <v>13</v>
      </c>
      <c r="Q5906">
        <v>10</v>
      </c>
      <c r="R5906">
        <v>4</v>
      </c>
      <c r="S5906">
        <v>2</v>
      </c>
      <c r="T5906">
        <v>10</v>
      </c>
      <c r="U5906">
        <v>13</v>
      </c>
      <c r="V5906">
        <v>0</v>
      </c>
      <c r="W5906">
        <v>2</v>
      </c>
      <c r="X5906">
        <v>0</v>
      </c>
      <c r="Y5906">
        <v>0</v>
      </c>
      <c r="Z5906">
        <v>0</v>
      </c>
    </row>
    <row r="5907" spans="1:26" x14ac:dyDescent="0.2">
      <c r="A5907" t="s">
        <v>6025</v>
      </c>
      <c r="B5907" t="s">
        <v>92</v>
      </c>
      <c r="C5907">
        <v>2024</v>
      </c>
      <c r="D5907" t="s">
        <v>80</v>
      </c>
      <c r="E5907" t="s">
        <v>79</v>
      </c>
      <c r="F5907" t="s">
        <v>80</v>
      </c>
      <c r="G5907">
        <v>32261</v>
      </c>
      <c r="H5907">
        <v>25808.800000000003</v>
      </c>
      <c r="I5907" s="13">
        <v>0</v>
      </c>
      <c r="J5907" t="s">
        <v>6207</v>
      </c>
      <c r="K5907">
        <v>0</v>
      </c>
      <c r="L5907">
        <v>2</v>
      </c>
      <c r="M5907" t="s">
        <v>1</v>
      </c>
      <c r="N5907" s="3">
        <v>0.56999999999999995</v>
      </c>
      <c r="O5907" s="3">
        <v>0.43</v>
      </c>
      <c r="P5907">
        <v>6</v>
      </c>
      <c r="Q5907">
        <v>7</v>
      </c>
      <c r="R5907">
        <v>4</v>
      </c>
      <c r="S5907">
        <v>3</v>
      </c>
      <c r="T5907">
        <v>7</v>
      </c>
      <c r="U5907">
        <v>6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1:26" x14ac:dyDescent="0.2">
      <c r="A5908" t="s">
        <v>6026</v>
      </c>
      <c r="B5908" t="s">
        <v>111</v>
      </c>
      <c r="C5908">
        <v>2024</v>
      </c>
      <c r="D5908" t="s">
        <v>45</v>
      </c>
      <c r="E5908" t="s">
        <v>42</v>
      </c>
      <c r="F5908" t="s">
        <v>26</v>
      </c>
      <c r="G5908">
        <v>39572</v>
      </c>
      <c r="H5908">
        <v>31657.600000000002</v>
      </c>
      <c r="I5908" s="13">
        <v>0.66666666666666663</v>
      </c>
      <c r="J5908" t="s">
        <v>6207</v>
      </c>
      <c r="K5908">
        <v>0</v>
      </c>
      <c r="L5908">
        <v>1</v>
      </c>
      <c r="M5908" t="s">
        <v>1</v>
      </c>
      <c r="N5908" s="3">
        <v>0.5</v>
      </c>
      <c r="O5908" s="3">
        <v>0.5</v>
      </c>
      <c r="P5908">
        <v>10</v>
      </c>
      <c r="Q5908">
        <v>17</v>
      </c>
      <c r="R5908">
        <v>8</v>
      </c>
      <c r="S5908">
        <v>5</v>
      </c>
      <c r="T5908">
        <v>17</v>
      </c>
      <c r="U5908">
        <v>10</v>
      </c>
      <c r="V5908">
        <v>2</v>
      </c>
      <c r="W5908">
        <v>1</v>
      </c>
      <c r="X5908">
        <v>0</v>
      </c>
      <c r="Y5908">
        <v>0</v>
      </c>
      <c r="Z5908">
        <v>0</v>
      </c>
    </row>
    <row r="5909" spans="1:26" x14ac:dyDescent="0.2">
      <c r="A5909" t="s">
        <v>6027</v>
      </c>
      <c r="B5909" t="s">
        <v>84</v>
      </c>
      <c r="C5909">
        <v>2024</v>
      </c>
      <c r="D5909" t="s">
        <v>46</v>
      </c>
      <c r="E5909" t="s">
        <v>51</v>
      </c>
      <c r="F5909" t="s">
        <v>20</v>
      </c>
      <c r="G5909">
        <v>60704</v>
      </c>
      <c r="H5909">
        <v>48563.200000000004</v>
      </c>
      <c r="I5909" s="13">
        <v>0.75</v>
      </c>
      <c r="J5909" t="s">
        <v>6208</v>
      </c>
      <c r="K5909">
        <v>2</v>
      </c>
      <c r="L5909">
        <v>1</v>
      </c>
      <c r="M5909" t="s">
        <v>0</v>
      </c>
      <c r="N5909" s="3">
        <v>0.53</v>
      </c>
      <c r="O5909" s="3">
        <v>0.47</v>
      </c>
      <c r="P5909">
        <v>9</v>
      </c>
      <c r="Q5909">
        <v>16</v>
      </c>
      <c r="R5909">
        <v>10</v>
      </c>
      <c r="S5909">
        <v>4</v>
      </c>
      <c r="T5909">
        <v>16</v>
      </c>
      <c r="U5909">
        <v>9</v>
      </c>
      <c r="V5909">
        <v>3</v>
      </c>
      <c r="W5909">
        <v>1</v>
      </c>
      <c r="X5909">
        <v>0</v>
      </c>
      <c r="Y5909">
        <v>0</v>
      </c>
      <c r="Z5909">
        <v>0</v>
      </c>
    </row>
    <row r="5910" spans="1:26" x14ac:dyDescent="0.2">
      <c r="A5910" t="s">
        <v>6028</v>
      </c>
      <c r="B5910" t="s">
        <v>105</v>
      </c>
      <c r="C5910">
        <v>2024</v>
      </c>
      <c r="D5910" t="s">
        <v>117</v>
      </c>
      <c r="E5910" t="s">
        <v>90</v>
      </c>
      <c r="F5910" t="s">
        <v>117</v>
      </c>
      <c r="G5910">
        <v>30056</v>
      </c>
      <c r="H5910">
        <v>24044.800000000003</v>
      </c>
      <c r="I5910" s="13">
        <v>0.5</v>
      </c>
      <c r="J5910" t="s">
        <v>6207</v>
      </c>
      <c r="K5910">
        <v>0</v>
      </c>
      <c r="L5910">
        <v>2</v>
      </c>
      <c r="M5910" t="s">
        <v>1</v>
      </c>
      <c r="N5910" s="3">
        <v>0.47</v>
      </c>
      <c r="O5910" s="3">
        <v>0.53</v>
      </c>
      <c r="P5910">
        <v>14</v>
      </c>
      <c r="Q5910">
        <v>13</v>
      </c>
      <c r="R5910">
        <v>1</v>
      </c>
      <c r="S5910">
        <v>9</v>
      </c>
      <c r="T5910">
        <v>13</v>
      </c>
      <c r="U5910">
        <v>14</v>
      </c>
      <c r="V5910">
        <v>2</v>
      </c>
      <c r="W5910">
        <v>2</v>
      </c>
      <c r="X5910">
        <v>0</v>
      </c>
      <c r="Y5910">
        <v>0</v>
      </c>
      <c r="Z5910">
        <v>0</v>
      </c>
    </row>
    <row r="5911" spans="1:26" x14ac:dyDescent="0.2">
      <c r="A5911" t="s">
        <v>6029</v>
      </c>
      <c r="B5911" t="s">
        <v>104</v>
      </c>
      <c r="C5911">
        <v>2024</v>
      </c>
      <c r="D5911" t="s">
        <v>48</v>
      </c>
      <c r="E5911" t="s">
        <v>73</v>
      </c>
      <c r="F5911" t="s">
        <v>49</v>
      </c>
      <c r="G5911">
        <v>74197</v>
      </c>
      <c r="H5911">
        <v>59357.600000000006</v>
      </c>
      <c r="I5911" s="13">
        <v>0.5</v>
      </c>
      <c r="J5911" t="s">
        <v>6206</v>
      </c>
      <c r="K5911">
        <v>3</v>
      </c>
      <c r="L5911">
        <v>1</v>
      </c>
      <c r="M5911" t="s">
        <v>0</v>
      </c>
      <c r="N5911" s="3">
        <v>0.59</v>
      </c>
      <c r="O5911" s="3">
        <v>0.41</v>
      </c>
      <c r="P5911">
        <v>10</v>
      </c>
      <c r="Q5911">
        <v>7</v>
      </c>
      <c r="R5911">
        <v>4</v>
      </c>
      <c r="S5911">
        <v>4</v>
      </c>
      <c r="T5911">
        <v>7</v>
      </c>
      <c r="U5911">
        <v>10</v>
      </c>
      <c r="V5911">
        <v>1</v>
      </c>
      <c r="W5911">
        <v>3</v>
      </c>
      <c r="X5911">
        <v>0</v>
      </c>
      <c r="Y5911">
        <v>0</v>
      </c>
      <c r="Z5911">
        <v>0</v>
      </c>
    </row>
    <row r="5912" spans="1:26" x14ac:dyDescent="0.2">
      <c r="A5912" t="s">
        <v>6030</v>
      </c>
      <c r="B5912" t="s">
        <v>59</v>
      </c>
      <c r="C5912">
        <v>2024</v>
      </c>
      <c r="D5912" t="s">
        <v>64</v>
      </c>
      <c r="E5912" t="s">
        <v>86</v>
      </c>
      <c r="F5912" t="s">
        <v>64</v>
      </c>
      <c r="G5912">
        <v>52264</v>
      </c>
      <c r="H5912">
        <v>41811.200000000004</v>
      </c>
      <c r="I5912" s="13">
        <v>0.8571428571428571</v>
      </c>
      <c r="J5912" t="s">
        <v>6206</v>
      </c>
      <c r="K5912">
        <v>1</v>
      </c>
      <c r="L5912">
        <v>4</v>
      </c>
      <c r="M5912" t="s">
        <v>1</v>
      </c>
      <c r="N5912" s="3">
        <v>0.55000000000000004</v>
      </c>
      <c r="O5912" s="3">
        <v>0.45</v>
      </c>
      <c r="P5912">
        <v>18</v>
      </c>
      <c r="Q5912">
        <v>7</v>
      </c>
      <c r="R5912">
        <v>7</v>
      </c>
      <c r="S5912">
        <v>6</v>
      </c>
      <c r="T5912">
        <v>7</v>
      </c>
      <c r="U5912">
        <v>18</v>
      </c>
      <c r="V5912">
        <v>1</v>
      </c>
      <c r="W5912">
        <v>6</v>
      </c>
      <c r="X5912">
        <v>0</v>
      </c>
      <c r="Y5912">
        <v>0</v>
      </c>
      <c r="Z5912">
        <v>0</v>
      </c>
    </row>
    <row r="5913" spans="1:26" x14ac:dyDescent="0.2">
      <c r="A5913" t="s">
        <v>6031</v>
      </c>
      <c r="B5913" t="s">
        <v>107</v>
      </c>
      <c r="C5913">
        <v>2024</v>
      </c>
      <c r="D5913" t="s">
        <v>23</v>
      </c>
      <c r="E5913" t="s">
        <v>79</v>
      </c>
      <c r="F5913" t="s">
        <v>20</v>
      </c>
      <c r="G5913">
        <v>62500</v>
      </c>
      <c r="H5913">
        <v>50000</v>
      </c>
      <c r="I5913" s="13">
        <v>0.66666666666666663</v>
      </c>
      <c r="J5913" t="s">
        <v>6207</v>
      </c>
      <c r="K5913">
        <v>0</v>
      </c>
      <c r="L5913">
        <v>2</v>
      </c>
      <c r="M5913" t="s">
        <v>1</v>
      </c>
      <c r="N5913" s="3">
        <v>0.53</v>
      </c>
      <c r="O5913" s="3">
        <v>0.47</v>
      </c>
      <c r="P5913">
        <v>10</v>
      </c>
      <c r="Q5913">
        <v>13</v>
      </c>
      <c r="R5913">
        <v>2</v>
      </c>
      <c r="S5913">
        <v>4</v>
      </c>
      <c r="T5913">
        <v>13</v>
      </c>
      <c r="U5913">
        <v>10</v>
      </c>
      <c r="V5913">
        <v>2</v>
      </c>
      <c r="W5913">
        <v>0</v>
      </c>
      <c r="X5913">
        <v>1</v>
      </c>
      <c r="Y5913">
        <v>0</v>
      </c>
      <c r="Z5913">
        <v>1</v>
      </c>
    </row>
    <row r="5914" spans="1:26" x14ac:dyDescent="0.2">
      <c r="A5914" t="s">
        <v>6032</v>
      </c>
      <c r="B5914" t="s">
        <v>103</v>
      </c>
      <c r="C5914">
        <v>2024</v>
      </c>
      <c r="D5914" t="s">
        <v>80</v>
      </c>
      <c r="E5914" t="s">
        <v>31</v>
      </c>
      <c r="F5914" t="s">
        <v>80</v>
      </c>
      <c r="G5914">
        <v>32261</v>
      </c>
      <c r="H5914">
        <v>25808.800000000003</v>
      </c>
      <c r="I5914" s="13">
        <v>1</v>
      </c>
      <c r="J5914" t="s">
        <v>6207</v>
      </c>
      <c r="K5914">
        <v>0</v>
      </c>
      <c r="L5914">
        <v>2</v>
      </c>
      <c r="M5914" t="s">
        <v>1</v>
      </c>
      <c r="N5914" s="3">
        <v>0.38</v>
      </c>
      <c r="O5914" s="3">
        <v>0.62</v>
      </c>
      <c r="P5914">
        <v>8</v>
      </c>
      <c r="Q5914">
        <v>8</v>
      </c>
      <c r="R5914">
        <v>5</v>
      </c>
      <c r="S5914">
        <v>2</v>
      </c>
      <c r="T5914">
        <v>8</v>
      </c>
      <c r="U5914">
        <v>8</v>
      </c>
      <c r="V5914">
        <v>3</v>
      </c>
      <c r="W5914">
        <v>1</v>
      </c>
      <c r="X5914">
        <v>0</v>
      </c>
      <c r="Y5914">
        <v>0</v>
      </c>
      <c r="Z5914">
        <v>0</v>
      </c>
    </row>
    <row r="5915" spans="1:26" x14ac:dyDescent="0.2">
      <c r="A5915" t="s">
        <v>6033</v>
      </c>
      <c r="B5915" t="s">
        <v>92</v>
      </c>
      <c r="C5915">
        <v>2024</v>
      </c>
      <c r="D5915" t="s">
        <v>101</v>
      </c>
      <c r="E5915" t="s">
        <v>26</v>
      </c>
      <c r="F5915" t="s">
        <v>101</v>
      </c>
      <c r="G5915">
        <v>17250</v>
      </c>
      <c r="H5915">
        <v>13800</v>
      </c>
      <c r="I5915" s="13">
        <v>1</v>
      </c>
      <c r="J5915" t="s">
        <v>6207</v>
      </c>
      <c r="K5915">
        <v>0</v>
      </c>
      <c r="L5915">
        <v>2</v>
      </c>
      <c r="M5915" t="s">
        <v>1</v>
      </c>
      <c r="N5915" s="3">
        <v>0.39</v>
      </c>
      <c r="O5915" s="3">
        <v>0.61</v>
      </c>
      <c r="P5915">
        <v>14</v>
      </c>
      <c r="Q5915">
        <v>6</v>
      </c>
      <c r="R5915">
        <v>2</v>
      </c>
      <c r="S5915">
        <v>15</v>
      </c>
      <c r="T5915">
        <v>6</v>
      </c>
      <c r="U5915">
        <v>14</v>
      </c>
      <c r="V5915">
        <v>2</v>
      </c>
      <c r="W5915">
        <v>3</v>
      </c>
      <c r="X5915">
        <v>0</v>
      </c>
      <c r="Y5915">
        <v>0</v>
      </c>
      <c r="Z5915">
        <v>0</v>
      </c>
    </row>
    <row r="5916" spans="1:26" x14ac:dyDescent="0.2">
      <c r="A5916" t="s">
        <v>6034</v>
      </c>
      <c r="B5916" t="s">
        <v>88</v>
      </c>
      <c r="C5916">
        <v>2024</v>
      </c>
      <c r="D5916" t="s">
        <v>46</v>
      </c>
      <c r="E5916" t="s">
        <v>42</v>
      </c>
      <c r="F5916" t="s">
        <v>20</v>
      </c>
      <c r="G5916">
        <v>60704</v>
      </c>
      <c r="H5916">
        <v>48563.200000000004</v>
      </c>
      <c r="I5916" s="13">
        <v>0.5714285714285714</v>
      </c>
      <c r="J5916" t="s">
        <v>6207</v>
      </c>
      <c r="K5916">
        <v>2</v>
      </c>
      <c r="L5916">
        <v>2</v>
      </c>
      <c r="M5916" t="s">
        <v>58</v>
      </c>
      <c r="N5916" s="3">
        <v>0.65</v>
      </c>
      <c r="O5916" s="3">
        <v>0.35</v>
      </c>
      <c r="P5916">
        <v>18</v>
      </c>
      <c r="Q5916">
        <v>10</v>
      </c>
      <c r="R5916">
        <v>10</v>
      </c>
      <c r="S5916">
        <v>1</v>
      </c>
      <c r="T5916">
        <v>10</v>
      </c>
      <c r="U5916">
        <v>18</v>
      </c>
      <c r="V5916">
        <v>3</v>
      </c>
      <c r="W5916">
        <v>4</v>
      </c>
      <c r="X5916">
        <v>0</v>
      </c>
      <c r="Y5916">
        <v>0</v>
      </c>
      <c r="Z5916">
        <v>0</v>
      </c>
    </row>
    <row r="5917" spans="1:26" x14ac:dyDescent="0.2">
      <c r="A5917" t="s">
        <v>6035</v>
      </c>
      <c r="B5917" t="s">
        <v>61</v>
      </c>
      <c r="C5917">
        <v>2024</v>
      </c>
      <c r="D5917" t="s">
        <v>94</v>
      </c>
      <c r="E5917" t="s">
        <v>73</v>
      </c>
      <c r="F5917" t="s">
        <v>106</v>
      </c>
      <c r="G5917">
        <v>30445</v>
      </c>
      <c r="H5917">
        <v>24356</v>
      </c>
      <c r="I5917" s="13">
        <v>0.5</v>
      </c>
      <c r="J5917" t="s">
        <v>6207</v>
      </c>
      <c r="K5917">
        <v>3</v>
      </c>
      <c r="L5917">
        <v>2</v>
      </c>
      <c r="M5917" t="s">
        <v>0</v>
      </c>
      <c r="N5917" s="3">
        <v>0.45</v>
      </c>
      <c r="O5917" s="3">
        <v>0.55000000000000004</v>
      </c>
      <c r="P5917">
        <v>18</v>
      </c>
      <c r="Q5917">
        <v>4</v>
      </c>
      <c r="R5917">
        <v>2</v>
      </c>
      <c r="S5917">
        <v>8</v>
      </c>
      <c r="T5917">
        <v>4</v>
      </c>
      <c r="U5917">
        <v>18</v>
      </c>
      <c r="V5917">
        <v>0</v>
      </c>
      <c r="W5917">
        <v>4</v>
      </c>
      <c r="X5917">
        <v>0</v>
      </c>
      <c r="Y5917">
        <v>0</v>
      </c>
      <c r="Z5917">
        <v>0</v>
      </c>
    </row>
    <row r="5918" spans="1:26" x14ac:dyDescent="0.2">
      <c r="A5918" t="s">
        <v>6036</v>
      </c>
      <c r="B5918" t="s">
        <v>97</v>
      </c>
      <c r="C5918">
        <v>2024</v>
      </c>
      <c r="D5918" t="s">
        <v>48</v>
      </c>
      <c r="E5918" t="s">
        <v>90</v>
      </c>
      <c r="F5918" t="s">
        <v>49</v>
      </c>
      <c r="G5918">
        <v>74197</v>
      </c>
      <c r="H5918">
        <v>59357.600000000006</v>
      </c>
      <c r="I5918" s="13">
        <v>0.66666666666666663</v>
      </c>
      <c r="J5918" t="s">
        <v>6207</v>
      </c>
      <c r="K5918">
        <v>1</v>
      </c>
      <c r="L5918">
        <v>3</v>
      </c>
      <c r="M5918" t="s">
        <v>1</v>
      </c>
      <c r="N5918" s="3">
        <v>0.51</v>
      </c>
      <c r="O5918" s="3">
        <v>0.49</v>
      </c>
      <c r="P5918">
        <v>12</v>
      </c>
      <c r="Q5918">
        <v>13</v>
      </c>
      <c r="R5918">
        <v>4</v>
      </c>
      <c r="S5918">
        <v>2</v>
      </c>
      <c r="T5918">
        <v>13</v>
      </c>
      <c r="U5918">
        <v>12</v>
      </c>
      <c r="V5918">
        <v>3</v>
      </c>
      <c r="W5918">
        <v>3</v>
      </c>
      <c r="X5918">
        <v>0</v>
      </c>
      <c r="Y5918">
        <v>0</v>
      </c>
      <c r="Z5918">
        <v>1</v>
      </c>
    </row>
    <row r="5919" spans="1:26" x14ac:dyDescent="0.2">
      <c r="A5919" t="s">
        <v>6037</v>
      </c>
      <c r="B5919" t="s">
        <v>100</v>
      </c>
      <c r="C5919">
        <v>2024</v>
      </c>
      <c r="D5919" t="s">
        <v>45</v>
      </c>
      <c r="E5919" t="s">
        <v>51</v>
      </c>
      <c r="F5919" t="s">
        <v>26</v>
      </c>
      <c r="G5919">
        <v>39572</v>
      </c>
      <c r="H5919">
        <v>31657.600000000002</v>
      </c>
      <c r="I5919" s="13">
        <v>0.66666666666666663</v>
      </c>
      <c r="J5919" t="s">
        <v>6207</v>
      </c>
      <c r="K5919">
        <v>3</v>
      </c>
      <c r="L5919">
        <v>2</v>
      </c>
      <c r="M5919" t="s">
        <v>0</v>
      </c>
      <c r="N5919" s="3">
        <v>0.36</v>
      </c>
      <c r="O5919" s="3">
        <v>0.64</v>
      </c>
      <c r="P5919">
        <v>14</v>
      </c>
      <c r="Q5919">
        <v>14</v>
      </c>
      <c r="R5919">
        <v>3</v>
      </c>
      <c r="S5919">
        <v>8</v>
      </c>
      <c r="T5919">
        <v>14</v>
      </c>
      <c r="U5919">
        <v>14</v>
      </c>
      <c r="V5919">
        <v>2</v>
      </c>
      <c r="W5919">
        <v>1</v>
      </c>
      <c r="X5919">
        <v>0</v>
      </c>
      <c r="Y5919">
        <v>0</v>
      </c>
      <c r="Z5919">
        <v>0</v>
      </c>
    </row>
    <row r="5920" spans="1:26" x14ac:dyDescent="0.2">
      <c r="A5920" t="s">
        <v>6038</v>
      </c>
      <c r="B5920" t="s">
        <v>111</v>
      </c>
      <c r="C5920">
        <v>2024</v>
      </c>
      <c r="D5920" t="s">
        <v>117</v>
      </c>
      <c r="E5920" t="s">
        <v>40</v>
      </c>
      <c r="F5920" t="s">
        <v>117</v>
      </c>
      <c r="G5920">
        <v>30056</v>
      </c>
      <c r="H5920">
        <v>24044.800000000003</v>
      </c>
      <c r="I5920" s="13">
        <v>1</v>
      </c>
      <c r="J5920" t="s">
        <v>6207</v>
      </c>
      <c r="K5920">
        <v>0</v>
      </c>
      <c r="L5920">
        <v>6</v>
      </c>
      <c r="M5920" t="s">
        <v>1</v>
      </c>
      <c r="N5920" s="3">
        <v>0.32</v>
      </c>
      <c r="O5920" s="3">
        <v>0.68</v>
      </c>
      <c r="P5920">
        <v>7</v>
      </c>
      <c r="Q5920">
        <v>4</v>
      </c>
      <c r="R5920">
        <v>4</v>
      </c>
      <c r="S5920">
        <v>7</v>
      </c>
      <c r="T5920">
        <v>4</v>
      </c>
      <c r="U5920">
        <v>7</v>
      </c>
      <c r="V5920">
        <v>0</v>
      </c>
      <c r="W5920">
        <v>1</v>
      </c>
      <c r="X5920">
        <v>0</v>
      </c>
      <c r="Y5920">
        <v>0</v>
      </c>
      <c r="Z5920">
        <v>0</v>
      </c>
    </row>
    <row r="5921" spans="1:26" x14ac:dyDescent="0.2">
      <c r="A5921" t="s">
        <v>6039</v>
      </c>
      <c r="B5921" t="s">
        <v>84</v>
      </c>
      <c r="C5921">
        <v>2024</v>
      </c>
      <c r="D5921" t="s">
        <v>18</v>
      </c>
      <c r="E5921" t="s">
        <v>22</v>
      </c>
      <c r="F5921" t="s">
        <v>20</v>
      </c>
      <c r="G5921">
        <v>40341</v>
      </c>
      <c r="H5921">
        <v>32272.800000000003</v>
      </c>
      <c r="I5921" s="13">
        <v>0.66666666666666663</v>
      </c>
      <c r="J5921" t="s">
        <v>6208</v>
      </c>
      <c r="K5921">
        <v>3</v>
      </c>
      <c r="L5921">
        <v>1</v>
      </c>
      <c r="M5921" t="s">
        <v>0</v>
      </c>
      <c r="N5921" s="3">
        <v>0.63</v>
      </c>
      <c r="O5921" s="3">
        <v>0.37</v>
      </c>
      <c r="P5921">
        <v>14</v>
      </c>
      <c r="Q5921">
        <v>8</v>
      </c>
      <c r="R5921">
        <v>3</v>
      </c>
      <c r="S5921">
        <v>6</v>
      </c>
      <c r="T5921">
        <v>8</v>
      </c>
      <c r="U5921">
        <v>14</v>
      </c>
      <c r="V5921">
        <v>4</v>
      </c>
      <c r="W5921">
        <v>2</v>
      </c>
      <c r="X5921">
        <v>0</v>
      </c>
      <c r="Y5921">
        <v>0</v>
      </c>
      <c r="Z5921">
        <v>0</v>
      </c>
    </row>
    <row r="5922" spans="1:26" x14ac:dyDescent="0.2">
      <c r="A5922" t="s">
        <v>6040</v>
      </c>
      <c r="B5922" t="s">
        <v>66</v>
      </c>
      <c r="C5922">
        <v>2024</v>
      </c>
      <c r="D5922" t="s">
        <v>22</v>
      </c>
      <c r="E5922" t="s">
        <v>46</v>
      </c>
      <c r="F5922" t="s">
        <v>24</v>
      </c>
      <c r="G5922">
        <v>31750</v>
      </c>
      <c r="H5922">
        <v>25400</v>
      </c>
      <c r="I5922" s="13">
        <v>0.5</v>
      </c>
      <c r="J5922" t="s">
        <v>6207</v>
      </c>
      <c r="K5922">
        <v>0</v>
      </c>
      <c r="L5922">
        <v>1</v>
      </c>
      <c r="M5922" t="s">
        <v>1</v>
      </c>
      <c r="N5922" s="3">
        <v>0.51</v>
      </c>
      <c r="O5922" s="3">
        <v>0.49</v>
      </c>
      <c r="P5922">
        <v>10</v>
      </c>
      <c r="Q5922">
        <v>20</v>
      </c>
      <c r="R5922">
        <v>1</v>
      </c>
      <c r="S5922">
        <v>5</v>
      </c>
      <c r="T5922">
        <v>20</v>
      </c>
      <c r="U5922">
        <v>10</v>
      </c>
      <c r="V5922">
        <v>1</v>
      </c>
      <c r="W5922">
        <v>1</v>
      </c>
      <c r="X5922">
        <v>1</v>
      </c>
      <c r="Y5922">
        <v>1</v>
      </c>
      <c r="Z5922">
        <v>0</v>
      </c>
    </row>
    <row r="5923" spans="1:26" x14ac:dyDescent="0.2">
      <c r="A5923" t="s">
        <v>6041</v>
      </c>
      <c r="B5923" t="s">
        <v>111</v>
      </c>
      <c r="C5923">
        <v>2024</v>
      </c>
      <c r="D5923" t="s">
        <v>73</v>
      </c>
      <c r="E5923" t="s">
        <v>64</v>
      </c>
      <c r="F5923" t="s">
        <v>73</v>
      </c>
      <c r="G5923">
        <v>32384</v>
      </c>
      <c r="H5923">
        <v>25907.200000000001</v>
      </c>
      <c r="I5923" s="13">
        <v>1</v>
      </c>
      <c r="J5923" t="s">
        <v>6207</v>
      </c>
      <c r="K5923">
        <v>1</v>
      </c>
      <c r="L5923">
        <v>3</v>
      </c>
      <c r="M5923" t="s">
        <v>1</v>
      </c>
      <c r="N5923" s="3">
        <v>0.52</v>
      </c>
      <c r="O5923" s="3">
        <v>0.48</v>
      </c>
      <c r="P5923">
        <v>5</v>
      </c>
      <c r="Q5923">
        <v>10</v>
      </c>
      <c r="R5923">
        <v>3</v>
      </c>
      <c r="S5923">
        <v>8</v>
      </c>
      <c r="T5923">
        <v>10</v>
      </c>
      <c r="U5923">
        <v>5</v>
      </c>
      <c r="V5923">
        <v>1</v>
      </c>
      <c r="W5923">
        <v>0</v>
      </c>
      <c r="X5923">
        <v>0</v>
      </c>
      <c r="Y5923">
        <v>0</v>
      </c>
      <c r="Z5923">
        <v>1</v>
      </c>
    </row>
    <row r="5924" spans="1:26" x14ac:dyDescent="0.2">
      <c r="A5924" t="s">
        <v>6042</v>
      </c>
      <c r="B5924" t="s">
        <v>103</v>
      </c>
      <c r="C5924">
        <v>2024</v>
      </c>
      <c r="D5924" t="s">
        <v>26</v>
      </c>
      <c r="E5924" t="s">
        <v>117</v>
      </c>
      <c r="F5924" t="s">
        <v>26</v>
      </c>
      <c r="G5924">
        <v>61276</v>
      </c>
      <c r="H5924">
        <v>49020.800000000003</v>
      </c>
      <c r="I5924" s="13">
        <v>0.5</v>
      </c>
      <c r="J5924" t="s">
        <v>6207</v>
      </c>
      <c r="K5924">
        <v>4</v>
      </c>
      <c r="L5924">
        <v>1</v>
      </c>
      <c r="M5924" t="s">
        <v>0</v>
      </c>
      <c r="N5924" s="3">
        <v>0.71</v>
      </c>
      <c r="O5924" s="3">
        <v>0.28999999999999998</v>
      </c>
      <c r="P5924">
        <v>11</v>
      </c>
      <c r="Q5924">
        <v>10</v>
      </c>
      <c r="R5924">
        <v>3</v>
      </c>
      <c r="S5924">
        <v>4</v>
      </c>
      <c r="T5924">
        <v>10</v>
      </c>
      <c r="U5924">
        <v>11</v>
      </c>
      <c r="V5924">
        <v>0</v>
      </c>
      <c r="W5924">
        <v>2</v>
      </c>
      <c r="X5924">
        <v>0</v>
      </c>
      <c r="Y5924">
        <v>0</v>
      </c>
      <c r="Z5924">
        <v>0</v>
      </c>
    </row>
    <row r="5925" spans="1:26" x14ac:dyDescent="0.2">
      <c r="A5925" t="s">
        <v>6043</v>
      </c>
      <c r="B5925" t="s">
        <v>98</v>
      </c>
      <c r="C5925">
        <v>2024</v>
      </c>
      <c r="D5925" t="s">
        <v>90</v>
      </c>
      <c r="E5925" t="s">
        <v>45</v>
      </c>
      <c r="F5925" t="s">
        <v>91</v>
      </c>
      <c r="G5925">
        <v>31876</v>
      </c>
      <c r="H5925">
        <v>25500.800000000003</v>
      </c>
      <c r="I5925" s="13">
        <v>0.875</v>
      </c>
      <c r="J5925" t="s">
        <v>6208</v>
      </c>
      <c r="K5925">
        <v>0</v>
      </c>
      <c r="L5925">
        <v>1</v>
      </c>
      <c r="M5925" t="s">
        <v>1</v>
      </c>
      <c r="N5925" s="3">
        <v>0.69</v>
      </c>
      <c r="O5925" s="3">
        <v>0.31</v>
      </c>
      <c r="P5925">
        <v>11</v>
      </c>
      <c r="Q5925">
        <v>8</v>
      </c>
      <c r="R5925">
        <v>9</v>
      </c>
      <c r="S5925">
        <v>1</v>
      </c>
      <c r="T5925">
        <v>8</v>
      </c>
      <c r="U5925">
        <v>11</v>
      </c>
      <c r="V5925">
        <v>4</v>
      </c>
      <c r="W5925">
        <v>4</v>
      </c>
      <c r="X5925">
        <v>0</v>
      </c>
      <c r="Y5925">
        <v>0</v>
      </c>
      <c r="Z5925">
        <v>1</v>
      </c>
    </row>
    <row r="5926" spans="1:26" x14ac:dyDescent="0.2">
      <c r="A5926" t="s">
        <v>6044</v>
      </c>
      <c r="B5926" t="s">
        <v>76</v>
      </c>
      <c r="C5926">
        <v>2024</v>
      </c>
      <c r="D5926" t="s">
        <v>86</v>
      </c>
      <c r="E5926" t="s">
        <v>94</v>
      </c>
      <c r="F5926" t="s">
        <v>86</v>
      </c>
      <c r="G5926">
        <v>11364</v>
      </c>
      <c r="H5926">
        <v>9091.2000000000007</v>
      </c>
      <c r="I5926" s="13">
        <v>0.6</v>
      </c>
      <c r="J5926" t="s">
        <v>6207</v>
      </c>
      <c r="K5926">
        <v>5</v>
      </c>
      <c r="L5926">
        <v>0</v>
      </c>
      <c r="M5926" t="s">
        <v>0</v>
      </c>
      <c r="N5926" s="3">
        <v>0.5</v>
      </c>
      <c r="O5926" s="3">
        <v>0.5</v>
      </c>
      <c r="P5926">
        <v>12</v>
      </c>
      <c r="Q5926">
        <v>9</v>
      </c>
      <c r="R5926">
        <v>3</v>
      </c>
      <c r="S5926">
        <v>9</v>
      </c>
      <c r="T5926">
        <v>9</v>
      </c>
      <c r="U5926">
        <v>12</v>
      </c>
      <c r="V5926">
        <v>2</v>
      </c>
      <c r="W5926">
        <v>3</v>
      </c>
      <c r="X5926">
        <v>0</v>
      </c>
      <c r="Y5926">
        <v>0</v>
      </c>
      <c r="Z5926">
        <v>0</v>
      </c>
    </row>
    <row r="5927" spans="1:26" x14ac:dyDescent="0.2">
      <c r="A5927" t="s">
        <v>6045</v>
      </c>
      <c r="B5927" t="s">
        <v>104</v>
      </c>
      <c r="C5927">
        <v>2024</v>
      </c>
      <c r="D5927" t="s">
        <v>40</v>
      </c>
      <c r="E5927" t="s">
        <v>18</v>
      </c>
      <c r="F5927" t="s">
        <v>49</v>
      </c>
      <c r="G5927">
        <v>53400</v>
      </c>
      <c r="H5927">
        <v>42720</v>
      </c>
      <c r="I5927" s="13">
        <v>0.8</v>
      </c>
      <c r="J5927" t="s">
        <v>6206</v>
      </c>
      <c r="K5927">
        <v>3</v>
      </c>
      <c r="L5927">
        <v>1</v>
      </c>
      <c r="M5927" t="s">
        <v>0</v>
      </c>
      <c r="N5927" s="3">
        <v>0.56999999999999995</v>
      </c>
      <c r="O5927" s="3">
        <v>0.43</v>
      </c>
      <c r="P5927">
        <v>8</v>
      </c>
      <c r="Q5927">
        <v>6</v>
      </c>
      <c r="R5927">
        <v>2</v>
      </c>
      <c r="S5927">
        <v>3</v>
      </c>
      <c r="T5927">
        <v>6</v>
      </c>
      <c r="U5927">
        <v>8</v>
      </c>
      <c r="V5927">
        <v>3</v>
      </c>
      <c r="W5927">
        <v>2</v>
      </c>
      <c r="X5927">
        <v>0</v>
      </c>
      <c r="Y5927">
        <v>0</v>
      </c>
      <c r="Z5927">
        <v>0</v>
      </c>
    </row>
    <row r="5928" spans="1:26" x14ac:dyDescent="0.2">
      <c r="A5928" t="s">
        <v>6046</v>
      </c>
      <c r="B5928" t="s">
        <v>99</v>
      </c>
      <c r="C5928">
        <v>2024</v>
      </c>
      <c r="D5928" t="s">
        <v>51</v>
      </c>
      <c r="E5928" t="s">
        <v>80</v>
      </c>
      <c r="F5928" t="s">
        <v>20</v>
      </c>
      <c r="G5928">
        <v>36284</v>
      </c>
      <c r="H5928">
        <v>29027.200000000001</v>
      </c>
      <c r="I5928" s="13">
        <v>0.66666666666666663</v>
      </c>
      <c r="J5928" t="s">
        <v>6207</v>
      </c>
      <c r="K5928">
        <v>1</v>
      </c>
      <c r="L5928">
        <v>2</v>
      </c>
      <c r="M5928" t="s">
        <v>1</v>
      </c>
      <c r="N5928" s="3">
        <v>0.6</v>
      </c>
      <c r="O5928" s="3">
        <v>0.4</v>
      </c>
      <c r="P5928">
        <v>16</v>
      </c>
      <c r="Q5928">
        <v>6</v>
      </c>
      <c r="R5928">
        <v>6</v>
      </c>
      <c r="S5928">
        <v>4</v>
      </c>
      <c r="T5928">
        <v>6</v>
      </c>
      <c r="U5928">
        <v>16</v>
      </c>
      <c r="V5928">
        <v>1</v>
      </c>
      <c r="W5928">
        <v>5</v>
      </c>
      <c r="X5928">
        <v>0</v>
      </c>
      <c r="Y5928">
        <v>0</v>
      </c>
      <c r="Z5928">
        <v>0</v>
      </c>
    </row>
    <row r="5929" spans="1:26" x14ac:dyDescent="0.2">
      <c r="A5929" t="s">
        <v>6047</v>
      </c>
      <c r="B5929" t="s">
        <v>105</v>
      </c>
      <c r="C5929">
        <v>2024</v>
      </c>
      <c r="D5929" t="s">
        <v>79</v>
      </c>
      <c r="E5929" t="s">
        <v>101</v>
      </c>
      <c r="F5929" t="s">
        <v>20</v>
      </c>
      <c r="G5929">
        <v>25486</v>
      </c>
      <c r="H5929">
        <v>20388.800000000003</v>
      </c>
      <c r="I5929" s="13">
        <v>0.5</v>
      </c>
      <c r="J5929" t="s">
        <v>6207</v>
      </c>
      <c r="K5929">
        <v>1</v>
      </c>
      <c r="L5929">
        <v>2</v>
      </c>
      <c r="M5929" t="s">
        <v>1</v>
      </c>
      <c r="N5929" s="3">
        <v>0.47</v>
      </c>
      <c r="O5929" s="3">
        <v>0.53</v>
      </c>
      <c r="P5929">
        <v>11</v>
      </c>
      <c r="Q5929">
        <v>8</v>
      </c>
      <c r="R5929">
        <v>4</v>
      </c>
      <c r="S5929">
        <v>7</v>
      </c>
      <c r="T5929">
        <v>8</v>
      </c>
      <c r="U5929">
        <v>11</v>
      </c>
      <c r="V5929">
        <v>2</v>
      </c>
      <c r="W5929">
        <v>2</v>
      </c>
      <c r="X5929">
        <v>0</v>
      </c>
      <c r="Y5929">
        <v>0</v>
      </c>
      <c r="Z5929">
        <v>1</v>
      </c>
    </row>
    <row r="5930" spans="1:26" x14ac:dyDescent="0.2">
      <c r="A5930" t="s">
        <v>6048</v>
      </c>
      <c r="B5930" t="s">
        <v>97</v>
      </c>
      <c r="C5930">
        <v>2024</v>
      </c>
      <c r="D5930" t="s">
        <v>42</v>
      </c>
      <c r="E5930" t="s">
        <v>23</v>
      </c>
      <c r="F5930" t="s">
        <v>38</v>
      </c>
      <c r="G5930">
        <v>42918</v>
      </c>
      <c r="H5930">
        <v>34334.400000000001</v>
      </c>
      <c r="I5930" s="13">
        <v>0.6</v>
      </c>
      <c r="J5930" t="s">
        <v>6207</v>
      </c>
      <c r="K5930">
        <v>1</v>
      </c>
      <c r="L5930">
        <v>1</v>
      </c>
      <c r="M5930" t="s">
        <v>58</v>
      </c>
      <c r="N5930" s="3">
        <v>0.45</v>
      </c>
      <c r="O5930" s="3">
        <v>0.55000000000000004</v>
      </c>
      <c r="P5930">
        <v>16</v>
      </c>
      <c r="Q5930">
        <v>13</v>
      </c>
      <c r="R5930">
        <v>4</v>
      </c>
      <c r="S5930">
        <v>3</v>
      </c>
      <c r="T5930">
        <v>13</v>
      </c>
      <c r="U5930">
        <v>16</v>
      </c>
      <c r="V5930">
        <v>2</v>
      </c>
      <c r="W5930">
        <v>3</v>
      </c>
      <c r="X5930">
        <v>0</v>
      </c>
      <c r="Y5930">
        <v>0</v>
      </c>
      <c r="Z5930">
        <v>0</v>
      </c>
    </row>
    <row r="5931" spans="1:26" x14ac:dyDescent="0.2">
      <c r="A5931" t="s">
        <v>6049</v>
      </c>
      <c r="B5931" t="s">
        <v>61</v>
      </c>
      <c r="C5931">
        <v>2024</v>
      </c>
      <c r="D5931" t="s">
        <v>31</v>
      </c>
      <c r="E5931" t="s">
        <v>48</v>
      </c>
      <c r="F5931" t="s">
        <v>20</v>
      </c>
      <c r="G5931">
        <v>28500</v>
      </c>
      <c r="H5931">
        <v>22800</v>
      </c>
      <c r="I5931" s="13">
        <v>1</v>
      </c>
      <c r="J5931" t="s">
        <v>6207</v>
      </c>
      <c r="K5931">
        <v>0</v>
      </c>
      <c r="L5931">
        <v>1</v>
      </c>
      <c r="M5931" t="s">
        <v>1</v>
      </c>
      <c r="N5931" s="3">
        <v>0.51</v>
      </c>
      <c r="O5931" s="3">
        <v>0.49</v>
      </c>
      <c r="P5931">
        <v>9</v>
      </c>
      <c r="Q5931">
        <v>7</v>
      </c>
      <c r="R5931">
        <v>3</v>
      </c>
      <c r="S5931">
        <v>0</v>
      </c>
      <c r="T5931">
        <v>7</v>
      </c>
      <c r="U5931">
        <v>9</v>
      </c>
      <c r="V5931">
        <v>0</v>
      </c>
      <c r="W5931">
        <v>1</v>
      </c>
      <c r="X5931">
        <v>0</v>
      </c>
      <c r="Y5931">
        <v>0</v>
      </c>
      <c r="Z5931">
        <v>0</v>
      </c>
    </row>
    <row r="5932" spans="1:26" x14ac:dyDescent="0.2">
      <c r="A5932" t="s">
        <v>6050</v>
      </c>
      <c r="B5932" t="s">
        <v>84</v>
      </c>
      <c r="C5932">
        <v>2024</v>
      </c>
      <c r="D5932" t="s">
        <v>94</v>
      </c>
      <c r="E5932" t="s">
        <v>90</v>
      </c>
      <c r="F5932" t="s">
        <v>106</v>
      </c>
      <c r="G5932">
        <v>30445</v>
      </c>
      <c r="H5932">
        <v>24356</v>
      </c>
      <c r="I5932" s="13">
        <v>0.4</v>
      </c>
      <c r="J5932" t="s">
        <v>6208</v>
      </c>
      <c r="K5932">
        <v>7</v>
      </c>
      <c r="L5932">
        <v>0</v>
      </c>
      <c r="M5932" t="s">
        <v>0</v>
      </c>
      <c r="N5932" s="3">
        <v>0.37</v>
      </c>
      <c r="O5932" s="3">
        <v>0.63</v>
      </c>
      <c r="P5932">
        <v>13</v>
      </c>
      <c r="Q5932">
        <v>8</v>
      </c>
      <c r="R5932">
        <v>4</v>
      </c>
      <c r="S5932">
        <v>6</v>
      </c>
      <c r="T5932">
        <v>8</v>
      </c>
      <c r="U5932">
        <v>13</v>
      </c>
      <c r="V5932">
        <v>1</v>
      </c>
      <c r="W5932">
        <v>4</v>
      </c>
      <c r="X5932">
        <v>0</v>
      </c>
      <c r="Y5932">
        <v>0</v>
      </c>
      <c r="Z5932">
        <v>1</v>
      </c>
    </row>
    <row r="5933" spans="1:26" x14ac:dyDescent="0.2">
      <c r="A5933" t="s">
        <v>6051</v>
      </c>
      <c r="B5933" t="s">
        <v>88</v>
      </c>
      <c r="C5933">
        <v>2024</v>
      </c>
      <c r="D5933" t="s">
        <v>64</v>
      </c>
      <c r="E5933" t="s">
        <v>31</v>
      </c>
      <c r="F5933" t="s">
        <v>64</v>
      </c>
      <c r="G5933">
        <v>52264</v>
      </c>
      <c r="H5933">
        <v>41811.200000000004</v>
      </c>
      <c r="I5933" s="13">
        <v>0.75</v>
      </c>
      <c r="J5933" t="s">
        <v>6207</v>
      </c>
      <c r="K5933">
        <v>1</v>
      </c>
      <c r="L5933">
        <v>2</v>
      </c>
      <c r="M5933" t="s">
        <v>1</v>
      </c>
      <c r="N5933" s="3">
        <v>0.47</v>
      </c>
      <c r="O5933" s="3">
        <v>0.53</v>
      </c>
      <c r="P5933">
        <v>15</v>
      </c>
      <c r="Q5933">
        <v>10</v>
      </c>
      <c r="R5933">
        <v>3</v>
      </c>
      <c r="S5933">
        <v>7</v>
      </c>
      <c r="T5933">
        <v>10</v>
      </c>
      <c r="U5933">
        <v>15</v>
      </c>
      <c r="V5933">
        <v>4</v>
      </c>
      <c r="W5933">
        <v>4</v>
      </c>
      <c r="X5933">
        <v>0</v>
      </c>
      <c r="Y5933">
        <v>0</v>
      </c>
      <c r="Z5933">
        <v>0</v>
      </c>
    </row>
    <row r="5934" spans="1:26" x14ac:dyDescent="0.2">
      <c r="A5934" t="s">
        <v>6052</v>
      </c>
      <c r="B5934" t="s">
        <v>66</v>
      </c>
      <c r="C5934">
        <v>2024</v>
      </c>
      <c r="D5934" t="s">
        <v>117</v>
      </c>
      <c r="E5934" t="s">
        <v>73</v>
      </c>
      <c r="F5934" t="s">
        <v>117</v>
      </c>
      <c r="G5934">
        <v>30056</v>
      </c>
      <c r="H5934">
        <v>24044.800000000003</v>
      </c>
      <c r="I5934" s="13">
        <v>1</v>
      </c>
      <c r="J5934" t="s">
        <v>6207</v>
      </c>
      <c r="K5934">
        <v>1</v>
      </c>
      <c r="L5934">
        <v>2</v>
      </c>
      <c r="M5934" t="s">
        <v>1</v>
      </c>
      <c r="N5934" s="3">
        <v>0.56999999999999995</v>
      </c>
      <c r="O5934" s="3">
        <v>0.43</v>
      </c>
      <c r="P5934">
        <v>14</v>
      </c>
      <c r="Q5934">
        <v>11</v>
      </c>
      <c r="R5934">
        <v>1</v>
      </c>
      <c r="S5934">
        <v>2</v>
      </c>
      <c r="T5934">
        <v>11</v>
      </c>
      <c r="U5934">
        <v>14</v>
      </c>
      <c r="V5934">
        <v>0</v>
      </c>
      <c r="W5934">
        <v>3</v>
      </c>
      <c r="X5934">
        <v>0</v>
      </c>
      <c r="Y5934">
        <v>0</v>
      </c>
      <c r="Z5934">
        <v>0</v>
      </c>
    </row>
    <row r="5935" spans="1:26" x14ac:dyDescent="0.2">
      <c r="A5935" t="s">
        <v>6053</v>
      </c>
      <c r="B5935" t="s">
        <v>108</v>
      </c>
      <c r="C5935">
        <v>2024</v>
      </c>
      <c r="D5935" t="s">
        <v>45</v>
      </c>
      <c r="E5935" t="s">
        <v>80</v>
      </c>
      <c r="F5935" t="s">
        <v>26</v>
      </c>
      <c r="G5935">
        <v>39572</v>
      </c>
      <c r="H5935">
        <v>31657.600000000002</v>
      </c>
      <c r="I5935" s="13">
        <v>0</v>
      </c>
      <c r="J5935" t="s">
        <v>6207</v>
      </c>
      <c r="K5935">
        <v>4</v>
      </c>
      <c r="L5935">
        <v>0</v>
      </c>
      <c r="M5935" t="s">
        <v>0</v>
      </c>
      <c r="N5935" s="3">
        <v>0.47</v>
      </c>
      <c r="O5935" s="3">
        <v>0.53</v>
      </c>
      <c r="P5935">
        <v>13</v>
      </c>
      <c r="Q5935">
        <v>7</v>
      </c>
      <c r="R5935">
        <v>5</v>
      </c>
      <c r="S5935">
        <v>6</v>
      </c>
      <c r="T5935">
        <v>7</v>
      </c>
      <c r="U5935">
        <v>13</v>
      </c>
      <c r="V5935">
        <v>0</v>
      </c>
      <c r="W5935">
        <v>0</v>
      </c>
      <c r="X5935">
        <v>0</v>
      </c>
      <c r="Y5935">
        <v>0</v>
      </c>
      <c r="Z5935">
        <v>0</v>
      </c>
    </row>
    <row r="5936" spans="1:26" x14ac:dyDescent="0.2">
      <c r="A5936" t="s">
        <v>6054</v>
      </c>
      <c r="B5936" t="s">
        <v>100</v>
      </c>
      <c r="C5936">
        <v>2024</v>
      </c>
      <c r="D5936" t="s">
        <v>86</v>
      </c>
      <c r="E5936" t="s">
        <v>26</v>
      </c>
      <c r="F5936" t="s">
        <v>86</v>
      </c>
      <c r="G5936">
        <v>11364</v>
      </c>
      <c r="H5936">
        <v>9091.2000000000007</v>
      </c>
      <c r="I5936" s="13">
        <v>0.5</v>
      </c>
      <c r="J5936" t="s">
        <v>6207</v>
      </c>
      <c r="K5936">
        <v>0</v>
      </c>
      <c r="L5936">
        <v>2</v>
      </c>
      <c r="M5936" t="s">
        <v>1</v>
      </c>
      <c r="N5936" s="3">
        <v>0.49</v>
      </c>
      <c r="O5936" s="3">
        <v>0.51</v>
      </c>
      <c r="P5936">
        <v>9</v>
      </c>
      <c r="Q5936">
        <v>15</v>
      </c>
      <c r="R5936">
        <v>3</v>
      </c>
      <c r="S5936">
        <v>3</v>
      </c>
      <c r="T5936">
        <v>15</v>
      </c>
      <c r="U5936">
        <v>9</v>
      </c>
      <c r="V5936">
        <v>3</v>
      </c>
      <c r="W5936">
        <v>3</v>
      </c>
      <c r="X5936">
        <v>0</v>
      </c>
      <c r="Y5936">
        <v>0</v>
      </c>
      <c r="Z5936">
        <v>1</v>
      </c>
    </row>
    <row r="5937" spans="1:26" x14ac:dyDescent="0.2">
      <c r="A5937" t="s">
        <v>6055</v>
      </c>
      <c r="B5937" t="s">
        <v>92</v>
      </c>
      <c r="C5937">
        <v>2024</v>
      </c>
      <c r="D5937" t="s">
        <v>22</v>
      </c>
      <c r="E5937" t="s">
        <v>42</v>
      </c>
      <c r="F5937" t="s">
        <v>24</v>
      </c>
      <c r="G5937">
        <v>31750</v>
      </c>
      <c r="H5937">
        <v>25400</v>
      </c>
      <c r="I5937" s="13">
        <v>0.5</v>
      </c>
      <c r="J5937" t="s">
        <v>6207</v>
      </c>
      <c r="K5937">
        <v>2</v>
      </c>
      <c r="L5937">
        <v>0</v>
      </c>
      <c r="M5937" t="s">
        <v>0</v>
      </c>
      <c r="N5937" s="3">
        <v>0.32</v>
      </c>
      <c r="O5937" s="3">
        <v>0.68</v>
      </c>
      <c r="P5937">
        <v>13</v>
      </c>
      <c r="Q5937">
        <v>20</v>
      </c>
      <c r="R5937">
        <v>5</v>
      </c>
      <c r="S5937">
        <v>8</v>
      </c>
      <c r="T5937">
        <v>20</v>
      </c>
      <c r="U5937">
        <v>13</v>
      </c>
      <c r="V5937">
        <v>3</v>
      </c>
      <c r="W5937">
        <v>3</v>
      </c>
      <c r="X5937">
        <v>0</v>
      </c>
      <c r="Y5937">
        <v>0</v>
      </c>
      <c r="Z5937">
        <v>0</v>
      </c>
    </row>
    <row r="5938" spans="1:26" x14ac:dyDescent="0.2">
      <c r="A5938" t="s">
        <v>6056</v>
      </c>
      <c r="B5938" t="s">
        <v>104</v>
      </c>
      <c r="C5938">
        <v>2024</v>
      </c>
      <c r="D5938" t="s">
        <v>48</v>
      </c>
      <c r="E5938" t="s">
        <v>79</v>
      </c>
      <c r="F5938" t="s">
        <v>49</v>
      </c>
      <c r="G5938">
        <v>74197</v>
      </c>
      <c r="H5938">
        <v>59357.600000000006</v>
      </c>
      <c r="I5938" s="13">
        <v>0.5</v>
      </c>
      <c r="J5938" t="s">
        <v>6206</v>
      </c>
      <c r="K5938">
        <v>0</v>
      </c>
      <c r="L5938">
        <v>2</v>
      </c>
      <c r="M5938" t="s">
        <v>1</v>
      </c>
      <c r="N5938" s="3">
        <v>0.66</v>
      </c>
      <c r="O5938" s="3">
        <v>0.34</v>
      </c>
      <c r="P5938">
        <v>13</v>
      </c>
      <c r="Q5938">
        <v>12</v>
      </c>
      <c r="R5938">
        <v>11</v>
      </c>
      <c r="S5938">
        <v>0</v>
      </c>
      <c r="T5938">
        <v>12</v>
      </c>
      <c r="U5938">
        <v>13</v>
      </c>
      <c r="V5938">
        <v>3</v>
      </c>
      <c r="W5938">
        <v>1</v>
      </c>
      <c r="X5938">
        <v>0</v>
      </c>
      <c r="Y5938">
        <v>0</v>
      </c>
      <c r="Z5938">
        <v>0</v>
      </c>
    </row>
    <row r="5939" spans="1:26" x14ac:dyDescent="0.2">
      <c r="A5939" t="s">
        <v>6057</v>
      </c>
      <c r="B5939" t="s">
        <v>102</v>
      </c>
      <c r="C5939">
        <v>2024</v>
      </c>
      <c r="D5939" t="s">
        <v>101</v>
      </c>
      <c r="E5939" t="s">
        <v>51</v>
      </c>
      <c r="F5939" t="s">
        <v>101</v>
      </c>
      <c r="G5939">
        <v>17250</v>
      </c>
      <c r="H5939">
        <v>13800</v>
      </c>
      <c r="I5939" s="13">
        <v>0</v>
      </c>
      <c r="J5939" t="s">
        <v>6209</v>
      </c>
      <c r="K5939">
        <v>0</v>
      </c>
      <c r="L5939">
        <v>2</v>
      </c>
      <c r="M5939" t="s">
        <v>1</v>
      </c>
      <c r="N5939" s="3">
        <v>0.54</v>
      </c>
      <c r="O5939" s="3">
        <v>0.46</v>
      </c>
      <c r="P5939">
        <v>11</v>
      </c>
      <c r="Q5939">
        <v>4</v>
      </c>
      <c r="R5939">
        <v>10</v>
      </c>
      <c r="S5939">
        <v>3</v>
      </c>
      <c r="T5939">
        <v>4</v>
      </c>
      <c r="U5939">
        <v>11</v>
      </c>
      <c r="V5939">
        <v>0</v>
      </c>
      <c r="W5939">
        <v>1</v>
      </c>
      <c r="X5939">
        <v>0</v>
      </c>
      <c r="Y5939">
        <v>0</v>
      </c>
      <c r="Z5939">
        <v>0</v>
      </c>
    </row>
    <row r="5940" spans="1:26" x14ac:dyDescent="0.2">
      <c r="A5940" t="s">
        <v>6058</v>
      </c>
      <c r="B5940" t="s">
        <v>97</v>
      </c>
      <c r="C5940">
        <v>2024</v>
      </c>
      <c r="D5940" t="s">
        <v>46</v>
      </c>
      <c r="E5940" t="s">
        <v>40</v>
      </c>
      <c r="F5940" t="s">
        <v>20</v>
      </c>
      <c r="G5940">
        <v>60704</v>
      </c>
      <c r="H5940">
        <v>48563.200000000004</v>
      </c>
      <c r="I5940" s="13">
        <v>1</v>
      </c>
      <c r="J5940" t="s">
        <v>6207</v>
      </c>
      <c r="K5940">
        <v>5</v>
      </c>
      <c r="L5940">
        <v>1</v>
      </c>
      <c r="M5940" t="s">
        <v>0</v>
      </c>
      <c r="N5940" s="3">
        <v>0.46</v>
      </c>
      <c r="O5940" s="3">
        <v>0.54</v>
      </c>
      <c r="P5940">
        <v>7</v>
      </c>
      <c r="Q5940">
        <v>6</v>
      </c>
      <c r="R5940">
        <v>5</v>
      </c>
      <c r="S5940">
        <v>2</v>
      </c>
      <c r="T5940">
        <v>6</v>
      </c>
      <c r="U5940">
        <v>7</v>
      </c>
      <c r="V5940">
        <v>2</v>
      </c>
      <c r="W5940">
        <v>0</v>
      </c>
      <c r="X5940">
        <v>0</v>
      </c>
      <c r="Y5940">
        <v>0</v>
      </c>
      <c r="Z5940">
        <v>0</v>
      </c>
    </row>
    <row r="5941" spans="1:26" x14ac:dyDescent="0.2">
      <c r="A5941" t="s">
        <v>6059</v>
      </c>
      <c r="B5941" t="s">
        <v>59</v>
      </c>
      <c r="C5941">
        <v>2024</v>
      </c>
      <c r="D5941" t="s">
        <v>18</v>
      </c>
      <c r="E5941" t="s">
        <v>23</v>
      </c>
      <c r="F5941" t="s">
        <v>20</v>
      </c>
      <c r="G5941">
        <v>40341</v>
      </c>
      <c r="H5941">
        <v>32272.800000000003</v>
      </c>
      <c r="I5941" s="13">
        <v>0.25</v>
      </c>
      <c r="J5941" t="s">
        <v>6206</v>
      </c>
      <c r="K5941">
        <v>2</v>
      </c>
      <c r="L5941">
        <v>1</v>
      </c>
      <c r="M5941" t="s">
        <v>0</v>
      </c>
      <c r="N5941" s="3">
        <v>0.67</v>
      </c>
      <c r="O5941" s="3">
        <v>0.33</v>
      </c>
      <c r="P5941">
        <v>10</v>
      </c>
      <c r="Q5941">
        <v>11</v>
      </c>
      <c r="R5941">
        <v>4</v>
      </c>
      <c r="S5941">
        <v>3</v>
      </c>
      <c r="T5941">
        <v>11</v>
      </c>
      <c r="U5941">
        <v>10</v>
      </c>
      <c r="V5941">
        <v>3</v>
      </c>
      <c r="W5941">
        <v>1</v>
      </c>
      <c r="X5941">
        <v>0</v>
      </c>
      <c r="Y5941">
        <v>0</v>
      </c>
      <c r="Z5941">
        <v>0</v>
      </c>
    </row>
    <row r="5942" spans="1:26" x14ac:dyDescent="0.2">
      <c r="A5942" t="s">
        <v>6060</v>
      </c>
      <c r="B5942" t="s">
        <v>88</v>
      </c>
      <c r="C5942">
        <v>2024</v>
      </c>
      <c r="D5942" t="s">
        <v>90</v>
      </c>
      <c r="E5942" t="s">
        <v>18</v>
      </c>
      <c r="F5942" t="s">
        <v>91</v>
      </c>
      <c r="G5942">
        <v>31876</v>
      </c>
      <c r="H5942">
        <v>25500.800000000003</v>
      </c>
      <c r="I5942" s="13">
        <v>1</v>
      </c>
      <c r="J5942" t="s">
        <v>6207</v>
      </c>
      <c r="K5942">
        <v>3</v>
      </c>
      <c r="L5942">
        <v>0</v>
      </c>
      <c r="M5942" t="s">
        <v>0</v>
      </c>
      <c r="N5942" s="3">
        <v>0.3</v>
      </c>
      <c r="O5942" s="3">
        <v>0.7</v>
      </c>
      <c r="P5942">
        <v>15</v>
      </c>
      <c r="Q5942">
        <v>12</v>
      </c>
      <c r="R5942">
        <v>2</v>
      </c>
      <c r="S5942">
        <v>9</v>
      </c>
      <c r="T5942">
        <v>12</v>
      </c>
      <c r="U5942">
        <v>15</v>
      </c>
      <c r="V5942">
        <v>1</v>
      </c>
      <c r="W5942">
        <v>2</v>
      </c>
      <c r="X5942">
        <v>0</v>
      </c>
      <c r="Y5942">
        <v>0</v>
      </c>
      <c r="Z5942">
        <v>0</v>
      </c>
    </row>
    <row r="5943" spans="1:26" x14ac:dyDescent="0.2">
      <c r="A5943" t="s">
        <v>6061</v>
      </c>
      <c r="B5943" t="s">
        <v>111</v>
      </c>
      <c r="C5943">
        <v>2024</v>
      </c>
      <c r="D5943" t="s">
        <v>80</v>
      </c>
      <c r="E5943" t="s">
        <v>46</v>
      </c>
      <c r="F5943" t="s">
        <v>80</v>
      </c>
      <c r="G5943">
        <v>32261</v>
      </c>
      <c r="H5943">
        <v>25808.800000000003</v>
      </c>
      <c r="I5943" s="13">
        <v>1</v>
      </c>
      <c r="J5943" t="s">
        <v>6207</v>
      </c>
      <c r="K5943">
        <v>0</v>
      </c>
      <c r="L5943">
        <v>2</v>
      </c>
      <c r="M5943" t="s">
        <v>1</v>
      </c>
      <c r="N5943" s="3">
        <v>0.39</v>
      </c>
      <c r="O5943" s="3">
        <v>0.61</v>
      </c>
      <c r="P5943">
        <v>10</v>
      </c>
      <c r="Q5943">
        <v>9</v>
      </c>
      <c r="R5943">
        <v>3</v>
      </c>
      <c r="S5943">
        <v>7</v>
      </c>
      <c r="T5943">
        <v>9</v>
      </c>
      <c r="U5943">
        <v>10</v>
      </c>
      <c r="V5943">
        <v>2</v>
      </c>
      <c r="W5943">
        <v>1</v>
      </c>
      <c r="X5943">
        <v>0</v>
      </c>
      <c r="Y5943">
        <v>0</v>
      </c>
      <c r="Z5943">
        <v>0</v>
      </c>
    </row>
    <row r="5944" spans="1:26" x14ac:dyDescent="0.2">
      <c r="A5944" t="s">
        <v>6062</v>
      </c>
      <c r="B5944" t="s">
        <v>100</v>
      </c>
      <c r="C5944">
        <v>2024</v>
      </c>
      <c r="D5944" t="s">
        <v>23</v>
      </c>
      <c r="E5944" t="s">
        <v>101</v>
      </c>
      <c r="F5944" t="s">
        <v>20</v>
      </c>
      <c r="G5944">
        <v>62500</v>
      </c>
      <c r="H5944">
        <v>50000</v>
      </c>
      <c r="I5944" s="13">
        <v>1</v>
      </c>
      <c r="J5944" t="s">
        <v>6207</v>
      </c>
      <c r="K5944">
        <v>0</v>
      </c>
      <c r="L5944">
        <v>1</v>
      </c>
      <c r="M5944" t="s">
        <v>1</v>
      </c>
      <c r="N5944" s="3">
        <v>0.59</v>
      </c>
      <c r="O5944" s="3">
        <v>0.41</v>
      </c>
      <c r="P5944">
        <v>13</v>
      </c>
      <c r="Q5944">
        <v>10</v>
      </c>
      <c r="R5944">
        <v>9</v>
      </c>
      <c r="S5944">
        <v>2</v>
      </c>
      <c r="T5944">
        <v>10</v>
      </c>
      <c r="U5944">
        <v>13</v>
      </c>
      <c r="V5944">
        <v>1</v>
      </c>
      <c r="W5944">
        <v>1</v>
      </c>
      <c r="X5944">
        <v>0</v>
      </c>
      <c r="Y5944">
        <v>0</v>
      </c>
      <c r="Z5944">
        <v>0</v>
      </c>
    </row>
    <row r="5945" spans="1:26" x14ac:dyDescent="0.2">
      <c r="A5945" t="s">
        <v>6063</v>
      </c>
      <c r="B5945" t="s">
        <v>102</v>
      </c>
      <c r="C5945">
        <v>2024</v>
      </c>
      <c r="D5945" t="s">
        <v>73</v>
      </c>
      <c r="E5945" t="s">
        <v>86</v>
      </c>
      <c r="F5945" t="s">
        <v>73</v>
      </c>
      <c r="G5945">
        <v>32384</v>
      </c>
      <c r="H5945">
        <v>25907.200000000001</v>
      </c>
      <c r="I5945" s="13">
        <v>0.5</v>
      </c>
      <c r="J5945" t="s">
        <v>6209</v>
      </c>
      <c r="K5945">
        <v>1</v>
      </c>
      <c r="L5945">
        <v>3</v>
      </c>
      <c r="M5945" t="s">
        <v>1</v>
      </c>
      <c r="N5945" s="3">
        <v>0.45</v>
      </c>
      <c r="O5945" s="3">
        <v>0.55000000000000004</v>
      </c>
      <c r="P5945">
        <v>15</v>
      </c>
      <c r="Q5945">
        <v>13</v>
      </c>
      <c r="R5945">
        <v>4</v>
      </c>
      <c r="S5945">
        <v>6</v>
      </c>
      <c r="T5945">
        <v>13</v>
      </c>
      <c r="U5945">
        <v>15</v>
      </c>
      <c r="V5945">
        <v>1</v>
      </c>
      <c r="W5945">
        <v>3</v>
      </c>
      <c r="X5945">
        <v>0</v>
      </c>
      <c r="Y5945">
        <v>0</v>
      </c>
      <c r="Z5945">
        <v>0</v>
      </c>
    </row>
    <row r="5946" spans="1:26" x14ac:dyDescent="0.2">
      <c r="A5946" t="s">
        <v>6064</v>
      </c>
      <c r="B5946" t="s">
        <v>92</v>
      </c>
      <c r="C5946">
        <v>2024</v>
      </c>
      <c r="D5946" t="s">
        <v>40</v>
      </c>
      <c r="E5946" t="s">
        <v>64</v>
      </c>
      <c r="F5946" t="s">
        <v>49</v>
      </c>
      <c r="G5946">
        <v>53400</v>
      </c>
      <c r="H5946">
        <v>42720</v>
      </c>
      <c r="I5946" s="13">
        <v>1</v>
      </c>
      <c r="J5946" t="s">
        <v>6207</v>
      </c>
      <c r="K5946">
        <v>4</v>
      </c>
      <c r="L5946">
        <v>0</v>
      </c>
      <c r="M5946" t="s">
        <v>0</v>
      </c>
      <c r="N5946" s="3">
        <v>0.62</v>
      </c>
      <c r="O5946" s="3">
        <v>0.38</v>
      </c>
      <c r="P5946">
        <v>13</v>
      </c>
      <c r="Q5946">
        <v>5</v>
      </c>
      <c r="R5946">
        <v>7</v>
      </c>
      <c r="S5946">
        <v>4</v>
      </c>
      <c r="T5946">
        <v>5</v>
      </c>
      <c r="U5946">
        <v>13</v>
      </c>
      <c r="V5946">
        <v>0</v>
      </c>
      <c r="W5946">
        <v>1</v>
      </c>
      <c r="X5946">
        <v>0</v>
      </c>
      <c r="Y5946">
        <v>0</v>
      </c>
      <c r="Z5946">
        <v>0</v>
      </c>
    </row>
    <row r="5947" spans="1:26" x14ac:dyDescent="0.2">
      <c r="A5947" t="s">
        <v>6065</v>
      </c>
      <c r="B5947" t="s">
        <v>107</v>
      </c>
      <c r="C5947">
        <v>2024</v>
      </c>
      <c r="D5947" t="s">
        <v>31</v>
      </c>
      <c r="E5947" t="s">
        <v>94</v>
      </c>
      <c r="F5947" t="s">
        <v>20</v>
      </c>
      <c r="G5947">
        <v>28500</v>
      </c>
      <c r="H5947">
        <v>22800</v>
      </c>
      <c r="I5947" s="13">
        <v>0</v>
      </c>
      <c r="J5947" t="s">
        <v>6207</v>
      </c>
      <c r="K5947">
        <v>2</v>
      </c>
      <c r="L5947">
        <v>1</v>
      </c>
      <c r="M5947" t="s">
        <v>0</v>
      </c>
      <c r="N5947" s="3">
        <v>0.56000000000000005</v>
      </c>
      <c r="O5947" s="3">
        <v>0.44</v>
      </c>
      <c r="P5947">
        <v>8</v>
      </c>
      <c r="Q5947">
        <v>13</v>
      </c>
      <c r="R5947">
        <v>8</v>
      </c>
      <c r="S5947">
        <v>4</v>
      </c>
      <c r="T5947">
        <v>13</v>
      </c>
      <c r="U5947">
        <v>8</v>
      </c>
      <c r="V5947">
        <v>0</v>
      </c>
      <c r="W5947">
        <v>0</v>
      </c>
      <c r="X5947">
        <v>0</v>
      </c>
      <c r="Y5947">
        <v>0</v>
      </c>
      <c r="Z5947">
        <v>0</v>
      </c>
    </row>
    <row r="5948" spans="1:26" x14ac:dyDescent="0.2">
      <c r="A5948" t="s">
        <v>6066</v>
      </c>
      <c r="B5948" t="s">
        <v>99</v>
      </c>
      <c r="C5948">
        <v>2024</v>
      </c>
      <c r="D5948" t="s">
        <v>42</v>
      </c>
      <c r="E5948" t="s">
        <v>117</v>
      </c>
      <c r="F5948" t="s">
        <v>38</v>
      </c>
      <c r="G5948">
        <v>42918</v>
      </c>
      <c r="H5948">
        <v>34334.400000000001</v>
      </c>
      <c r="I5948" s="13">
        <v>0.2</v>
      </c>
      <c r="J5948" t="s">
        <v>6207</v>
      </c>
      <c r="K5948">
        <v>1</v>
      </c>
      <c r="L5948">
        <v>1</v>
      </c>
      <c r="M5948" t="s">
        <v>58</v>
      </c>
      <c r="N5948" s="3">
        <v>0.75</v>
      </c>
      <c r="O5948" s="3">
        <v>0.25</v>
      </c>
      <c r="P5948">
        <v>11</v>
      </c>
      <c r="Q5948">
        <v>7</v>
      </c>
      <c r="R5948">
        <v>16</v>
      </c>
      <c r="S5948">
        <v>1</v>
      </c>
      <c r="T5948">
        <v>7</v>
      </c>
      <c r="U5948">
        <v>11</v>
      </c>
      <c r="V5948">
        <v>0</v>
      </c>
      <c r="W5948">
        <v>4</v>
      </c>
      <c r="X5948">
        <v>0</v>
      </c>
      <c r="Y5948">
        <v>1</v>
      </c>
      <c r="Z5948">
        <v>0</v>
      </c>
    </row>
    <row r="5949" spans="1:26" x14ac:dyDescent="0.2">
      <c r="A5949" t="s">
        <v>6067</v>
      </c>
      <c r="B5949" t="s">
        <v>61</v>
      </c>
      <c r="C5949">
        <v>2024</v>
      </c>
      <c r="D5949" t="s">
        <v>79</v>
      </c>
      <c r="E5949" t="s">
        <v>45</v>
      </c>
      <c r="F5949" t="s">
        <v>20</v>
      </c>
      <c r="G5949">
        <v>25486</v>
      </c>
      <c r="H5949">
        <v>20388.800000000003</v>
      </c>
      <c r="I5949" s="13">
        <v>0</v>
      </c>
      <c r="J5949" t="s">
        <v>6207</v>
      </c>
      <c r="K5949">
        <v>1</v>
      </c>
      <c r="L5949">
        <v>2</v>
      </c>
      <c r="M5949" t="s">
        <v>1</v>
      </c>
      <c r="N5949" s="3">
        <v>0.57999999999999996</v>
      </c>
      <c r="O5949" s="3">
        <v>0.42</v>
      </c>
      <c r="P5949">
        <v>12</v>
      </c>
      <c r="Q5949">
        <v>9</v>
      </c>
      <c r="R5949">
        <v>6</v>
      </c>
      <c r="S5949">
        <v>2</v>
      </c>
      <c r="T5949">
        <v>9</v>
      </c>
      <c r="U5949">
        <v>12</v>
      </c>
      <c r="V5949">
        <v>0</v>
      </c>
      <c r="W5949">
        <v>1</v>
      </c>
      <c r="X5949">
        <v>0</v>
      </c>
      <c r="Y5949">
        <v>0</v>
      </c>
      <c r="Z5949">
        <v>0</v>
      </c>
    </row>
    <row r="5950" spans="1:26" x14ac:dyDescent="0.2">
      <c r="A5950" t="s">
        <v>6068</v>
      </c>
      <c r="B5950" t="s">
        <v>84</v>
      </c>
      <c r="C5950">
        <v>2024</v>
      </c>
      <c r="D5950" t="s">
        <v>26</v>
      </c>
      <c r="E5950" t="s">
        <v>22</v>
      </c>
      <c r="F5950" t="s">
        <v>26</v>
      </c>
      <c r="G5950">
        <v>61276</v>
      </c>
      <c r="H5950">
        <v>49020.800000000003</v>
      </c>
      <c r="I5950" s="13">
        <v>0.6</v>
      </c>
      <c r="J5950" t="s">
        <v>6208</v>
      </c>
      <c r="K5950">
        <v>2</v>
      </c>
      <c r="L5950">
        <v>1</v>
      </c>
      <c r="M5950" t="s">
        <v>0</v>
      </c>
      <c r="N5950" s="3">
        <v>0.5</v>
      </c>
      <c r="O5950" s="3">
        <v>0.5</v>
      </c>
      <c r="P5950">
        <v>13</v>
      </c>
      <c r="Q5950">
        <v>15</v>
      </c>
      <c r="R5950">
        <v>4</v>
      </c>
      <c r="S5950">
        <v>3</v>
      </c>
      <c r="T5950">
        <v>15</v>
      </c>
      <c r="U5950">
        <v>13</v>
      </c>
      <c r="V5950">
        <v>2</v>
      </c>
      <c r="W5950">
        <v>3</v>
      </c>
      <c r="X5950">
        <v>0</v>
      </c>
      <c r="Y5950">
        <v>0</v>
      </c>
      <c r="Z5950">
        <v>1</v>
      </c>
    </row>
    <row r="5951" spans="1:26" x14ac:dyDescent="0.2">
      <c r="A5951" t="s">
        <v>6069</v>
      </c>
      <c r="B5951" t="s">
        <v>97</v>
      </c>
      <c r="C5951">
        <v>2024</v>
      </c>
      <c r="D5951" t="s">
        <v>51</v>
      </c>
      <c r="E5951" t="s">
        <v>48</v>
      </c>
      <c r="F5951" t="s">
        <v>20</v>
      </c>
      <c r="G5951">
        <v>36284</v>
      </c>
      <c r="H5951">
        <v>29027.200000000001</v>
      </c>
      <c r="I5951" s="13">
        <v>0.66666666666666663</v>
      </c>
      <c r="J5951" t="s">
        <v>6207</v>
      </c>
      <c r="K5951">
        <v>1</v>
      </c>
      <c r="L5951">
        <v>0</v>
      </c>
      <c r="M5951" t="s">
        <v>0</v>
      </c>
      <c r="N5951" s="3">
        <v>0.56999999999999995</v>
      </c>
      <c r="O5951" s="3">
        <v>0.43</v>
      </c>
      <c r="P5951">
        <v>9</v>
      </c>
      <c r="Q5951">
        <v>13</v>
      </c>
      <c r="R5951">
        <v>10</v>
      </c>
      <c r="S5951">
        <v>5</v>
      </c>
      <c r="T5951">
        <v>13</v>
      </c>
      <c r="U5951">
        <v>9</v>
      </c>
      <c r="V5951">
        <v>1</v>
      </c>
      <c r="W5951">
        <v>2</v>
      </c>
      <c r="X5951">
        <v>0</v>
      </c>
      <c r="Y5951">
        <v>0</v>
      </c>
      <c r="Z5951">
        <v>0</v>
      </c>
    </row>
    <row r="5952" spans="1:26" x14ac:dyDescent="0.2">
      <c r="A5952" t="s">
        <v>6070</v>
      </c>
      <c r="B5952" t="s">
        <v>105</v>
      </c>
      <c r="C5952">
        <v>2024</v>
      </c>
      <c r="D5952" t="s">
        <v>80</v>
      </c>
      <c r="E5952" t="s">
        <v>101</v>
      </c>
      <c r="F5952" t="s">
        <v>80</v>
      </c>
      <c r="G5952">
        <v>32261</v>
      </c>
      <c r="H5952">
        <v>25808.800000000003</v>
      </c>
      <c r="I5952" s="13">
        <v>1</v>
      </c>
      <c r="J5952" t="s">
        <v>6207</v>
      </c>
      <c r="K5952">
        <v>0</v>
      </c>
      <c r="L5952">
        <v>4</v>
      </c>
      <c r="M5952" t="s">
        <v>1</v>
      </c>
      <c r="N5952" s="3">
        <v>0.48</v>
      </c>
      <c r="O5952" s="3">
        <v>0.52</v>
      </c>
      <c r="P5952">
        <v>10</v>
      </c>
      <c r="Q5952">
        <v>10</v>
      </c>
      <c r="R5952">
        <v>5</v>
      </c>
      <c r="S5952">
        <v>6</v>
      </c>
      <c r="T5952">
        <v>10</v>
      </c>
      <c r="U5952">
        <v>10</v>
      </c>
      <c r="V5952">
        <v>4</v>
      </c>
      <c r="W5952">
        <v>0</v>
      </c>
      <c r="X5952">
        <v>0</v>
      </c>
      <c r="Y5952">
        <v>0</v>
      </c>
      <c r="Z5952">
        <v>0</v>
      </c>
    </row>
    <row r="5953" spans="1:26" x14ac:dyDescent="0.2">
      <c r="A5953" t="s">
        <v>6071</v>
      </c>
      <c r="B5953" t="s">
        <v>92</v>
      </c>
      <c r="C5953">
        <v>2024</v>
      </c>
      <c r="D5953" t="s">
        <v>45</v>
      </c>
      <c r="E5953" t="s">
        <v>48</v>
      </c>
      <c r="F5953" t="s">
        <v>26</v>
      </c>
      <c r="G5953">
        <v>39572</v>
      </c>
      <c r="H5953">
        <v>31657.600000000002</v>
      </c>
      <c r="I5953" s="13">
        <v>0.6</v>
      </c>
      <c r="J5953" t="s">
        <v>6207</v>
      </c>
      <c r="K5953">
        <v>2</v>
      </c>
      <c r="L5953">
        <v>2</v>
      </c>
      <c r="M5953" t="s">
        <v>58</v>
      </c>
      <c r="N5953" s="3">
        <v>0.38</v>
      </c>
      <c r="O5953" s="3">
        <v>0.62</v>
      </c>
      <c r="P5953">
        <v>9</v>
      </c>
      <c r="Q5953">
        <v>12</v>
      </c>
      <c r="R5953">
        <v>7</v>
      </c>
      <c r="S5953">
        <v>8</v>
      </c>
      <c r="T5953">
        <v>12</v>
      </c>
      <c r="U5953">
        <v>9</v>
      </c>
      <c r="V5953">
        <v>4</v>
      </c>
      <c r="W5953">
        <v>1</v>
      </c>
      <c r="X5953">
        <v>0</v>
      </c>
      <c r="Y5953">
        <v>0</v>
      </c>
      <c r="Z5953">
        <v>0</v>
      </c>
    </row>
    <row r="5954" spans="1:26" x14ac:dyDescent="0.2">
      <c r="A5954" t="s">
        <v>6072</v>
      </c>
      <c r="B5954" t="s">
        <v>108</v>
      </c>
      <c r="C5954">
        <v>2024</v>
      </c>
      <c r="D5954" t="s">
        <v>73</v>
      </c>
      <c r="E5954" t="s">
        <v>90</v>
      </c>
      <c r="F5954" t="s">
        <v>73</v>
      </c>
      <c r="G5954">
        <v>32384</v>
      </c>
      <c r="H5954">
        <v>25907.200000000001</v>
      </c>
      <c r="I5954" s="13">
        <v>0.5</v>
      </c>
      <c r="J5954" t="s">
        <v>6207</v>
      </c>
      <c r="K5954">
        <v>0</v>
      </c>
      <c r="L5954">
        <v>4</v>
      </c>
      <c r="M5954" t="s">
        <v>1</v>
      </c>
      <c r="N5954" s="3">
        <v>0.49</v>
      </c>
      <c r="O5954" s="3">
        <v>0.51</v>
      </c>
      <c r="P5954">
        <v>12</v>
      </c>
      <c r="Q5954">
        <v>11</v>
      </c>
      <c r="R5954">
        <v>5</v>
      </c>
      <c r="S5954">
        <v>6</v>
      </c>
      <c r="T5954">
        <v>11</v>
      </c>
      <c r="U5954">
        <v>12</v>
      </c>
      <c r="V5954">
        <v>2</v>
      </c>
      <c r="W5954">
        <v>0</v>
      </c>
      <c r="X5954">
        <v>0</v>
      </c>
      <c r="Y5954">
        <v>0</v>
      </c>
      <c r="Z5954">
        <v>0</v>
      </c>
    </row>
    <row r="5955" spans="1:26" x14ac:dyDescent="0.2">
      <c r="A5955" t="s">
        <v>6073</v>
      </c>
      <c r="B5955" t="s">
        <v>98</v>
      </c>
      <c r="C5955">
        <v>2024</v>
      </c>
      <c r="D5955" t="s">
        <v>117</v>
      </c>
      <c r="E5955" t="s">
        <v>51</v>
      </c>
      <c r="F5955" t="s">
        <v>117</v>
      </c>
      <c r="G5955">
        <v>30056</v>
      </c>
      <c r="H5955">
        <v>24044.800000000003</v>
      </c>
      <c r="I5955" s="13">
        <v>0</v>
      </c>
      <c r="J5955" t="s">
        <v>6208</v>
      </c>
      <c r="K5955">
        <v>1</v>
      </c>
      <c r="L5955">
        <v>4</v>
      </c>
      <c r="M5955" t="s">
        <v>1</v>
      </c>
      <c r="N5955" s="3">
        <v>0.41</v>
      </c>
      <c r="O5955" s="3">
        <v>0.59</v>
      </c>
      <c r="P5955">
        <v>14</v>
      </c>
      <c r="Q5955">
        <v>15</v>
      </c>
      <c r="R5955">
        <v>4</v>
      </c>
      <c r="S5955">
        <v>4</v>
      </c>
      <c r="T5955">
        <v>15</v>
      </c>
      <c r="U5955">
        <v>14</v>
      </c>
      <c r="V5955">
        <v>2</v>
      </c>
      <c r="W5955">
        <v>1</v>
      </c>
      <c r="X5955">
        <v>0</v>
      </c>
      <c r="Y5955">
        <v>0</v>
      </c>
      <c r="Z5955">
        <v>0</v>
      </c>
    </row>
    <row r="5956" spans="1:26" x14ac:dyDescent="0.2">
      <c r="A5956" t="s">
        <v>6074</v>
      </c>
      <c r="B5956" t="s">
        <v>99</v>
      </c>
      <c r="C5956">
        <v>2024</v>
      </c>
      <c r="D5956" t="s">
        <v>31</v>
      </c>
      <c r="E5956" t="s">
        <v>79</v>
      </c>
      <c r="F5956" t="s">
        <v>20</v>
      </c>
      <c r="G5956">
        <v>28500</v>
      </c>
      <c r="H5956">
        <v>22800</v>
      </c>
      <c r="I5956" s="13">
        <v>0.5</v>
      </c>
      <c r="J5956" t="s">
        <v>6207</v>
      </c>
      <c r="K5956">
        <v>0</v>
      </c>
      <c r="L5956">
        <v>2</v>
      </c>
      <c r="M5956" t="s">
        <v>1</v>
      </c>
      <c r="N5956" s="3">
        <v>0.62</v>
      </c>
      <c r="O5956" s="3">
        <v>0.38</v>
      </c>
      <c r="P5956">
        <v>7</v>
      </c>
      <c r="Q5956">
        <v>10</v>
      </c>
      <c r="R5956">
        <v>7</v>
      </c>
      <c r="S5956">
        <v>7</v>
      </c>
      <c r="T5956">
        <v>10</v>
      </c>
      <c r="U5956">
        <v>7</v>
      </c>
      <c r="V5956">
        <v>1</v>
      </c>
      <c r="W5956">
        <v>3</v>
      </c>
      <c r="X5956">
        <v>0</v>
      </c>
      <c r="Y5956">
        <v>0</v>
      </c>
      <c r="Z5956">
        <v>0</v>
      </c>
    </row>
    <row r="5957" spans="1:26" x14ac:dyDescent="0.2">
      <c r="A5957" t="s">
        <v>6075</v>
      </c>
      <c r="B5957" t="s">
        <v>103</v>
      </c>
      <c r="C5957">
        <v>2024</v>
      </c>
      <c r="D5957" t="s">
        <v>86</v>
      </c>
      <c r="E5957" t="s">
        <v>22</v>
      </c>
      <c r="F5957" t="s">
        <v>86</v>
      </c>
      <c r="G5957">
        <v>11364</v>
      </c>
      <c r="H5957">
        <v>9091.2000000000007</v>
      </c>
      <c r="I5957" s="13">
        <v>0.8571428571428571</v>
      </c>
      <c r="J5957" t="s">
        <v>6207</v>
      </c>
      <c r="K5957">
        <v>0</v>
      </c>
      <c r="L5957">
        <v>1</v>
      </c>
      <c r="M5957" t="s">
        <v>1</v>
      </c>
      <c r="N5957" s="3">
        <v>0.45</v>
      </c>
      <c r="O5957" s="3">
        <v>0.55000000000000004</v>
      </c>
      <c r="P5957">
        <v>9</v>
      </c>
      <c r="Q5957">
        <v>17</v>
      </c>
      <c r="R5957">
        <v>6</v>
      </c>
      <c r="S5957">
        <v>7</v>
      </c>
      <c r="T5957">
        <v>17</v>
      </c>
      <c r="U5957">
        <v>9</v>
      </c>
      <c r="V5957">
        <v>3</v>
      </c>
      <c r="W5957">
        <v>3</v>
      </c>
      <c r="X5957">
        <v>1</v>
      </c>
      <c r="Y5957">
        <v>0</v>
      </c>
      <c r="Z5957">
        <v>0</v>
      </c>
    </row>
    <row r="5958" spans="1:26" x14ac:dyDescent="0.2">
      <c r="A5958" t="s">
        <v>6076</v>
      </c>
      <c r="B5958" t="s">
        <v>76</v>
      </c>
      <c r="C5958">
        <v>2024</v>
      </c>
      <c r="D5958" t="s">
        <v>46</v>
      </c>
      <c r="E5958" t="s">
        <v>23</v>
      </c>
      <c r="F5958" t="s">
        <v>20</v>
      </c>
      <c r="G5958">
        <v>60704</v>
      </c>
      <c r="H5958">
        <v>48563.200000000004</v>
      </c>
      <c r="I5958" s="13">
        <v>0.4</v>
      </c>
      <c r="J5958" t="s">
        <v>6207</v>
      </c>
      <c r="K5958">
        <v>0</v>
      </c>
      <c r="L5958">
        <v>1</v>
      </c>
      <c r="M5958" t="s">
        <v>1</v>
      </c>
      <c r="N5958" s="3">
        <v>0.68</v>
      </c>
      <c r="O5958" s="3">
        <v>0.32</v>
      </c>
      <c r="P5958">
        <v>15</v>
      </c>
      <c r="Q5958">
        <v>15</v>
      </c>
      <c r="R5958">
        <v>2</v>
      </c>
      <c r="S5958">
        <v>0</v>
      </c>
      <c r="T5958">
        <v>15</v>
      </c>
      <c r="U5958">
        <v>15</v>
      </c>
      <c r="V5958">
        <v>1</v>
      </c>
      <c r="W5958">
        <v>3</v>
      </c>
      <c r="X5958">
        <v>1</v>
      </c>
      <c r="Y5958">
        <v>0</v>
      </c>
      <c r="Z5958">
        <v>0</v>
      </c>
    </row>
    <row r="5959" spans="1:26" x14ac:dyDescent="0.2">
      <c r="A5959" t="s">
        <v>6077</v>
      </c>
      <c r="B5959" t="s">
        <v>66</v>
      </c>
      <c r="C5959">
        <v>2024</v>
      </c>
      <c r="D5959" t="s">
        <v>42</v>
      </c>
      <c r="E5959" t="s">
        <v>18</v>
      </c>
      <c r="F5959" t="s">
        <v>38</v>
      </c>
      <c r="G5959">
        <v>42918</v>
      </c>
      <c r="H5959">
        <v>34334.400000000001</v>
      </c>
      <c r="I5959" s="13">
        <v>0.75</v>
      </c>
      <c r="J5959" t="s">
        <v>6207</v>
      </c>
      <c r="K5959">
        <v>2</v>
      </c>
      <c r="L5959">
        <v>1</v>
      </c>
      <c r="M5959" t="s">
        <v>0</v>
      </c>
      <c r="N5959" s="3">
        <v>0.52</v>
      </c>
      <c r="O5959" s="3">
        <v>0.48</v>
      </c>
      <c r="P5959">
        <v>16</v>
      </c>
      <c r="Q5959">
        <v>15</v>
      </c>
      <c r="R5959">
        <v>2</v>
      </c>
      <c r="S5959">
        <v>3</v>
      </c>
      <c r="T5959">
        <v>15</v>
      </c>
      <c r="U5959">
        <v>16</v>
      </c>
      <c r="V5959">
        <v>1</v>
      </c>
      <c r="W5959">
        <v>3</v>
      </c>
      <c r="X5959">
        <v>0</v>
      </c>
      <c r="Y5959">
        <v>0</v>
      </c>
      <c r="Z5959">
        <v>0</v>
      </c>
    </row>
    <row r="5960" spans="1:26" x14ac:dyDescent="0.2">
      <c r="A5960" t="s">
        <v>6078</v>
      </c>
      <c r="B5960" t="s">
        <v>102</v>
      </c>
      <c r="C5960">
        <v>2024</v>
      </c>
      <c r="D5960" t="s">
        <v>64</v>
      </c>
      <c r="E5960" t="s">
        <v>94</v>
      </c>
      <c r="F5960" t="s">
        <v>64</v>
      </c>
      <c r="G5960">
        <v>52264</v>
      </c>
      <c r="H5960">
        <v>41811.200000000004</v>
      </c>
      <c r="I5960" s="13">
        <v>0.4</v>
      </c>
      <c r="J5960" t="s">
        <v>6209</v>
      </c>
      <c r="K5960">
        <v>4</v>
      </c>
      <c r="L5960">
        <v>3</v>
      </c>
      <c r="M5960" t="s">
        <v>0</v>
      </c>
      <c r="N5960" s="3">
        <v>0.56999999999999995</v>
      </c>
      <c r="O5960" s="3">
        <v>0.43</v>
      </c>
      <c r="P5960">
        <v>13</v>
      </c>
      <c r="Q5960">
        <v>11</v>
      </c>
      <c r="R5960">
        <v>7</v>
      </c>
      <c r="S5960">
        <v>6</v>
      </c>
      <c r="T5960">
        <v>11</v>
      </c>
      <c r="U5960">
        <v>13</v>
      </c>
      <c r="V5960">
        <v>1</v>
      </c>
      <c r="W5960">
        <v>4</v>
      </c>
      <c r="X5960">
        <v>0</v>
      </c>
      <c r="Y5960">
        <v>0</v>
      </c>
      <c r="Z5960">
        <v>1</v>
      </c>
    </row>
    <row r="5961" spans="1:26" x14ac:dyDescent="0.2">
      <c r="A5961" t="s">
        <v>6079</v>
      </c>
      <c r="B5961" t="s">
        <v>61</v>
      </c>
      <c r="C5961">
        <v>2024</v>
      </c>
      <c r="D5961" t="s">
        <v>40</v>
      </c>
      <c r="E5961" t="s">
        <v>26</v>
      </c>
      <c r="F5961" t="s">
        <v>49</v>
      </c>
      <c r="G5961">
        <v>53400</v>
      </c>
      <c r="H5961">
        <v>42720</v>
      </c>
      <c r="I5961" s="13">
        <v>0</v>
      </c>
      <c r="J5961" t="s">
        <v>6207</v>
      </c>
      <c r="K5961">
        <v>0</v>
      </c>
      <c r="L5961">
        <v>2</v>
      </c>
      <c r="M5961" t="s">
        <v>1</v>
      </c>
      <c r="N5961" s="3">
        <v>0.66</v>
      </c>
      <c r="O5961" s="3">
        <v>0.34</v>
      </c>
      <c r="P5961">
        <v>10</v>
      </c>
      <c r="Q5961">
        <v>3</v>
      </c>
      <c r="R5961">
        <v>7</v>
      </c>
      <c r="S5961">
        <v>5</v>
      </c>
      <c r="T5961">
        <v>3</v>
      </c>
      <c r="U5961">
        <v>10</v>
      </c>
      <c r="V5961">
        <v>0</v>
      </c>
      <c r="W5961">
        <v>0</v>
      </c>
      <c r="X5961">
        <v>0</v>
      </c>
      <c r="Y5961">
        <v>0</v>
      </c>
      <c r="Z5961">
        <v>0</v>
      </c>
    </row>
    <row r="5962" spans="1:26" x14ac:dyDescent="0.2">
      <c r="A5962" t="s">
        <v>6080</v>
      </c>
      <c r="B5962" t="s">
        <v>97</v>
      </c>
      <c r="C5962">
        <v>2024</v>
      </c>
      <c r="D5962" t="s">
        <v>22</v>
      </c>
      <c r="E5962" t="s">
        <v>31</v>
      </c>
      <c r="F5962" t="s">
        <v>24</v>
      </c>
      <c r="G5962">
        <v>31750</v>
      </c>
      <c r="H5962">
        <v>25400</v>
      </c>
      <c r="I5962" s="13">
        <v>1</v>
      </c>
      <c r="J5962" t="s">
        <v>6207</v>
      </c>
      <c r="K5962">
        <v>1</v>
      </c>
      <c r="L5962">
        <v>2</v>
      </c>
      <c r="M5962" t="s">
        <v>1</v>
      </c>
      <c r="N5962" s="3">
        <v>0.6</v>
      </c>
      <c r="O5962" s="3">
        <v>0.4</v>
      </c>
      <c r="P5962">
        <v>15</v>
      </c>
      <c r="Q5962">
        <v>8</v>
      </c>
      <c r="R5962">
        <v>7</v>
      </c>
      <c r="S5962">
        <v>4</v>
      </c>
      <c r="T5962">
        <v>8</v>
      </c>
      <c r="U5962">
        <v>15</v>
      </c>
      <c r="V5962">
        <v>1</v>
      </c>
      <c r="W5962">
        <v>3</v>
      </c>
      <c r="X5962">
        <v>0</v>
      </c>
      <c r="Y5962">
        <v>0</v>
      </c>
      <c r="Z5962">
        <v>0</v>
      </c>
    </row>
    <row r="5963" spans="1:26" x14ac:dyDescent="0.2">
      <c r="A5963" t="s">
        <v>6081</v>
      </c>
      <c r="B5963" t="s">
        <v>111</v>
      </c>
      <c r="C5963">
        <v>2024</v>
      </c>
      <c r="D5963" t="s">
        <v>79</v>
      </c>
      <c r="E5963" t="s">
        <v>42</v>
      </c>
      <c r="F5963" t="s">
        <v>20</v>
      </c>
      <c r="G5963">
        <v>25486</v>
      </c>
      <c r="H5963">
        <v>20388.800000000003</v>
      </c>
      <c r="I5963" s="13">
        <v>0.75</v>
      </c>
      <c r="J5963" t="s">
        <v>6207</v>
      </c>
      <c r="K5963">
        <v>4</v>
      </c>
      <c r="L5963">
        <v>1</v>
      </c>
      <c r="M5963" t="s">
        <v>0</v>
      </c>
      <c r="N5963" s="3">
        <v>0.36</v>
      </c>
      <c r="O5963" s="3">
        <v>0.64</v>
      </c>
      <c r="P5963">
        <v>10</v>
      </c>
      <c r="Q5963">
        <v>19</v>
      </c>
      <c r="R5963">
        <v>3</v>
      </c>
      <c r="S5963">
        <v>8</v>
      </c>
      <c r="T5963">
        <v>19</v>
      </c>
      <c r="U5963">
        <v>10</v>
      </c>
      <c r="V5963">
        <v>3</v>
      </c>
      <c r="W5963">
        <v>1</v>
      </c>
      <c r="X5963">
        <v>0</v>
      </c>
      <c r="Y5963">
        <v>0</v>
      </c>
      <c r="Z5963">
        <v>0</v>
      </c>
    </row>
    <row r="5964" spans="1:26" x14ac:dyDescent="0.2">
      <c r="A5964" t="s">
        <v>6082</v>
      </c>
      <c r="B5964" t="s">
        <v>66</v>
      </c>
      <c r="C5964">
        <v>2024</v>
      </c>
      <c r="D5964" t="s">
        <v>90</v>
      </c>
      <c r="E5964" t="s">
        <v>86</v>
      </c>
      <c r="F5964" t="s">
        <v>91</v>
      </c>
      <c r="G5964">
        <v>31876</v>
      </c>
      <c r="H5964">
        <v>25500.800000000003</v>
      </c>
      <c r="I5964" s="13">
        <v>1</v>
      </c>
      <c r="J5964" t="s">
        <v>6207</v>
      </c>
      <c r="K5964">
        <v>2</v>
      </c>
      <c r="L5964">
        <v>1</v>
      </c>
      <c r="M5964" t="s">
        <v>0</v>
      </c>
      <c r="N5964" s="3">
        <v>0.43</v>
      </c>
      <c r="O5964" s="3">
        <v>0.56999999999999995</v>
      </c>
      <c r="P5964">
        <v>14</v>
      </c>
      <c r="Q5964">
        <v>12</v>
      </c>
      <c r="R5964">
        <v>1</v>
      </c>
      <c r="S5964">
        <v>9</v>
      </c>
      <c r="T5964">
        <v>12</v>
      </c>
      <c r="U5964">
        <v>14</v>
      </c>
      <c r="V5964">
        <v>2</v>
      </c>
      <c r="W5964">
        <v>1</v>
      </c>
      <c r="X5964">
        <v>0</v>
      </c>
      <c r="Y5964">
        <v>0</v>
      </c>
      <c r="Z5964">
        <v>1</v>
      </c>
    </row>
    <row r="5965" spans="1:26" x14ac:dyDescent="0.2">
      <c r="A5965" t="s">
        <v>6083</v>
      </c>
      <c r="B5965" t="s">
        <v>107</v>
      </c>
      <c r="C5965">
        <v>2024</v>
      </c>
      <c r="D5965" t="s">
        <v>18</v>
      </c>
      <c r="E5965" t="s">
        <v>73</v>
      </c>
      <c r="F5965" t="s">
        <v>20</v>
      </c>
      <c r="G5965">
        <v>40341</v>
      </c>
      <c r="H5965">
        <v>32272.800000000003</v>
      </c>
      <c r="I5965" s="13">
        <v>1</v>
      </c>
      <c r="J5965" t="s">
        <v>6207</v>
      </c>
      <c r="K5965">
        <v>4</v>
      </c>
      <c r="L5965">
        <v>0</v>
      </c>
      <c r="M5965" t="s">
        <v>0</v>
      </c>
      <c r="N5965" s="3">
        <v>0.6</v>
      </c>
      <c r="O5965" s="3">
        <v>0.4</v>
      </c>
      <c r="P5965">
        <v>9</v>
      </c>
      <c r="Q5965">
        <v>6</v>
      </c>
      <c r="R5965">
        <v>4</v>
      </c>
      <c r="S5965">
        <v>2</v>
      </c>
      <c r="T5965">
        <v>6</v>
      </c>
      <c r="U5965">
        <v>9</v>
      </c>
      <c r="V5965">
        <v>1</v>
      </c>
      <c r="W5965">
        <v>2</v>
      </c>
      <c r="X5965">
        <v>0</v>
      </c>
      <c r="Y5965">
        <v>0</v>
      </c>
      <c r="Z5965">
        <v>0</v>
      </c>
    </row>
    <row r="5966" spans="1:26" x14ac:dyDescent="0.2">
      <c r="A5966" t="s">
        <v>6084</v>
      </c>
      <c r="B5966" t="s">
        <v>102</v>
      </c>
      <c r="C5966">
        <v>2024</v>
      </c>
      <c r="D5966" t="s">
        <v>51</v>
      </c>
      <c r="E5966" t="s">
        <v>40</v>
      </c>
      <c r="F5966" t="s">
        <v>20</v>
      </c>
      <c r="G5966">
        <v>36284</v>
      </c>
      <c r="H5966">
        <v>29027.200000000001</v>
      </c>
      <c r="I5966" s="13">
        <v>0.66666666666666663</v>
      </c>
      <c r="J5966" t="s">
        <v>6209</v>
      </c>
      <c r="K5966">
        <v>0</v>
      </c>
      <c r="L5966">
        <v>1</v>
      </c>
      <c r="M5966" t="s">
        <v>1</v>
      </c>
      <c r="N5966" s="3">
        <v>0.55000000000000004</v>
      </c>
      <c r="O5966" s="3">
        <v>0.45</v>
      </c>
      <c r="P5966">
        <v>14</v>
      </c>
      <c r="Q5966">
        <v>12</v>
      </c>
      <c r="R5966">
        <v>8</v>
      </c>
      <c r="S5966">
        <v>3</v>
      </c>
      <c r="T5966">
        <v>12</v>
      </c>
      <c r="U5966">
        <v>14</v>
      </c>
      <c r="V5966">
        <v>3</v>
      </c>
      <c r="W5966">
        <v>0</v>
      </c>
      <c r="X5966">
        <v>0</v>
      </c>
      <c r="Y5966">
        <v>0</v>
      </c>
      <c r="Z5966">
        <v>0</v>
      </c>
    </row>
    <row r="5967" spans="1:26" x14ac:dyDescent="0.2">
      <c r="A5967" t="s">
        <v>6085</v>
      </c>
      <c r="B5967" t="s">
        <v>92</v>
      </c>
      <c r="C5967">
        <v>2024</v>
      </c>
      <c r="D5967" t="s">
        <v>94</v>
      </c>
      <c r="E5967" t="s">
        <v>46</v>
      </c>
      <c r="F5967" t="s">
        <v>106</v>
      </c>
      <c r="G5967">
        <v>30445</v>
      </c>
      <c r="H5967">
        <v>24356</v>
      </c>
      <c r="I5967" s="13">
        <v>1</v>
      </c>
      <c r="J5967" t="s">
        <v>6207</v>
      </c>
      <c r="K5967">
        <v>0</v>
      </c>
      <c r="L5967">
        <v>0</v>
      </c>
      <c r="M5967" t="s">
        <v>58</v>
      </c>
      <c r="N5967" s="3">
        <v>0.35</v>
      </c>
      <c r="O5967" s="3">
        <v>0.65</v>
      </c>
      <c r="P5967">
        <v>17</v>
      </c>
      <c r="Q5967">
        <v>10</v>
      </c>
      <c r="R5967">
        <v>3</v>
      </c>
      <c r="S5967">
        <v>11</v>
      </c>
      <c r="T5967">
        <v>10</v>
      </c>
      <c r="U5967">
        <v>17</v>
      </c>
      <c r="V5967">
        <v>1</v>
      </c>
      <c r="W5967">
        <v>1</v>
      </c>
      <c r="X5967">
        <v>0</v>
      </c>
      <c r="Y5967">
        <v>0</v>
      </c>
      <c r="Z5967">
        <v>0</v>
      </c>
    </row>
    <row r="5968" spans="1:26" x14ac:dyDescent="0.2">
      <c r="A5968" t="s">
        <v>6086</v>
      </c>
      <c r="B5968" t="s">
        <v>100</v>
      </c>
      <c r="C5968">
        <v>2024</v>
      </c>
      <c r="D5968" t="s">
        <v>48</v>
      </c>
      <c r="E5968" t="s">
        <v>117</v>
      </c>
      <c r="F5968" t="s">
        <v>49</v>
      </c>
      <c r="G5968">
        <v>74197</v>
      </c>
      <c r="H5968">
        <v>59357.600000000006</v>
      </c>
      <c r="I5968" s="13">
        <v>0.77777777777777779</v>
      </c>
      <c r="J5968" t="s">
        <v>6207</v>
      </c>
      <c r="K5968">
        <v>3</v>
      </c>
      <c r="L5968">
        <v>2</v>
      </c>
      <c r="M5968" t="s">
        <v>0</v>
      </c>
      <c r="N5968" s="3">
        <v>0.44</v>
      </c>
      <c r="O5968" s="3">
        <v>0.56000000000000005</v>
      </c>
      <c r="P5968">
        <v>16</v>
      </c>
      <c r="Q5968">
        <v>9</v>
      </c>
      <c r="R5968">
        <v>5</v>
      </c>
      <c r="S5968">
        <v>6</v>
      </c>
      <c r="T5968">
        <v>9</v>
      </c>
      <c r="U5968">
        <v>16</v>
      </c>
      <c r="V5968">
        <v>4</v>
      </c>
      <c r="W5968">
        <v>4</v>
      </c>
      <c r="X5968">
        <v>1</v>
      </c>
      <c r="Y5968">
        <v>0</v>
      </c>
      <c r="Z5968">
        <v>0</v>
      </c>
    </row>
    <row r="5969" spans="1:26" x14ac:dyDescent="0.2">
      <c r="A5969" t="s">
        <v>6087</v>
      </c>
      <c r="B5969" t="s">
        <v>84</v>
      </c>
      <c r="C5969">
        <v>2024</v>
      </c>
      <c r="D5969" t="s">
        <v>101</v>
      </c>
      <c r="E5969" t="s">
        <v>45</v>
      </c>
      <c r="F5969" t="s">
        <v>101</v>
      </c>
      <c r="G5969">
        <v>17250</v>
      </c>
      <c r="H5969">
        <v>13800</v>
      </c>
      <c r="I5969" s="13">
        <v>1</v>
      </c>
      <c r="J5969" t="s">
        <v>6208</v>
      </c>
      <c r="K5969">
        <v>1</v>
      </c>
      <c r="L5969">
        <v>1</v>
      </c>
      <c r="M5969" t="s">
        <v>58</v>
      </c>
      <c r="N5969" s="3">
        <v>0.52</v>
      </c>
      <c r="O5969" s="3">
        <v>0.48</v>
      </c>
      <c r="P5969">
        <v>6</v>
      </c>
      <c r="Q5969">
        <v>3</v>
      </c>
      <c r="R5969">
        <v>2</v>
      </c>
      <c r="S5969">
        <v>5</v>
      </c>
      <c r="T5969">
        <v>3</v>
      </c>
      <c r="U5969">
        <v>6</v>
      </c>
      <c r="V5969">
        <v>2</v>
      </c>
      <c r="W5969">
        <v>1</v>
      </c>
      <c r="X5969">
        <v>0</v>
      </c>
      <c r="Y5969">
        <v>0</v>
      </c>
      <c r="Z5969">
        <v>0</v>
      </c>
    </row>
    <row r="5970" spans="1:26" x14ac:dyDescent="0.2">
      <c r="A5970" t="s">
        <v>6088</v>
      </c>
      <c r="B5970" t="s">
        <v>59</v>
      </c>
      <c r="C5970">
        <v>2024</v>
      </c>
      <c r="D5970" t="s">
        <v>26</v>
      </c>
      <c r="E5970" t="s">
        <v>64</v>
      </c>
      <c r="F5970" t="s">
        <v>26</v>
      </c>
      <c r="G5970">
        <v>61276</v>
      </c>
      <c r="H5970">
        <v>49020.800000000003</v>
      </c>
      <c r="I5970" s="13">
        <v>1</v>
      </c>
      <c r="J5970" t="s">
        <v>6206</v>
      </c>
      <c r="K5970">
        <v>2</v>
      </c>
      <c r="L5970">
        <v>0</v>
      </c>
      <c r="M5970" t="s">
        <v>0</v>
      </c>
      <c r="N5970" s="3">
        <v>0.62</v>
      </c>
      <c r="O5970" s="3">
        <v>0.38</v>
      </c>
      <c r="P5970">
        <v>11</v>
      </c>
      <c r="Q5970">
        <v>12</v>
      </c>
      <c r="R5970">
        <v>4</v>
      </c>
      <c r="S5970">
        <v>2</v>
      </c>
      <c r="T5970">
        <v>12</v>
      </c>
      <c r="U5970">
        <v>11</v>
      </c>
      <c r="V5970">
        <v>0</v>
      </c>
      <c r="W5970">
        <v>1</v>
      </c>
      <c r="X5970">
        <v>0</v>
      </c>
      <c r="Y5970">
        <v>0</v>
      </c>
      <c r="Z5970">
        <v>0</v>
      </c>
    </row>
    <row r="5971" spans="1:26" x14ac:dyDescent="0.2">
      <c r="A5971" t="s">
        <v>6089</v>
      </c>
      <c r="B5971" t="s">
        <v>61</v>
      </c>
      <c r="C5971">
        <v>2024</v>
      </c>
      <c r="D5971" t="s">
        <v>23</v>
      </c>
      <c r="E5971" t="s">
        <v>80</v>
      </c>
      <c r="F5971" t="s">
        <v>20</v>
      </c>
      <c r="G5971">
        <v>62500</v>
      </c>
      <c r="H5971">
        <v>50000</v>
      </c>
      <c r="I5971" s="13">
        <v>0</v>
      </c>
      <c r="J5971" t="s">
        <v>6207</v>
      </c>
      <c r="K5971">
        <v>2</v>
      </c>
      <c r="L5971">
        <v>0</v>
      </c>
      <c r="M5971" t="s">
        <v>0</v>
      </c>
      <c r="N5971" s="3">
        <v>0.57999999999999996</v>
      </c>
      <c r="O5971" s="3">
        <v>0.42</v>
      </c>
      <c r="P5971">
        <v>6</v>
      </c>
      <c r="Q5971">
        <v>12</v>
      </c>
      <c r="R5971">
        <v>3</v>
      </c>
      <c r="S5971">
        <v>3</v>
      </c>
      <c r="T5971">
        <v>12</v>
      </c>
      <c r="U5971">
        <v>6</v>
      </c>
      <c r="V5971">
        <v>0</v>
      </c>
      <c r="W5971">
        <v>0</v>
      </c>
      <c r="X5971">
        <v>0</v>
      </c>
      <c r="Y5971">
        <v>0</v>
      </c>
      <c r="Z5971">
        <v>0</v>
      </c>
    </row>
    <row r="5972" spans="1:26" x14ac:dyDescent="0.2">
      <c r="A5972" t="s">
        <v>6090</v>
      </c>
      <c r="B5972" t="s">
        <v>88</v>
      </c>
      <c r="C5972">
        <v>2024</v>
      </c>
      <c r="D5972" t="s">
        <v>94</v>
      </c>
      <c r="E5972" t="s">
        <v>40</v>
      </c>
      <c r="F5972" t="s">
        <v>106</v>
      </c>
      <c r="G5972">
        <v>30445</v>
      </c>
      <c r="H5972">
        <v>24356</v>
      </c>
      <c r="I5972" s="13">
        <v>0.4</v>
      </c>
      <c r="J5972" t="s">
        <v>6207</v>
      </c>
      <c r="K5972">
        <v>1</v>
      </c>
      <c r="L5972">
        <v>0</v>
      </c>
      <c r="M5972" t="s">
        <v>0</v>
      </c>
      <c r="N5972" s="3">
        <v>0.31</v>
      </c>
      <c r="O5972" s="3">
        <v>0.69</v>
      </c>
      <c r="P5972">
        <v>7</v>
      </c>
      <c r="Q5972">
        <v>9</v>
      </c>
      <c r="R5972">
        <v>3</v>
      </c>
      <c r="S5972">
        <v>2</v>
      </c>
      <c r="T5972">
        <v>9</v>
      </c>
      <c r="U5972">
        <v>7</v>
      </c>
      <c r="V5972">
        <v>3</v>
      </c>
      <c r="W5972">
        <v>2</v>
      </c>
      <c r="X5972">
        <v>0</v>
      </c>
      <c r="Y5972">
        <v>0</v>
      </c>
      <c r="Z5972">
        <v>0</v>
      </c>
    </row>
    <row r="5973" spans="1:26" x14ac:dyDescent="0.2">
      <c r="A5973" t="s">
        <v>6091</v>
      </c>
      <c r="B5973" t="s">
        <v>114</v>
      </c>
      <c r="C5973">
        <v>2024</v>
      </c>
      <c r="D5973" t="s">
        <v>26</v>
      </c>
      <c r="E5973" t="s">
        <v>73</v>
      </c>
      <c r="F5973" t="s">
        <v>26</v>
      </c>
      <c r="G5973">
        <v>61276</v>
      </c>
      <c r="H5973">
        <v>49020.800000000003</v>
      </c>
      <c r="I5973" s="13">
        <v>1</v>
      </c>
      <c r="J5973" t="s">
        <v>6209</v>
      </c>
      <c r="K5973">
        <v>3</v>
      </c>
      <c r="L5973">
        <v>1</v>
      </c>
      <c r="M5973" t="s">
        <v>0</v>
      </c>
      <c r="N5973" s="3">
        <v>0.71</v>
      </c>
      <c r="O5973" s="3">
        <v>0.28999999999999998</v>
      </c>
      <c r="P5973">
        <v>9</v>
      </c>
      <c r="Q5973">
        <v>10</v>
      </c>
      <c r="R5973">
        <v>6</v>
      </c>
      <c r="S5973">
        <v>4</v>
      </c>
      <c r="T5973">
        <v>10</v>
      </c>
      <c r="U5973">
        <v>9</v>
      </c>
      <c r="V5973">
        <v>2</v>
      </c>
      <c r="W5973">
        <v>1</v>
      </c>
      <c r="X5973">
        <v>0</v>
      </c>
      <c r="Y5973">
        <v>0</v>
      </c>
      <c r="Z5973">
        <v>2</v>
      </c>
    </row>
    <row r="5974" spans="1:26" x14ac:dyDescent="0.2">
      <c r="A5974" t="s">
        <v>6092</v>
      </c>
      <c r="B5974" t="s">
        <v>84</v>
      </c>
      <c r="C5974">
        <v>2024</v>
      </c>
      <c r="D5974" t="s">
        <v>79</v>
      </c>
      <c r="E5974" t="s">
        <v>117</v>
      </c>
      <c r="F5974" t="s">
        <v>20</v>
      </c>
      <c r="G5974">
        <v>25486</v>
      </c>
      <c r="H5974">
        <v>20388.800000000003</v>
      </c>
      <c r="I5974" s="13">
        <v>0.2857142857142857</v>
      </c>
      <c r="J5974" t="s">
        <v>6208</v>
      </c>
      <c r="K5974">
        <v>1</v>
      </c>
      <c r="L5974">
        <v>0</v>
      </c>
      <c r="M5974" t="s">
        <v>0</v>
      </c>
      <c r="N5974" s="3">
        <v>0.55000000000000004</v>
      </c>
      <c r="O5974" s="3">
        <v>0.45</v>
      </c>
      <c r="P5974">
        <v>7</v>
      </c>
      <c r="Q5974">
        <v>8</v>
      </c>
      <c r="R5974">
        <v>5</v>
      </c>
      <c r="S5974">
        <v>4</v>
      </c>
      <c r="T5974">
        <v>8</v>
      </c>
      <c r="U5974">
        <v>7</v>
      </c>
      <c r="V5974">
        <v>4</v>
      </c>
      <c r="W5974">
        <v>3</v>
      </c>
      <c r="X5974">
        <v>0</v>
      </c>
      <c r="Y5974">
        <v>0</v>
      </c>
      <c r="Z5974">
        <v>0</v>
      </c>
    </row>
    <row r="5975" spans="1:26" x14ac:dyDescent="0.2">
      <c r="A5975" t="s">
        <v>6093</v>
      </c>
      <c r="B5975" t="s">
        <v>111</v>
      </c>
      <c r="C5975">
        <v>2024</v>
      </c>
      <c r="D5975" t="s">
        <v>90</v>
      </c>
      <c r="E5975" t="s">
        <v>31</v>
      </c>
      <c r="F5975" t="s">
        <v>91</v>
      </c>
      <c r="G5975">
        <v>31876</v>
      </c>
      <c r="H5975">
        <v>25500.800000000003</v>
      </c>
      <c r="I5975" s="13">
        <v>1</v>
      </c>
      <c r="J5975" t="s">
        <v>6207</v>
      </c>
      <c r="K5975">
        <v>2</v>
      </c>
      <c r="L5975">
        <v>1</v>
      </c>
      <c r="M5975" t="s">
        <v>0</v>
      </c>
      <c r="N5975" s="3">
        <v>0.53</v>
      </c>
      <c r="O5975" s="3">
        <v>0.47</v>
      </c>
      <c r="P5975">
        <v>12</v>
      </c>
      <c r="Q5975">
        <v>6</v>
      </c>
      <c r="R5975">
        <v>3</v>
      </c>
      <c r="S5975">
        <v>7</v>
      </c>
      <c r="T5975">
        <v>6</v>
      </c>
      <c r="U5975">
        <v>12</v>
      </c>
      <c r="V5975">
        <v>0</v>
      </c>
      <c r="W5975">
        <v>2</v>
      </c>
      <c r="X5975">
        <v>0</v>
      </c>
      <c r="Y5975">
        <v>0</v>
      </c>
      <c r="Z5975">
        <v>1</v>
      </c>
    </row>
    <row r="5976" spans="1:26" x14ac:dyDescent="0.2">
      <c r="A5976" t="s">
        <v>6094</v>
      </c>
      <c r="B5976" t="s">
        <v>102</v>
      </c>
      <c r="C5976">
        <v>2024</v>
      </c>
      <c r="D5976" t="s">
        <v>101</v>
      </c>
      <c r="E5976" t="s">
        <v>42</v>
      </c>
      <c r="F5976" t="s">
        <v>101</v>
      </c>
      <c r="G5976">
        <v>17250</v>
      </c>
      <c r="H5976">
        <v>13800</v>
      </c>
      <c r="I5976" s="13">
        <v>0.75</v>
      </c>
      <c r="J5976" t="s">
        <v>6209</v>
      </c>
      <c r="K5976">
        <v>0</v>
      </c>
      <c r="L5976">
        <v>1</v>
      </c>
      <c r="M5976" t="s">
        <v>1</v>
      </c>
      <c r="N5976" s="3">
        <v>0.6</v>
      </c>
      <c r="O5976" s="3">
        <v>0.4</v>
      </c>
      <c r="P5976">
        <v>5</v>
      </c>
      <c r="Q5976">
        <v>10</v>
      </c>
      <c r="R5976">
        <v>6</v>
      </c>
      <c r="S5976">
        <v>5</v>
      </c>
      <c r="T5976">
        <v>10</v>
      </c>
      <c r="U5976">
        <v>5</v>
      </c>
      <c r="V5976">
        <v>2</v>
      </c>
      <c r="W5976">
        <v>2</v>
      </c>
      <c r="X5976">
        <v>0</v>
      </c>
      <c r="Y5976">
        <v>0</v>
      </c>
      <c r="Z5976">
        <v>0</v>
      </c>
    </row>
    <row r="5977" spans="1:26" x14ac:dyDescent="0.2">
      <c r="A5977" t="s">
        <v>6095</v>
      </c>
      <c r="B5977" t="s">
        <v>59</v>
      </c>
      <c r="C5977">
        <v>2024</v>
      </c>
      <c r="D5977" t="s">
        <v>22</v>
      </c>
      <c r="E5977" t="s">
        <v>45</v>
      </c>
      <c r="F5977" t="s">
        <v>24</v>
      </c>
      <c r="G5977">
        <v>31750</v>
      </c>
      <c r="H5977">
        <v>25400</v>
      </c>
      <c r="I5977" s="13">
        <v>0.75</v>
      </c>
      <c r="J5977" t="s">
        <v>6206</v>
      </c>
      <c r="K5977">
        <v>1</v>
      </c>
      <c r="L5977">
        <v>1</v>
      </c>
      <c r="M5977" t="s">
        <v>58</v>
      </c>
      <c r="N5977" s="3">
        <v>0.66</v>
      </c>
      <c r="O5977" s="3">
        <v>0.34</v>
      </c>
      <c r="P5977">
        <v>16</v>
      </c>
      <c r="Q5977">
        <v>11</v>
      </c>
      <c r="R5977">
        <v>5</v>
      </c>
      <c r="S5977">
        <v>5</v>
      </c>
      <c r="T5977">
        <v>11</v>
      </c>
      <c r="U5977">
        <v>16</v>
      </c>
      <c r="V5977">
        <v>2</v>
      </c>
      <c r="W5977">
        <v>2</v>
      </c>
      <c r="X5977">
        <v>0</v>
      </c>
      <c r="Y5977">
        <v>0</v>
      </c>
      <c r="Z5977">
        <v>0</v>
      </c>
    </row>
    <row r="5978" spans="1:26" x14ac:dyDescent="0.2">
      <c r="A5978" t="s">
        <v>6096</v>
      </c>
      <c r="B5978" t="s">
        <v>104</v>
      </c>
      <c r="C5978">
        <v>2024</v>
      </c>
      <c r="D5978" t="s">
        <v>51</v>
      </c>
      <c r="E5978" t="s">
        <v>86</v>
      </c>
      <c r="F5978" t="s">
        <v>20</v>
      </c>
      <c r="G5978">
        <v>36284</v>
      </c>
      <c r="H5978">
        <v>29027.200000000001</v>
      </c>
      <c r="I5978" s="13">
        <v>0.66666666666666663</v>
      </c>
      <c r="J5978" t="s">
        <v>6206</v>
      </c>
      <c r="K5978">
        <v>2</v>
      </c>
      <c r="L5978">
        <v>2</v>
      </c>
      <c r="M5978" t="s">
        <v>58</v>
      </c>
      <c r="N5978" s="3">
        <v>0.61</v>
      </c>
      <c r="O5978" s="3">
        <v>0.39</v>
      </c>
      <c r="P5978">
        <v>16</v>
      </c>
      <c r="Q5978">
        <v>15</v>
      </c>
      <c r="R5978">
        <v>3</v>
      </c>
      <c r="S5978">
        <v>6</v>
      </c>
      <c r="T5978">
        <v>15</v>
      </c>
      <c r="U5978">
        <v>16</v>
      </c>
      <c r="V5978">
        <v>3</v>
      </c>
      <c r="W5978">
        <v>3</v>
      </c>
      <c r="X5978">
        <v>0</v>
      </c>
      <c r="Y5978">
        <v>0</v>
      </c>
      <c r="Z5978">
        <v>1</v>
      </c>
    </row>
    <row r="5979" spans="1:26" x14ac:dyDescent="0.2">
      <c r="A5979" t="s">
        <v>6097</v>
      </c>
      <c r="B5979" t="s">
        <v>98</v>
      </c>
      <c r="C5979">
        <v>2024</v>
      </c>
      <c r="D5979" t="s">
        <v>18</v>
      </c>
      <c r="E5979" t="s">
        <v>80</v>
      </c>
      <c r="F5979" t="s">
        <v>20</v>
      </c>
      <c r="G5979">
        <v>40341</v>
      </c>
      <c r="H5979">
        <v>32272.800000000003</v>
      </c>
      <c r="I5979" s="13">
        <v>0</v>
      </c>
      <c r="J5979" t="s">
        <v>6208</v>
      </c>
      <c r="K5979">
        <v>1</v>
      </c>
      <c r="L5979">
        <v>0</v>
      </c>
      <c r="M5979" t="s">
        <v>0</v>
      </c>
      <c r="N5979" s="3">
        <v>0.56999999999999995</v>
      </c>
      <c r="O5979" s="3">
        <v>0.43</v>
      </c>
      <c r="P5979">
        <v>13</v>
      </c>
      <c r="Q5979">
        <v>12</v>
      </c>
      <c r="R5979">
        <v>12</v>
      </c>
      <c r="S5979">
        <v>2</v>
      </c>
      <c r="T5979">
        <v>12</v>
      </c>
      <c r="U5979">
        <v>13</v>
      </c>
      <c r="V5979">
        <v>1</v>
      </c>
      <c r="W5979">
        <v>0</v>
      </c>
      <c r="X5979">
        <v>0</v>
      </c>
      <c r="Y5979">
        <v>0</v>
      </c>
      <c r="Z5979">
        <v>1</v>
      </c>
    </row>
    <row r="5980" spans="1:26" x14ac:dyDescent="0.2">
      <c r="A5980" t="s">
        <v>6098</v>
      </c>
      <c r="B5980" t="s">
        <v>61</v>
      </c>
      <c r="C5980">
        <v>2024</v>
      </c>
      <c r="D5980" t="s">
        <v>48</v>
      </c>
      <c r="E5980" t="s">
        <v>46</v>
      </c>
      <c r="F5980" t="s">
        <v>49</v>
      </c>
      <c r="G5980">
        <v>74197</v>
      </c>
      <c r="H5980">
        <v>59357.600000000006</v>
      </c>
      <c r="I5980" s="13">
        <v>1</v>
      </c>
      <c r="J5980" t="s">
        <v>6207</v>
      </c>
      <c r="K5980">
        <v>1</v>
      </c>
      <c r="L5980">
        <v>1</v>
      </c>
      <c r="M5980" t="s">
        <v>58</v>
      </c>
      <c r="N5980" s="3">
        <v>0.32</v>
      </c>
      <c r="O5980" s="3">
        <v>0.68</v>
      </c>
      <c r="P5980">
        <v>11</v>
      </c>
      <c r="Q5980">
        <v>8</v>
      </c>
      <c r="R5980">
        <v>2</v>
      </c>
      <c r="S5980">
        <v>9</v>
      </c>
      <c r="T5980">
        <v>8</v>
      </c>
      <c r="U5980">
        <v>11</v>
      </c>
      <c r="V5980">
        <v>0</v>
      </c>
      <c r="W5980">
        <v>1</v>
      </c>
      <c r="X5980">
        <v>0</v>
      </c>
      <c r="Y5980">
        <v>0</v>
      </c>
      <c r="Z5980">
        <v>0</v>
      </c>
    </row>
    <row r="5981" spans="1:26" x14ac:dyDescent="0.2">
      <c r="A5981" t="s">
        <v>6099</v>
      </c>
      <c r="B5981" t="s">
        <v>103</v>
      </c>
      <c r="C5981">
        <v>2024</v>
      </c>
      <c r="D5981" t="s">
        <v>23</v>
      </c>
      <c r="E5981" t="s">
        <v>64</v>
      </c>
      <c r="F5981" t="s">
        <v>20</v>
      </c>
      <c r="G5981">
        <v>62500</v>
      </c>
      <c r="H5981">
        <v>50000</v>
      </c>
      <c r="I5981" s="13">
        <v>0</v>
      </c>
      <c r="J5981" t="s">
        <v>6207</v>
      </c>
      <c r="K5981">
        <v>0</v>
      </c>
      <c r="L5981">
        <v>1</v>
      </c>
      <c r="M5981" t="s">
        <v>1</v>
      </c>
      <c r="N5981" s="3">
        <v>0.51</v>
      </c>
      <c r="O5981" s="3">
        <v>0.49</v>
      </c>
      <c r="P5981">
        <v>15</v>
      </c>
      <c r="Q5981">
        <v>7</v>
      </c>
      <c r="R5981">
        <v>3</v>
      </c>
      <c r="S5981">
        <v>4</v>
      </c>
      <c r="T5981">
        <v>7</v>
      </c>
      <c r="U5981">
        <v>15</v>
      </c>
      <c r="V5981">
        <v>0</v>
      </c>
      <c r="W5981">
        <v>1</v>
      </c>
      <c r="X5981">
        <v>0</v>
      </c>
      <c r="Y5981">
        <v>0</v>
      </c>
      <c r="Z5981">
        <v>0</v>
      </c>
    </row>
    <row r="5982" spans="1:26" x14ac:dyDescent="0.2">
      <c r="A5982" t="s">
        <v>6100</v>
      </c>
      <c r="B5982" t="s">
        <v>99</v>
      </c>
      <c r="C5982">
        <v>2024</v>
      </c>
      <c r="D5982" t="s">
        <v>73</v>
      </c>
      <c r="E5982" t="s">
        <v>22</v>
      </c>
      <c r="F5982" t="s">
        <v>73</v>
      </c>
      <c r="G5982">
        <v>32384</v>
      </c>
      <c r="H5982">
        <v>25907.200000000001</v>
      </c>
      <c r="I5982" s="13">
        <v>0</v>
      </c>
      <c r="J5982" t="s">
        <v>6207</v>
      </c>
      <c r="K5982">
        <v>1</v>
      </c>
      <c r="L5982">
        <v>2</v>
      </c>
      <c r="M5982" t="s">
        <v>1</v>
      </c>
      <c r="N5982" s="3">
        <v>0.6</v>
      </c>
      <c r="O5982" s="3">
        <v>0.4</v>
      </c>
      <c r="P5982">
        <v>13</v>
      </c>
      <c r="Q5982">
        <v>12</v>
      </c>
      <c r="R5982">
        <v>5</v>
      </c>
      <c r="S5982">
        <v>1</v>
      </c>
      <c r="T5982">
        <v>12</v>
      </c>
      <c r="U5982">
        <v>13</v>
      </c>
      <c r="V5982">
        <v>0</v>
      </c>
      <c r="W5982">
        <v>0</v>
      </c>
      <c r="X5982">
        <v>0</v>
      </c>
      <c r="Y5982">
        <v>0</v>
      </c>
      <c r="Z5982">
        <v>0</v>
      </c>
    </row>
    <row r="5983" spans="1:26" x14ac:dyDescent="0.2">
      <c r="A5983" t="s">
        <v>6101</v>
      </c>
      <c r="B5983" t="s">
        <v>84</v>
      </c>
      <c r="C5983">
        <v>2024</v>
      </c>
      <c r="D5983" t="s">
        <v>40</v>
      </c>
      <c r="E5983" t="s">
        <v>90</v>
      </c>
      <c r="F5983" t="s">
        <v>49</v>
      </c>
      <c r="G5983">
        <v>53400</v>
      </c>
      <c r="H5983">
        <v>42720</v>
      </c>
      <c r="I5983" s="13">
        <v>1</v>
      </c>
      <c r="J5983" t="s">
        <v>6208</v>
      </c>
      <c r="K5983">
        <v>2</v>
      </c>
      <c r="L5983">
        <v>2</v>
      </c>
      <c r="M5983" t="s">
        <v>58</v>
      </c>
      <c r="N5983" s="3">
        <v>0.6</v>
      </c>
      <c r="O5983" s="3">
        <v>0.4</v>
      </c>
      <c r="P5983">
        <v>10</v>
      </c>
      <c r="Q5983">
        <v>10</v>
      </c>
      <c r="R5983">
        <v>4</v>
      </c>
      <c r="S5983">
        <v>5</v>
      </c>
      <c r="T5983">
        <v>10</v>
      </c>
      <c r="U5983">
        <v>10</v>
      </c>
      <c r="V5983">
        <v>2</v>
      </c>
      <c r="W5983">
        <v>5</v>
      </c>
      <c r="X5983">
        <v>0</v>
      </c>
      <c r="Y5983">
        <v>0</v>
      </c>
      <c r="Z5983">
        <v>1</v>
      </c>
    </row>
    <row r="5984" spans="1:26" x14ac:dyDescent="0.2">
      <c r="A5984" t="s">
        <v>6102</v>
      </c>
      <c r="B5984" t="s">
        <v>103</v>
      </c>
      <c r="C5984">
        <v>2024</v>
      </c>
      <c r="D5984" t="s">
        <v>117</v>
      </c>
      <c r="E5984" t="s">
        <v>94</v>
      </c>
      <c r="F5984" t="s">
        <v>117</v>
      </c>
      <c r="G5984">
        <v>30056</v>
      </c>
      <c r="H5984">
        <v>24044.800000000003</v>
      </c>
      <c r="I5984" s="13">
        <v>0.5</v>
      </c>
      <c r="J5984" t="s">
        <v>6207</v>
      </c>
      <c r="K5984">
        <v>2</v>
      </c>
      <c r="L5984">
        <v>4</v>
      </c>
      <c r="M5984" t="s">
        <v>1</v>
      </c>
      <c r="N5984" s="3">
        <v>0.56000000000000005</v>
      </c>
      <c r="O5984" s="3">
        <v>0.44</v>
      </c>
      <c r="P5984">
        <v>13</v>
      </c>
      <c r="Q5984">
        <v>4</v>
      </c>
      <c r="R5984">
        <v>6</v>
      </c>
      <c r="S5984">
        <v>3</v>
      </c>
      <c r="T5984">
        <v>4</v>
      </c>
      <c r="U5984">
        <v>13</v>
      </c>
      <c r="V5984">
        <v>1</v>
      </c>
      <c r="W5984">
        <v>1</v>
      </c>
      <c r="X5984">
        <v>0</v>
      </c>
      <c r="Y5984">
        <v>0</v>
      </c>
      <c r="Z5984">
        <v>0</v>
      </c>
    </row>
    <row r="5985" spans="1:26" x14ac:dyDescent="0.2">
      <c r="A5985" t="s">
        <v>6103</v>
      </c>
      <c r="B5985" t="s">
        <v>108</v>
      </c>
      <c r="C5985">
        <v>2024</v>
      </c>
      <c r="D5985" t="s">
        <v>45</v>
      </c>
      <c r="E5985" t="s">
        <v>23</v>
      </c>
      <c r="F5985" t="s">
        <v>26</v>
      </c>
      <c r="G5985">
        <v>39572</v>
      </c>
      <c r="H5985">
        <v>31657.600000000002</v>
      </c>
      <c r="I5985" s="13">
        <v>0.66666666666666663</v>
      </c>
      <c r="J5985" t="s">
        <v>6207</v>
      </c>
      <c r="K5985">
        <v>1</v>
      </c>
      <c r="L5985">
        <v>1</v>
      </c>
      <c r="M5985" t="s">
        <v>58</v>
      </c>
      <c r="N5985" s="3">
        <v>0.54</v>
      </c>
      <c r="O5985" s="3">
        <v>0.46</v>
      </c>
      <c r="P5985">
        <v>8</v>
      </c>
      <c r="Q5985">
        <v>12</v>
      </c>
      <c r="R5985">
        <v>6</v>
      </c>
      <c r="S5985">
        <v>5</v>
      </c>
      <c r="T5985">
        <v>12</v>
      </c>
      <c r="U5985">
        <v>8</v>
      </c>
      <c r="V5985">
        <v>1</v>
      </c>
      <c r="W5985">
        <v>2</v>
      </c>
      <c r="X5985">
        <v>0</v>
      </c>
      <c r="Y5985">
        <v>0</v>
      </c>
      <c r="Z5985">
        <v>0</v>
      </c>
    </row>
    <row r="5986" spans="1:26" x14ac:dyDescent="0.2">
      <c r="A5986" t="s">
        <v>6104</v>
      </c>
      <c r="B5986" t="s">
        <v>76</v>
      </c>
      <c r="C5986">
        <v>2024</v>
      </c>
      <c r="D5986" t="s">
        <v>86</v>
      </c>
      <c r="E5986" t="s">
        <v>101</v>
      </c>
      <c r="F5986" t="s">
        <v>86</v>
      </c>
      <c r="G5986">
        <v>11364</v>
      </c>
      <c r="H5986">
        <v>9091.2000000000007</v>
      </c>
      <c r="I5986" s="13">
        <v>0.33333333333333331</v>
      </c>
      <c r="J5986" t="s">
        <v>6207</v>
      </c>
      <c r="K5986">
        <v>1</v>
      </c>
      <c r="L5986">
        <v>2</v>
      </c>
      <c r="M5986" t="s">
        <v>1</v>
      </c>
      <c r="N5986" s="3">
        <v>0.59</v>
      </c>
      <c r="O5986" s="3">
        <v>0.41</v>
      </c>
      <c r="P5986">
        <v>7</v>
      </c>
      <c r="Q5986">
        <v>13</v>
      </c>
      <c r="R5986">
        <v>4</v>
      </c>
      <c r="S5986">
        <v>3</v>
      </c>
      <c r="T5986">
        <v>13</v>
      </c>
      <c r="U5986">
        <v>7</v>
      </c>
      <c r="V5986">
        <v>3</v>
      </c>
      <c r="W5986">
        <v>0</v>
      </c>
      <c r="X5986">
        <v>0</v>
      </c>
      <c r="Y5986">
        <v>0</v>
      </c>
      <c r="Z5986">
        <v>0</v>
      </c>
    </row>
    <row r="5987" spans="1:26" x14ac:dyDescent="0.2">
      <c r="A5987" t="s">
        <v>6105</v>
      </c>
      <c r="B5987" t="s">
        <v>92</v>
      </c>
      <c r="C5987">
        <v>2024</v>
      </c>
      <c r="D5987" t="s">
        <v>31</v>
      </c>
      <c r="E5987" t="s">
        <v>51</v>
      </c>
      <c r="F5987" t="s">
        <v>20</v>
      </c>
      <c r="G5987">
        <v>28500</v>
      </c>
      <c r="H5987">
        <v>22800</v>
      </c>
      <c r="I5987" s="13">
        <v>0</v>
      </c>
      <c r="J5987" t="s">
        <v>6207</v>
      </c>
      <c r="K5987">
        <v>2</v>
      </c>
      <c r="L5987">
        <v>0</v>
      </c>
      <c r="M5987" t="s">
        <v>0</v>
      </c>
      <c r="N5987" s="3">
        <v>0.56999999999999995</v>
      </c>
      <c r="O5987" s="3">
        <v>0.43</v>
      </c>
      <c r="P5987">
        <v>10</v>
      </c>
      <c r="Q5987">
        <v>13</v>
      </c>
      <c r="R5987">
        <v>6</v>
      </c>
      <c r="S5987">
        <v>5</v>
      </c>
      <c r="T5987">
        <v>13</v>
      </c>
      <c r="U5987">
        <v>10</v>
      </c>
      <c r="V5987">
        <v>0</v>
      </c>
      <c r="W5987">
        <v>0</v>
      </c>
      <c r="X5987">
        <v>0</v>
      </c>
      <c r="Y5987">
        <v>0</v>
      </c>
      <c r="Z5987">
        <v>0</v>
      </c>
    </row>
    <row r="5988" spans="1:26" x14ac:dyDescent="0.2">
      <c r="A5988" t="s">
        <v>6106</v>
      </c>
      <c r="B5988" t="s">
        <v>88</v>
      </c>
      <c r="C5988">
        <v>2024</v>
      </c>
      <c r="D5988" t="s">
        <v>46</v>
      </c>
      <c r="E5988" t="s">
        <v>18</v>
      </c>
      <c r="F5988" t="s">
        <v>20</v>
      </c>
      <c r="G5988">
        <v>60704</v>
      </c>
      <c r="H5988">
        <v>48563.200000000004</v>
      </c>
      <c r="I5988" s="13">
        <v>0.83333333333333337</v>
      </c>
      <c r="J5988" t="s">
        <v>6207</v>
      </c>
      <c r="K5988">
        <v>1</v>
      </c>
      <c r="L5988">
        <v>0</v>
      </c>
      <c r="M5988" t="s">
        <v>0</v>
      </c>
      <c r="N5988" s="3">
        <v>0.41</v>
      </c>
      <c r="O5988" s="3">
        <v>0.59</v>
      </c>
      <c r="P5988">
        <v>13</v>
      </c>
      <c r="Q5988">
        <v>10</v>
      </c>
      <c r="R5988">
        <v>5</v>
      </c>
      <c r="S5988">
        <v>4</v>
      </c>
      <c r="T5988">
        <v>10</v>
      </c>
      <c r="U5988">
        <v>13</v>
      </c>
      <c r="V5988">
        <v>3</v>
      </c>
      <c r="W5988">
        <v>3</v>
      </c>
      <c r="X5988">
        <v>0</v>
      </c>
      <c r="Y5988">
        <v>0</v>
      </c>
      <c r="Z5988">
        <v>0</v>
      </c>
    </row>
    <row r="5989" spans="1:26" x14ac:dyDescent="0.2">
      <c r="A5989" t="s">
        <v>6107</v>
      </c>
      <c r="B5989" t="s">
        <v>107</v>
      </c>
      <c r="C5989">
        <v>2024</v>
      </c>
      <c r="D5989" t="s">
        <v>80</v>
      </c>
      <c r="E5989" t="s">
        <v>48</v>
      </c>
      <c r="F5989" t="s">
        <v>80</v>
      </c>
      <c r="G5989">
        <v>32261</v>
      </c>
      <c r="H5989">
        <v>25808.800000000003</v>
      </c>
      <c r="I5989" s="13">
        <v>1</v>
      </c>
      <c r="J5989" t="s">
        <v>6207</v>
      </c>
      <c r="K5989">
        <v>0</v>
      </c>
      <c r="L5989">
        <v>3</v>
      </c>
      <c r="M5989" t="s">
        <v>1</v>
      </c>
      <c r="N5989" s="3">
        <v>0.54</v>
      </c>
      <c r="O5989" s="3">
        <v>0.46</v>
      </c>
      <c r="P5989">
        <v>6</v>
      </c>
      <c r="Q5989">
        <v>6</v>
      </c>
      <c r="R5989">
        <v>6</v>
      </c>
      <c r="S5989">
        <v>4</v>
      </c>
      <c r="T5989">
        <v>6</v>
      </c>
      <c r="U5989">
        <v>6</v>
      </c>
      <c r="V5989">
        <v>2</v>
      </c>
      <c r="W5989">
        <v>0</v>
      </c>
      <c r="X5989">
        <v>0</v>
      </c>
      <c r="Y5989">
        <v>0</v>
      </c>
      <c r="Z5989">
        <v>0</v>
      </c>
    </row>
    <row r="5990" spans="1:26" x14ac:dyDescent="0.2">
      <c r="A5990" t="s">
        <v>6108</v>
      </c>
      <c r="B5990" t="s">
        <v>100</v>
      </c>
      <c r="C5990">
        <v>2024</v>
      </c>
      <c r="D5990" t="s">
        <v>64</v>
      </c>
      <c r="E5990" t="s">
        <v>79</v>
      </c>
      <c r="F5990" t="s">
        <v>64</v>
      </c>
      <c r="G5990">
        <v>52264</v>
      </c>
      <c r="H5990">
        <v>41811.200000000004</v>
      </c>
      <c r="I5990" s="13">
        <v>0.6</v>
      </c>
      <c r="J5990" t="s">
        <v>6207</v>
      </c>
      <c r="K5990">
        <v>5</v>
      </c>
      <c r="L5990">
        <v>0</v>
      </c>
      <c r="M5990" t="s">
        <v>0</v>
      </c>
      <c r="N5990" s="3">
        <v>0.6</v>
      </c>
      <c r="O5990" s="3">
        <v>0.4</v>
      </c>
      <c r="P5990">
        <v>15</v>
      </c>
      <c r="Q5990">
        <v>9</v>
      </c>
      <c r="R5990">
        <v>5</v>
      </c>
      <c r="S5990">
        <v>4</v>
      </c>
      <c r="T5990">
        <v>9</v>
      </c>
      <c r="U5990">
        <v>15</v>
      </c>
      <c r="V5990">
        <v>2</v>
      </c>
      <c r="W5990">
        <v>3</v>
      </c>
      <c r="X5990">
        <v>0</v>
      </c>
      <c r="Y5990">
        <v>0</v>
      </c>
      <c r="Z5990">
        <v>1</v>
      </c>
    </row>
    <row r="5991" spans="1:26" x14ac:dyDescent="0.2">
      <c r="A5991" t="s">
        <v>6109</v>
      </c>
      <c r="B5991" t="s">
        <v>76</v>
      </c>
      <c r="C5991">
        <v>2024</v>
      </c>
      <c r="D5991" t="s">
        <v>42</v>
      </c>
      <c r="E5991" t="s">
        <v>26</v>
      </c>
      <c r="F5991" t="s">
        <v>38</v>
      </c>
      <c r="G5991">
        <v>42918</v>
      </c>
      <c r="H5991">
        <v>34334.400000000001</v>
      </c>
      <c r="I5991" s="13">
        <v>1</v>
      </c>
      <c r="J5991" t="s">
        <v>6207</v>
      </c>
      <c r="K5991">
        <v>2</v>
      </c>
      <c r="L5991">
        <v>2</v>
      </c>
      <c r="M5991" t="s">
        <v>58</v>
      </c>
      <c r="N5991" s="3">
        <v>0.52</v>
      </c>
      <c r="O5991" s="3">
        <v>0.48</v>
      </c>
      <c r="P5991">
        <v>6</v>
      </c>
      <c r="Q5991">
        <v>8</v>
      </c>
      <c r="R5991">
        <v>6</v>
      </c>
      <c r="S5991">
        <v>8</v>
      </c>
      <c r="T5991">
        <v>8</v>
      </c>
      <c r="U5991">
        <v>6</v>
      </c>
      <c r="V5991">
        <v>1</v>
      </c>
      <c r="W5991">
        <v>0</v>
      </c>
      <c r="X5991">
        <v>0</v>
      </c>
      <c r="Y5991">
        <v>0</v>
      </c>
      <c r="Z5991">
        <v>0</v>
      </c>
    </row>
    <row r="5992" spans="1:26" x14ac:dyDescent="0.2">
      <c r="A5992" t="s">
        <v>6110</v>
      </c>
      <c r="B5992" t="s">
        <v>105</v>
      </c>
      <c r="C5992">
        <v>2024</v>
      </c>
      <c r="D5992" t="s">
        <v>22</v>
      </c>
      <c r="E5992" t="s">
        <v>23</v>
      </c>
      <c r="F5992" t="s">
        <v>24</v>
      </c>
      <c r="G5992">
        <v>31750</v>
      </c>
      <c r="H5992">
        <v>25400</v>
      </c>
      <c r="I5992" s="13">
        <v>1</v>
      </c>
      <c r="J5992" t="s">
        <v>6207</v>
      </c>
      <c r="K5992">
        <v>1</v>
      </c>
      <c r="L5992">
        <v>0</v>
      </c>
      <c r="M5992" t="s">
        <v>0</v>
      </c>
      <c r="N5992" s="3">
        <v>0.41</v>
      </c>
      <c r="O5992" s="3">
        <v>0.59</v>
      </c>
      <c r="P5992">
        <v>12</v>
      </c>
      <c r="Q5992">
        <v>16</v>
      </c>
      <c r="R5992">
        <v>1</v>
      </c>
      <c r="S5992">
        <v>2</v>
      </c>
      <c r="T5992">
        <v>16</v>
      </c>
      <c r="U5992">
        <v>12</v>
      </c>
      <c r="V5992">
        <v>4</v>
      </c>
      <c r="W5992">
        <v>2</v>
      </c>
      <c r="X5992">
        <v>0</v>
      </c>
      <c r="Y5992">
        <v>0</v>
      </c>
      <c r="Z5992">
        <v>0</v>
      </c>
    </row>
    <row r="5993" spans="1:26" x14ac:dyDescent="0.2">
      <c r="A5993" t="s">
        <v>6111</v>
      </c>
      <c r="B5993" t="s">
        <v>104</v>
      </c>
      <c r="C5993">
        <v>2024</v>
      </c>
      <c r="D5993" t="s">
        <v>46</v>
      </c>
      <c r="E5993" t="s">
        <v>31</v>
      </c>
      <c r="F5993" t="s">
        <v>20</v>
      </c>
      <c r="G5993">
        <v>60704</v>
      </c>
      <c r="H5993">
        <v>48563.200000000004</v>
      </c>
      <c r="I5993" s="13">
        <v>0.75</v>
      </c>
      <c r="J5993" t="s">
        <v>6206</v>
      </c>
      <c r="K5993">
        <v>2</v>
      </c>
      <c r="L5993">
        <v>1</v>
      </c>
      <c r="M5993" t="s">
        <v>0</v>
      </c>
      <c r="N5993" s="3">
        <v>0.52</v>
      </c>
      <c r="O5993" s="3">
        <v>0.48</v>
      </c>
      <c r="P5993">
        <v>10</v>
      </c>
      <c r="Q5993">
        <v>2</v>
      </c>
      <c r="R5993">
        <v>5</v>
      </c>
      <c r="S5993">
        <v>4</v>
      </c>
      <c r="T5993">
        <v>2</v>
      </c>
      <c r="U5993">
        <v>10</v>
      </c>
      <c r="V5993">
        <v>1</v>
      </c>
      <c r="W5993">
        <v>3</v>
      </c>
      <c r="X5993">
        <v>0</v>
      </c>
      <c r="Y5993">
        <v>0</v>
      </c>
      <c r="Z5993">
        <v>0</v>
      </c>
    </row>
    <row r="5994" spans="1:26" x14ac:dyDescent="0.2">
      <c r="A5994" t="s">
        <v>6112</v>
      </c>
      <c r="B5994" t="s">
        <v>102</v>
      </c>
      <c r="C5994">
        <v>2024</v>
      </c>
      <c r="D5994" t="s">
        <v>94</v>
      </c>
      <c r="E5994" t="s">
        <v>48</v>
      </c>
      <c r="F5994" t="s">
        <v>106</v>
      </c>
      <c r="G5994">
        <v>30445</v>
      </c>
      <c r="H5994">
        <v>24356</v>
      </c>
      <c r="I5994" s="13">
        <v>0.75</v>
      </c>
      <c r="J5994" t="s">
        <v>6209</v>
      </c>
      <c r="K5994">
        <v>1</v>
      </c>
      <c r="L5994">
        <v>0</v>
      </c>
      <c r="M5994" t="s">
        <v>0</v>
      </c>
      <c r="N5994" s="3">
        <v>0.32</v>
      </c>
      <c r="O5994" s="3">
        <v>0.68</v>
      </c>
      <c r="P5994">
        <v>12</v>
      </c>
      <c r="Q5994">
        <v>5</v>
      </c>
      <c r="R5994">
        <v>3</v>
      </c>
      <c r="S5994">
        <v>10</v>
      </c>
      <c r="T5994">
        <v>5</v>
      </c>
      <c r="U5994">
        <v>12</v>
      </c>
      <c r="V5994">
        <v>1</v>
      </c>
      <c r="W5994">
        <v>3</v>
      </c>
      <c r="X5994">
        <v>0</v>
      </c>
      <c r="Y5994">
        <v>0</v>
      </c>
      <c r="Z5994">
        <v>0</v>
      </c>
    </row>
    <row r="5995" spans="1:26" x14ac:dyDescent="0.2">
      <c r="A5995" t="s">
        <v>6113</v>
      </c>
      <c r="B5995" t="s">
        <v>92</v>
      </c>
      <c r="C5995">
        <v>2024</v>
      </c>
      <c r="D5995" t="s">
        <v>73</v>
      </c>
      <c r="E5995" t="s">
        <v>79</v>
      </c>
      <c r="F5995" t="s">
        <v>73</v>
      </c>
      <c r="G5995">
        <v>32384</v>
      </c>
      <c r="H5995">
        <v>25907.200000000001</v>
      </c>
      <c r="I5995" s="13">
        <v>0.33333333333333331</v>
      </c>
      <c r="J5995" t="s">
        <v>6207</v>
      </c>
      <c r="K5995">
        <v>1</v>
      </c>
      <c r="L5995">
        <v>1</v>
      </c>
      <c r="M5995" t="s">
        <v>58</v>
      </c>
      <c r="N5995" s="3">
        <v>0.43</v>
      </c>
      <c r="O5995" s="3">
        <v>0.56999999999999995</v>
      </c>
      <c r="P5995">
        <v>9</v>
      </c>
      <c r="Q5995">
        <v>14</v>
      </c>
      <c r="R5995">
        <v>2</v>
      </c>
      <c r="S5995">
        <v>2</v>
      </c>
      <c r="T5995">
        <v>14</v>
      </c>
      <c r="U5995">
        <v>9</v>
      </c>
      <c r="V5995">
        <v>2</v>
      </c>
      <c r="W5995">
        <v>1</v>
      </c>
      <c r="X5995">
        <v>0</v>
      </c>
      <c r="Y5995">
        <v>0</v>
      </c>
      <c r="Z5995">
        <v>0</v>
      </c>
    </row>
    <row r="5996" spans="1:26" x14ac:dyDescent="0.2">
      <c r="A5996" t="s">
        <v>6114</v>
      </c>
      <c r="B5996" t="s">
        <v>97</v>
      </c>
      <c r="C5996">
        <v>2024</v>
      </c>
      <c r="D5996" t="s">
        <v>64</v>
      </c>
      <c r="E5996" t="s">
        <v>101</v>
      </c>
      <c r="F5996" t="s">
        <v>64</v>
      </c>
      <c r="G5996">
        <v>52264</v>
      </c>
      <c r="H5996">
        <v>41811.200000000004</v>
      </c>
      <c r="I5996" s="13">
        <v>0.5</v>
      </c>
      <c r="J5996" t="s">
        <v>6207</v>
      </c>
      <c r="K5996">
        <v>2</v>
      </c>
      <c r="L5996">
        <v>1</v>
      </c>
      <c r="M5996" t="s">
        <v>0</v>
      </c>
      <c r="N5996" s="3">
        <v>0.48</v>
      </c>
      <c r="O5996" s="3">
        <v>0.52</v>
      </c>
      <c r="P5996">
        <v>12</v>
      </c>
      <c r="Q5996">
        <v>12</v>
      </c>
      <c r="R5996">
        <v>4</v>
      </c>
      <c r="S5996">
        <v>5</v>
      </c>
      <c r="T5996">
        <v>12</v>
      </c>
      <c r="U5996">
        <v>12</v>
      </c>
      <c r="V5996">
        <v>1</v>
      </c>
      <c r="W5996">
        <v>1</v>
      </c>
      <c r="X5996">
        <v>0</v>
      </c>
      <c r="Y5996">
        <v>0</v>
      </c>
      <c r="Z5996">
        <v>1</v>
      </c>
    </row>
    <row r="5997" spans="1:26" x14ac:dyDescent="0.2">
      <c r="A5997" t="s">
        <v>6115</v>
      </c>
      <c r="B5997" t="s">
        <v>100</v>
      </c>
      <c r="C5997">
        <v>2024</v>
      </c>
      <c r="D5997" t="s">
        <v>40</v>
      </c>
      <c r="E5997" t="s">
        <v>80</v>
      </c>
      <c r="F5997" t="s">
        <v>49</v>
      </c>
      <c r="G5997">
        <v>53400</v>
      </c>
      <c r="H5997">
        <v>42720</v>
      </c>
      <c r="I5997" s="13">
        <v>0.2</v>
      </c>
      <c r="J5997" t="s">
        <v>6207</v>
      </c>
      <c r="K5997">
        <v>2</v>
      </c>
      <c r="L5997">
        <v>0</v>
      </c>
      <c r="M5997" t="s">
        <v>0</v>
      </c>
      <c r="N5997" s="3">
        <v>0.73</v>
      </c>
      <c r="O5997" s="3">
        <v>0.27</v>
      </c>
      <c r="P5997">
        <v>8</v>
      </c>
      <c r="Q5997">
        <v>11</v>
      </c>
      <c r="R5997">
        <v>5</v>
      </c>
      <c r="S5997">
        <v>0</v>
      </c>
      <c r="T5997">
        <v>11</v>
      </c>
      <c r="U5997">
        <v>8</v>
      </c>
      <c r="V5997">
        <v>1</v>
      </c>
      <c r="W5997">
        <v>4</v>
      </c>
      <c r="X5997">
        <v>0</v>
      </c>
      <c r="Y5997">
        <v>0</v>
      </c>
      <c r="Z5997">
        <v>0</v>
      </c>
    </row>
    <row r="5998" spans="1:26" x14ac:dyDescent="0.2">
      <c r="A5998" t="s">
        <v>6116</v>
      </c>
      <c r="B5998" t="s">
        <v>59</v>
      </c>
      <c r="C5998">
        <v>2024</v>
      </c>
      <c r="D5998" t="s">
        <v>90</v>
      </c>
      <c r="E5998" t="s">
        <v>42</v>
      </c>
      <c r="F5998" t="s">
        <v>91</v>
      </c>
      <c r="G5998">
        <v>31876</v>
      </c>
      <c r="H5998">
        <v>25500.800000000003</v>
      </c>
      <c r="I5998" s="13">
        <v>0.4</v>
      </c>
      <c r="J5998" t="s">
        <v>6206</v>
      </c>
      <c r="K5998">
        <v>0</v>
      </c>
      <c r="L5998">
        <v>3</v>
      </c>
      <c r="M5998" t="s">
        <v>1</v>
      </c>
      <c r="N5998" s="3">
        <v>0.55000000000000004</v>
      </c>
      <c r="O5998" s="3">
        <v>0.45</v>
      </c>
      <c r="P5998">
        <v>11</v>
      </c>
      <c r="Q5998">
        <v>16</v>
      </c>
      <c r="R5998">
        <v>4</v>
      </c>
      <c r="S5998">
        <v>0</v>
      </c>
      <c r="T5998">
        <v>16</v>
      </c>
      <c r="U5998">
        <v>11</v>
      </c>
      <c r="V5998">
        <v>2</v>
      </c>
      <c r="W5998">
        <v>3</v>
      </c>
      <c r="X5998">
        <v>0</v>
      </c>
      <c r="Y5998">
        <v>0</v>
      </c>
      <c r="Z5998">
        <v>0</v>
      </c>
    </row>
    <row r="5999" spans="1:26" x14ac:dyDescent="0.2">
      <c r="A5999" t="s">
        <v>6117</v>
      </c>
      <c r="B5999" t="s">
        <v>99</v>
      </c>
      <c r="C5999">
        <v>2024</v>
      </c>
      <c r="D5999" t="s">
        <v>86</v>
      </c>
      <c r="E5999" t="s">
        <v>117</v>
      </c>
      <c r="F5999" t="s">
        <v>86</v>
      </c>
      <c r="G5999">
        <v>11364</v>
      </c>
      <c r="H5999">
        <v>9091.2000000000007</v>
      </c>
      <c r="I5999" s="13">
        <v>0.33333333333333331</v>
      </c>
      <c r="J5999" t="s">
        <v>6207</v>
      </c>
      <c r="K5999">
        <v>1</v>
      </c>
      <c r="L5999">
        <v>2</v>
      </c>
      <c r="M5999" t="s">
        <v>1</v>
      </c>
      <c r="N5999" s="3">
        <v>0.64</v>
      </c>
      <c r="O5999" s="3">
        <v>0.36</v>
      </c>
      <c r="P5999">
        <v>15</v>
      </c>
      <c r="Q5999">
        <v>14</v>
      </c>
      <c r="R5999">
        <v>8</v>
      </c>
      <c r="S5999">
        <v>3</v>
      </c>
      <c r="T5999">
        <v>14</v>
      </c>
      <c r="U5999">
        <v>15</v>
      </c>
      <c r="V5999">
        <v>1</v>
      </c>
      <c r="W5999">
        <v>2</v>
      </c>
      <c r="X5999">
        <v>0</v>
      </c>
      <c r="Y5999">
        <v>0</v>
      </c>
      <c r="Z5999">
        <v>0</v>
      </c>
    </row>
    <row r="6000" spans="1:26" x14ac:dyDescent="0.2">
      <c r="A6000" t="s">
        <v>6118</v>
      </c>
      <c r="B6000" t="s">
        <v>111</v>
      </c>
      <c r="C6000">
        <v>2024</v>
      </c>
      <c r="D6000" t="s">
        <v>26</v>
      </c>
      <c r="E6000" t="s">
        <v>45</v>
      </c>
      <c r="F6000" t="s">
        <v>26</v>
      </c>
      <c r="G6000">
        <v>61276</v>
      </c>
      <c r="H6000">
        <v>49020.800000000003</v>
      </c>
      <c r="I6000" s="13">
        <v>0.75</v>
      </c>
      <c r="J6000" t="s">
        <v>6207</v>
      </c>
      <c r="K6000">
        <v>1</v>
      </c>
      <c r="L6000">
        <v>0</v>
      </c>
      <c r="M6000" t="s">
        <v>0</v>
      </c>
      <c r="N6000" s="3">
        <v>0.74</v>
      </c>
      <c r="O6000" s="3">
        <v>0.26</v>
      </c>
      <c r="P6000">
        <v>11</v>
      </c>
      <c r="Q6000">
        <v>7</v>
      </c>
      <c r="R6000">
        <v>11</v>
      </c>
      <c r="S6000">
        <v>5</v>
      </c>
      <c r="T6000">
        <v>7</v>
      </c>
      <c r="U6000">
        <v>11</v>
      </c>
      <c r="V6000">
        <v>2</v>
      </c>
      <c r="W6000">
        <v>2</v>
      </c>
      <c r="X6000">
        <v>0</v>
      </c>
      <c r="Y6000">
        <v>0</v>
      </c>
      <c r="Z6000">
        <v>0</v>
      </c>
    </row>
    <row r="6001" spans="1:26" x14ac:dyDescent="0.2">
      <c r="A6001" t="s">
        <v>6119</v>
      </c>
      <c r="B6001" t="s">
        <v>76</v>
      </c>
      <c r="C6001">
        <v>2024</v>
      </c>
      <c r="D6001" t="s">
        <v>18</v>
      </c>
      <c r="E6001" t="s">
        <v>51</v>
      </c>
      <c r="F6001" t="s">
        <v>20</v>
      </c>
      <c r="G6001">
        <v>40341</v>
      </c>
      <c r="H6001">
        <v>32272.800000000003</v>
      </c>
      <c r="I6001" s="13">
        <v>0.6</v>
      </c>
      <c r="J6001" t="s">
        <v>6207</v>
      </c>
      <c r="K6001">
        <v>1</v>
      </c>
      <c r="L6001">
        <v>0</v>
      </c>
      <c r="M6001" t="s">
        <v>0</v>
      </c>
      <c r="N6001" s="3">
        <v>0.5</v>
      </c>
      <c r="O6001" s="3">
        <v>0.5</v>
      </c>
      <c r="P6001">
        <v>16</v>
      </c>
      <c r="Q6001">
        <v>7</v>
      </c>
      <c r="R6001">
        <v>4</v>
      </c>
      <c r="S6001">
        <v>6</v>
      </c>
      <c r="T6001">
        <v>7</v>
      </c>
      <c r="U6001">
        <v>16</v>
      </c>
      <c r="V6001">
        <v>5</v>
      </c>
      <c r="W6001">
        <v>5</v>
      </c>
      <c r="X6001">
        <v>0</v>
      </c>
      <c r="Y6001">
        <v>0</v>
      </c>
      <c r="Z6001">
        <v>0</v>
      </c>
    </row>
    <row r="6002" spans="1:26" x14ac:dyDescent="0.2">
      <c r="A6002" t="s">
        <v>6120</v>
      </c>
      <c r="B6002" t="s">
        <v>100</v>
      </c>
      <c r="C6002">
        <v>2024</v>
      </c>
      <c r="D6002" t="s">
        <v>45</v>
      </c>
      <c r="E6002" t="s">
        <v>46</v>
      </c>
      <c r="F6002" t="s">
        <v>26</v>
      </c>
      <c r="G6002">
        <v>39572</v>
      </c>
      <c r="H6002">
        <v>31657.600000000002</v>
      </c>
      <c r="I6002" s="13">
        <v>0.75</v>
      </c>
      <c r="J6002" t="s">
        <v>6207</v>
      </c>
      <c r="K6002">
        <v>1</v>
      </c>
      <c r="L6002">
        <v>1</v>
      </c>
      <c r="M6002" t="s">
        <v>58</v>
      </c>
      <c r="N6002" s="3">
        <v>0.28999999999999998</v>
      </c>
      <c r="O6002" s="3">
        <v>0.71</v>
      </c>
      <c r="P6002">
        <v>13</v>
      </c>
      <c r="Q6002">
        <v>17</v>
      </c>
      <c r="R6002">
        <v>3</v>
      </c>
      <c r="S6002">
        <v>8</v>
      </c>
      <c r="T6002">
        <v>17</v>
      </c>
      <c r="U6002">
        <v>13</v>
      </c>
      <c r="V6002">
        <v>3</v>
      </c>
      <c r="W6002">
        <v>1</v>
      </c>
      <c r="X6002">
        <v>0</v>
      </c>
      <c r="Y6002">
        <v>0</v>
      </c>
      <c r="Z6002">
        <v>1</v>
      </c>
    </row>
    <row r="6003" spans="1:26" x14ac:dyDescent="0.2">
      <c r="A6003" t="s">
        <v>6121</v>
      </c>
      <c r="B6003" t="s">
        <v>98</v>
      </c>
      <c r="C6003">
        <v>2024</v>
      </c>
      <c r="D6003" t="s">
        <v>23</v>
      </c>
      <c r="E6003" t="s">
        <v>86</v>
      </c>
      <c r="F6003" t="s">
        <v>20</v>
      </c>
      <c r="G6003">
        <v>62500</v>
      </c>
      <c r="H6003">
        <v>50000</v>
      </c>
      <c r="I6003" s="13">
        <v>0.25</v>
      </c>
      <c r="J6003" t="s">
        <v>6208</v>
      </c>
      <c r="K6003">
        <v>2</v>
      </c>
      <c r="L6003">
        <v>2</v>
      </c>
      <c r="M6003" t="s">
        <v>58</v>
      </c>
      <c r="N6003" s="3">
        <v>0.56000000000000005</v>
      </c>
      <c r="O6003" s="3">
        <v>0.44</v>
      </c>
      <c r="P6003">
        <v>13</v>
      </c>
      <c r="Q6003">
        <v>13</v>
      </c>
      <c r="R6003">
        <v>4</v>
      </c>
      <c r="S6003">
        <v>7</v>
      </c>
      <c r="T6003">
        <v>13</v>
      </c>
      <c r="U6003">
        <v>13</v>
      </c>
      <c r="V6003">
        <v>2</v>
      </c>
      <c r="W6003">
        <v>2</v>
      </c>
      <c r="X6003">
        <v>0</v>
      </c>
      <c r="Y6003">
        <v>0</v>
      </c>
      <c r="Z6003">
        <v>0</v>
      </c>
    </row>
    <row r="6004" spans="1:26" x14ac:dyDescent="0.2">
      <c r="A6004" t="s">
        <v>6122</v>
      </c>
      <c r="B6004" t="s">
        <v>97</v>
      </c>
      <c r="C6004">
        <v>2024</v>
      </c>
      <c r="D6004" t="s">
        <v>117</v>
      </c>
      <c r="E6004" t="s">
        <v>22</v>
      </c>
      <c r="F6004" t="s">
        <v>117</v>
      </c>
      <c r="G6004">
        <v>30056</v>
      </c>
      <c r="H6004">
        <v>24044.800000000003</v>
      </c>
      <c r="I6004" s="13">
        <v>0.75</v>
      </c>
      <c r="J6004" t="s">
        <v>6207</v>
      </c>
      <c r="K6004">
        <v>1</v>
      </c>
      <c r="L6004">
        <v>2</v>
      </c>
      <c r="M6004" t="s">
        <v>1</v>
      </c>
      <c r="N6004" s="3">
        <v>0.44</v>
      </c>
      <c r="O6004" s="3">
        <v>0.56000000000000005</v>
      </c>
      <c r="P6004">
        <v>16</v>
      </c>
      <c r="Q6004">
        <v>12</v>
      </c>
      <c r="R6004">
        <v>4</v>
      </c>
      <c r="S6004">
        <v>8</v>
      </c>
      <c r="T6004">
        <v>12</v>
      </c>
      <c r="U6004">
        <v>16</v>
      </c>
      <c r="V6004">
        <v>2</v>
      </c>
      <c r="W6004">
        <v>2</v>
      </c>
      <c r="X6004">
        <v>0</v>
      </c>
      <c r="Y6004">
        <v>0</v>
      </c>
      <c r="Z6004">
        <v>0</v>
      </c>
    </row>
    <row r="6005" spans="1:26" x14ac:dyDescent="0.2">
      <c r="A6005" t="s">
        <v>6123</v>
      </c>
      <c r="B6005" t="s">
        <v>61</v>
      </c>
      <c r="C6005">
        <v>2024</v>
      </c>
      <c r="D6005" t="s">
        <v>79</v>
      </c>
      <c r="E6005" t="s">
        <v>90</v>
      </c>
      <c r="F6005" t="s">
        <v>20</v>
      </c>
      <c r="G6005">
        <v>25486</v>
      </c>
      <c r="H6005">
        <v>20388.800000000003</v>
      </c>
      <c r="I6005" s="13">
        <v>0.14285714285714285</v>
      </c>
      <c r="J6005" t="s">
        <v>6207</v>
      </c>
      <c r="K6005">
        <v>2</v>
      </c>
      <c r="L6005">
        <v>1</v>
      </c>
      <c r="M6005" t="s">
        <v>0</v>
      </c>
      <c r="N6005" s="3">
        <v>0.38</v>
      </c>
      <c r="O6005" s="3">
        <v>0.62</v>
      </c>
      <c r="P6005">
        <v>13</v>
      </c>
      <c r="Q6005">
        <v>12</v>
      </c>
      <c r="R6005">
        <v>2</v>
      </c>
      <c r="S6005">
        <v>4</v>
      </c>
      <c r="T6005">
        <v>12</v>
      </c>
      <c r="U6005">
        <v>13</v>
      </c>
      <c r="V6005">
        <v>2</v>
      </c>
      <c r="W6005">
        <v>2</v>
      </c>
      <c r="X6005">
        <v>2</v>
      </c>
      <c r="Y6005">
        <v>1</v>
      </c>
      <c r="Z6005">
        <v>0</v>
      </c>
    </row>
    <row r="6006" spans="1:26" x14ac:dyDescent="0.2">
      <c r="A6006" t="s">
        <v>6124</v>
      </c>
      <c r="B6006" t="s">
        <v>84</v>
      </c>
      <c r="C6006">
        <v>2024</v>
      </c>
      <c r="D6006" t="s">
        <v>42</v>
      </c>
      <c r="E6006" t="s">
        <v>94</v>
      </c>
      <c r="F6006" t="s">
        <v>38</v>
      </c>
      <c r="G6006">
        <v>42918</v>
      </c>
      <c r="H6006">
        <v>34334.400000000001</v>
      </c>
      <c r="I6006" s="13">
        <v>0.75</v>
      </c>
      <c r="J6006" t="s">
        <v>6208</v>
      </c>
      <c r="K6006">
        <v>2</v>
      </c>
      <c r="L6006">
        <v>1</v>
      </c>
      <c r="M6006" t="s">
        <v>0</v>
      </c>
      <c r="N6006" s="3">
        <v>0.53</v>
      </c>
      <c r="O6006" s="3">
        <v>0.47</v>
      </c>
      <c r="P6006">
        <v>15</v>
      </c>
      <c r="Q6006">
        <v>7</v>
      </c>
      <c r="R6006">
        <v>4</v>
      </c>
      <c r="S6006">
        <v>4</v>
      </c>
      <c r="T6006">
        <v>7</v>
      </c>
      <c r="U6006">
        <v>15</v>
      </c>
      <c r="V6006">
        <v>2</v>
      </c>
      <c r="W6006">
        <v>2</v>
      </c>
      <c r="X6006">
        <v>0</v>
      </c>
      <c r="Y6006">
        <v>0</v>
      </c>
      <c r="Z6006">
        <v>0</v>
      </c>
    </row>
    <row r="6007" spans="1:26" x14ac:dyDescent="0.2">
      <c r="A6007" t="s">
        <v>6125</v>
      </c>
      <c r="B6007" t="s">
        <v>103</v>
      </c>
      <c r="C6007">
        <v>2024</v>
      </c>
      <c r="D6007" t="s">
        <v>51</v>
      </c>
      <c r="E6007" t="s">
        <v>73</v>
      </c>
      <c r="F6007" t="s">
        <v>20</v>
      </c>
      <c r="G6007">
        <v>36284</v>
      </c>
      <c r="H6007">
        <v>29027.200000000001</v>
      </c>
      <c r="I6007" s="13">
        <v>1</v>
      </c>
      <c r="J6007" t="s">
        <v>6207</v>
      </c>
      <c r="K6007">
        <v>3</v>
      </c>
      <c r="L6007">
        <v>1</v>
      </c>
      <c r="M6007" t="s">
        <v>0</v>
      </c>
      <c r="N6007" s="3">
        <v>0.51</v>
      </c>
      <c r="O6007" s="3">
        <v>0.49</v>
      </c>
      <c r="P6007">
        <v>20</v>
      </c>
      <c r="Q6007">
        <v>16</v>
      </c>
      <c r="R6007">
        <v>4</v>
      </c>
      <c r="S6007">
        <v>1</v>
      </c>
      <c r="T6007">
        <v>16</v>
      </c>
      <c r="U6007">
        <v>20</v>
      </c>
      <c r="V6007">
        <v>1</v>
      </c>
      <c r="W6007">
        <v>1</v>
      </c>
      <c r="X6007">
        <v>0</v>
      </c>
      <c r="Y6007">
        <v>0</v>
      </c>
      <c r="Z6007">
        <v>1</v>
      </c>
    </row>
    <row r="6008" spans="1:26" x14ac:dyDescent="0.2">
      <c r="A6008" t="s">
        <v>6126</v>
      </c>
      <c r="B6008" t="s">
        <v>88</v>
      </c>
      <c r="C6008">
        <v>2024</v>
      </c>
      <c r="D6008" t="s">
        <v>31</v>
      </c>
      <c r="E6008" t="s">
        <v>26</v>
      </c>
      <c r="F6008" t="s">
        <v>20</v>
      </c>
      <c r="G6008">
        <v>28500</v>
      </c>
      <c r="H6008">
        <v>22800</v>
      </c>
      <c r="I6008" s="13">
        <v>0.66666666666666663</v>
      </c>
      <c r="J6008" t="s">
        <v>6207</v>
      </c>
      <c r="K6008">
        <v>3</v>
      </c>
      <c r="L6008">
        <v>2</v>
      </c>
      <c r="M6008" t="s">
        <v>0</v>
      </c>
      <c r="N6008" s="3">
        <v>0.38</v>
      </c>
      <c r="O6008" s="3">
        <v>0.62</v>
      </c>
      <c r="P6008">
        <v>9</v>
      </c>
      <c r="Q6008">
        <v>10</v>
      </c>
      <c r="R6008">
        <v>4</v>
      </c>
      <c r="S6008">
        <v>4</v>
      </c>
      <c r="T6008">
        <v>10</v>
      </c>
      <c r="U6008">
        <v>9</v>
      </c>
      <c r="V6008">
        <v>3</v>
      </c>
      <c r="W6008">
        <v>0</v>
      </c>
      <c r="X6008">
        <v>0</v>
      </c>
      <c r="Y6008">
        <v>0</v>
      </c>
      <c r="Z6008">
        <v>0</v>
      </c>
    </row>
    <row r="6009" spans="1:26" x14ac:dyDescent="0.2">
      <c r="A6009" t="s">
        <v>6127</v>
      </c>
      <c r="B6009" t="s">
        <v>66</v>
      </c>
      <c r="C6009">
        <v>2024</v>
      </c>
      <c r="D6009" t="s">
        <v>101</v>
      </c>
      <c r="E6009" t="s">
        <v>18</v>
      </c>
      <c r="F6009" t="s">
        <v>101</v>
      </c>
      <c r="G6009">
        <v>17250</v>
      </c>
      <c r="H6009">
        <v>13800</v>
      </c>
      <c r="I6009" s="13">
        <v>0.75</v>
      </c>
      <c r="J6009" t="s">
        <v>6207</v>
      </c>
      <c r="K6009">
        <v>0</v>
      </c>
      <c r="L6009">
        <v>0</v>
      </c>
      <c r="M6009" t="s">
        <v>58</v>
      </c>
      <c r="N6009" s="3">
        <v>0.41</v>
      </c>
      <c r="O6009" s="3">
        <v>0.59</v>
      </c>
      <c r="P6009">
        <v>12</v>
      </c>
      <c r="Q6009">
        <v>12</v>
      </c>
      <c r="R6009">
        <v>3</v>
      </c>
      <c r="S6009">
        <v>6</v>
      </c>
      <c r="T6009">
        <v>12</v>
      </c>
      <c r="U6009">
        <v>12</v>
      </c>
      <c r="V6009">
        <v>1</v>
      </c>
      <c r="W6009">
        <v>3</v>
      </c>
      <c r="X6009">
        <v>0</v>
      </c>
      <c r="Y6009">
        <v>0</v>
      </c>
      <c r="Z6009">
        <v>0</v>
      </c>
    </row>
    <row r="6010" spans="1:26" x14ac:dyDescent="0.2">
      <c r="A6010" t="s">
        <v>6128</v>
      </c>
      <c r="B6010" t="s">
        <v>104</v>
      </c>
      <c r="C6010">
        <v>2024</v>
      </c>
      <c r="D6010" t="s">
        <v>48</v>
      </c>
      <c r="E6010" t="s">
        <v>40</v>
      </c>
      <c r="F6010" t="s">
        <v>49</v>
      </c>
      <c r="G6010">
        <v>74197</v>
      </c>
      <c r="H6010">
        <v>59357.600000000006</v>
      </c>
      <c r="I6010" s="13">
        <v>0.8</v>
      </c>
      <c r="J6010" t="s">
        <v>6206</v>
      </c>
      <c r="K6010">
        <v>0</v>
      </c>
      <c r="L6010">
        <v>0</v>
      </c>
      <c r="M6010" t="s">
        <v>58</v>
      </c>
      <c r="N6010" s="3">
        <v>0.42</v>
      </c>
      <c r="O6010" s="3">
        <v>0.57999999999999996</v>
      </c>
      <c r="P6010">
        <v>9</v>
      </c>
      <c r="Q6010">
        <v>13</v>
      </c>
      <c r="R6010">
        <v>5</v>
      </c>
      <c r="S6010">
        <v>3</v>
      </c>
      <c r="T6010">
        <v>13</v>
      </c>
      <c r="U6010">
        <v>9</v>
      </c>
      <c r="V6010">
        <v>3</v>
      </c>
      <c r="W6010">
        <v>2</v>
      </c>
      <c r="X6010">
        <v>0</v>
      </c>
      <c r="Y6010">
        <v>0</v>
      </c>
      <c r="Z6010">
        <v>0</v>
      </c>
    </row>
    <row r="6011" spans="1:26" x14ac:dyDescent="0.2">
      <c r="A6011" t="s">
        <v>6129</v>
      </c>
      <c r="B6011" t="s">
        <v>99</v>
      </c>
      <c r="C6011">
        <v>2024</v>
      </c>
      <c r="D6011" t="s">
        <v>80</v>
      </c>
      <c r="E6011" t="s">
        <v>64</v>
      </c>
      <c r="F6011" t="s">
        <v>80</v>
      </c>
      <c r="G6011">
        <v>32261</v>
      </c>
      <c r="H6011">
        <v>25808.800000000003</v>
      </c>
      <c r="I6011" s="13">
        <v>0.5</v>
      </c>
      <c r="J6011" t="s">
        <v>6207</v>
      </c>
      <c r="K6011">
        <v>0</v>
      </c>
      <c r="L6011">
        <v>3</v>
      </c>
      <c r="M6011" t="s">
        <v>1</v>
      </c>
      <c r="N6011" s="3">
        <v>0.57999999999999996</v>
      </c>
      <c r="O6011" s="3">
        <v>0.42</v>
      </c>
      <c r="P6011">
        <v>9</v>
      </c>
      <c r="Q6011">
        <v>8</v>
      </c>
      <c r="R6011">
        <v>12</v>
      </c>
      <c r="S6011">
        <v>2</v>
      </c>
      <c r="T6011">
        <v>8</v>
      </c>
      <c r="U6011">
        <v>9</v>
      </c>
      <c r="V6011">
        <v>2</v>
      </c>
      <c r="W6011">
        <v>0</v>
      </c>
      <c r="X6011">
        <v>0</v>
      </c>
      <c r="Y6011">
        <v>0</v>
      </c>
      <c r="Z6011">
        <v>0</v>
      </c>
    </row>
    <row r="6012" spans="1:26" x14ac:dyDescent="0.2">
      <c r="A6012" t="s">
        <v>6130</v>
      </c>
      <c r="B6012" t="s">
        <v>102</v>
      </c>
      <c r="C6012">
        <v>2024</v>
      </c>
      <c r="D6012" t="s">
        <v>40</v>
      </c>
      <c r="E6012" t="s">
        <v>79</v>
      </c>
      <c r="F6012" t="s">
        <v>49</v>
      </c>
      <c r="G6012">
        <v>53400</v>
      </c>
      <c r="H6012">
        <v>42720</v>
      </c>
      <c r="I6012" s="13">
        <v>0.8</v>
      </c>
      <c r="J6012" t="s">
        <v>6209</v>
      </c>
      <c r="K6012">
        <v>5</v>
      </c>
      <c r="L6012">
        <v>2</v>
      </c>
      <c r="M6012" t="s">
        <v>0</v>
      </c>
      <c r="N6012" s="3">
        <v>0.68</v>
      </c>
      <c r="O6012" s="3">
        <v>0.32</v>
      </c>
      <c r="P6012">
        <v>16</v>
      </c>
      <c r="Q6012">
        <v>10</v>
      </c>
      <c r="R6012">
        <v>1</v>
      </c>
      <c r="S6012">
        <v>4</v>
      </c>
      <c r="T6012">
        <v>10</v>
      </c>
      <c r="U6012">
        <v>16</v>
      </c>
      <c r="V6012">
        <v>2</v>
      </c>
      <c r="W6012">
        <v>3</v>
      </c>
      <c r="X6012">
        <v>0</v>
      </c>
      <c r="Y6012">
        <v>0</v>
      </c>
      <c r="Z6012">
        <v>0</v>
      </c>
    </row>
    <row r="6013" spans="1:26" x14ac:dyDescent="0.2">
      <c r="A6013" t="s">
        <v>6131</v>
      </c>
      <c r="B6013" t="s">
        <v>107</v>
      </c>
      <c r="C6013">
        <v>2024</v>
      </c>
      <c r="D6013" t="s">
        <v>73</v>
      </c>
      <c r="E6013" t="s">
        <v>42</v>
      </c>
      <c r="F6013" t="s">
        <v>73</v>
      </c>
      <c r="G6013">
        <v>32384</v>
      </c>
      <c r="H6013">
        <v>25907.200000000001</v>
      </c>
      <c r="I6013" s="13">
        <v>0.5</v>
      </c>
      <c r="J6013" t="s">
        <v>6207</v>
      </c>
      <c r="K6013">
        <v>0</v>
      </c>
      <c r="L6013">
        <v>3</v>
      </c>
      <c r="M6013" t="s">
        <v>1</v>
      </c>
      <c r="N6013" s="3">
        <v>0.4</v>
      </c>
      <c r="O6013" s="3">
        <v>0.6</v>
      </c>
      <c r="P6013">
        <v>4</v>
      </c>
      <c r="Q6013">
        <v>11</v>
      </c>
      <c r="R6013">
        <v>2</v>
      </c>
      <c r="S6013">
        <v>13</v>
      </c>
      <c r="T6013">
        <v>11</v>
      </c>
      <c r="U6013">
        <v>4</v>
      </c>
      <c r="V6013">
        <v>3</v>
      </c>
      <c r="W6013">
        <v>1</v>
      </c>
      <c r="X6013">
        <v>0</v>
      </c>
      <c r="Y6013">
        <v>0</v>
      </c>
      <c r="Z6013">
        <v>2</v>
      </c>
    </row>
    <row r="6014" spans="1:26" x14ac:dyDescent="0.2">
      <c r="A6014" t="s">
        <v>6132</v>
      </c>
      <c r="B6014" t="s">
        <v>76</v>
      </c>
      <c r="C6014">
        <v>2024</v>
      </c>
      <c r="D6014" t="s">
        <v>94</v>
      </c>
      <c r="E6014" t="s">
        <v>45</v>
      </c>
      <c r="F6014" t="s">
        <v>106</v>
      </c>
      <c r="G6014">
        <v>30445</v>
      </c>
      <c r="H6014">
        <v>24356</v>
      </c>
      <c r="I6014" s="13">
        <v>0.66666666666666663</v>
      </c>
      <c r="J6014" t="s">
        <v>6207</v>
      </c>
      <c r="K6014">
        <v>0</v>
      </c>
      <c r="L6014">
        <v>1</v>
      </c>
      <c r="M6014" t="s">
        <v>1</v>
      </c>
      <c r="N6014" s="3">
        <v>0.42</v>
      </c>
      <c r="O6014" s="3">
        <v>0.57999999999999996</v>
      </c>
      <c r="P6014">
        <v>13</v>
      </c>
      <c r="Q6014">
        <v>9</v>
      </c>
      <c r="R6014">
        <v>1</v>
      </c>
      <c r="S6014">
        <v>7</v>
      </c>
      <c r="T6014">
        <v>9</v>
      </c>
      <c r="U6014">
        <v>13</v>
      </c>
      <c r="V6014">
        <v>0</v>
      </c>
      <c r="W6014">
        <v>3</v>
      </c>
      <c r="X6014">
        <v>0</v>
      </c>
      <c r="Y6014">
        <v>0</v>
      </c>
      <c r="Z6014">
        <v>0</v>
      </c>
    </row>
    <row r="6015" spans="1:26" x14ac:dyDescent="0.2">
      <c r="A6015" t="s">
        <v>6133</v>
      </c>
      <c r="B6015" t="s">
        <v>108</v>
      </c>
      <c r="C6015">
        <v>2024</v>
      </c>
      <c r="D6015" t="s">
        <v>90</v>
      </c>
      <c r="E6015" t="s">
        <v>80</v>
      </c>
      <c r="F6015" t="s">
        <v>91</v>
      </c>
      <c r="G6015">
        <v>31876</v>
      </c>
      <c r="H6015">
        <v>25500.800000000003</v>
      </c>
      <c r="I6015" s="13">
        <v>0.5714285714285714</v>
      </c>
      <c r="J6015" t="s">
        <v>6207</v>
      </c>
      <c r="K6015">
        <v>2</v>
      </c>
      <c r="L6015">
        <v>2</v>
      </c>
      <c r="M6015" t="s">
        <v>58</v>
      </c>
      <c r="N6015" s="3">
        <v>0.59</v>
      </c>
      <c r="O6015" s="3">
        <v>0.41</v>
      </c>
      <c r="P6015">
        <v>11</v>
      </c>
      <c r="Q6015">
        <v>9</v>
      </c>
      <c r="R6015">
        <v>3</v>
      </c>
      <c r="S6015">
        <v>6</v>
      </c>
      <c r="T6015">
        <v>9</v>
      </c>
      <c r="U6015">
        <v>11</v>
      </c>
      <c r="V6015">
        <v>2</v>
      </c>
      <c r="W6015">
        <v>5</v>
      </c>
      <c r="X6015">
        <v>0</v>
      </c>
      <c r="Y6015">
        <v>0</v>
      </c>
      <c r="Z6015">
        <v>2</v>
      </c>
    </row>
    <row r="6016" spans="1:26" x14ac:dyDescent="0.2">
      <c r="A6016" t="s">
        <v>6134</v>
      </c>
      <c r="B6016" t="s">
        <v>84</v>
      </c>
      <c r="C6016">
        <v>2024</v>
      </c>
      <c r="D6016" t="s">
        <v>46</v>
      </c>
      <c r="E6016" t="s">
        <v>101</v>
      </c>
      <c r="F6016" t="s">
        <v>20</v>
      </c>
      <c r="G6016">
        <v>60704</v>
      </c>
      <c r="H6016">
        <v>48563.200000000004</v>
      </c>
      <c r="I6016" s="13">
        <v>1</v>
      </c>
      <c r="J6016" t="s">
        <v>6208</v>
      </c>
      <c r="K6016">
        <v>1</v>
      </c>
      <c r="L6016">
        <v>1</v>
      </c>
      <c r="M6016" t="s">
        <v>58</v>
      </c>
      <c r="N6016" s="3">
        <v>0.64</v>
      </c>
      <c r="O6016" s="3">
        <v>0.36</v>
      </c>
      <c r="P6016">
        <v>9</v>
      </c>
      <c r="Q6016">
        <v>7</v>
      </c>
      <c r="R6016">
        <v>13</v>
      </c>
      <c r="S6016">
        <v>5</v>
      </c>
      <c r="T6016">
        <v>7</v>
      </c>
      <c r="U6016">
        <v>9</v>
      </c>
      <c r="V6016">
        <v>1</v>
      </c>
      <c r="W6016">
        <v>3</v>
      </c>
      <c r="X6016">
        <v>0</v>
      </c>
      <c r="Y6016">
        <v>0</v>
      </c>
      <c r="Z6016">
        <v>0</v>
      </c>
    </row>
    <row r="6017" spans="1:26" x14ac:dyDescent="0.2">
      <c r="A6017" t="s">
        <v>6135</v>
      </c>
      <c r="B6017" t="s">
        <v>61</v>
      </c>
      <c r="C6017">
        <v>2024</v>
      </c>
      <c r="D6017" t="s">
        <v>22</v>
      </c>
      <c r="E6017" t="s">
        <v>51</v>
      </c>
      <c r="F6017" t="s">
        <v>24</v>
      </c>
      <c r="G6017">
        <v>31750</v>
      </c>
      <c r="H6017">
        <v>25400</v>
      </c>
      <c r="I6017" s="13">
        <v>0.66666666666666663</v>
      </c>
      <c r="J6017" t="s">
        <v>6207</v>
      </c>
      <c r="K6017">
        <v>4</v>
      </c>
      <c r="L6017">
        <v>2</v>
      </c>
      <c r="M6017" t="s">
        <v>0</v>
      </c>
      <c r="N6017" s="3">
        <v>0.38</v>
      </c>
      <c r="O6017" s="3">
        <v>0.62</v>
      </c>
      <c r="P6017">
        <v>15</v>
      </c>
      <c r="Q6017">
        <v>12</v>
      </c>
      <c r="R6017">
        <v>1</v>
      </c>
      <c r="S6017">
        <v>4</v>
      </c>
      <c r="T6017">
        <v>12</v>
      </c>
      <c r="U6017">
        <v>15</v>
      </c>
      <c r="V6017">
        <v>1</v>
      </c>
      <c r="W6017">
        <v>2</v>
      </c>
      <c r="X6017">
        <v>0</v>
      </c>
      <c r="Y6017">
        <v>0</v>
      </c>
      <c r="Z6017">
        <v>0</v>
      </c>
    </row>
    <row r="6018" spans="1:26" x14ac:dyDescent="0.2">
      <c r="A6018" t="s">
        <v>6136</v>
      </c>
      <c r="B6018" t="s">
        <v>92</v>
      </c>
      <c r="C6018">
        <v>2024</v>
      </c>
      <c r="D6018" t="s">
        <v>26</v>
      </c>
      <c r="E6018" t="s">
        <v>23</v>
      </c>
      <c r="F6018" t="s">
        <v>26</v>
      </c>
      <c r="G6018">
        <v>61276</v>
      </c>
      <c r="H6018">
        <v>49020.800000000003</v>
      </c>
      <c r="I6018" s="13">
        <v>1</v>
      </c>
      <c r="J6018" t="s">
        <v>6207</v>
      </c>
      <c r="K6018">
        <v>2</v>
      </c>
      <c r="L6018">
        <v>1</v>
      </c>
      <c r="M6018" t="s">
        <v>0</v>
      </c>
      <c r="N6018" s="3">
        <v>0.55000000000000004</v>
      </c>
      <c r="O6018" s="3">
        <v>0.45</v>
      </c>
      <c r="P6018">
        <v>8</v>
      </c>
      <c r="Q6018">
        <v>15</v>
      </c>
      <c r="R6018">
        <v>10</v>
      </c>
      <c r="S6018">
        <v>3</v>
      </c>
      <c r="T6018">
        <v>15</v>
      </c>
      <c r="U6018">
        <v>8</v>
      </c>
      <c r="V6018">
        <v>0</v>
      </c>
      <c r="W6018">
        <v>2</v>
      </c>
      <c r="X6018">
        <v>0</v>
      </c>
      <c r="Y6018">
        <v>0</v>
      </c>
      <c r="Z6018">
        <v>0</v>
      </c>
    </row>
    <row r="6019" spans="1:26" x14ac:dyDescent="0.2">
      <c r="A6019" t="s">
        <v>6137</v>
      </c>
      <c r="B6019" t="s">
        <v>59</v>
      </c>
      <c r="C6019">
        <v>2024</v>
      </c>
      <c r="D6019" t="s">
        <v>18</v>
      </c>
      <c r="E6019" t="s">
        <v>117</v>
      </c>
      <c r="F6019" t="s">
        <v>20</v>
      </c>
      <c r="G6019">
        <v>40341</v>
      </c>
      <c r="H6019">
        <v>32272.800000000003</v>
      </c>
      <c r="I6019" s="13">
        <v>0.5</v>
      </c>
      <c r="J6019" t="s">
        <v>6206</v>
      </c>
      <c r="K6019">
        <v>2</v>
      </c>
      <c r="L6019">
        <v>2</v>
      </c>
      <c r="M6019" t="s">
        <v>58</v>
      </c>
      <c r="N6019" s="3">
        <v>0.74</v>
      </c>
      <c r="O6019" s="3">
        <v>0.26</v>
      </c>
      <c r="P6019">
        <v>7</v>
      </c>
      <c r="Q6019">
        <v>11</v>
      </c>
      <c r="R6019">
        <v>15</v>
      </c>
      <c r="S6019">
        <v>4</v>
      </c>
      <c r="T6019">
        <v>11</v>
      </c>
      <c r="U6019">
        <v>7</v>
      </c>
      <c r="V6019">
        <v>2</v>
      </c>
      <c r="W6019">
        <v>2</v>
      </c>
      <c r="X6019">
        <v>0</v>
      </c>
      <c r="Y6019">
        <v>0</v>
      </c>
      <c r="Z6019">
        <v>0</v>
      </c>
    </row>
    <row r="6020" spans="1:26" x14ac:dyDescent="0.2">
      <c r="A6020" t="s">
        <v>6138</v>
      </c>
      <c r="B6020" t="s">
        <v>88</v>
      </c>
      <c r="C6020">
        <v>2024</v>
      </c>
      <c r="D6020" t="s">
        <v>64</v>
      </c>
      <c r="E6020" t="s">
        <v>48</v>
      </c>
      <c r="F6020" t="s">
        <v>64</v>
      </c>
      <c r="G6020">
        <v>52264</v>
      </c>
      <c r="H6020">
        <v>41811.200000000004</v>
      </c>
      <c r="I6020" s="13">
        <v>1</v>
      </c>
      <c r="J6020" t="s">
        <v>6207</v>
      </c>
      <c r="K6020">
        <v>4</v>
      </c>
      <c r="L6020">
        <v>1</v>
      </c>
      <c r="M6020" t="s">
        <v>0</v>
      </c>
      <c r="N6020" s="3">
        <v>0.48</v>
      </c>
      <c r="O6020" s="3">
        <v>0.52</v>
      </c>
      <c r="P6020">
        <v>9</v>
      </c>
      <c r="Q6020">
        <v>7</v>
      </c>
      <c r="R6020">
        <v>7</v>
      </c>
      <c r="S6020">
        <v>2</v>
      </c>
      <c r="T6020">
        <v>7</v>
      </c>
      <c r="U6020">
        <v>9</v>
      </c>
      <c r="V6020">
        <v>0</v>
      </c>
      <c r="W6020">
        <v>2</v>
      </c>
      <c r="X6020">
        <v>0</v>
      </c>
      <c r="Y6020">
        <v>0</v>
      </c>
      <c r="Z6020">
        <v>0</v>
      </c>
    </row>
    <row r="6021" spans="1:26" x14ac:dyDescent="0.2">
      <c r="A6021" t="s">
        <v>6139</v>
      </c>
      <c r="B6021" t="s">
        <v>66</v>
      </c>
      <c r="C6021">
        <v>2024</v>
      </c>
      <c r="D6021" t="s">
        <v>86</v>
      </c>
      <c r="E6021" t="s">
        <v>31</v>
      </c>
      <c r="F6021" t="s">
        <v>86</v>
      </c>
      <c r="G6021">
        <v>11364</v>
      </c>
      <c r="H6021">
        <v>9091.2000000000007</v>
      </c>
      <c r="I6021" s="13">
        <v>0.6</v>
      </c>
      <c r="J6021" t="s">
        <v>6207</v>
      </c>
      <c r="K6021">
        <v>1</v>
      </c>
      <c r="L6021">
        <v>0</v>
      </c>
      <c r="M6021" t="s">
        <v>0</v>
      </c>
      <c r="N6021" s="3">
        <v>0.41</v>
      </c>
      <c r="O6021" s="3">
        <v>0.59</v>
      </c>
      <c r="P6021">
        <v>10</v>
      </c>
      <c r="Q6021">
        <v>11</v>
      </c>
      <c r="R6021">
        <v>6</v>
      </c>
      <c r="S6021">
        <v>9</v>
      </c>
      <c r="T6021">
        <v>11</v>
      </c>
      <c r="U6021">
        <v>10</v>
      </c>
      <c r="V6021">
        <v>3</v>
      </c>
      <c r="W6021">
        <v>2</v>
      </c>
      <c r="X6021">
        <v>0</v>
      </c>
      <c r="Y6021">
        <v>0</v>
      </c>
      <c r="Z6021">
        <v>0</v>
      </c>
    </row>
    <row r="6022" spans="1:26" x14ac:dyDescent="0.2">
      <c r="A6022" t="s">
        <v>6140</v>
      </c>
      <c r="B6022" t="s">
        <v>118</v>
      </c>
      <c r="C6022">
        <v>2024</v>
      </c>
      <c r="D6022" t="s">
        <v>23</v>
      </c>
      <c r="E6022" t="s">
        <v>73</v>
      </c>
      <c r="F6022" t="s">
        <v>20</v>
      </c>
      <c r="G6022">
        <v>62500</v>
      </c>
      <c r="H6022">
        <v>50000</v>
      </c>
      <c r="I6022" s="13">
        <v>0.66666666666666663</v>
      </c>
      <c r="J6022" t="s">
        <v>6209</v>
      </c>
      <c r="K6022">
        <v>1</v>
      </c>
      <c r="L6022">
        <v>1</v>
      </c>
      <c r="M6022" t="s">
        <v>58</v>
      </c>
      <c r="N6022" s="3">
        <v>0.51</v>
      </c>
      <c r="O6022" s="3">
        <v>0.49</v>
      </c>
      <c r="P6022">
        <v>13</v>
      </c>
      <c r="Q6022">
        <v>14</v>
      </c>
      <c r="R6022">
        <v>2</v>
      </c>
      <c r="S6022">
        <v>5</v>
      </c>
      <c r="T6022">
        <v>14</v>
      </c>
      <c r="U6022">
        <v>13</v>
      </c>
      <c r="V6022">
        <v>2</v>
      </c>
      <c r="W6022">
        <v>1</v>
      </c>
      <c r="X6022">
        <v>0</v>
      </c>
      <c r="Y6022">
        <v>0</v>
      </c>
      <c r="Z6022">
        <v>0</v>
      </c>
    </row>
    <row r="6023" spans="1:26" x14ac:dyDescent="0.2">
      <c r="A6023" t="s">
        <v>6141</v>
      </c>
      <c r="B6023" t="s">
        <v>84</v>
      </c>
      <c r="C6023">
        <v>2024</v>
      </c>
      <c r="D6023" t="s">
        <v>45</v>
      </c>
      <c r="E6023" t="s">
        <v>40</v>
      </c>
      <c r="F6023" t="s">
        <v>26</v>
      </c>
      <c r="G6023">
        <v>39572</v>
      </c>
      <c r="H6023">
        <v>31657.600000000002</v>
      </c>
      <c r="I6023" s="13">
        <v>0.25</v>
      </c>
      <c r="J6023" t="s">
        <v>6208</v>
      </c>
      <c r="K6023">
        <v>0</v>
      </c>
      <c r="L6023">
        <v>2</v>
      </c>
      <c r="M6023" t="s">
        <v>1</v>
      </c>
      <c r="N6023" s="3">
        <v>0.33</v>
      </c>
      <c r="O6023" s="3">
        <v>0.67</v>
      </c>
      <c r="P6023">
        <v>6</v>
      </c>
      <c r="Q6023">
        <v>7</v>
      </c>
      <c r="R6023">
        <v>2</v>
      </c>
      <c r="S6023">
        <v>5</v>
      </c>
      <c r="T6023">
        <v>7</v>
      </c>
      <c r="U6023">
        <v>6</v>
      </c>
      <c r="V6023">
        <v>4</v>
      </c>
      <c r="W6023">
        <v>0</v>
      </c>
      <c r="X6023">
        <v>0</v>
      </c>
      <c r="Y6023">
        <v>0</v>
      </c>
      <c r="Z6023">
        <v>0</v>
      </c>
    </row>
    <row r="6024" spans="1:26" x14ac:dyDescent="0.2">
      <c r="A6024" t="s">
        <v>6142</v>
      </c>
      <c r="B6024" t="s">
        <v>111</v>
      </c>
      <c r="C6024">
        <v>2024</v>
      </c>
      <c r="D6024" t="s">
        <v>79</v>
      </c>
      <c r="E6024" t="s">
        <v>86</v>
      </c>
      <c r="F6024" t="s">
        <v>20</v>
      </c>
      <c r="G6024">
        <v>25486</v>
      </c>
      <c r="H6024">
        <v>20388.800000000003</v>
      </c>
      <c r="I6024" s="13">
        <v>0.77777777777777779</v>
      </c>
      <c r="J6024" t="s">
        <v>6207</v>
      </c>
      <c r="K6024">
        <v>0</v>
      </c>
      <c r="L6024">
        <v>0</v>
      </c>
      <c r="M6024" t="s">
        <v>58</v>
      </c>
      <c r="N6024" s="3">
        <v>0.27</v>
      </c>
      <c r="O6024" s="3">
        <v>0.73</v>
      </c>
      <c r="P6024">
        <v>10</v>
      </c>
      <c r="Q6024">
        <v>13</v>
      </c>
      <c r="R6024">
        <v>5</v>
      </c>
      <c r="S6024">
        <v>4</v>
      </c>
      <c r="T6024">
        <v>13</v>
      </c>
      <c r="U6024">
        <v>10</v>
      </c>
      <c r="V6024">
        <v>4</v>
      </c>
      <c r="W6024">
        <v>4</v>
      </c>
      <c r="X6024">
        <v>1</v>
      </c>
      <c r="Y6024">
        <v>0</v>
      </c>
      <c r="Z6024">
        <v>0</v>
      </c>
    </row>
    <row r="6025" spans="1:26" x14ac:dyDescent="0.2">
      <c r="A6025" t="s">
        <v>6143</v>
      </c>
      <c r="B6025" t="s">
        <v>98</v>
      </c>
      <c r="C6025">
        <v>2024</v>
      </c>
      <c r="D6025" t="s">
        <v>101</v>
      </c>
      <c r="E6025" t="s">
        <v>90</v>
      </c>
      <c r="F6025" t="s">
        <v>101</v>
      </c>
      <c r="G6025">
        <v>17250</v>
      </c>
      <c r="H6025">
        <v>13800</v>
      </c>
      <c r="I6025" s="13">
        <v>0.8571428571428571</v>
      </c>
      <c r="J6025" t="s">
        <v>6208</v>
      </c>
      <c r="K6025">
        <v>4</v>
      </c>
      <c r="L6025">
        <v>2</v>
      </c>
      <c r="M6025" t="s">
        <v>0</v>
      </c>
      <c r="N6025" s="3">
        <v>0.46</v>
      </c>
      <c r="O6025" s="3">
        <v>0.54</v>
      </c>
      <c r="P6025">
        <v>11</v>
      </c>
      <c r="Q6025">
        <v>7</v>
      </c>
      <c r="R6025">
        <v>4</v>
      </c>
      <c r="S6025">
        <v>7</v>
      </c>
      <c r="T6025">
        <v>7</v>
      </c>
      <c r="U6025">
        <v>11</v>
      </c>
      <c r="V6025">
        <v>3</v>
      </c>
      <c r="W6025">
        <v>3</v>
      </c>
      <c r="X6025">
        <v>0</v>
      </c>
      <c r="Y6025">
        <v>1</v>
      </c>
      <c r="Z6025">
        <v>0</v>
      </c>
    </row>
    <row r="6026" spans="1:26" x14ac:dyDescent="0.2">
      <c r="A6026" t="s">
        <v>6144</v>
      </c>
      <c r="B6026" t="s">
        <v>102</v>
      </c>
      <c r="C6026">
        <v>2024</v>
      </c>
      <c r="D6026" t="s">
        <v>42</v>
      </c>
      <c r="E6026" t="s">
        <v>64</v>
      </c>
      <c r="F6026" t="s">
        <v>38</v>
      </c>
      <c r="G6026">
        <v>42918</v>
      </c>
      <c r="H6026">
        <v>34334.400000000001</v>
      </c>
      <c r="I6026" s="13">
        <v>0.75</v>
      </c>
      <c r="J6026" t="s">
        <v>6209</v>
      </c>
      <c r="K6026">
        <v>4</v>
      </c>
      <c r="L6026">
        <v>1</v>
      </c>
      <c r="M6026" t="s">
        <v>0</v>
      </c>
      <c r="N6026" s="3">
        <v>0.49</v>
      </c>
      <c r="O6026" s="3">
        <v>0.51</v>
      </c>
      <c r="P6026">
        <v>12</v>
      </c>
      <c r="Q6026">
        <v>9</v>
      </c>
      <c r="R6026">
        <v>7</v>
      </c>
      <c r="S6026">
        <v>7</v>
      </c>
      <c r="T6026">
        <v>9</v>
      </c>
      <c r="U6026">
        <v>12</v>
      </c>
      <c r="V6026">
        <v>1</v>
      </c>
      <c r="W6026">
        <v>3</v>
      </c>
      <c r="X6026">
        <v>0</v>
      </c>
      <c r="Y6026">
        <v>0</v>
      </c>
      <c r="Z6026">
        <v>0</v>
      </c>
    </row>
    <row r="6027" spans="1:26" x14ac:dyDescent="0.2">
      <c r="A6027" t="s">
        <v>6145</v>
      </c>
      <c r="B6027" t="s">
        <v>99</v>
      </c>
      <c r="C6027">
        <v>2024</v>
      </c>
      <c r="D6027" t="s">
        <v>48</v>
      </c>
      <c r="E6027" t="s">
        <v>22</v>
      </c>
      <c r="F6027" t="s">
        <v>49</v>
      </c>
      <c r="G6027">
        <v>74197</v>
      </c>
      <c r="H6027">
        <v>59357.600000000006</v>
      </c>
      <c r="I6027" s="13">
        <v>1</v>
      </c>
      <c r="J6027" t="s">
        <v>6207</v>
      </c>
      <c r="K6027">
        <v>0</v>
      </c>
      <c r="L6027">
        <v>1</v>
      </c>
      <c r="M6027" t="s">
        <v>1</v>
      </c>
      <c r="N6027" s="3">
        <v>0.6</v>
      </c>
      <c r="O6027" s="3">
        <v>0.4</v>
      </c>
      <c r="P6027">
        <v>19</v>
      </c>
      <c r="Q6027">
        <v>11</v>
      </c>
      <c r="R6027">
        <v>9</v>
      </c>
      <c r="S6027">
        <v>2</v>
      </c>
      <c r="T6027">
        <v>11</v>
      </c>
      <c r="U6027">
        <v>19</v>
      </c>
      <c r="V6027">
        <v>2</v>
      </c>
      <c r="W6027">
        <v>3</v>
      </c>
      <c r="X6027">
        <v>0</v>
      </c>
      <c r="Y6027">
        <v>0</v>
      </c>
      <c r="Z6027">
        <v>0</v>
      </c>
    </row>
    <row r="6028" spans="1:26" x14ac:dyDescent="0.2">
      <c r="A6028" t="s">
        <v>6146</v>
      </c>
      <c r="B6028" t="s">
        <v>88</v>
      </c>
      <c r="C6028">
        <v>2024</v>
      </c>
      <c r="D6028" t="s">
        <v>117</v>
      </c>
      <c r="E6028" t="s">
        <v>46</v>
      </c>
      <c r="F6028" t="s">
        <v>117</v>
      </c>
      <c r="G6028">
        <v>30056</v>
      </c>
      <c r="H6028">
        <v>24044.800000000003</v>
      </c>
      <c r="I6028" s="13">
        <v>0</v>
      </c>
      <c r="J6028" t="s">
        <v>6207</v>
      </c>
      <c r="K6028">
        <v>0</v>
      </c>
      <c r="L6028">
        <v>4</v>
      </c>
      <c r="M6028" t="s">
        <v>1</v>
      </c>
      <c r="N6028" s="3">
        <v>0.25</v>
      </c>
      <c r="O6028" s="3">
        <v>0.75</v>
      </c>
      <c r="P6028">
        <v>7</v>
      </c>
      <c r="Q6028">
        <v>10</v>
      </c>
      <c r="R6028">
        <v>0</v>
      </c>
      <c r="S6028">
        <v>12</v>
      </c>
      <c r="T6028">
        <v>10</v>
      </c>
      <c r="U6028">
        <v>7</v>
      </c>
      <c r="V6028">
        <v>0</v>
      </c>
      <c r="W6028">
        <v>0</v>
      </c>
      <c r="X6028">
        <v>1</v>
      </c>
      <c r="Y6028">
        <v>0</v>
      </c>
      <c r="Z6028">
        <v>0</v>
      </c>
    </row>
    <row r="6029" spans="1:26" x14ac:dyDescent="0.2">
      <c r="A6029" t="s">
        <v>6147</v>
      </c>
      <c r="B6029" t="s">
        <v>61</v>
      </c>
      <c r="C6029">
        <v>2024</v>
      </c>
      <c r="D6029" t="s">
        <v>31</v>
      </c>
      <c r="E6029" t="s">
        <v>18</v>
      </c>
      <c r="F6029" t="s">
        <v>20</v>
      </c>
      <c r="G6029">
        <v>28500</v>
      </c>
      <c r="H6029">
        <v>22800</v>
      </c>
      <c r="I6029" s="13">
        <v>0.6</v>
      </c>
      <c r="J6029" t="s">
        <v>6207</v>
      </c>
      <c r="K6029">
        <v>1</v>
      </c>
      <c r="L6029">
        <v>2</v>
      </c>
      <c r="M6029" t="s">
        <v>1</v>
      </c>
      <c r="N6029" s="3">
        <v>0.4</v>
      </c>
      <c r="O6029" s="3">
        <v>0.6</v>
      </c>
      <c r="P6029">
        <v>9</v>
      </c>
      <c r="Q6029">
        <v>13</v>
      </c>
      <c r="R6029">
        <v>5</v>
      </c>
      <c r="S6029">
        <v>4</v>
      </c>
      <c r="T6029">
        <v>13</v>
      </c>
      <c r="U6029">
        <v>9</v>
      </c>
      <c r="V6029">
        <v>1</v>
      </c>
      <c r="W6029">
        <v>4</v>
      </c>
      <c r="X6029">
        <v>0</v>
      </c>
      <c r="Y6029">
        <v>0</v>
      </c>
      <c r="Z6029">
        <v>0</v>
      </c>
    </row>
    <row r="6030" spans="1:26" x14ac:dyDescent="0.2">
      <c r="A6030" t="s">
        <v>6148</v>
      </c>
      <c r="B6030" t="s">
        <v>59</v>
      </c>
      <c r="C6030">
        <v>2024</v>
      </c>
      <c r="D6030" t="s">
        <v>80</v>
      </c>
      <c r="E6030" t="s">
        <v>26</v>
      </c>
      <c r="F6030" t="s">
        <v>80</v>
      </c>
      <c r="G6030">
        <v>32261</v>
      </c>
      <c r="H6030">
        <v>25808.800000000003</v>
      </c>
      <c r="I6030" s="13">
        <v>0.33333333333333331</v>
      </c>
      <c r="J6030" t="s">
        <v>6206</v>
      </c>
      <c r="K6030">
        <v>0</v>
      </c>
      <c r="L6030">
        <v>1</v>
      </c>
      <c r="M6030" t="s">
        <v>1</v>
      </c>
      <c r="N6030" s="3">
        <v>0.42</v>
      </c>
      <c r="O6030" s="3">
        <v>0.57999999999999996</v>
      </c>
      <c r="P6030">
        <v>7</v>
      </c>
      <c r="Q6030">
        <v>11</v>
      </c>
      <c r="R6030">
        <v>1</v>
      </c>
      <c r="S6030">
        <v>13</v>
      </c>
      <c r="T6030">
        <v>11</v>
      </c>
      <c r="U6030">
        <v>7</v>
      </c>
      <c r="V6030">
        <v>1</v>
      </c>
      <c r="W6030">
        <v>2</v>
      </c>
      <c r="X6030">
        <v>0</v>
      </c>
      <c r="Y6030">
        <v>0</v>
      </c>
      <c r="Z6030">
        <v>0</v>
      </c>
    </row>
    <row r="6031" spans="1:26" x14ac:dyDescent="0.2">
      <c r="A6031" t="s">
        <v>6149</v>
      </c>
      <c r="B6031" t="s">
        <v>97</v>
      </c>
      <c r="C6031">
        <v>2024</v>
      </c>
      <c r="D6031" t="s">
        <v>51</v>
      </c>
      <c r="E6031" t="s">
        <v>94</v>
      </c>
      <c r="F6031" t="s">
        <v>20</v>
      </c>
      <c r="G6031">
        <v>36284</v>
      </c>
      <c r="H6031">
        <v>29027.200000000001</v>
      </c>
      <c r="I6031" s="13">
        <v>0.4</v>
      </c>
      <c r="J6031" t="s">
        <v>6207</v>
      </c>
      <c r="K6031">
        <v>1</v>
      </c>
      <c r="L6031">
        <v>2</v>
      </c>
      <c r="M6031" t="s">
        <v>1</v>
      </c>
      <c r="N6031" s="3">
        <v>0.7</v>
      </c>
      <c r="O6031" s="3">
        <v>0.3</v>
      </c>
      <c r="P6031">
        <v>12</v>
      </c>
      <c r="Q6031">
        <v>11</v>
      </c>
      <c r="R6031">
        <v>7</v>
      </c>
      <c r="S6031">
        <v>1</v>
      </c>
      <c r="T6031">
        <v>11</v>
      </c>
      <c r="U6031">
        <v>12</v>
      </c>
      <c r="V6031">
        <v>1</v>
      </c>
      <c r="W6031">
        <v>4</v>
      </c>
      <c r="X6031">
        <v>0</v>
      </c>
      <c r="Y6031">
        <v>0</v>
      </c>
      <c r="Z6031">
        <v>0</v>
      </c>
    </row>
    <row r="6032" spans="1:26" x14ac:dyDescent="0.2">
      <c r="A6032" t="s">
        <v>6150</v>
      </c>
      <c r="B6032" t="s">
        <v>76</v>
      </c>
      <c r="C6032">
        <v>2024</v>
      </c>
      <c r="D6032" t="s">
        <v>40</v>
      </c>
      <c r="E6032" t="s">
        <v>42</v>
      </c>
      <c r="F6032" t="s">
        <v>49</v>
      </c>
      <c r="G6032">
        <v>53400</v>
      </c>
      <c r="H6032">
        <v>42720</v>
      </c>
      <c r="I6032" s="13">
        <v>0.5714285714285714</v>
      </c>
      <c r="J6032" t="s">
        <v>6207</v>
      </c>
      <c r="K6032">
        <v>2</v>
      </c>
      <c r="L6032">
        <v>1</v>
      </c>
      <c r="M6032" t="s">
        <v>0</v>
      </c>
      <c r="N6032" s="3">
        <v>0.62</v>
      </c>
      <c r="O6032" s="3">
        <v>0.38</v>
      </c>
      <c r="P6032">
        <v>10</v>
      </c>
      <c r="Q6032">
        <v>9</v>
      </c>
      <c r="R6032">
        <v>10</v>
      </c>
      <c r="S6032">
        <v>2</v>
      </c>
      <c r="T6032">
        <v>9</v>
      </c>
      <c r="U6032">
        <v>10</v>
      </c>
      <c r="V6032">
        <v>4</v>
      </c>
      <c r="W6032">
        <v>3</v>
      </c>
      <c r="X6032">
        <v>0</v>
      </c>
      <c r="Y6032">
        <v>0</v>
      </c>
      <c r="Z6032">
        <v>1</v>
      </c>
    </row>
    <row r="6033" spans="1:26" x14ac:dyDescent="0.2">
      <c r="A6033" t="s">
        <v>6151</v>
      </c>
      <c r="B6033" t="s">
        <v>103</v>
      </c>
      <c r="C6033">
        <v>2024</v>
      </c>
      <c r="D6033" t="s">
        <v>46</v>
      </c>
      <c r="E6033" t="s">
        <v>79</v>
      </c>
      <c r="F6033" t="s">
        <v>20</v>
      </c>
      <c r="G6033">
        <v>60704</v>
      </c>
      <c r="H6033">
        <v>48563.200000000004</v>
      </c>
      <c r="I6033" s="13">
        <v>0</v>
      </c>
      <c r="J6033" t="s">
        <v>6207</v>
      </c>
      <c r="K6033">
        <v>2</v>
      </c>
      <c r="L6033">
        <v>2</v>
      </c>
      <c r="M6033" t="s">
        <v>58</v>
      </c>
      <c r="N6033" s="3">
        <v>0.68</v>
      </c>
      <c r="O6033" s="3">
        <v>0.32</v>
      </c>
      <c r="P6033">
        <v>6</v>
      </c>
      <c r="Q6033">
        <v>4</v>
      </c>
      <c r="R6033">
        <v>3</v>
      </c>
      <c r="S6033">
        <v>6</v>
      </c>
      <c r="T6033">
        <v>4</v>
      </c>
      <c r="U6033">
        <v>6</v>
      </c>
      <c r="V6033">
        <v>1</v>
      </c>
      <c r="W6033">
        <v>1</v>
      </c>
      <c r="X6033">
        <v>0</v>
      </c>
      <c r="Y6033">
        <v>0</v>
      </c>
      <c r="Z6033">
        <v>0</v>
      </c>
    </row>
    <row r="6034" spans="1:26" x14ac:dyDescent="0.2">
      <c r="A6034" t="s">
        <v>6152</v>
      </c>
      <c r="B6034" t="s">
        <v>88</v>
      </c>
      <c r="C6034">
        <v>2024</v>
      </c>
      <c r="D6034" t="s">
        <v>18</v>
      </c>
      <c r="E6034" t="s">
        <v>45</v>
      </c>
      <c r="F6034" t="s">
        <v>20</v>
      </c>
      <c r="G6034">
        <v>40341</v>
      </c>
      <c r="H6034">
        <v>32272.800000000003</v>
      </c>
      <c r="I6034" s="13">
        <v>0</v>
      </c>
      <c r="J6034" t="s">
        <v>6207</v>
      </c>
      <c r="K6034">
        <v>1</v>
      </c>
      <c r="L6034">
        <v>0</v>
      </c>
      <c r="M6034" t="s">
        <v>0</v>
      </c>
      <c r="N6034" s="3">
        <v>0.55000000000000004</v>
      </c>
      <c r="O6034" s="3">
        <v>0.45</v>
      </c>
      <c r="P6034">
        <v>10</v>
      </c>
      <c r="Q6034">
        <v>11</v>
      </c>
      <c r="R6034">
        <v>10</v>
      </c>
      <c r="S6034">
        <v>2</v>
      </c>
      <c r="T6034">
        <v>11</v>
      </c>
      <c r="U6034">
        <v>10</v>
      </c>
      <c r="V6034">
        <v>0</v>
      </c>
      <c r="W6034">
        <v>0</v>
      </c>
      <c r="X6034">
        <v>0</v>
      </c>
      <c r="Y6034">
        <v>0</v>
      </c>
      <c r="Z6034">
        <v>0</v>
      </c>
    </row>
    <row r="6035" spans="1:26" x14ac:dyDescent="0.2">
      <c r="A6035" t="s">
        <v>6153</v>
      </c>
      <c r="B6035" t="s">
        <v>111</v>
      </c>
      <c r="C6035">
        <v>2024</v>
      </c>
      <c r="D6035" t="s">
        <v>22</v>
      </c>
      <c r="E6035" t="s">
        <v>80</v>
      </c>
      <c r="F6035" t="s">
        <v>24</v>
      </c>
      <c r="G6035">
        <v>31750</v>
      </c>
      <c r="H6035">
        <v>25400</v>
      </c>
      <c r="I6035" s="13">
        <v>0.8</v>
      </c>
      <c r="J6035" t="s">
        <v>6207</v>
      </c>
      <c r="K6035">
        <v>3</v>
      </c>
      <c r="L6035">
        <v>0</v>
      </c>
      <c r="M6035" t="s">
        <v>0</v>
      </c>
      <c r="N6035" s="3">
        <v>0.56000000000000005</v>
      </c>
      <c r="O6035" s="3">
        <v>0.44</v>
      </c>
      <c r="P6035">
        <v>17</v>
      </c>
      <c r="Q6035">
        <v>7</v>
      </c>
      <c r="R6035">
        <v>4</v>
      </c>
      <c r="S6035">
        <v>2</v>
      </c>
      <c r="T6035">
        <v>7</v>
      </c>
      <c r="U6035">
        <v>17</v>
      </c>
      <c r="V6035">
        <v>1</v>
      </c>
      <c r="W6035">
        <v>4</v>
      </c>
      <c r="X6035">
        <v>0</v>
      </c>
      <c r="Y6035">
        <v>0</v>
      </c>
      <c r="Z6035">
        <v>1</v>
      </c>
    </row>
    <row r="6036" spans="1:26" x14ac:dyDescent="0.2">
      <c r="A6036" t="s">
        <v>6154</v>
      </c>
      <c r="B6036" t="s">
        <v>105</v>
      </c>
      <c r="C6036">
        <v>2024</v>
      </c>
      <c r="D6036" t="s">
        <v>73</v>
      </c>
      <c r="E6036" t="s">
        <v>31</v>
      </c>
      <c r="F6036" t="s">
        <v>73</v>
      </c>
      <c r="G6036">
        <v>32384</v>
      </c>
      <c r="H6036">
        <v>25907.200000000001</v>
      </c>
      <c r="I6036" s="13">
        <v>1</v>
      </c>
      <c r="J6036" t="s">
        <v>6207</v>
      </c>
      <c r="K6036">
        <v>1</v>
      </c>
      <c r="L6036">
        <v>2</v>
      </c>
      <c r="M6036" t="s">
        <v>1</v>
      </c>
      <c r="N6036" s="3">
        <v>0.36</v>
      </c>
      <c r="O6036" s="3">
        <v>0.64</v>
      </c>
      <c r="P6036">
        <v>12</v>
      </c>
      <c r="Q6036">
        <v>10</v>
      </c>
      <c r="R6036">
        <v>0</v>
      </c>
      <c r="S6036">
        <v>13</v>
      </c>
      <c r="T6036">
        <v>10</v>
      </c>
      <c r="U6036">
        <v>12</v>
      </c>
      <c r="V6036">
        <v>1</v>
      </c>
      <c r="W6036">
        <v>1</v>
      </c>
      <c r="X6036">
        <v>0</v>
      </c>
      <c r="Y6036">
        <v>0</v>
      </c>
      <c r="Z6036">
        <v>0</v>
      </c>
    </row>
    <row r="6037" spans="1:26" x14ac:dyDescent="0.2">
      <c r="A6037" t="s">
        <v>6155</v>
      </c>
      <c r="B6037" t="s">
        <v>103</v>
      </c>
      <c r="C6037">
        <v>2024</v>
      </c>
      <c r="D6037" t="s">
        <v>64</v>
      </c>
      <c r="E6037" t="s">
        <v>117</v>
      </c>
      <c r="F6037" t="s">
        <v>64</v>
      </c>
      <c r="G6037">
        <v>52264</v>
      </c>
      <c r="H6037">
        <v>41811.200000000004</v>
      </c>
      <c r="I6037" s="13">
        <v>0</v>
      </c>
      <c r="J6037" t="s">
        <v>6207</v>
      </c>
      <c r="K6037">
        <v>3</v>
      </c>
      <c r="L6037">
        <v>0</v>
      </c>
      <c r="M6037" t="s">
        <v>0</v>
      </c>
      <c r="N6037" s="3">
        <v>0.78</v>
      </c>
      <c r="O6037" s="3">
        <v>0.22</v>
      </c>
      <c r="P6037">
        <v>9</v>
      </c>
      <c r="Q6037">
        <v>9</v>
      </c>
      <c r="R6037">
        <v>11</v>
      </c>
      <c r="S6037">
        <v>2</v>
      </c>
      <c r="T6037">
        <v>9</v>
      </c>
      <c r="U6037">
        <v>9</v>
      </c>
      <c r="V6037">
        <v>1</v>
      </c>
      <c r="W6037">
        <v>3</v>
      </c>
      <c r="X6037">
        <v>0</v>
      </c>
      <c r="Y6037">
        <v>1</v>
      </c>
      <c r="Z6037">
        <v>1</v>
      </c>
    </row>
    <row r="6038" spans="1:26" x14ac:dyDescent="0.2">
      <c r="A6038" t="s">
        <v>6156</v>
      </c>
      <c r="B6038" t="s">
        <v>100</v>
      </c>
      <c r="C6038">
        <v>2024</v>
      </c>
      <c r="D6038" t="s">
        <v>90</v>
      </c>
      <c r="E6038" t="s">
        <v>23</v>
      </c>
      <c r="F6038" t="s">
        <v>91</v>
      </c>
      <c r="G6038">
        <v>31876</v>
      </c>
      <c r="H6038">
        <v>25500.800000000003</v>
      </c>
      <c r="I6038" s="13">
        <v>0.66666666666666663</v>
      </c>
      <c r="J6038" t="s">
        <v>6207</v>
      </c>
      <c r="K6038">
        <v>3</v>
      </c>
      <c r="L6038">
        <v>2</v>
      </c>
      <c r="M6038" t="s">
        <v>0</v>
      </c>
      <c r="N6038" s="3">
        <v>0.53</v>
      </c>
      <c r="O6038" s="3">
        <v>0.47</v>
      </c>
      <c r="P6038">
        <v>9</v>
      </c>
      <c r="Q6038">
        <v>7</v>
      </c>
      <c r="R6038">
        <v>8</v>
      </c>
      <c r="S6038">
        <v>1</v>
      </c>
      <c r="T6038">
        <v>7</v>
      </c>
      <c r="U6038">
        <v>9</v>
      </c>
      <c r="V6038">
        <v>2</v>
      </c>
      <c r="W6038">
        <v>1</v>
      </c>
      <c r="X6038">
        <v>0</v>
      </c>
      <c r="Y6038">
        <v>0</v>
      </c>
      <c r="Z6038">
        <v>0</v>
      </c>
    </row>
    <row r="6039" spans="1:26" x14ac:dyDescent="0.2">
      <c r="A6039" t="s">
        <v>6157</v>
      </c>
      <c r="B6039" t="s">
        <v>97</v>
      </c>
      <c r="C6039">
        <v>2024</v>
      </c>
      <c r="D6039" t="s">
        <v>86</v>
      </c>
      <c r="E6039" t="s">
        <v>48</v>
      </c>
      <c r="F6039" t="s">
        <v>86</v>
      </c>
      <c r="G6039">
        <v>11364</v>
      </c>
      <c r="H6039">
        <v>9091.2000000000007</v>
      </c>
      <c r="I6039" s="13">
        <v>0.7142857142857143</v>
      </c>
      <c r="J6039" t="s">
        <v>6207</v>
      </c>
      <c r="K6039">
        <v>1</v>
      </c>
      <c r="L6039">
        <v>1</v>
      </c>
      <c r="M6039" t="s">
        <v>58</v>
      </c>
      <c r="N6039" s="3">
        <v>0.39</v>
      </c>
      <c r="O6039" s="3">
        <v>0.61</v>
      </c>
      <c r="P6039">
        <v>12</v>
      </c>
      <c r="Q6039">
        <v>11</v>
      </c>
      <c r="R6039">
        <v>5</v>
      </c>
      <c r="S6039">
        <v>10</v>
      </c>
      <c r="T6039">
        <v>11</v>
      </c>
      <c r="U6039">
        <v>12</v>
      </c>
      <c r="V6039">
        <v>4</v>
      </c>
      <c r="W6039">
        <v>2</v>
      </c>
      <c r="X6039">
        <v>1</v>
      </c>
      <c r="Y6039">
        <v>0</v>
      </c>
      <c r="Z6039">
        <v>0</v>
      </c>
    </row>
    <row r="6040" spans="1:26" x14ac:dyDescent="0.2">
      <c r="A6040" t="s">
        <v>6158</v>
      </c>
      <c r="B6040" t="s">
        <v>107</v>
      </c>
      <c r="C6040">
        <v>2024</v>
      </c>
      <c r="D6040" t="s">
        <v>26</v>
      </c>
      <c r="E6040" t="s">
        <v>51</v>
      </c>
      <c r="F6040" t="s">
        <v>26</v>
      </c>
      <c r="G6040">
        <v>61276</v>
      </c>
      <c r="H6040">
        <v>49020.800000000003</v>
      </c>
      <c r="I6040" s="13">
        <v>0.66666666666666663</v>
      </c>
      <c r="J6040" t="s">
        <v>6207</v>
      </c>
      <c r="K6040">
        <v>5</v>
      </c>
      <c r="L6040">
        <v>1</v>
      </c>
      <c r="M6040" t="s">
        <v>0</v>
      </c>
      <c r="N6040" s="3">
        <v>0.63</v>
      </c>
      <c r="O6040" s="3">
        <v>0.37</v>
      </c>
      <c r="P6040">
        <v>9</v>
      </c>
      <c r="Q6040">
        <v>16</v>
      </c>
      <c r="R6040">
        <v>8</v>
      </c>
      <c r="S6040">
        <v>2</v>
      </c>
      <c r="T6040">
        <v>16</v>
      </c>
      <c r="U6040">
        <v>9</v>
      </c>
      <c r="V6040">
        <v>2</v>
      </c>
      <c r="W6040">
        <v>1</v>
      </c>
      <c r="X6040">
        <v>0</v>
      </c>
      <c r="Y6040">
        <v>0</v>
      </c>
      <c r="Z6040">
        <v>0</v>
      </c>
    </row>
    <row r="6041" spans="1:26" x14ac:dyDescent="0.2">
      <c r="A6041" t="s">
        <v>6159</v>
      </c>
      <c r="B6041" t="s">
        <v>100</v>
      </c>
      <c r="C6041">
        <v>2024</v>
      </c>
      <c r="D6041" t="s">
        <v>94</v>
      </c>
      <c r="E6041" t="s">
        <v>101</v>
      </c>
      <c r="F6041" t="s">
        <v>106</v>
      </c>
      <c r="G6041">
        <v>30445</v>
      </c>
      <c r="H6041">
        <v>24356</v>
      </c>
      <c r="I6041" s="13">
        <v>0.5</v>
      </c>
      <c r="J6041" t="s">
        <v>6207</v>
      </c>
      <c r="K6041">
        <v>0</v>
      </c>
      <c r="L6041">
        <v>2</v>
      </c>
      <c r="M6041" t="s">
        <v>1</v>
      </c>
      <c r="N6041" s="3">
        <v>0.55000000000000004</v>
      </c>
      <c r="O6041" s="3">
        <v>0.45</v>
      </c>
      <c r="P6041">
        <v>12</v>
      </c>
      <c r="Q6041">
        <v>10</v>
      </c>
      <c r="R6041">
        <v>4</v>
      </c>
      <c r="S6041">
        <v>5</v>
      </c>
      <c r="T6041">
        <v>10</v>
      </c>
      <c r="U6041">
        <v>12</v>
      </c>
      <c r="V6041">
        <v>3</v>
      </c>
      <c r="W6041">
        <v>5</v>
      </c>
      <c r="X6041">
        <v>0</v>
      </c>
      <c r="Y6041">
        <v>0</v>
      </c>
      <c r="Z6041">
        <v>0</v>
      </c>
    </row>
    <row r="6042" spans="1:26" x14ac:dyDescent="0.2">
      <c r="A6042" t="s">
        <v>6160</v>
      </c>
      <c r="B6042" t="s">
        <v>97</v>
      </c>
      <c r="C6042">
        <v>2024</v>
      </c>
      <c r="D6042" t="s">
        <v>40</v>
      </c>
      <c r="E6042" t="s">
        <v>22</v>
      </c>
      <c r="F6042" t="s">
        <v>49</v>
      </c>
      <c r="G6042">
        <v>53400</v>
      </c>
      <c r="H6042">
        <v>42720</v>
      </c>
      <c r="I6042" s="13">
        <v>0</v>
      </c>
      <c r="J6042" t="s">
        <v>6207</v>
      </c>
      <c r="K6042">
        <v>1</v>
      </c>
      <c r="L6042">
        <v>0</v>
      </c>
      <c r="M6042" t="s">
        <v>0</v>
      </c>
      <c r="N6042" s="3">
        <v>0.64</v>
      </c>
      <c r="O6042" s="3">
        <v>0.36</v>
      </c>
      <c r="P6042">
        <v>11</v>
      </c>
      <c r="Q6042">
        <v>7</v>
      </c>
      <c r="R6042">
        <v>4</v>
      </c>
      <c r="S6042">
        <v>5</v>
      </c>
      <c r="T6042">
        <v>7</v>
      </c>
      <c r="U6042">
        <v>11</v>
      </c>
      <c r="V6042">
        <v>0</v>
      </c>
      <c r="W6042">
        <v>0</v>
      </c>
      <c r="X6042">
        <v>0</v>
      </c>
      <c r="Y6042">
        <v>0</v>
      </c>
      <c r="Z6042">
        <v>0</v>
      </c>
    </row>
    <row r="6043" spans="1:26" x14ac:dyDescent="0.2">
      <c r="A6043" t="s">
        <v>6161</v>
      </c>
      <c r="B6043" t="s">
        <v>99</v>
      </c>
      <c r="C6043">
        <v>2024</v>
      </c>
      <c r="D6043" t="s">
        <v>42</v>
      </c>
      <c r="E6043" t="s">
        <v>31</v>
      </c>
      <c r="F6043" t="s">
        <v>38</v>
      </c>
      <c r="G6043">
        <v>42918</v>
      </c>
      <c r="H6043">
        <v>34334.400000000001</v>
      </c>
      <c r="I6043" s="13">
        <v>0.66666666666666663</v>
      </c>
      <c r="J6043" t="s">
        <v>6207</v>
      </c>
      <c r="K6043">
        <v>1</v>
      </c>
      <c r="L6043">
        <v>0</v>
      </c>
      <c r="M6043" t="s">
        <v>0</v>
      </c>
      <c r="N6043" s="3">
        <v>0.52</v>
      </c>
      <c r="O6043" s="3">
        <v>0.48</v>
      </c>
      <c r="P6043">
        <v>17</v>
      </c>
      <c r="Q6043">
        <v>6</v>
      </c>
      <c r="R6043">
        <v>5</v>
      </c>
      <c r="S6043">
        <v>3</v>
      </c>
      <c r="T6043">
        <v>6</v>
      </c>
      <c r="U6043">
        <v>17</v>
      </c>
      <c r="V6043">
        <v>0</v>
      </c>
      <c r="W6043">
        <v>6</v>
      </c>
      <c r="X6043">
        <v>0</v>
      </c>
      <c r="Y6043">
        <v>0</v>
      </c>
      <c r="Z6043">
        <v>0</v>
      </c>
    </row>
    <row r="6044" spans="1:26" x14ac:dyDescent="0.2">
      <c r="A6044" t="s">
        <v>6162</v>
      </c>
      <c r="B6044" t="s">
        <v>75</v>
      </c>
      <c r="C6044">
        <v>2024</v>
      </c>
      <c r="D6044" t="s">
        <v>80</v>
      </c>
      <c r="E6044" t="s">
        <v>73</v>
      </c>
      <c r="F6044" t="s">
        <v>80</v>
      </c>
      <c r="G6044">
        <v>32261</v>
      </c>
      <c r="H6044">
        <v>25808.800000000003</v>
      </c>
      <c r="I6044" s="13">
        <v>0.5</v>
      </c>
      <c r="J6044" t="s">
        <v>6209</v>
      </c>
      <c r="K6044">
        <v>2</v>
      </c>
      <c r="L6044">
        <v>0</v>
      </c>
      <c r="M6044" t="s">
        <v>0</v>
      </c>
      <c r="N6044" s="3">
        <v>0.49</v>
      </c>
      <c r="O6044" s="3">
        <v>0.51</v>
      </c>
      <c r="P6044">
        <v>13</v>
      </c>
      <c r="Q6044">
        <v>12</v>
      </c>
      <c r="R6044">
        <v>6</v>
      </c>
      <c r="S6044">
        <v>7</v>
      </c>
      <c r="T6044">
        <v>12</v>
      </c>
      <c r="U6044">
        <v>13</v>
      </c>
      <c r="V6044">
        <v>1</v>
      </c>
      <c r="W6044">
        <v>3</v>
      </c>
      <c r="X6044">
        <v>0</v>
      </c>
      <c r="Y6044">
        <v>0</v>
      </c>
      <c r="Z6044">
        <v>0</v>
      </c>
    </row>
    <row r="6045" spans="1:26" x14ac:dyDescent="0.2">
      <c r="A6045" t="s">
        <v>6163</v>
      </c>
      <c r="B6045" t="s">
        <v>114</v>
      </c>
      <c r="C6045">
        <v>2024</v>
      </c>
      <c r="D6045" t="s">
        <v>45</v>
      </c>
      <c r="E6045" t="s">
        <v>117</v>
      </c>
      <c r="F6045" t="s">
        <v>26</v>
      </c>
      <c r="G6045">
        <v>39572</v>
      </c>
      <c r="H6045">
        <v>31657.600000000002</v>
      </c>
      <c r="I6045" s="13">
        <v>0.5</v>
      </c>
      <c r="J6045" t="s">
        <v>6209</v>
      </c>
      <c r="K6045">
        <v>2</v>
      </c>
      <c r="L6045">
        <v>2</v>
      </c>
      <c r="M6045" t="s">
        <v>58</v>
      </c>
      <c r="N6045" s="3">
        <v>0.56999999999999995</v>
      </c>
      <c r="O6045" s="3">
        <v>0.43</v>
      </c>
      <c r="P6045">
        <v>15</v>
      </c>
      <c r="Q6045">
        <v>12</v>
      </c>
      <c r="R6045">
        <v>2</v>
      </c>
      <c r="S6045">
        <v>3</v>
      </c>
      <c r="T6045">
        <v>12</v>
      </c>
      <c r="U6045">
        <v>15</v>
      </c>
      <c r="V6045">
        <v>4</v>
      </c>
      <c r="W6045">
        <v>4</v>
      </c>
      <c r="X6045">
        <v>0</v>
      </c>
      <c r="Y6045">
        <v>0</v>
      </c>
      <c r="Z6045">
        <v>0</v>
      </c>
    </row>
    <row r="6046" spans="1:26" x14ac:dyDescent="0.2">
      <c r="A6046" t="s">
        <v>6164</v>
      </c>
      <c r="B6046" t="s">
        <v>102</v>
      </c>
      <c r="C6046">
        <v>2024</v>
      </c>
      <c r="D6046" t="s">
        <v>46</v>
      </c>
      <c r="E6046" t="s">
        <v>86</v>
      </c>
      <c r="F6046" t="s">
        <v>20</v>
      </c>
      <c r="G6046">
        <v>60704</v>
      </c>
      <c r="H6046">
        <v>48563.200000000004</v>
      </c>
      <c r="I6046" s="13">
        <v>1</v>
      </c>
      <c r="J6046" t="s">
        <v>6209</v>
      </c>
      <c r="K6046">
        <v>1</v>
      </c>
      <c r="L6046">
        <v>2</v>
      </c>
      <c r="M6046" t="s">
        <v>1</v>
      </c>
      <c r="N6046" s="3">
        <v>0.51</v>
      </c>
      <c r="O6046" s="3">
        <v>0.49</v>
      </c>
      <c r="P6046">
        <v>16</v>
      </c>
      <c r="Q6046">
        <v>7</v>
      </c>
      <c r="R6046">
        <v>2</v>
      </c>
      <c r="S6046">
        <v>3</v>
      </c>
      <c r="T6046">
        <v>7</v>
      </c>
      <c r="U6046">
        <v>16</v>
      </c>
      <c r="V6046">
        <v>0</v>
      </c>
      <c r="W6046">
        <v>2</v>
      </c>
      <c r="X6046">
        <v>0</v>
      </c>
      <c r="Y6046">
        <v>0</v>
      </c>
      <c r="Z6046">
        <v>0</v>
      </c>
    </row>
    <row r="6047" spans="1:26" x14ac:dyDescent="0.2">
      <c r="A6047" t="s">
        <v>6165</v>
      </c>
      <c r="B6047" t="s">
        <v>66</v>
      </c>
      <c r="C6047">
        <v>2024</v>
      </c>
      <c r="D6047" t="s">
        <v>23</v>
      </c>
      <c r="E6047" t="s">
        <v>51</v>
      </c>
      <c r="F6047" t="s">
        <v>20</v>
      </c>
      <c r="G6047">
        <v>62500</v>
      </c>
      <c r="H6047">
        <v>50000</v>
      </c>
      <c r="I6047" s="13">
        <v>0.75</v>
      </c>
      <c r="J6047" t="s">
        <v>6207</v>
      </c>
      <c r="K6047">
        <v>1</v>
      </c>
      <c r="L6047">
        <v>1</v>
      </c>
      <c r="M6047" t="s">
        <v>58</v>
      </c>
      <c r="N6047" s="3">
        <v>0.56000000000000005</v>
      </c>
      <c r="O6047" s="3">
        <v>0.44</v>
      </c>
      <c r="P6047">
        <v>15</v>
      </c>
      <c r="Q6047">
        <v>18</v>
      </c>
      <c r="R6047">
        <v>1</v>
      </c>
      <c r="S6047">
        <v>3</v>
      </c>
      <c r="T6047">
        <v>18</v>
      </c>
      <c r="U6047">
        <v>15</v>
      </c>
      <c r="V6047">
        <v>2</v>
      </c>
      <c r="W6047">
        <v>2</v>
      </c>
      <c r="X6047">
        <v>0</v>
      </c>
      <c r="Y6047">
        <v>0</v>
      </c>
      <c r="Z6047">
        <v>0</v>
      </c>
    </row>
    <row r="6048" spans="1:26" x14ac:dyDescent="0.2">
      <c r="A6048" t="s">
        <v>6166</v>
      </c>
      <c r="B6048" t="s">
        <v>76</v>
      </c>
      <c r="C6048">
        <v>2024</v>
      </c>
      <c r="D6048" t="s">
        <v>90</v>
      </c>
      <c r="E6048" t="s">
        <v>64</v>
      </c>
      <c r="F6048" t="s">
        <v>91</v>
      </c>
      <c r="G6048">
        <v>31876</v>
      </c>
      <c r="H6048">
        <v>25500.800000000003</v>
      </c>
      <c r="I6048" s="13">
        <v>0.33333333333333331</v>
      </c>
      <c r="J6048" t="s">
        <v>6207</v>
      </c>
      <c r="K6048">
        <v>1</v>
      </c>
      <c r="L6048">
        <v>1</v>
      </c>
      <c r="M6048" t="s">
        <v>58</v>
      </c>
      <c r="N6048" s="3">
        <v>0.46</v>
      </c>
      <c r="O6048" s="3">
        <v>0.54</v>
      </c>
      <c r="P6048">
        <v>10</v>
      </c>
      <c r="Q6048">
        <v>15</v>
      </c>
      <c r="R6048">
        <v>1</v>
      </c>
      <c r="S6048">
        <v>4</v>
      </c>
      <c r="T6048">
        <v>15</v>
      </c>
      <c r="U6048">
        <v>10</v>
      </c>
      <c r="V6048">
        <v>2</v>
      </c>
      <c r="W6048">
        <v>1</v>
      </c>
      <c r="X6048">
        <v>0</v>
      </c>
      <c r="Y6048">
        <v>0</v>
      </c>
      <c r="Z6048">
        <v>1</v>
      </c>
    </row>
    <row r="6049" spans="1:26" x14ac:dyDescent="0.2">
      <c r="A6049" t="s">
        <v>6167</v>
      </c>
      <c r="B6049" t="s">
        <v>61</v>
      </c>
      <c r="C6049">
        <v>2024</v>
      </c>
      <c r="D6049" t="s">
        <v>101</v>
      </c>
      <c r="E6049" t="s">
        <v>48</v>
      </c>
      <c r="F6049" t="s">
        <v>101</v>
      </c>
      <c r="G6049">
        <v>17250</v>
      </c>
      <c r="H6049">
        <v>13800</v>
      </c>
      <c r="I6049" s="13">
        <v>1</v>
      </c>
      <c r="J6049" t="s">
        <v>6207</v>
      </c>
      <c r="K6049">
        <v>4</v>
      </c>
      <c r="L6049">
        <v>3</v>
      </c>
      <c r="M6049" t="s">
        <v>0</v>
      </c>
      <c r="N6049" s="3">
        <v>0.47</v>
      </c>
      <c r="O6049" s="3">
        <v>0.53</v>
      </c>
      <c r="P6049">
        <v>10</v>
      </c>
      <c r="Q6049">
        <v>8</v>
      </c>
      <c r="R6049">
        <v>7</v>
      </c>
      <c r="S6049">
        <v>3</v>
      </c>
      <c r="T6049">
        <v>8</v>
      </c>
      <c r="U6049">
        <v>10</v>
      </c>
      <c r="V6049">
        <v>0</v>
      </c>
      <c r="W6049">
        <v>2</v>
      </c>
      <c r="X6049">
        <v>0</v>
      </c>
      <c r="Y6049">
        <v>0</v>
      </c>
      <c r="Z6049">
        <v>0</v>
      </c>
    </row>
    <row r="6050" spans="1:26" x14ac:dyDescent="0.2">
      <c r="A6050" t="s">
        <v>6168</v>
      </c>
      <c r="B6050" t="s">
        <v>84</v>
      </c>
      <c r="C6050">
        <v>2024</v>
      </c>
      <c r="D6050" t="s">
        <v>18</v>
      </c>
      <c r="E6050" t="s">
        <v>26</v>
      </c>
      <c r="F6050" t="s">
        <v>20</v>
      </c>
      <c r="G6050">
        <v>40341</v>
      </c>
      <c r="H6050">
        <v>32272.800000000003</v>
      </c>
      <c r="I6050" s="13">
        <v>0</v>
      </c>
      <c r="J6050" t="s">
        <v>6208</v>
      </c>
      <c r="K6050">
        <v>3</v>
      </c>
      <c r="L6050">
        <v>1</v>
      </c>
      <c r="M6050" t="s">
        <v>0</v>
      </c>
      <c r="N6050" s="3">
        <v>0.35</v>
      </c>
      <c r="O6050" s="3">
        <v>0.65</v>
      </c>
      <c r="P6050">
        <v>11</v>
      </c>
      <c r="Q6050">
        <v>10</v>
      </c>
      <c r="R6050">
        <v>3</v>
      </c>
      <c r="S6050">
        <v>6</v>
      </c>
      <c r="T6050">
        <v>10</v>
      </c>
      <c r="U6050">
        <v>11</v>
      </c>
      <c r="V6050">
        <v>2</v>
      </c>
      <c r="W6050">
        <v>2</v>
      </c>
      <c r="X6050">
        <v>0</v>
      </c>
      <c r="Y6050">
        <v>0</v>
      </c>
      <c r="Z6050">
        <v>1</v>
      </c>
    </row>
    <row r="6051" spans="1:26" x14ac:dyDescent="0.2">
      <c r="A6051" t="s">
        <v>6169</v>
      </c>
      <c r="B6051" t="s">
        <v>92</v>
      </c>
      <c r="C6051">
        <v>2024</v>
      </c>
      <c r="D6051" t="s">
        <v>79</v>
      </c>
      <c r="E6051" t="s">
        <v>94</v>
      </c>
      <c r="F6051" t="s">
        <v>20</v>
      </c>
      <c r="G6051">
        <v>25486</v>
      </c>
      <c r="H6051">
        <v>20388.800000000003</v>
      </c>
      <c r="I6051" s="13">
        <v>0.63636363636363635</v>
      </c>
      <c r="J6051" t="s">
        <v>6207</v>
      </c>
      <c r="K6051">
        <v>1</v>
      </c>
      <c r="L6051">
        <v>1</v>
      </c>
      <c r="M6051" t="s">
        <v>58</v>
      </c>
      <c r="N6051" s="3">
        <v>0.49</v>
      </c>
      <c r="O6051" s="3">
        <v>0.51</v>
      </c>
      <c r="P6051">
        <v>15</v>
      </c>
      <c r="Q6051">
        <v>9</v>
      </c>
      <c r="R6051">
        <v>7</v>
      </c>
      <c r="S6051">
        <v>4</v>
      </c>
      <c r="T6051">
        <v>9</v>
      </c>
      <c r="U6051">
        <v>15</v>
      </c>
      <c r="V6051">
        <v>3</v>
      </c>
      <c r="W6051">
        <v>8</v>
      </c>
      <c r="X6051">
        <v>0</v>
      </c>
      <c r="Y6051">
        <v>0</v>
      </c>
      <c r="Z6051">
        <v>1</v>
      </c>
    </row>
    <row r="6052" spans="1:26" x14ac:dyDescent="0.2">
      <c r="A6052" t="s">
        <v>6170</v>
      </c>
      <c r="B6052" t="s">
        <v>66</v>
      </c>
      <c r="C6052">
        <v>2024</v>
      </c>
      <c r="D6052" t="s">
        <v>22</v>
      </c>
      <c r="E6052" t="s">
        <v>90</v>
      </c>
      <c r="F6052" t="s">
        <v>24</v>
      </c>
      <c r="G6052">
        <v>31750</v>
      </c>
      <c r="H6052">
        <v>25400</v>
      </c>
      <c r="I6052" s="13">
        <v>1</v>
      </c>
      <c r="J6052" t="s">
        <v>6207</v>
      </c>
      <c r="K6052">
        <v>0</v>
      </c>
      <c r="L6052">
        <v>2</v>
      </c>
      <c r="M6052" t="s">
        <v>1</v>
      </c>
      <c r="N6052" s="3">
        <v>0.56000000000000005</v>
      </c>
      <c r="O6052" s="3">
        <v>0.44</v>
      </c>
      <c r="P6052">
        <v>11</v>
      </c>
      <c r="Q6052">
        <v>8</v>
      </c>
      <c r="R6052">
        <v>7</v>
      </c>
      <c r="S6052">
        <v>4</v>
      </c>
      <c r="T6052">
        <v>8</v>
      </c>
      <c r="U6052">
        <v>11</v>
      </c>
      <c r="V6052">
        <v>1</v>
      </c>
      <c r="W6052">
        <v>1</v>
      </c>
      <c r="X6052">
        <v>0</v>
      </c>
      <c r="Y6052">
        <v>0</v>
      </c>
      <c r="Z6052">
        <v>1</v>
      </c>
    </row>
    <row r="6053" spans="1:26" x14ac:dyDescent="0.2">
      <c r="A6053" t="s">
        <v>6171</v>
      </c>
      <c r="B6053" t="s">
        <v>98</v>
      </c>
      <c r="C6053">
        <v>2024</v>
      </c>
      <c r="D6053" t="s">
        <v>73</v>
      </c>
      <c r="E6053" t="s">
        <v>40</v>
      </c>
      <c r="F6053" t="s">
        <v>73</v>
      </c>
      <c r="G6053">
        <v>32384</v>
      </c>
      <c r="H6053">
        <v>25907.200000000001</v>
      </c>
      <c r="I6053" s="13">
        <v>0.5</v>
      </c>
      <c r="J6053" t="s">
        <v>6208</v>
      </c>
      <c r="K6053">
        <v>0</v>
      </c>
      <c r="L6053">
        <v>0</v>
      </c>
      <c r="M6053" t="s">
        <v>58</v>
      </c>
      <c r="N6053" s="3">
        <v>0.28000000000000003</v>
      </c>
      <c r="O6053" s="3">
        <v>0.72</v>
      </c>
      <c r="P6053">
        <v>8</v>
      </c>
      <c r="Q6053">
        <v>9</v>
      </c>
      <c r="R6053">
        <v>1</v>
      </c>
      <c r="S6053">
        <v>15</v>
      </c>
      <c r="T6053">
        <v>9</v>
      </c>
      <c r="U6053">
        <v>8</v>
      </c>
      <c r="V6053">
        <v>2</v>
      </c>
      <c r="W6053">
        <v>0</v>
      </c>
      <c r="X6053">
        <v>0</v>
      </c>
      <c r="Y6053">
        <v>0</v>
      </c>
      <c r="Z6053">
        <v>0</v>
      </c>
    </row>
    <row r="6054" spans="1:26" x14ac:dyDescent="0.2">
      <c r="A6054" t="s">
        <v>6172</v>
      </c>
      <c r="B6054" t="s">
        <v>111</v>
      </c>
      <c r="C6054">
        <v>2024</v>
      </c>
      <c r="D6054" t="s">
        <v>117</v>
      </c>
      <c r="E6054" t="s">
        <v>101</v>
      </c>
      <c r="F6054" t="s">
        <v>117</v>
      </c>
      <c r="G6054">
        <v>30056</v>
      </c>
      <c r="H6054">
        <v>24044.800000000003</v>
      </c>
      <c r="I6054" s="13">
        <v>0.83333333333333337</v>
      </c>
      <c r="J6054" t="s">
        <v>6207</v>
      </c>
      <c r="K6054">
        <v>0</v>
      </c>
      <c r="L6054">
        <v>1</v>
      </c>
      <c r="M6054" t="s">
        <v>1</v>
      </c>
      <c r="N6054" s="3">
        <v>0.5</v>
      </c>
      <c r="O6054" s="3">
        <v>0.5</v>
      </c>
      <c r="P6054">
        <v>12</v>
      </c>
      <c r="Q6054">
        <v>6</v>
      </c>
      <c r="R6054">
        <v>5</v>
      </c>
      <c r="S6054">
        <v>6</v>
      </c>
      <c r="T6054">
        <v>6</v>
      </c>
      <c r="U6054">
        <v>12</v>
      </c>
      <c r="V6054">
        <v>2</v>
      </c>
      <c r="W6054">
        <v>4</v>
      </c>
      <c r="X6054">
        <v>0</v>
      </c>
      <c r="Y6054">
        <v>0</v>
      </c>
      <c r="Z6054">
        <v>0</v>
      </c>
    </row>
    <row r="6055" spans="1:26" x14ac:dyDescent="0.2">
      <c r="A6055" t="s">
        <v>6173</v>
      </c>
      <c r="B6055" t="s">
        <v>100</v>
      </c>
      <c r="C6055">
        <v>2024</v>
      </c>
      <c r="D6055" t="s">
        <v>31</v>
      </c>
      <c r="E6055" t="s">
        <v>45</v>
      </c>
      <c r="F6055" t="s">
        <v>20</v>
      </c>
      <c r="G6055">
        <v>28500</v>
      </c>
      <c r="H6055">
        <v>22800</v>
      </c>
      <c r="I6055" s="13">
        <v>1</v>
      </c>
      <c r="J6055" t="s">
        <v>6207</v>
      </c>
      <c r="K6055">
        <v>1</v>
      </c>
      <c r="L6055">
        <v>3</v>
      </c>
      <c r="M6055" t="s">
        <v>1</v>
      </c>
      <c r="N6055" s="3">
        <v>0.64</v>
      </c>
      <c r="O6055" s="3">
        <v>0.36</v>
      </c>
      <c r="P6055">
        <v>9</v>
      </c>
      <c r="Q6055">
        <v>15</v>
      </c>
      <c r="R6055">
        <v>5</v>
      </c>
      <c r="S6055">
        <v>5</v>
      </c>
      <c r="T6055">
        <v>15</v>
      </c>
      <c r="U6055">
        <v>9</v>
      </c>
      <c r="V6055">
        <v>1</v>
      </c>
      <c r="W6055">
        <v>0</v>
      </c>
      <c r="X6055">
        <v>0</v>
      </c>
      <c r="Y6055">
        <v>0</v>
      </c>
      <c r="Z6055">
        <v>0</v>
      </c>
    </row>
    <row r="6056" spans="1:26" x14ac:dyDescent="0.2">
      <c r="A6056" t="s">
        <v>6174</v>
      </c>
      <c r="B6056" t="s">
        <v>59</v>
      </c>
      <c r="C6056">
        <v>2024</v>
      </c>
      <c r="D6056" t="s">
        <v>86</v>
      </c>
      <c r="E6056" t="s">
        <v>42</v>
      </c>
      <c r="F6056" t="s">
        <v>86</v>
      </c>
      <c r="G6056">
        <v>11364</v>
      </c>
      <c r="H6056">
        <v>9091.2000000000007</v>
      </c>
      <c r="I6056" s="13">
        <v>0.44444444444444442</v>
      </c>
      <c r="J6056" t="s">
        <v>6206</v>
      </c>
      <c r="K6056">
        <v>0</v>
      </c>
      <c r="L6056">
        <v>1</v>
      </c>
      <c r="M6056" t="s">
        <v>1</v>
      </c>
      <c r="N6056" s="3">
        <v>0.66</v>
      </c>
      <c r="O6056" s="3">
        <v>0.34</v>
      </c>
      <c r="P6056">
        <v>12</v>
      </c>
      <c r="Q6056">
        <v>19</v>
      </c>
      <c r="R6056">
        <v>10</v>
      </c>
      <c r="S6056">
        <v>0</v>
      </c>
      <c r="T6056">
        <v>19</v>
      </c>
      <c r="U6056">
        <v>12</v>
      </c>
      <c r="V6056">
        <v>4</v>
      </c>
      <c r="W6056">
        <v>4</v>
      </c>
      <c r="X6056">
        <v>0</v>
      </c>
      <c r="Y6056">
        <v>1</v>
      </c>
      <c r="Z6056">
        <v>0</v>
      </c>
    </row>
    <row r="6057" spans="1:26" x14ac:dyDescent="0.2">
      <c r="A6057" t="s">
        <v>6175</v>
      </c>
      <c r="B6057" t="s">
        <v>104</v>
      </c>
      <c r="C6057">
        <v>2024</v>
      </c>
      <c r="D6057" t="s">
        <v>64</v>
      </c>
      <c r="E6057" t="s">
        <v>18</v>
      </c>
      <c r="F6057" t="s">
        <v>64</v>
      </c>
      <c r="G6057">
        <v>52264</v>
      </c>
      <c r="H6057">
        <v>41811.200000000004</v>
      </c>
      <c r="I6057" s="13">
        <v>0.75</v>
      </c>
      <c r="J6057" t="s">
        <v>6206</v>
      </c>
      <c r="K6057">
        <v>2</v>
      </c>
      <c r="L6057">
        <v>0</v>
      </c>
      <c r="M6057" t="s">
        <v>0</v>
      </c>
      <c r="N6057" s="3">
        <v>0.45</v>
      </c>
      <c r="O6057" s="3">
        <v>0.55000000000000004</v>
      </c>
      <c r="P6057">
        <v>13</v>
      </c>
      <c r="Q6057">
        <v>9</v>
      </c>
      <c r="R6057">
        <v>2</v>
      </c>
      <c r="S6057">
        <v>8</v>
      </c>
      <c r="T6057">
        <v>9</v>
      </c>
      <c r="U6057">
        <v>13</v>
      </c>
      <c r="V6057">
        <v>4</v>
      </c>
      <c r="W6057">
        <v>3</v>
      </c>
      <c r="X6057">
        <v>0</v>
      </c>
      <c r="Y6057">
        <v>1</v>
      </c>
      <c r="Z6057">
        <v>0</v>
      </c>
    </row>
    <row r="6058" spans="1:26" x14ac:dyDescent="0.2">
      <c r="A6058" t="s">
        <v>6176</v>
      </c>
      <c r="B6058" t="s">
        <v>88</v>
      </c>
      <c r="C6058">
        <v>2024</v>
      </c>
      <c r="D6058" t="s">
        <v>51</v>
      </c>
      <c r="E6058" t="s">
        <v>79</v>
      </c>
      <c r="F6058" t="s">
        <v>20</v>
      </c>
      <c r="G6058">
        <v>36284</v>
      </c>
      <c r="H6058">
        <v>29027.200000000001</v>
      </c>
      <c r="I6058" s="13">
        <v>1</v>
      </c>
      <c r="J6058" t="s">
        <v>6207</v>
      </c>
      <c r="K6058">
        <v>0</v>
      </c>
      <c r="L6058">
        <v>2</v>
      </c>
      <c r="M6058" t="s">
        <v>1</v>
      </c>
      <c r="N6058" s="3">
        <v>0.47</v>
      </c>
      <c r="O6058" s="3">
        <v>0.53</v>
      </c>
      <c r="P6058">
        <v>10</v>
      </c>
      <c r="Q6058">
        <v>12</v>
      </c>
      <c r="R6058">
        <v>4</v>
      </c>
      <c r="S6058">
        <v>8</v>
      </c>
      <c r="T6058">
        <v>12</v>
      </c>
      <c r="U6058">
        <v>10</v>
      </c>
      <c r="V6058">
        <v>1</v>
      </c>
      <c r="W6058">
        <v>1</v>
      </c>
      <c r="X6058">
        <v>0</v>
      </c>
      <c r="Y6058">
        <v>0</v>
      </c>
      <c r="Z6058">
        <v>0</v>
      </c>
    </row>
    <row r="6059" spans="1:26" x14ac:dyDescent="0.2">
      <c r="A6059" t="s">
        <v>6177</v>
      </c>
      <c r="B6059" t="s">
        <v>105</v>
      </c>
      <c r="C6059">
        <v>2024</v>
      </c>
      <c r="D6059" t="s">
        <v>94</v>
      </c>
      <c r="E6059" t="s">
        <v>80</v>
      </c>
      <c r="F6059" t="s">
        <v>106</v>
      </c>
      <c r="G6059">
        <v>30445</v>
      </c>
      <c r="H6059">
        <v>24356</v>
      </c>
      <c r="I6059" s="13">
        <v>0.5</v>
      </c>
      <c r="J6059" t="s">
        <v>6207</v>
      </c>
      <c r="K6059">
        <v>2</v>
      </c>
      <c r="L6059">
        <v>2</v>
      </c>
      <c r="M6059" t="s">
        <v>58</v>
      </c>
      <c r="N6059" s="3">
        <v>0.56000000000000005</v>
      </c>
      <c r="O6059" s="3">
        <v>0.44</v>
      </c>
      <c r="P6059">
        <v>10</v>
      </c>
      <c r="Q6059">
        <v>11</v>
      </c>
      <c r="R6059">
        <v>4</v>
      </c>
      <c r="S6059">
        <v>4</v>
      </c>
      <c r="T6059">
        <v>11</v>
      </c>
      <c r="U6059">
        <v>10</v>
      </c>
      <c r="V6059">
        <v>3</v>
      </c>
      <c r="W6059">
        <v>3</v>
      </c>
      <c r="X6059">
        <v>0</v>
      </c>
      <c r="Y6059">
        <v>0</v>
      </c>
      <c r="Z6059">
        <v>0</v>
      </c>
    </row>
    <row r="6060" spans="1:26" x14ac:dyDescent="0.2">
      <c r="A6060" t="s">
        <v>6178</v>
      </c>
      <c r="B6060" t="s">
        <v>102</v>
      </c>
      <c r="C6060">
        <v>2024</v>
      </c>
      <c r="D6060" t="s">
        <v>48</v>
      </c>
      <c r="E6060" t="s">
        <v>23</v>
      </c>
      <c r="F6060" t="s">
        <v>49</v>
      </c>
      <c r="G6060">
        <v>74197</v>
      </c>
      <c r="H6060">
        <v>59357.600000000006</v>
      </c>
      <c r="I6060" s="13">
        <v>0</v>
      </c>
      <c r="J6060" t="s">
        <v>6209</v>
      </c>
      <c r="K6060">
        <v>0</v>
      </c>
      <c r="L6060">
        <v>2</v>
      </c>
      <c r="M6060" t="s">
        <v>1</v>
      </c>
      <c r="N6060" s="3">
        <v>0.52</v>
      </c>
      <c r="O6060" s="3">
        <v>0.48</v>
      </c>
      <c r="P6060">
        <v>13</v>
      </c>
      <c r="Q6060">
        <v>3</v>
      </c>
      <c r="R6060">
        <v>8</v>
      </c>
      <c r="S6060">
        <v>5</v>
      </c>
      <c r="T6060">
        <v>3</v>
      </c>
      <c r="U6060">
        <v>13</v>
      </c>
      <c r="V6060">
        <v>0</v>
      </c>
      <c r="W6060">
        <v>1</v>
      </c>
      <c r="X6060">
        <v>0</v>
      </c>
      <c r="Y6060">
        <v>0</v>
      </c>
      <c r="Z6060">
        <v>0</v>
      </c>
    </row>
    <row r="6061" spans="1:26" x14ac:dyDescent="0.2">
      <c r="A6061" t="s">
        <v>6179</v>
      </c>
      <c r="B6061" t="s">
        <v>61</v>
      </c>
      <c r="C6061">
        <v>2024</v>
      </c>
      <c r="D6061" t="s">
        <v>26</v>
      </c>
      <c r="E6061" t="s">
        <v>46</v>
      </c>
      <c r="F6061" t="s">
        <v>26</v>
      </c>
      <c r="G6061">
        <v>61276</v>
      </c>
      <c r="H6061">
        <v>49020.800000000003</v>
      </c>
      <c r="I6061" s="13">
        <v>0.25</v>
      </c>
      <c r="J6061" t="s">
        <v>6207</v>
      </c>
      <c r="K6061">
        <v>2</v>
      </c>
      <c r="L6061">
        <v>2</v>
      </c>
      <c r="M6061" t="s">
        <v>58</v>
      </c>
      <c r="N6061" s="3">
        <v>0.44</v>
      </c>
      <c r="O6061" s="3">
        <v>0.56000000000000005</v>
      </c>
      <c r="P6061">
        <v>10</v>
      </c>
      <c r="Q6061">
        <v>13</v>
      </c>
      <c r="R6061">
        <v>3</v>
      </c>
      <c r="S6061">
        <v>1</v>
      </c>
      <c r="T6061">
        <v>13</v>
      </c>
      <c r="U6061">
        <v>10</v>
      </c>
      <c r="V6061">
        <v>1</v>
      </c>
      <c r="W6061">
        <v>2</v>
      </c>
      <c r="X6061">
        <v>0</v>
      </c>
      <c r="Y6061">
        <v>1</v>
      </c>
      <c r="Z6061">
        <v>0</v>
      </c>
    </row>
    <row r="6062" spans="1:26" x14ac:dyDescent="0.2">
      <c r="A6062" t="s">
        <v>6180</v>
      </c>
      <c r="B6062" t="s">
        <v>97</v>
      </c>
      <c r="C6062">
        <v>2024</v>
      </c>
      <c r="D6062" t="s">
        <v>42</v>
      </c>
      <c r="E6062" t="s">
        <v>51</v>
      </c>
      <c r="F6062" t="s">
        <v>38</v>
      </c>
      <c r="G6062">
        <v>42918</v>
      </c>
      <c r="H6062">
        <v>34334.400000000001</v>
      </c>
      <c r="I6062" s="13">
        <v>1</v>
      </c>
      <c r="J6062" t="s">
        <v>6207</v>
      </c>
      <c r="K6062">
        <v>2</v>
      </c>
      <c r="L6062">
        <v>0</v>
      </c>
      <c r="M6062" t="s">
        <v>0</v>
      </c>
      <c r="N6062" s="3">
        <v>0.69</v>
      </c>
      <c r="O6062" s="3">
        <v>0.31</v>
      </c>
      <c r="P6062">
        <v>12</v>
      </c>
      <c r="Q6062">
        <v>5</v>
      </c>
      <c r="R6062">
        <v>9</v>
      </c>
      <c r="S6062">
        <v>1</v>
      </c>
      <c r="T6062">
        <v>5</v>
      </c>
      <c r="U6062">
        <v>12</v>
      </c>
      <c r="V6062">
        <v>1</v>
      </c>
      <c r="W6062">
        <v>2</v>
      </c>
      <c r="X6062">
        <v>0</v>
      </c>
      <c r="Y6062">
        <v>0</v>
      </c>
      <c r="Z6062">
        <v>0</v>
      </c>
    </row>
    <row r="6063" spans="1:26" x14ac:dyDescent="0.2">
      <c r="A6063" t="s">
        <v>6181</v>
      </c>
      <c r="B6063" t="s">
        <v>88</v>
      </c>
      <c r="C6063">
        <v>2024</v>
      </c>
      <c r="D6063" t="s">
        <v>18</v>
      </c>
      <c r="E6063" t="s">
        <v>48</v>
      </c>
      <c r="F6063" t="s">
        <v>20</v>
      </c>
      <c r="G6063">
        <v>40341</v>
      </c>
      <c r="H6063">
        <v>32272.800000000003</v>
      </c>
      <c r="I6063" s="13">
        <v>0.7142857142857143</v>
      </c>
      <c r="J6063" t="s">
        <v>6207</v>
      </c>
      <c r="K6063">
        <v>1</v>
      </c>
      <c r="L6063">
        <v>0</v>
      </c>
      <c r="M6063" t="s">
        <v>0</v>
      </c>
      <c r="N6063" s="3">
        <v>0.47</v>
      </c>
      <c r="O6063" s="3">
        <v>0.53</v>
      </c>
      <c r="P6063">
        <v>14</v>
      </c>
      <c r="Q6063">
        <v>10</v>
      </c>
      <c r="R6063">
        <v>7</v>
      </c>
      <c r="S6063">
        <v>2</v>
      </c>
      <c r="T6063">
        <v>10</v>
      </c>
      <c r="U6063">
        <v>14</v>
      </c>
      <c r="V6063">
        <v>1</v>
      </c>
      <c r="W6063">
        <v>6</v>
      </c>
      <c r="X6063">
        <v>0</v>
      </c>
      <c r="Y6063">
        <v>0</v>
      </c>
      <c r="Z6063">
        <v>0</v>
      </c>
    </row>
    <row r="6064" spans="1:26" x14ac:dyDescent="0.2">
      <c r="A6064" t="s">
        <v>6182</v>
      </c>
      <c r="B6064" t="s">
        <v>66</v>
      </c>
      <c r="C6064">
        <v>2024</v>
      </c>
      <c r="D6064" t="s">
        <v>45</v>
      </c>
      <c r="E6064" t="s">
        <v>73</v>
      </c>
      <c r="F6064" t="s">
        <v>26</v>
      </c>
      <c r="G6064">
        <v>39572</v>
      </c>
      <c r="H6064">
        <v>31657.600000000002</v>
      </c>
      <c r="I6064" s="13">
        <v>0</v>
      </c>
      <c r="J6064" t="s">
        <v>6207</v>
      </c>
      <c r="K6064">
        <v>2</v>
      </c>
      <c r="L6064">
        <v>0</v>
      </c>
      <c r="M6064" t="s">
        <v>0</v>
      </c>
      <c r="N6064" s="3">
        <v>0.5</v>
      </c>
      <c r="O6064" s="3">
        <v>0.5</v>
      </c>
      <c r="P6064">
        <v>10</v>
      </c>
      <c r="Q6064">
        <v>6</v>
      </c>
      <c r="R6064">
        <v>4</v>
      </c>
      <c r="S6064">
        <v>5</v>
      </c>
      <c r="T6064">
        <v>6</v>
      </c>
      <c r="U6064">
        <v>10</v>
      </c>
      <c r="V6064">
        <v>1</v>
      </c>
      <c r="W6064">
        <v>1</v>
      </c>
      <c r="X6064">
        <v>0</v>
      </c>
      <c r="Y6064">
        <v>0</v>
      </c>
      <c r="Z6064">
        <v>0</v>
      </c>
    </row>
    <row r="6065" spans="1:26" x14ac:dyDescent="0.2">
      <c r="A6065" t="s">
        <v>6183</v>
      </c>
      <c r="B6065" t="s">
        <v>111</v>
      </c>
      <c r="C6065">
        <v>2024</v>
      </c>
      <c r="D6065" t="s">
        <v>23</v>
      </c>
      <c r="E6065" t="s">
        <v>94</v>
      </c>
      <c r="F6065" t="s">
        <v>20</v>
      </c>
      <c r="G6065">
        <v>62500</v>
      </c>
      <c r="H6065">
        <v>50000</v>
      </c>
      <c r="I6065" s="13">
        <v>0.88888888888888884</v>
      </c>
      <c r="J6065" t="s">
        <v>6207</v>
      </c>
      <c r="K6065">
        <v>1</v>
      </c>
      <c r="L6065">
        <v>2</v>
      </c>
      <c r="M6065" t="s">
        <v>1</v>
      </c>
      <c r="N6065" s="3">
        <v>0.61</v>
      </c>
      <c r="O6065" s="3">
        <v>0.39</v>
      </c>
      <c r="P6065">
        <v>7</v>
      </c>
      <c r="Q6065">
        <v>14</v>
      </c>
      <c r="R6065">
        <v>8</v>
      </c>
      <c r="S6065">
        <v>7</v>
      </c>
      <c r="T6065">
        <v>14</v>
      </c>
      <c r="U6065">
        <v>7</v>
      </c>
      <c r="V6065">
        <v>6</v>
      </c>
      <c r="W6065">
        <v>3</v>
      </c>
      <c r="X6065">
        <v>0</v>
      </c>
      <c r="Y6065">
        <v>0</v>
      </c>
      <c r="Z6065">
        <v>0</v>
      </c>
    </row>
    <row r="6066" spans="1:26" x14ac:dyDescent="0.2">
      <c r="A6066" t="s">
        <v>6184</v>
      </c>
      <c r="B6066" t="s">
        <v>118</v>
      </c>
      <c r="C6066">
        <v>2024</v>
      </c>
      <c r="D6066" t="s">
        <v>80</v>
      </c>
      <c r="E6066" t="s">
        <v>117</v>
      </c>
      <c r="F6066" t="s">
        <v>80</v>
      </c>
      <c r="G6066">
        <v>32261</v>
      </c>
      <c r="H6066">
        <v>25808.800000000003</v>
      </c>
      <c r="I6066" s="13">
        <v>1</v>
      </c>
      <c r="J6066" t="s">
        <v>6209</v>
      </c>
      <c r="K6066">
        <v>2</v>
      </c>
      <c r="L6066">
        <v>0</v>
      </c>
      <c r="M6066" t="s">
        <v>0</v>
      </c>
      <c r="N6066" s="3">
        <v>0.51</v>
      </c>
      <c r="O6066" s="3">
        <v>0.49</v>
      </c>
      <c r="P6066">
        <v>12</v>
      </c>
      <c r="Q6066">
        <v>15</v>
      </c>
      <c r="R6066">
        <v>2</v>
      </c>
      <c r="S6066">
        <v>2</v>
      </c>
      <c r="T6066">
        <v>15</v>
      </c>
      <c r="U6066">
        <v>12</v>
      </c>
      <c r="V6066">
        <v>1</v>
      </c>
      <c r="W6066">
        <v>0</v>
      </c>
      <c r="X6066">
        <v>0</v>
      </c>
      <c r="Y6066">
        <v>0</v>
      </c>
      <c r="Z6066">
        <v>0</v>
      </c>
    </row>
    <row r="6067" spans="1:26" x14ac:dyDescent="0.2">
      <c r="A6067" t="s">
        <v>6185</v>
      </c>
      <c r="B6067" t="s">
        <v>102</v>
      </c>
      <c r="C6067">
        <v>2024</v>
      </c>
      <c r="D6067" t="s">
        <v>101</v>
      </c>
      <c r="E6067" t="s">
        <v>31</v>
      </c>
      <c r="F6067" t="s">
        <v>101</v>
      </c>
      <c r="G6067">
        <v>17250</v>
      </c>
      <c r="H6067">
        <v>13800</v>
      </c>
      <c r="I6067" s="13">
        <v>0.75</v>
      </c>
      <c r="J6067" t="s">
        <v>6209</v>
      </c>
      <c r="K6067">
        <v>2</v>
      </c>
      <c r="L6067">
        <v>3</v>
      </c>
      <c r="M6067" t="s">
        <v>1</v>
      </c>
      <c r="N6067" s="3">
        <v>0.5</v>
      </c>
      <c r="O6067" s="3">
        <v>0.5</v>
      </c>
      <c r="P6067">
        <v>8</v>
      </c>
      <c r="Q6067">
        <v>12</v>
      </c>
      <c r="R6067">
        <v>5</v>
      </c>
      <c r="S6067">
        <v>3</v>
      </c>
      <c r="T6067">
        <v>12</v>
      </c>
      <c r="U6067">
        <v>8</v>
      </c>
      <c r="V6067">
        <v>4</v>
      </c>
      <c r="W6067">
        <v>4</v>
      </c>
      <c r="X6067">
        <v>0</v>
      </c>
      <c r="Y6067">
        <v>0</v>
      </c>
      <c r="Z6067">
        <v>1</v>
      </c>
    </row>
    <row r="6068" spans="1:26" x14ac:dyDescent="0.2">
      <c r="A6068" t="s">
        <v>6186</v>
      </c>
      <c r="B6068" t="s">
        <v>84</v>
      </c>
      <c r="C6068">
        <v>2024</v>
      </c>
      <c r="D6068" t="s">
        <v>46</v>
      </c>
      <c r="E6068" t="s">
        <v>64</v>
      </c>
      <c r="F6068" t="s">
        <v>20</v>
      </c>
      <c r="G6068">
        <v>60704</v>
      </c>
      <c r="H6068">
        <v>48563.200000000004</v>
      </c>
      <c r="I6068" s="13">
        <v>0.7142857142857143</v>
      </c>
      <c r="J6068" t="s">
        <v>6208</v>
      </c>
      <c r="K6068">
        <v>1</v>
      </c>
      <c r="L6068">
        <v>0</v>
      </c>
      <c r="M6068" t="s">
        <v>0</v>
      </c>
      <c r="N6068" s="3">
        <v>0.52</v>
      </c>
      <c r="O6068" s="3">
        <v>0.48</v>
      </c>
      <c r="P6068">
        <v>9</v>
      </c>
      <c r="Q6068">
        <v>9</v>
      </c>
      <c r="R6068">
        <v>10</v>
      </c>
      <c r="S6068">
        <v>7</v>
      </c>
      <c r="T6068">
        <v>9</v>
      </c>
      <c r="U6068">
        <v>9</v>
      </c>
      <c r="V6068">
        <v>4</v>
      </c>
      <c r="W6068">
        <v>3</v>
      </c>
      <c r="X6068">
        <v>0</v>
      </c>
      <c r="Y6068">
        <v>0</v>
      </c>
      <c r="Z6068">
        <v>0</v>
      </c>
    </row>
    <row r="6069" spans="1:26" x14ac:dyDescent="0.2">
      <c r="A6069" t="s">
        <v>6187</v>
      </c>
      <c r="B6069" t="s">
        <v>92</v>
      </c>
      <c r="C6069">
        <v>2024</v>
      </c>
      <c r="D6069" t="s">
        <v>90</v>
      </c>
      <c r="E6069" t="s">
        <v>26</v>
      </c>
      <c r="F6069" t="s">
        <v>91</v>
      </c>
      <c r="G6069">
        <v>31876</v>
      </c>
      <c r="H6069">
        <v>25500.800000000003</v>
      </c>
      <c r="I6069" s="13">
        <v>0</v>
      </c>
      <c r="J6069" t="s">
        <v>6207</v>
      </c>
      <c r="K6069">
        <v>3</v>
      </c>
      <c r="L6069">
        <v>2</v>
      </c>
      <c r="M6069" t="s">
        <v>0</v>
      </c>
      <c r="N6069" s="3">
        <v>0.49</v>
      </c>
      <c r="O6069" s="3">
        <v>0.51</v>
      </c>
      <c r="P6069">
        <v>8</v>
      </c>
      <c r="Q6069">
        <v>9</v>
      </c>
      <c r="R6069">
        <v>3</v>
      </c>
      <c r="S6069">
        <v>3</v>
      </c>
      <c r="T6069">
        <v>9</v>
      </c>
      <c r="U6069">
        <v>8</v>
      </c>
      <c r="V6069">
        <v>1</v>
      </c>
      <c r="W6069">
        <v>0</v>
      </c>
      <c r="X6069">
        <v>0</v>
      </c>
      <c r="Y6069">
        <v>0</v>
      </c>
      <c r="Z6069">
        <v>0</v>
      </c>
    </row>
    <row r="6070" spans="1:26" x14ac:dyDescent="0.2">
      <c r="A6070" t="s">
        <v>6188</v>
      </c>
      <c r="B6070" t="s">
        <v>107</v>
      </c>
      <c r="C6070">
        <v>2024</v>
      </c>
      <c r="D6070" t="s">
        <v>40</v>
      </c>
      <c r="E6070" t="s">
        <v>86</v>
      </c>
      <c r="F6070" t="s">
        <v>49</v>
      </c>
      <c r="G6070">
        <v>53400</v>
      </c>
      <c r="H6070">
        <v>42720</v>
      </c>
      <c r="I6070" s="13">
        <v>0.66666666666666663</v>
      </c>
      <c r="J6070" t="s">
        <v>6207</v>
      </c>
      <c r="K6070">
        <v>3</v>
      </c>
      <c r="L6070">
        <v>1</v>
      </c>
      <c r="M6070" t="s">
        <v>0</v>
      </c>
      <c r="N6070" s="3">
        <v>0.57999999999999996</v>
      </c>
      <c r="O6070" s="3">
        <v>0.42</v>
      </c>
      <c r="P6070">
        <v>13</v>
      </c>
      <c r="Q6070">
        <v>7</v>
      </c>
      <c r="R6070">
        <v>3</v>
      </c>
      <c r="S6070">
        <v>1</v>
      </c>
      <c r="T6070">
        <v>7</v>
      </c>
      <c r="U6070">
        <v>13</v>
      </c>
      <c r="V6070">
        <v>1</v>
      </c>
      <c r="W6070">
        <v>3</v>
      </c>
      <c r="X6070">
        <v>1</v>
      </c>
      <c r="Y6070">
        <v>1</v>
      </c>
      <c r="Z6070">
        <v>0</v>
      </c>
    </row>
    <row r="6071" spans="1:26" x14ac:dyDescent="0.2">
      <c r="A6071" t="s">
        <v>6189</v>
      </c>
      <c r="B6071" t="s">
        <v>75</v>
      </c>
      <c r="C6071">
        <v>2024</v>
      </c>
      <c r="D6071" t="s">
        <v>79</v>
      </c>
      <c r="E6071" t="s">
        <v>22</v>
      </c>
      <c r="F6071" t="s">
        <v>20</v>
      </c>
      <c r="G6071">
        <v>25486</v>
      </c>
      <c r="H6071">
        <v>20388.800000000003</v>
      </c>
      <c r="I6071" s="13">
        <v>0.66666666666666663</v>
      </c>
      <c r="J6071" t="s">
        <v>6209</v>
      </c>
      <c r="K6071">
        <v>4</v>
      </c>
      <c r="L6071">
        <v>2</v>
      </c>
      <c r="M6071" t="s">
        <v>0</v>
      </c>
      <c r="N6071" s="3">
        <v>0.32</v>
      </c>
      <c r="O6071" s="3">
        <v>0.68</v>
      </c>
      <c r="P6071">
        <v>8</v>
      </c>
      <c r="Q6071">
        <v>14</v>
      </c>
      <c r="R6071">
        <v>0</v>
      </c>
      <c r="S6071">
        <v>9</v>
      </c>
      <c r="T6071">
        <v>14</v>
      </c>
      <c r="U6071">
        <v>8</v>
      </c>
      <c r="V6071">
        <v>1</v>
      </c>
      <c r="W6071">
        <v>2</v>
      </c>
      <c r="X6071">
        <v>0</v>
      </c>
      <c r="Y6071">
        <v>0</v>
      </c>
      <c r="Z6071">
        <v>0</v>
      </c>
    </row>
    <row r="6072" spans="1:26" x14ac:dyDescent="0.2">
      <c r="A6072" t="s">
        <v>6190</v>
      </c>
      <c r="B6072" t="s">
        <v>76</v>
      </c>
      <c r="C6072">
        <v>2024</v>
      </c>
      <c r="D6072" t="s">
        <v>22</v>
      </c>
      <c r="E6072" t="s">
        <v>101</v>
      </c>
      <c r="F6072" t="s">
        <v>24</v>
      </c>
      <c r="G6072">
        <v>31750</v>
      </c>
      <c r="H6072">
        <v>25400</v>
      </c>
      <c r="I6072" s="13">
        <v>1</v>
      </c>
      <c r="J6072" t="s">
        <v>6207</v>
      </c>
      <c r="K6072">
        <v>1</v>
      </c>
      <c r="L6072">
        <v>1</v>
      </c>
      <c r="M6072" t="s">
        <v>58</v>
      </c>
      <c r="N6072" s="3">
        <v>0.48</v>
      </c>
      <c r="O6072" s="3">
        <v>0.52</v>
      </c>
      <c r="P6072">
        <v>9</v>
      </c>
      <c r="Q6072">
        <v>7</v>
      </c>
      <c r="R6072">
        <v>8</v>
      </c>
      <c r="S6072">
        <v>3</v>
      </c>
      <c r="T6072">
        <v>7</v>
      </c>
      <c r="U6072">
        <v>9</v>
      </c>
      <c r="V6072">
        <v>2</v>
      </c>
      <c r="W6072">
        <v>1</v>
      </c>
      <c r="X6072">
        <v>0</v>
      </c>
      <c r="Y6072">
        <v>0</v>
      </c>
      <c r="Z6072">
        <v>0</v>
      </c>
    </row>
    <row r="6073" spans="1:26" x14ac:dyDescent="0.2">
      <c r="A6073" t="s">
        <v>6191</v>
      </c>
      <c r="B6073" t="s">
        <v>99</v>
      </c>
      <c r="C6073">
        <v>2024</v>
      </c>
      <c r="D6073" t="s">
        <v>51</v>
      </c>
      <c r="E6073" t="s">
        <v>90</v>
      </c>
      <c r="F6073" t="s">
        <v>20</v>
      </c>
      <c r="G6073">
        <v>36284</v>
      </c>
      <c r="H6073">
        <v>29027.200000000001</v>
      </c>
      <c r="I6073" s="13">
        <v>0.75</v>
      </c>
      <c r="J6073" t="s">
        <v>6207</v>
      </c>
      <c r="K6073">
        <v>1</v>
      </c>
      <c r="L6073">
        <v>4</v>
      </c>
      <c r="M6073" t="s">
        <v>1</v>
      </c>
      <c r="N6073" s="3">
        <v>0.32</v>
      </c>
      <c r="O6073" s="3">
        <v>0.68</v>
      </c>
      <c r="P6073">
        <v>8</v>
      </c>
      <c r="Q6073">
        <v>13</v>
      </c>
      <c r="R6073">
        <v>2</v>
      </c>
      <c r="S6073">
        <v>11</v>
      </c>
      <c r="T6073">
        <v>13</v>
      </c>
      <c r="U6073">
        <v>8</v>
      </c>
      <c r="V6073">
        <v>3</v>
      </c>
      <c r="W6073">
        <v>1</v>
      </c>
      <c r="X6073">
        <v>0</v>
      </c>
      <c r="Y6073">
        <v>0</v>
      </c>
      <c r="Z6073">
        <v>2</v>
      </c>
    </row>
    <row r="6074" spans="1:26" x14ac:dyDescent="0.2">
      <c r="A6074" t="s">
        <v>6192</v>
      </c>
      <c r="B6074" t="s">
        <v>108</v>
      </c>
      <c r="C6074">
        <v>2024</v>
      </c>
      <c r="D6074" t="s">
        <v>73</v>
      </c>
      <c r="E6074" t="s">
        <v>46</v>
      </c>
      <c r="F6074" t="s">
        <v>73</v>
      </c>
      <c r="G6074">
        <v>32384</v>
      </c>
      <c r="H6074">
        <v>25907.200000000001</v>
      </c>
      <c r="I6074" s="13">
        <v>0</v>
      </c>
      <c r="J6074" t="s">
        <v>6207</v>
      </c>
      <c r="K6074">
        <v>1</v>
      </c>
      <c r="L6074">
        <v>2</v>
      </c>
      <c r="M6074" t="s">
        <v>1</v>
      </c>
      <c r="N6074" s="3">
        <v>0.39</v>
      </c>
      <c r="O6074" s="3">
        <v>0.61</v>
      </c>
      <c r="P6074">
        <v>8</v>
      </c>
      <c r="Q6074">
        <v>7</v>
      </c>
      <c r="R6074">
        <v>5</v>
      </c>
      <c r="S6074">
        <v>8</v>
      </c>
      <c r="T6074">
        <v>7</v>
      </c>
      <c r="U6074">
        <v>8</v>
      </c>
      <c r="V6074">
        <v>0</v>
      </c>
      <c r="W6074">
        <v>0</v>
      </c>
      <c r="X6074">
        <v>0</v>
      </c>
      <c r="Y6074">
        <v>0</v>
      </c>
      <c r="Z6074">
        <v>0</v>
      </c>
    </row>
    <row r="6075" spans="1:26" x14ac:dyDescent="0.2">
      <c r="A6075" t="s">
        <v>6193</v>
      </c>
      <c r="B6075" t="s">
        <v>61</v>
      </c>
      <c r="C6075">
        <v>2024</v>
      </c>
      <c r="D6075" t="s">
        <v>94</v>
      </c>
      <c r="E6075" t="s">
        <v>18</v>
      </c>
      <c r="F6075" t="s">
        <v>106</v>
      </c>
      <c r="G6075">
        <v>30445</v>
      </c>
      <c r="H6075">
        <v>24356</v>
      </c>
      <c r="I6075" s="13">
        <v>0.5</v>
      </c>
      <c r="J6075" t="s">
        <v>6207</v>
      </c>
      <c r="K6075">
        <v>0</v>
      </c>
      <c r="L6075">
        <v>1</v>
      </c>
      <c r="M6075" t="s">
        <v>1</v>
      </c>
      <c r="N6075" s="3">
        <v>0.52</v>
      </c>
      <c r="O6075" s="3">
        <v>0.48</v>
      </c>
      <c r="P6075">
        <v>11</v>
      </c>
      <c r="Q6075">
        <v>10</v>
      </c>
      <c r="R6075">
        <v>7</v>
      </c>
      <c r="S6075">
        <v>4</v>
      </c>
      <c r="T6075">
        <v>10</v>
      </c>
      <c r="U6075">
        <v>11</v>
      </c>
      <c r="V6075">
        <v>2</v>
      </c>
      <c r="W6075">
        <v>2</v>
      </c>
      <c r="X6075">
        <v>0</v>
      </c>
      <c r="Y6075">
        <v>0</v>
      </c>
      <c r="Z6075">
        <v>0</v>
      </c>
    </row>
    <row r="6076" spans="1:26" x14ac:dyDescent="0.2">
      <c r="A6076" t="s">
        <v>6194</v>
      </c>
      <c r="B6076" t="s">
        <v>105</v>
      </c>
      <c r="C6076">
        <v>2024</v>
      </c>
      <c r="D6076" t="s">
        <v>64</v>
      </c>
      <c r="E6076" t="s">
        <v>45</v>
      </c>
      <c r="F6076" t="s">
        <v>64</v>
      </c>
      <c r="G6076">
        <v>52264</v>
      </c>
      <c r="H6076">
        <v>41811.200000000004</v>
      </c>
      <c r="I6076" s="13">
        <v>0.5</v>
      </c>
      <c r="J6076" t="s">
        <v>6207</v>
      </c>
      <c r="K6076">
        <v>0</v>
      </c>
      <c r="L6076">
        <v>1</v>
      </c>
      <c r="M6076" t="s">
        <v>1</v>
      </c>
      <c r="N6076" s="3">
        <v>0.66</v>
      </c>
      <c r="O6076" s="3">
        <v>0.34</v>
      </c>
      <c r="P6076">
        <v>9</v>
      </c>
      <c r="Q6076">
        <v>12</v>
      </c>
      <c r="R6076">
        <v>12</v>
      </c>
      <c r="S6076">
        <v>3</v>
      </c>
      <c r="T6076">
        <v>12</v>
      </c>
      <c r="U6076">
        <v>9</v>
      </c>
      <c r="V6076">
        <v>1</v>
      </c>
      <c r="W6076">
        <v>5</v>
      </c>
      <c r="X6076">
        <v>0</v>
      </c>
      <c r="Y6076">
        <v>0</v>
      </c>
      <c r="Z6076">
        <v>0</v>
      </c>
    </row>
    <row r="6077" spans="1:26" x14ac:dyDescent="0.2">
      <c r="A6077" t="s">
        <v>6195</v>
      </c>
      <c r="B6077" t="s">
        <v>107</v>
      </c>
      <c r="C6077">
        <v>2024</v>
      </c>
      <c r="D6077" t="s">
        <v>48</v>
      </c>
      <c r="E6077" t="s">
        <v>42</v>
      </c>
      <c r="F6077" t="s">
        <v>49</v>
      </c>
      <c r="G6077">
        <v>74197</v>
      </c>
      <c r="H6077">
        <v>59357.600000000006</v>
      </c>
      <c r="I6077" s="13">
        <v>0.8</v>
      </c>
      <c r="J6077" t="s">
        <v>6207</v>
      </c>
      <c r="K6077">
        <v>2</v>
      </c>
      <c r="L6077">
        <v>0</v>
      </c>
      <c r="M6077" t="s">
        <v>0</v>
      </c>
      <c r="N6077" s="3">
        <v>0.67</v>
      </c>
      <c r="O6077" s="3">
        <v>0.33</v>
      </c>
      <c r="P6077">
        <v>10</v>
      </c>
      <c r="Q6077">
        <v>10</v>
      </c>
      <c r="R6077">
        <v>4</v>
      </c>
      <c r="S6077">
        <v>3</v>
      </c>
      <c r="T6077">
        <v>10</v>
      </c>
      <c r="U6077">
        <v>10</v>
      </c>
      <c r="V6077">
        <v>2</v>
      </c>
      <c r="W6077">
        <v>2</v>
      </c>
      <c r="X6077">
        <v>0</v>
      </c>
      <c r="Y6077">
        <v>1</v>
      </c>
      <c r="Z6077">
        <v>1</v>
      </c>
    </row>
    <row r="6078" spans="1:26" x14ac:dyDescent="0.2">
      <c r="A6078" t="s">
        <v>6196</v>
      </c>
      <c r="B6078" t="s">
        <v>100</v>
      </c>
      <c r="C6078">
        <v>2024</v>
      </c>
      <c r="D6078" t="s">
        <v>26</v>
      </c>
      <c r="E6078" t="s">
        <v>79</v>
      </c>
      <c r="F6078" t="s">
        <v>26</v>
      </c>
      <c r="G6078">
        <v>61276</v>
      </c>
      <c r="H6078">
        <v>49020.800000000003</v>
      </c>
      <c r="I6078" s="13">
        <v>0.33333333333333331</v>
      </c>
      <c r="J6078" t="s">
        <v>6207</v>
      </c>
      <c r="K6078">
        <v>1</v>
      </c>
      <c r="L6078">
        <v>1</v>
      </c>
      <c r="M6078" t="s">
        <v>58</v>
      </c>
      <c r="N6078" s="3">
        <v>0.69</v>
      </c>
      <c r="O6078" s="3">
        <v>0.31</v>
      </c>
      <c r="P6078">
        <v>10</v>
      </c>
      <c r="Q6078">
        <v>7</v>
      </c>
      <c r="R6078">
        <v>11</v>
      </c>
      <c r="S6078">
        <v>0</v>
      </c>
      <c r="T6078">
        <v>7</v>
      </c>
      <c r="U6078">
        <v>10</v>
      </c>
      <c r="V6078">
        <v>2</v>
      </c>
      <c r="W6078">
        <v>0</v>
      </c>
      <c r="X6078">
        <v>1</v>
      </c>
      <c r="Y6078">
        <v>0</v>
      </c>
      <c r="Z6078">
        <v>0</v>
      </c>
    </row>
    <row r="6079" spans="1:26" x14ac:dyDescent="0.2">
      <c r="A6079" t="s">
        <v>6197</v>
      </c>
      <c r="B6079" t="s">
        <v>98</v>
      </c>
      <c r="C6079">
        <v>2024</v>
      </c>
      <c r="D6079" t="s">
        <v>117</v>
      </c>
      <c r="E6079" t="s">
        <v>23</v>
      </c>
      <c r="F6079" t="s">
        <v>117</v>
      </c>
      <c r="G6079">
        <v>30056</v>
      </c>
      <c r="H6079">
        <v>24044.800000000003</v>
      </c>
      <c r="I6079" s="13">
        <v>0</v>
      </c>
      <c r="J6079" t="s">
        <v>6208</v>
      </c>
      <c r="K6079">
        <v>1</v>
      </c>
      <c r="L6079">
        <v>3</v>
      </c>
      <c r="M6079" t="s">
        <v>1</v>
      </c>
      <c r="N6079" s="3">
        <v>0.41</v>
      </c>
      <c r="O6079" s="3">
        <v>0.59</v>
      </c>
      <c r="P6079">
        <v>9</v>
      </c>
      <c r="Q6079">
        <v>10</v>
      </c>
      <c r="R6079">
        <v>4</v>
      </c>
      <c r="S6079">
        <v>0</v>
      </c>
      <c r="T6079">
        <v>10</v>
      </c>
      <c r="U6079">
        <v>9</v>
      </c>
      <c r="V6079">
        <v>1</v>
      </c>
      <c r="W6079">
        <v>1</v>
      </c>
      <c r="X6079">
        <v>0</v>
      </c>
      <c r="Y6079">
        <v>0</v>
      </c>
      <c r="Z6079">
        <v>0</v>
      </c>
    </row>
    <row r="6080" spans="1:26" x14ac:dyDescent="0.2">
      <c r="A6080" t="s">
        <v>6198</v>
      </c>
      <c r="B6080" t="s">
        <v>92</v>
      </c>
      <c r="C6080">
        <v>2024</v>
      </c>
      <c r="D6080" t="s">
        <v>31</v>
      </c>
      <c r="E6080" t="s">
        <v>40</v>
      </c>
      <c r="F6080" t="s">
        <v>20</v>
      </c>
      <c r="G6080">
        <v>28500</v>
      </c>
      <c r="H6080">
        <v>22800</v>
      </c>
      <c r="I6080" s="13">
        <v>0</v>
      </c>
      <c r="J6080" t="s">
        <v>6207</v>
      </c>
      <c r="K6080">
        <v>0</v>
      </c>
      <c r="L6080">
        <v>2</v>
      </c>
      <c r="M6080" t="s">
        <v>1</v>
      </c>
      <c r="N6080" s="3">
        <v>0.47</v>
      </c>
      <c r="O6080" s="3">
        <v>0.53</v>
      </c>
      <c r="P6080">
        <v>5</v>
      </c>
      <c r="Q6080">
        <v>11</v>
      </c>
      <c r="R6080">
        <v>1</v>
      </c>
      <c r="S6080">
        <v>6</v>
      </c>
      <c r="T6080">
        <v>11</v>
      </c>
      <c r="U6080">
        <v>5</v>
      </c>
      <c r="V6080">
        <v>0</v>
      </c>
      <c r="W6080">
        <v>0</v>
      </c>
      <c r="X6080">
        <v>0</v>
      </c>
      <c r="Y6080">
        <v>0</v>
      </c>
      <c r="Z6080">
        <v>1</v>
      </c>
    </row>
    <row r="6081" spans="1:26" x14ac:dyDescent="0.2">
      <c r="A6081" t="s">
        <v>6199</v>
      </c>
      <c r="B6081" t="s">
        <v>114</v>
      </c>
      <c r="C6081">
        <v>2024</v>
      </c>
      <c r="D6081" t="s">
        <v>86</v>
      </c>
      <c r="E6081" t="s">
        <v>80</v>
      </c>
      <c r="F6081" t="s">
        <v>86</v>
      </c>
      <c r="G6081">
        <v>11364</v>
      </c>
      <c r="H6081">
        <v>9091.2000000000007</v>
      </c>
      <c r="I6081" s="13">
        <v>0</v>
      </c>
      <c r="J6081" t="s">
        <v>6209</v>
      </c>
      <c r="K6081">
        <v>2</v>
      </c>
      <c r="L6081">
        <v>0</v>
      </c>
      <c r="M6081" t="s">
        <v>0</v>
      </c>
      <c r="N6081" s="3">
        <v>0.63</v>
      </c>
      <c r="O6081" s="3">
        <v>0.37</v>
      </c>
      <c r="P6081">
        <v>16</v>
      </c>
      <c r="Q6081">
        <v>19</v>
      </c>
      <c r="R6081">
        <v>6</v>
      </c>
      <c r="S6081">
        <v>1</v>
      </c>
      <c r="T6081">
        <v>19</v>
      </c>
      <c r="U6081">
        <v>16</v>
      </c>
      <c r="V6081">
        <v>0</v>
      </c>
      <c r="W6081">
        <v>2</v>
      </c>
      <c r="X6081">
        <v>0</v>
      </c>
      <c r="Y6081">
        <v>0</v>
      </c>
      <c r="Z6081">
        <v>0</v>
      </c>
    </row>
  </sheetData>
  <autoFilter ref="A1:Z608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0999-118A-564A-90BA-FC75F095CD53}">
  <dimension ref="A1:A7"/>
  <sheetViews>
    <sheetView workbookViewId="0">
      <selection activeCell="A8" sqref="A8"/>
    </sheetView>
  </sheetViews>
  <sheetFormatPr baseColWidth="10" defaultRowHeight="15" x14ac:dyDescent="0.2"/>
  <sheetData>
    <row r="1" spans="1:1" x14ac:dyDescent="0.2">
      <c r="A1" t="s">
        <v>6214</v>
      </c>
    </row>
    <row r="2" spans="1:1" x14ac:dyDescent="0.2">
      <c r="A2" t="s">
        <v>6202</v>
      </c>
    </row>
    <row r="3" spans="1:1" x14ac:dyDescent="0.2">
      <c r="A3" t="s">
        <v>6203</v>
      </c>
    </row>
    <row r="4" spans="1:1" x14ac:dyDescent="0.2">
      <c r="A4" t="s">
        <v>6204</v>
      </c>
    </row>
    <row r="5" spans="1:1" x14ac:dyDescent="0.2">
      <c r="A5" t="s">
        <v>6205</v>
      </c>
    </row>
    <row r="6" spans="1:1" x14ac:dyDescent="0.2">
      <c r="A6" t="s">
        <v>6213</v>
      </c>
    </row>
    <row r="7" spans="1:1" x14ac:dyDescent="0.2">
      <c r="A7" t="s">
        <v>6216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4690-1D8E-8B49-8AC6-772EF9792721}">
  <dimension ref="A1:G43"/>
  <sheetViews>
    <sheetView workbookViewId="0">
      <selection activeCell="J8" sqref="J8"/>
    </sheetView>
  </sheetViews>
  <sheetFormatPr baseColWidth="10" defaultRowHeight="15" x14ac:dyDescent="0.2"/>
  <cols>
    <col min="1" max="1" width="13.33203125" bestFit="1" customWidth="1"/>
    <col min="2" max="2" width="17.6640625" customWidth="1"/>
    <col min="6" max="6" width="5.83203125" style="8" bestFit="1" customWidth="1"/>
    <col min="7" max="7" width="4.5" bestFit="1" customWidth="1"/>
  </cols>
  <sheetData>
    <row r="1" spans="1:7" x14ac:dyDescent="0.2">
      <c r="A1" s="1" t="s">
        <v>0</v>
      </c>
      <c r="B1" s="6" t="s">
        <v>6211</v>
      </c>
      <c r="E1" s="12"/>
      <c r="F1" s="10" t="s">
        <v>6217</v>
      </c>
      <c r="G1" s="12"/>
    </row>
    <row r="2" spans="1:7" x14ac:dyDescent="0.2">
      <c r="A2" s="4" t="s">
        <v>18</v>
      </c>
      <c r="B2" s="5">
        <v>40341</v>
      </c>
      <c r="E2" s="11" t="s">
        <v>1</v>
      </c>
      <c r="F2" s="9">
        <f>COUNTIF(Sheet1!M:M, "Away")</f>
        <v>1864</v>
      </c>
      <c r="G2" s="7">
        <f>F2/(SUM(F2:F4))</f>
        <v>0.30657894736842106</v>
      </c>
    </row>
    <row r="3" spans="1:7" x14ac:dyDescent="0.2">
      <c r="A3" s="4" t="s">
        <v>22</v>
      </c>
      <c r="B3" s="5">
        <v>31750</v>
      </c>
      <c r="E3" s="11" t="s">
        <v>0</v>
      </c>
      <c r="F3" s="9">
        <f>COUNTIF(Sheet1!M:M, "Home")</f>
        <v>2749</v>
      </c>
      <c r="G3" s="7">
        <f>F3/SUM(F2:F4)</f>
        <v>0.45213815789473683</v>
      </c>
    </row>
    <row r="4" spans="1:7" x14ac:dyDescent="0.2">
      <c r="A4" s="4" t="s">
        <v>27</v>
      </c>
      <c r="B4" s="5">
        <v>30089</v>
      </c>
      <c r="E4" s="11" t="s">
        <v>58</v>
      </c>
      <c r="F4" s="9">
        <f>COUNTIF(Sheet1!M:M, "Draw")</f>
        <v>1467</v>
      </c>
      <c r="G4" s="7">
        <f>F4/SUM(F2:F4)</f>
        <v>0.24128289473684211</v>
      </c>
    </row>
    <row r="5" spans="1:7" x14ac:dyDescent="0.2">
      <c r="A5" s="4" t="s">
        <v>30</v>
      </c>
      <c r="B5" s="5">
        <v>20899</v>
      </c>
    </row>
    <row r="6" spans="1:7" x14ac:dyDescent="0.2">
      <c r="A6" s="4" t="s">
        <v>34</v>
      </c>
      <c r="B6" s="5">
        <v>28723</v>
      </c>
    </row>
    <row r="7" spans="1:7" x14ac:dyDescent="0.2">
      <c r="A7" s="4" t="s">
        <v>39</v>
      </c>
      <c r="B7" s="5">
        <v>31367</v>
      </c>
    </row>
    <row r="8" spans="1:7" x14ac:dyDescent="0.2">
      <c r="A8" s="4" t="s">
        <v>42</v>
      </c>
      <c r="B8" s="5">
        <v>42918</v>
      </c>
    </row>
    <row r="9" spans="1:7" x14ac:dyDescent="0.2">
      <c r="A9" s="4" t="s">
        <v>45</v>
      </c>
      <c r="B9" s="5">
        <v>39572</v>
      </c>
    </row>
    <row r="10" spans="1:7" x14ac:dyDescent="0.2">
      <c r="A10" s="4" t="s">
        <v>48</v>
      </c>
      <c r="B10" s="5">
        <v>74197</v>
      </c>
    </row>
    <row r="11" spans="1:7" x14ac:dyDescent="0.2">
      <c r="A11" s="4" t="s">
        <v>51</v>
      </c>
      <c r="B11" s="5">
        <v>36284</v>
      </c>
    </row>
    <row r="12" spans="1:7" x14ac:dyDescent="0.2">
      <c r="A12" s="4" t="s">
        <v>43</v>
      </c>
      <c r="B12" s="5">
        <v>25138</v>
      </c>
    </row>
    <row r="13" spans="1:7" x14ac:dyDescent="0.2">
      <c r="A13" s="4" t="s">
        <v>35</v>
      </c>
      <c r="B13" s="5">
        <v>49000</v>
      </c>
    </row>
    <row r="14" spans="1:7" x14ac:dyDescent="0.2">
      <c r="A14" s="4" t="s">
        <v>19</v>
      </c>
      <c r="B14" s="5">
        <v>25586</v>
      </c>
    </row>
    <row r="15" spans="1:7" x14ac:dyDescent="0.2">
      <c r="A15" s="4" t="s">
        <v>28</v>
      </c>
      <c r="B15" s="5">
        <v>21944</v>
      </c>
    </row>
    <row r="16" spans="1:7" x14ac:dyDescent="0.2">
      <c r="A16" s="4" t="s">
        <v>38</v>
      </c>
      <c r="B16" s="5">
        <v>29409</v>
      </c>
    </row>
    <row r="17" spans="1:2" x14ac:dyDescent="0.2">
      <c r="A17" s="4" t="s">
        <v>26</v>
      </c>
      <c r="B17" s="5">
        <v>61276</v>
      </c>
    </row>
    <row r="18" spans="1:2" x14ac:dyDescent="0.2">
      <c r="A18" s="4" t="s">
        <v>40</v>
      </c>
      <c r="B18" s="5">
        <v>53400</v>
      </c>
    </row>
    <row r="19" spans="1:2" x14ac:dyDescent="0.2">
      <c r="A19" s="4" t="s">
        <v>46</v>
      </c>
      <c r="B19" s="5">
        <v>60704</v>
      </c>
    </row>
    <row r="20" spans="1:2" x14ac:dyDescent="0.2">
      <c r="A20" s="4" t="s">
        <v>23</v>
      </c>
      <c r="B20" s="5">
        <v>62500</v>
      </c>
    </row>
    <row r="21" spans="1:2" x14ac:dyDescent="0.2">
      <c r="A21" s="4" t="s">
        <v>31</v>
      </c>
      <c r="B21" s="5">
        <v>28500</v>
      </c>
    </row>
    <row r="22" spans="1:2" x14ac:dyDescent="0.2">
      <c r="A22" s="4" t="s">
        <v>63</v>
      </c>
      <c r="B22" s="5">
        <v>26804</v>
      </c>
    </row>
    <row r="23" spans="1:2" x14ac:dyDescent="0.2">
      <c r="A23" s="4" t="s">
        <v>64</v>
      </c>
      <c r="B23" s="5">
        <v>52264</v>
      </c>
    </row>
    <row r="24" spans="1:2" x14ac:dyDescent="0.2">
      <c r="A24" s="4" t="s">
        <v>62</v>
      </c>
      <c r="B24" s="5">
        <v>17338</v>
      </c>
    </row>
    <row r="25" spans="1:2" x14ac:dyDescent="0.2">
      <c r="A25" s="4" t="s">
        <v>70</v>
      </c>
      <c r="B25" s="5">
        <v>18439</v>
      </c>
    </row>
    <row r="26" spans="1:2" x14ac:dyDescent="0.2">
      <c r="A26" s="4" t="s">
        <v>71</v>
      </c>
      <c r="B26" s="5">
        <v>21088</v>
      </c>
    </row>
    <row r="27" spans="1:2" x14ac:dyDescent="0.2">
      <c r="A27" s="4" t="s">
        <v>69</v>
      </c>
      <c r="B27" s="5">
        <v>27359</v>
      </c>
    </row>
    <row r="28" spans="1:2" x14ac:dyDescent="0.2">
      <c r="A28" s="4" t="s">
        <v>72</v>
      </c>
      <c r="B28" s="5">
        <v>24161</v>
      </c>
    </row>
    <row r="29" spans="1:2" x14ac:dyDescent="0.2">
      <c r="A29" s="4" t="s">
        <v>73</v>
      </c>
      <c r="B29" s="5">
        <v>32384</v>
      </c>
    </row>
    <row r="30" spans="1:2" x14ac:dyDescent="0.2">
      <c r="A30" s="4" t="s">
        <v>79</v>
      </c>
      <c r="B30" s="5">
        <v>25486</v>
      </c>
    </row>
    <row r="31" spans="1:2" x14ac:dyDescent="0.2">
      <c r="A31" s="4" t="s">
        <v>78</v>
      </c>
      <c r="B31" s="5">
        <v>33280</v>
      </c>
    </row>
    <row r="32" spans="1:2" x14ac:dyDescent="0.2">
      <c r="A32" s="4" t="s">
        <v>80</v>
      </c>
      <c r="B32" s="5">
        <v>32261</v>
      </c>
    </row>
    <row r="33" spans="1:2" x14ac:dyDescent="0.2">
      <c r="A33" s="4" t="s">
        <v>86</v>
      </c>
      <c r="B33" s="5">
        <v>11364</v>
      </c>
    </row>
    <row r="34" spans="1:2" x14ac:dyDescent="0.2">
      <c r="A34" s="4" t="s">
        <v>85</v>
      </c>
      <c r="B34" s="5">
        <v>22220</v>
      </c>
    </row>
    <row r="35" spans="1:2" x14ac:dyDescent="0.2">
      <c r="A35" s="4" t="s">
        <v>87</v>
      </c>
      <c r="B35" s="5">
        <v>34742</v>
      </c>
    </row>
    <row r="36" spans="1:2" x14ac:dyDescent="0.2">
      <c r="A36" s="4" t="s">
        <v>90</v>
      </c>
      <c r="B36" s="5">
        <v>31876</v>
      </c>
    </row>
    <row r="37" spans="1:2" x14ac:dyDescent="0.2">
      <c r="A37" s="4" t="s">
        <v>89</v>
      </c>
      <c r="B37" s="5">
        <v>24500</v>
      </c>
    </row>
    <row r="38" spans="1:2" x14ac:dyDescent="0.2">
      <c r="A38" s="4" t="s">
        <v>95</v>
      </c>
      <c r="B38" s="5">
        <v>32050</v>
      </c>
    </row>
    <row r="39" spans="1:2" x14ac:dyDescent="0.2">
      <c r="A39" s="4" t="s">
        <v>33</v>
      </c>
      <c r="B39" s="5">
        <v>37645</v>
      </c>
    </row>
    <row r="40" spans="1:2" x14ac:dyDescent="0.2">
      <c r="A40" s="4" t="s">
        <v>101</v>
      </c>
      <c r="B40" s="5">
        <v>17250</v>
      </c>
    </row>
    <row r="41" spans="1:2" x14ac:dyDescent="0.2">
      <c r="A41" s="4" t="s">
        <v>94</v>
      </c>
      <c r="B41" s="5">
        <v>30445</v>
      </c>
    </row>
    <row r="42" spans="1:2" x14ac:dyDescent="0.2">
      <c r="A42" s="4" t="s">
        <v>110</v>
      </c>
      <c r="B42" s="5">
        <v>12000</v>
      </c>
    </row>
    <row r="43" spans="1:2" x14ac:dyDescent="0.2">
      <c r="A43" s="4" t="s">
        <v>117</v>
      </c>
      <c r="B43" s="5">
        <v>30056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Medina-Leguizamo, Erwin</cp:lastModifiedBy>
  <dcterms:created xsi:type="dcterms:W3CDTF">2025-10-09T19:07:07Z</dcterms:created>
  <dcterms:modified xsi:type="dcterms:W3CDTF">2025-11-12T22:54:46Z</dcterms:modified>
</cp:coreProperties>
</file>